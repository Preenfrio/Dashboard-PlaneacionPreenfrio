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.sharepoint.com/sites/04.Logstica/Documentos compartidos/General/Pre-enfrío/09. Desarrollos/Planeacion/"/>
    </mc:Choice>
  </mc:AlternateContent>
  <xr:revisionPtr revIDLastSave="48" documentId="8_{B2AEF4E9-415B-43CD-A3CC-9361769A74B8}" xr6:coauthVersionLast="47" xr6:coauthVersionMax="47" xr10:uidLastSave="{708355DD-AE88-419C-907F-8EB64B4F9357}"/>
  <bookViews>
    <workbookView xWindow="-28920" yWindow="-15" windowWidth="29040" windowHeight="15720" xr2:uid="{D41B2D9D-66D1-4881-AE1E-852E308D9588}"/>
  </bookViews>
  <sheets>
    <sheet name="PLANEACION" sheetId="1" r:id="rId1"/>
    <sheet name="Consulta1" sheetId="8" r:id="rId2"/>
    <sheet name="UBICACIONES" sheetId="4" r:id="rId3"/>
    <sheet name="CATALOGO" sheetId="3" r:id="rId4"/>
  </sheets>
  <definedNames>
    <definedName name="_xlnm._FilterDatabase" localSheetId="0" hidden="1">PLANEACION!$A$1:$N$299</definedName>
    <definedName name="DatosExternos_1" localSheetId="1" hidden="1">'Consulta1'!$A$1:$N$4343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99" i="1" l="1"/>
  <c r="M299" i="1"/>
  <c r="I299" i="1"/>
  <c r="H299" i="1"/>
  <c r="G299" i="1"/>
  <c r="E299" i="1"/>
  <c r="D299" i="1"/>
  <c r="C299" i="1"/>
  <c r="B299" i="1"/>
  <c r="A299" i="1"/>
  <c r="N298" i="1"/>
  <c r="M298" i="1"/>
  <c r="I298" i="1"/>
  <c r="H298" i="1"/>
  <c r="G298" i="1"/>
  <c r="F298" i="1"/>
  <c r="E298" i="1"/>
  <c r="D298" i="1"/>
  <c r="C298" i="1"/>
  <c r="B298" i="1"/>
  <c r="A298" i="1"/>
  <c r="N297" i="1"/>
  <c r="M297" i="1"/>
  <c r="L297" i="1"/>
  <c r="J297" i="1"/>
  <c r="I297" i="1"/>
  <c r="H297" i="1"/>
  <c r="G297" i="1"/>
  <c r="E297" i="1"/>
  <c r="F297" i="1" s="1"/>
  <c r="D297" i="1"/>
  <c r="C297" i="1"/>
  <c r="B297" i="1"/>
  <c r="A297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N295" i="1"/>
  <c r="M295" i="1"/>
  <c r="L295" i="1"/>
  <c r="K295" i="1"/>
  <c r="I295" i="1"/>
  <c r="H295" i="1"/>
  <c r="G295" i="1"/>
  <c r="E295" i="1"/>
  <c r="J295" i="1" s="1"/>
  <c r="D295" i="1"/>
  <c r="C295" i="1"/>
  <c r="B295" i="1"/>
  <c r="A295" i="1"/>
  <c r="N294" i="1"/>
  <c r="M294" i="1"/>
  <c r="I294" i="1"/>
  <c r="H294" i="1"/>
  <c r="G294" i="1"/>
  <c r="E294" i="1"/>
  <c r="D294" i="1"/>
  <c r="C294" i="1"/>
  <c r="B294" i="1"/>
  <c r="A294" i="1"/>
  <c r="N293" i="1"/>
  <c r="M293" i="1"/>
  <c r="L293" i="1"/>
  <c r="J293" i="1"/>
  <c r="I293" i="1"/>
  <c r="H293" i="1"/>
  <c r="G293" i="1"/>
  <c r="F293" i="1"/>
  <c r="E293" i="1"/>
  <c r="K293" i="1" s="1"/>
  <c r="D293" i="1"/>
  <c r="C293" i="1"/>
  <c r="B293" i="1"/>
  <c r="A293" i="1"/>
  <c r="N292" i="1"/>
  <c r="M292" i="1"/>
  <c r="L292" i="1"/>
  <c r="I292" i="1"/>
  <c r="H292" i="1"/>
  <c r="G292" i="1"/>
  <c r="F292" i="1"/>
  <c r="E292" i="1"/>
  <c r="D292" i="1"/>
  <c r="C292" i="1"/>
  <c r="B292" i="1"/>
  <c r="A292" i="1"/>
  <c r="N291" i="1"/>
  <c r="M291" i="1"/>
  <c r="I291" i="1"/>
  <c r="H291" i="1"/>
  <c r="G291" i="1"/>
  <c r="E291" i="1"/>
  <c r="D291" i="1"/>
  <c r="C291" i="1"/>
  <c r="B291" i="1"/>
  <c r="A291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N289" i="1"/>
  <c r="M289" i="1"/>
  <c r="K289" i="1"/>
  <c r="I289" i="1"/>
  <c r="H289" i="1"/>
  <c r="G289" i="1"/>
  <c r="E289" i="1"/>
  <c r="D289" i="1"/>
  <c r="C289" i="1"/>
  <c r="B289" i="1"/>
  <c r="A289" i="1"/>
  <c r="N288" i="1"/>
  <c r="M288" i="1"/>
  <c r="K288" i="1"/>
  <c r="I288" i="1"/>
  <c r="H288" i="1"/>
  <c r="G288" i="1"/>
  <c r="E288" i="1"/>
  <c r="L288" i="1" s="1"/>
  <c r="D288" i="1"/>
  <c r="C288" i="1"/>
  <c r="B288" i="1"/>
  <c r="A288" i="1"/>
  <c r="N287" i="1"/>
  <c r="M287" i="1"/>
  <c r="L287" i="1"/>
  <c r="J287" i="1"/>
  <c r="I287" i="1"/>
  <c r="H287" i="1"/>
  <c r="G287" i="1"/>
  <c r="F287" i="1"/>
  <c r="E287" i="1"/>
  <c r="K287" i="1" s="1"/>
  <c r="D287" i="1"/>
  <c r="C287" i="1"/>
  <c r="B287" i="1"/>
  <c r="A287" i="1"/>
  <c r="N286" i="1"/>
  <c r="M286" i="1"/>
  <c r="L286" i="1"/>
  <c r="K286" i="1"/>
  <c r="J286" i="1"/>
  <c r="I286" i="1"/>
  <c r="H286" i="1"/>
  <c r="G286" i="1"/>
  <c r="E286" i="1"/>
  <c r="F286" i="1" s="1"/>
  <c r="D286" i="1"/>
  <c r="C286" i="1"/>
  <c r="B286" i="1"/>
  <c r="A286" i="1"/>
  <c r="N285" i="1"/>
  <c r="M285" i="1"/>
  <c r="L285" i="1"/>
  <c r="I285" i="1"/>
  <c r="H285" i="1"/>
  <c r="G285" i="1"/>
  <c r="E285" i="1"/>
  <c r="F285" i="1" s="1"/>
  <c r="D285" i="1"/>
  <c r="C285" i="1"/>
  <c r="B285" i="1"/>
  <c r="A285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A284" i="1"/>
  <c r="N283" i="1"/>
  <c r="M283" i="1"/>
  <c r="I283" i="1"/>
  <c r="H283" i="1"/>
  <c r="G283" i="1"/>
  <c r="E283" i="1"/>
  <c r="F283" i="1" s="1"/>
  <c r="D283" i="1"/>
  <c r="C283" i="1"/>
  <c r="B283" i="1"/>
  <c r="A283" i="1"/>
  <c r="N282" i="1"/>
  <c r="M282" i="1"/>
  <c r="I282" i="1"/>
  <c r="H282" i="1"/>
  <c r="G282" i="1"/>
  <c r="E282" i="1"/>
  <c r="D282" i="1"/>
  <c r="C282" i="1"/>
  <c r="B282" i="1"/>
  <c r="A282" i="1"/>
  <c r="N281" i="1"/>
  <c r="M281" i="1"/>
  <c r="I281" i="1"/>
  <c r="H281" i="1"/>
  <c r="G281" i="1"/>
  <c r="E281" i="1"/>
  <c r="D281" i="1"/>
  <c r="C281" i="1"/>
  <c r="B281" i="1"/>
  <c r="A281" i="1"/>
  <c r="N280" i="1"/>
  <c r="M280" i="1"/>
  <c r="I280" i="1"/>
  <c r="H280" i="1"/>
  <c r="G280" i="1"/>
  <c r="E280" i="1"/>
  <c r="K280" i="1" s="1"/>
  <c r="D280" i="1"/>
  <c r="C280" i="1"/>
  <c r="B280" i="1"/>
  <c r="A280" i="1"/>
  <c r="N279" i="1"/>
  <c r="M279" i="1"/>
  <c r="I279" i="1"/>
  <c r="H279" i="1"/>
  <c r="G279" i="1"/>
  <c r="E279" i="1"/>
  <c r="D279" i="1"/>
  <c r="C279" i="1"/>
  <c r="B279" i="1"/>
  <c r="A279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N277" i="1"/>
  <c r="M277" i="1"/>
  <c r="L277" i="1"/>
  <c r="K277" i="1"/>
  <c r="I277" i="1"/>
  <c r="H277" i="1"/>
  <c r="G277" i="1"/>
  <c r="F277" i="1"/>
  <c r="E277" i="1"/>
  <c r="J277" i="1" s="1"/>
  <c r="D277" i="1"/>
  <c r="C277" i="1"/>
  <c r="B277" i="1"/>
  <c r="A277" i="1"/>
  <c r="N276" i="1"/>
  <c r="M276" i="1"/>
  <c r="J276" i="1"/>
  <c r="I276" i="1"/>
  <c r="H276" i="1"/>
  <c r="G276" i="1"/>
  <c r="E276" i="1"/>
  <c r="D276" i="1"/>
  <c r="C276" i="1"/>
  <c r="B276" i="1"/>
  <c r="A276" i="1"/>
  <c r="N275" i="1"/>
  <c r="M275" i="1"/>
  <c r="L275" i="1"/>
  <c r="J275" i="1"/>
  <c r="I275" i="1"/>
  <c r="H275" i="1"/>
  <c r="G275" i="1"/>
  <c r="F275" i="1"/>
  <c r="E275" i="1"/>
  <c r="K275" i="1" s="1"/>
  <c r="D275" i="1"/>
  <c r="C275" i="1"/>
  <c r="B275" i="1"/>
  <c r="A275" i="1"/>
  <c r="N274" i="1"/>
  <c r="M274" i="1"/>
  <c r="I274" i="1"/>
  <c r="H274" i="1"/>
  <c r="G274" i="1"/>
  <c r="E274" i="1"/>
  <c r="D274" i="1"/>
  <c r="C274" i="1"/>
  <c r="B274" i="1"/>
  <c r="A274" i="1"/>
  <c r="N273" i="1"/>
  <c r="M273" i="1"/>
  <c r="J273" i="1"/>
  <c r="I273" i="1"/>
  <c r="H273" i="1"/>
  <c r="G273" i="1"/>
  <c r="E273" i="1"/>
  <c r="D273" i="1"/>
  <c r="C273" i="1"/>
  <c r="B273" i="1"/>
  <c r="A273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N271" i="1"/>
  <c r="M271" i="1"/>
  <c r="K271" i="1"/>
  <c r="I271" i="1"/>
  <c r="H271" i="1"/>
  <c r="G271" i="1"/>
  <c r="F271" i="1"/>
  <c r="E271" i="1"/>
  <c r="D271" i="1"/>
  <c r="C271" i="1"/>
  <c r="B271" i="1"/>
  <c r="A271" i="1"/>
  <c r="N270" i="1"/>
  <c r="M270" i="1"/>
  <c r="K270" i="1"/>
  <c r="J270" i="1"/>
  <c r="I270" i="1"/>
  <c r="H270" i="1"/>
  <c r="G270" i="1"/>
  <c r="E270" i="1"/>
  <c r="L270" i="1" s="1"/>
  <c r="D270" i="1"/>
  <c r="C270" i="1"/>
  <c r="B270" i="1"/>
  <c r="A270" i="1"/>
  <c r="N269" i="1"/>
  <c r="M269" i="1"/>
  <c r="L269" i="1"/>
  <c r="J269" i="1"/>
  <c r="I269" i="1"/>
  <c r="H269" i="1"/>
  <c r="G269" i="1"/>
  <c r="F269" i="1"/>
  <c r="E269" i="1"/>
  <c r="K269" i="1" s="1"/>
  <c r="D269" i="1"/>
  <c r="C269" i="1"/>
  <c r="B269" i="1"/>
  <c r="A269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N267" i="1"/>
  <c r="M267" i="1"/>
  <c r="L267" i="1"/>
  <c r="I267" i="1"/>
  <c r="H267" i="1"/>
  <c r="G267" i="1"/>
  <c r="E267" i="1"/>
  <c r="F267" i="1" s="1"/>
  <c r="D267" i="1"/>
  <c r="C267" i="1"/>
  <c r="B267" i="1"/>
  <c r="A267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N265" i="1"/>
  <c r="M265" i="1"/>
  <c r="I265" i="1"/>
  <c r="H265" i="1"/>
  <c r="G265" i="1"/>
  <c r="E265" i="1"/>
  <c r="D265" i="1"/>
  <c r="C265" i="1"/>
  <c r="B265" i="1"/>
  <c r="A265" i="1"/>
  <c r="N264" i="1"/>
  <c r="M264" i="1"/>
  <c r="I264" i="1"/>
  <c r="H264" i="1"/>
  <c r="G264" i="1"/>
  <c r="E264" i="1"/>
  <c r="D264" i="1"/>
  <c r="C264" i="1"/>
  <c r="B264" i="1"/>
  <c r="A264" i="1"/>
  <c r="N263" i="1"/>
  <c r="M263" i="1"/>
  <c r="I263" i="1"/>
  <c r="H263" i="1"/>
  <c r="G263" i="1"/>
  <c r="E263" i="1"/>
  <c r="D263" i="1"/>
  <c r="C263" i="1"/>
  <c r="B263" i="1"/>
  <c r="A263" i="1"/>
  <c r="N262" i="1"/>
  <c r="M262" i="1"/>
  <c r="I262" i="1"/>
  <c r="H262" i="1"/>
  <c r="G262" i="1"/>
  <c r="E262" i="1"/>
  <c r="D262" i="1"/>
  <c r="C262" i="1"/>
  <c r="B262" i="1"/>
  <c r="A262" i="1"/>
  <c r="N261" i="1"/>
  <c r="M261" i="1"/>
  <c r="I261" i="1"/>
  <c r="H261" i="1"/>
  <c r="G261" i="1"/>
  <c r="E261" i="1"/>
  <c r="D261" i="1"/>
  <c r="C261" i="1"/>
  <c r="B261" i="1"/>
  <c r="A261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N259" i="1"/>
  <c r="M259" i="1"/>
  <c r="L259" i="1"/>
  <c r="K259" i="1"/>
  <c r="I259" i="1"/>
  <c r="H259" i="1"/>
  <c r="G259" i="1"/>
  <c r="F259" i="1"/>
  <c r="E259" i="1"/>
  <c r="J259" i="1" s="1"/>
  <c r="D259" i="1"/>
  <c r="C259" i="1"/>
  <c r="B259" i="1"/>
  <c r="A259" i="1"/>
  <c r="N258" i="1"/>
  <c r="M258" i="1"/>
  <c r="J258" i="1"/>
  <c r="I258" i="1"/>
  <c r="H258" i="1"/>
  <c r="G258" i="1"/>
  <c r="E258" i="1"/>
  <c r="D258" i="1"/>
  <c r="C258" i="1"/>
  <c r="B258" i="1"/>
  <c r="A258" i="1"/>
  <c r="N257" i="1"/>
  <c r="M257" i="1"/>
  <c r="L257" i="1"/>
  <c r="J257" i="1"/>
  <c r="I257" i="1"/>
  <c r="H257" i="1"/>
  <c r="G257" i="1"/>
  <c r="F257" i="1"/>
  <c r="E257" i="1"/>
  <c r="K257" i="1" s="1"/>
  <c r="D257" i="1"/>
  <c r="C257" i="1"/>
  <c r="B257" i="1"/>
  <c r="A257" i="1"/>
  <c r="N256" i="1"/>
  <c r="M256" i="1"/>
  <c r="I256" i="1"/>
  <c r="H256" i="1"/>
  <c r="G256" i="1"/>
  <c r="E256" i="1"/>
  <c r="L256" i="1" s="1"/>
  <c r="D256" i="1"/>
  <c r="C256" i="1"/>
  <c r="B256" i="1"/>
  <c r="A256" i="1"/>
  <c r="N255" i="1"/>
  <c r="M255" i="1"/>
  <c r="J255" i="1"/>
  <c r="I255" i="1"/>
  <c r="H255" i="1"/>
  <c r="G255" i="1"/>
  <c r="E255" i="1"/>
  <c r="D255" i="1"/>
  <c r="C255" i="1"/>
  <c r="B255" i="1"/>
  <c r="A255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N253" i="1"/>
  <c r="M253" i="1"/>
  <c r="K253" i="1"/>
  <c r="I253" i="1"/>
  <c r="H253" i="1"/>
  <c r="G253" i="1"/>
  <c r="F253" i="1"/>
  <c r="E253" i="1"/>
  <c r="D253" i="1"/>
  <c r="C253" i="1"/>
  <c r="B253" i="1"/>
  <c r="A253" i="1"/>
  <c r="N252" i="1"/>
  <c r="M252" i="1"/>
  <c r="K252" i="1"/>
  <c r="J252" i="1"/>
  <c r="I252" i="1"/>
  <c r="H252" i="1"/>
  <c r="G252" i="1"/>
  <c r="E252" i="1"/>
  <c r="L252" i="1" s="1"/>
  <c r="D252" i="1"/>
  <c r="C252" i="1"/>
  <c r="B252" i="1"/>
  <c r="A252" i="1"/>
  <c r="N251" i="1"/>
  <c r="M251" i="1"/>
  <c r="L251" i="1"/>
  <c r="I251" i="1"/>
  <c r="J251" i="1" s="1"/>
  <c r="H251" i="1"/>
  <c r="G251" i="1"/>
  <c r="F251" i="1"/>
  <c r="E251" i="1"/>
  <c r="K251" i="1" s="1"/>
  <c r="D251" i="1"/>
  <c r="C251" i="1"/>
  <c r="B251" i="1"/>
  <c r="A251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N249" i="1"/>
  <c r="M249" i="1"/>
  <c r="L249" i="1"/>
  <c r="I249" i="1"/>
  <c r="H249" i="1"/>
  <c r="G249" i="1"/>
  <c r="E249" i="1"/>
  <c r="F249" i="1" s="1"/>
  <c r="D249" i="1"/>
  <c r="C249" i="1"/>
  <c r="B249" i="1"/>
  <c r="A249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N247" i="1"/>
  <c r="M247" i="1"/>
  <c r="I247" i="1"/>
  <c r="H247" i="1"/>
  <c r="G247" i="1"/>
  <c r="E247" i="1"/>
  <c r="D247" i="1"/>
  <c r="C247" i="1"/>
  <c r="B247" i="1"/>
  <c r="A247" i="1"/>
  <c r="N246" i="1"/>
  <c r="M246" i="1"/>
  <c r="I246" i="1"/>
  <c r="H246" i="1"/>
  <c r="G246" i="1"/>
  <c r="E246" i="1"/>
  <c r="D246" i="1"/>
  <c r="C246" i="1"/>
  <c r="B246" i="1"/>
  <c r="A246" i="1"/>
  <c r="N245" i="1"/>
  <c r="M245" i="1"/>
  <c r="I245" i="1"/>
  <c r="H245" i="1"/>
  <c r="G245" i="1"/>
  <c r="E245" i="1"/>
  <c r="D245" i="1"/>
  <c r="C245" i="1"/>
  <c r="B245" i="1"/>
  <c r="A245" i="1"/>
  <c r="N244" i="1"/>
  <c r="M244" i="1"/>
  <c r="I244" i="1"/>
  <c r="H244" i="1"/>
  <c r="G244" i="1"/>
  <c r="E244" i="1"/>
  <c r="D244" i="1"/>
  <c r="C244" i="1"/>
  <c r="B244" i="1"/>
  <c r="A244" i="1"/>
  <c r="N243" i="1"/>
  <c r="M243" i="1"/>
  <c r="I243" i="1"/>
  <c r="H243" i="1"/>
  <c r="G243" i="1"/>
  <c r="E243" i="1"/>
  <c r="D243" i="1"/>
  <c r="C243" i="1"/>
  <c r="B243" i="1"/>
  <c r="A243" i="1"/>
  <c r="N242" i="1"/>
  <c r="M242" i="1"/>
  <c r="L242" i="1"/>
  <c r="K242" i="1"/>
  <c r="I242" i="1"/>
  <c r="J242" i="1" s="1"/>
  <c r="H242" i="1"/>
  <c r="G242" i="1"/>
  <c r="F242" i="1"/>
  <c r="E242" i="1"/>
  <c r="D242" i="1"/>
  <c r="C242" i="1"/>
  <c r="B242" i="1"/>
  <c r="A242" i="1"/>
  <c r="N241" i="1"/>
  <c r="M241" i="1"/>
  <c r="L241" i="1"/>
  <c r="K241" i="1"/>
  <c r="I241" i="1"/>
  <c r="H241" i="1"/>
  <c r="G241" i="1"/>
  <c r="F241" i="1"/>
  <c r="E241" i="1"/>
  <c r="D241" i="1"/>
  <c r="C241" i="1"/>
  <c r="B241" i="1"/>
  <c r="A241" i="1"/>
  <c r="N240" i="1"/>
  <c r="M240" i="1"/>
  <c r="J240" i="1"/>
  <c r="I240" i="1"/>
  <c r="H240" i="1"/>
  <c r="G240" i="1"/>
  <c r="E240" i="1"/>
  <c r="D240" i="1"/>
  <c r="C240" i="1"/>
  <c r="B240" i="1"/>
  <c r="A240" i="1"/>
  <c r="N239" i="1"/>
  <c r="M239" i="1"/>
  <c r="L239" i="1"/>
  <c r="J239" i="1"/>
  <c r="I239" i="1"/>
  <c r="H239" i="1"/>
  <c r="G239" i="1"/>
  <c r="F239" i="1"/>
  <c r="E239" i="1"/>
  <c r="K239" i="1" s="1"/>
  <c r="D239" i="1"/>
  <c r="C239" i="1"/>
  <c r="B239" i="1"/>
  <c r="A239" i="1"/>
  <c r="N238" i="1"/>
  <c r="M238" i="1"/>
  <c r="L238" i="1"/>
  <c r="I238" i="1"/>
  <c r="H238" i="1"/>
  <c r="G238" i="1"/>
  <c r="E238" i="1"/>
  <c r="D238" i="1"/>
  <c r="C238" i="1"/>
  <c r="B238" i="1"/>
  <c r="A238" i="1"/>
  <c r="N237" i="1"/>
  <c r="M237" i="1"/>
  <c r="J237" i="1"/>
  <c r="I237" i="1"/>
  <c r="H237" i="1"/>
  <c r="G237" i="1"/>
  <c r="E237" i="1"/>
  <c r="D237" i="1"/>
  <c r="C237" i="1"/>
  <c r="B237" i="1"/>
  <c r="A237" i="1"/>
  <c r="N236" i="1"/>
  <c r="M236" i="1"/>
  <c r="L236" i="1"/>
  <c r="K236" i="1"/>
  <c r="I236" i="1"/>
  <c r="J236" i="1" s="1"/>
  <c r="H236" i="1"/>
  <c r="G236" i="1"/>
  <c r="F236" i="1"/>
  <c r="E236" i="1"/>
  <c r="D236" i="1"/>
  <c r="C236" i="1"/>
  <c r="B236" i="1"/>
  <c r="A236" i="1"/>
  <c r="N235" i="1"/>
  <c r="M235" i="1"/>
  <c r="K235" i="1"/>
  <c r="I235" i="1"/>
  <c r="H235" i="1"/>
  <c r="G235" i="1"/>
  <c r="E235" i="1"/>
  <c r="D235" i="1"/>
  <c r="C235" i="1"/>
  <c r="B235" i="1"/>
  <c r="A235" i="1"/>
  <c r="N234" i="1"/>
  <c r="M234" i="1"/>
  <c r="K234" i="1"/>
  <c r="J234" i="1"/>
  <c r="I234" i="1"/>
  <c r="H234" i="1"/>
  <c r="G234" i="1"/>
  <c r="F234" i="1"/>
  <c r="E234" i="1"/>
  <c r="L234" i="1" s="1"/>
  <c r="D234" i="1"/>
  <c r="C234" i="1"/>
  <c r="B234" i="1"/>
  <c r="A234" i="1"/>
  <c r="N233" i="1"/>
  <c r="M233" i="1"/>
  <c r="L233" i="1"/>
  <c r="J233" i="1"/>
  <c r="I233" i="1"/>
  <c r="H233" i="1"/>
  <c r="G233" i="1"/>
  <c r="F233" i="1"/>
  <c r="E233" i="1"/>
  <c r="K233" i="1" s="1"/>
  <c r="D233" i="1"/>
  <c r="C233" i="1"/>
  <c r="B233" i="1"/>
  <c r="A233" i="1"/>
  <c r="N232" i="1"/>
  <c r="M232" i="1"/>
  <c r="L232" i="1"/>
  <c r="K232" i="1"/>
  <c r="I232" i="1"/>
  <c r="J232" i="1" s="1"/>
  <c r="H232" i="1"/>
  <c r="G232" i="1"/>
  <c r="F232" i="1"/>
  <c r="E232" i="1"/>
  <c r="D232" i="1"/>
  <c r="C232" i="1"/>
  <c r="B232" i="1"/>
  <c r="A232" i="1"/>
  <c r="N231" i="1"/>
  <c r="M231" i="1"/>
  <c r="L231" i="1"/>
  <c r="K231" i="1"/>
  <c r="I231" i="1"/>
  <c r="H231" i="1"/>
  <c r="G231" i="1"/>
  <c r="E231" i="1"/>
  <c r="F231" i="1" s="1"/>
  <c r="D231" i="1"/>
  <c r="C231" i="1"/>
  <c r="B231" i="1"/>
  <c r="A231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N229" i="1"/>
  <c r="M229" i="1"/>
  <c r="I229" i="1"/>
  <c r="H229" i="1"/>
  <c r="G229" i="1"/>
  <c r="E229" i="1"/>
  <c r="D229" i="1"/>
  <c r="C229" i="1"/>
  <c r="B229" i="1"/>
  <c r="A229" i="1"/>
  <c r="N228" i="1"/>
  <c r="M228" i="1"/>
  <c r="I228" i="1"/>
  <c r="H228" i="1"/>
  <c r="G228" i="1"/>
  <c r="F228" i="1"/>
  <c r="E228" i="1"/>
  <c r="D228" i="1"/>
  <c r="C228" i="1"/>
  <c r="B228" i="1"/>
  <c r="A228" i="1"/>
  <c r="N227" i="1"/>
  <c r="M227" i="1"/>
  <c r="J227" i="1"/>
  <c r="I227" i="1"/>
  <c r="H227" i="1"/>
  <c r="G227" i="1"/>
  <c r="F227" i="1"/>
  <c r="E227" i="1"/>
  <c r="D227" i="1"/>
  <c r="C227" i="1"/>
  <c r="B227" i="1"/>
  <c r="A227" i="1"/>
  <c r="N226" i="1"/>
  <c r="M226" i="1"/>
  <c r="L226" i="1"/>
  <c r="I226" i="1"/>
  <c r="H226" i="1"/>
  <c r="G226" i="1"/>
  <c r="E226" i="1"/>
  <c r="K226" i="1" s="1"/>
  <c r="D226" i="1"/>
  <c r="C226" i="1"/>
  <c r="B226" i="1"/>
  <c r="A226" i="1"/>
  <c r="N225" i="1"/>
  <c r="M225" i="1"/>
  <c r="I225" i="1"/>
  <c r="H225" i="1"/>
  <c r="G225" i="1"/>
  <c r="E225" i="1"/>
  <c r="D225" i="1"/>
  <c r="C225" i="1"/>
  <c r="B225" i="1"/>
  <c r="A225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N223" i="1"/>
  <c r="M223" i="1"/>
  <c r="L223" i="1"/>
  <c r="K223" i="1"/>
  <c r="I223" i="1"/>
  <c r="H223" i="1"/>
  <c r="G223" i="1"/>
  <c r="F223" i="1"/>
  <c r="E223" i="1"/>
  <c r="D223" i="1"/>
  <c r="C223" i="1"/>
  <c r="B223" i="1"/>
  <c r="A223" i="1"/>
  <c r="N222" i="1"/>
  <c r="M222" i="1"/>
  <c r="J222" i="1"/>
  <c r="I222" i="1"/>
  <c r="H222" i="1"/>
  <c r="G222" i="1"/>
  <c r="E222" i="1"/>
  <c r="D222" i="1"/>
  <c r="C222" i="1"/>
  <c r="B222" i="1"/>
  <c r="A222" i="1"/>
  <c r="N221" i="1"/>
  <c r="M221" i="1"/>
  <c r="L221" i="1"/>
  <c r="J221" i="1"/>
  <c r="I221" i="1"/>
  <c r="H221" i="1"/>
  <c r="G221" i="1"/>
  <c r="F221" i="1"/>
  <c r="E221" i="1"/>
  <c r="K221" i="1" s="1"/>
  <c r="D221" i="1"/>
  <c r="C221" i="1"/>
  <c r="B221" i="1"/>
  <c r="A221" i="1"/>
  <c r="N220" i="1"/>
  <c r="M220" i="1"/>
  <c r="I220" i="1"/>
  <c r="H220" i="1"/>
  <c r="G220" i="1"/>
  <c r="E220" i="1"/>
  <c r="D220" i="1"/>
  <c r="C220" i="1"/>
  <c r="B220" i="1"/>
  <c r="A220" i="1"/>
  <c r="N219" i="1"/>
  <c r="M219" i="1"/>
  <c r="J219" i="1"/>
  <c r="I219" i="1"/>
  <c r="H219" i="1"/>
  <c r="G219" i="1"/>
  <c r="E219" i="1"/>
  <c r="D219" i="1"/>
  <c r="C219" i="1"/>
  <c r="B219" i="1"/>
  <c r="A219" i="1"/>
  <c r="N218" i="1"/>
  <c r="M218" i="1"/>
  <c r="L218" i="1"/>
  <c r="K218" i="1"/>
  <c r="I218" i="1"/>
  <c r="J218" i="1" s="1"/>
  <c r="H218" i="1"/>
  <c r="G218" i="1"/>
  <c r="F218" i="1"/>
  <c r="E218" i="1"/>
  <c r="D218" i="1"/>
  <c r="C218" i="1"/>
  <c r="B218" i="1"/>
  <c r="A218" i="1"/>
  <c r="N217" i="1"/>
  <c r="M217" i="1"/>
  <c r="I217" i="1"/>
  <c r="H217" i="1"/>
  <c r="G217" i="1"/>
  <c r="E217" i="1"/>
  <c r="D217" i="1"/>
  <c r="C217" i="1"/>
  <c r="B217" i="1"/>
  <c r="A217" i="1"/>
  <c r="N216" i="1"/>
  <c r="M216" i="1"/>
  <c r="J216" i="1"/>
  <c r="I216" i="1"/>
  <c r="H216" i="1"/>
  <c r="G216" i="1"/>
  <c r="F216" i="1"/>
  <c r="E216" i="1"/>
  <c r="D216" i="1"/>
  <c r="C216" i="1"/>
  <c r="B216" i="1"/>
  <c r="A216" i="1"/>
  <c r="N215" i="1"/>
  <c r="M215" i="1"/>
  <c r="L215" i="1"/>
  <c r="J215" i="1"/>
  <c r="I215" i="1"/>
  <c r="H215" i="1"/>
  <c r="G215" i="1"/>
  <c r="F215" i="1"/>
  <c r="E215" i="1"/>
  <c r="K215" i="1" s="1"/>
  <c r="D215" i="1"/>
  <c r="C215" i="1"/>
  <c r="B215" i="1"/>
  <c r="A215" i="1"/>
  <c r="N214" i="1"/>
  <c r="M214" i="1"/>
  <c r="L214" i="1"/>
  <c r="K214" i="1"/>
  <c r="I214" i="1"/>
  <c r="J214" i="1" s="1"/>
  <c r="H214" i="1"/>
  <c r="G214" i="1"/>
  <c r="F214" i="1"/>
  <c r="E214" i="1"/>
  <c r="D214" i="1"/>
  <c r="C214" i="1"/>
  <c r="B214" i="1"/>
  <c r="A214" i="1"/>
  <c r="N213" i="1"/>
  <c r="M213" i="1"/>
  <c r="K213" i="1"/>
  <c r="J213" i="1"/>
  <c r="I213" i="1"/>
  <c r="H213" i="1"/>
  <c r="G213" i="1"/>
  <c r="E213" i="1"/>
  <c r="F213" i="1" s="1"/>
  <c r="D213" i="1"/>
  <c r="C213" i="1"/>
  <c r="B213" i="1"/>
  <c r="A213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N211" i="1"/>
  <c r="M211" i="1"/>
  <c r="I211" i="1"/>
  <c r="H211" i="1"/>
  <c r="G211" i="1"/>
  <c r="F211" i="1"/>
  <c r="E211" i="1"/>
  <c r="D211" i="1"/>
  <c r="C211" i="1"/>
  <c r="B211" i="1"/>
  <c r="A211" i="1"/>
  <c r="N210" i="1"/>
  <c r="M210" i="1"/>
  <c r="I210" i="1"/>
  <c r="H210" i="1"/>
  <c r="G210" i="1"/>
  <c r="E210" i="1"/>
  <c r="F210" i="1" s="1"/>
  <c r="D210" i="1"/>
  <c r="C210" i="1"/>
  <c r="B210" i="1"/>
  <c r="A210" i="1"/>
  <c r="N209" i="1"/>
  <c r="M209" i="1"/>
  <c r="J209" i="1"/>
  <c r="I209" i="1"/>
  <c r="H209" i="1"/>
  <c r="G209" i="1"/>
  <c r="E209" i="1"/>
  <c r="F209" i="1" s="1"/>
  <c r="D209" i="1"/>
  <c r="C209" i="1"/>
  <c r="B209" i="1"/>
  <c r="A209" i="1"/>
  <c r="N208" i="1"/>
  <c r="M208" i="1"/>
  <c r="L208" i="1"/>
  <c r="K208" i="1"/>
  <c r="I208" i="1"/>
  <c r="H208" i="1"/>
  <c r="G208" i="1"/>
  <c r="E208" i="1"/>
  <c r="J208" i="1" s="1"/>
  <c r="D208" i="1"/>
  <c r="C208" i="1"/>
  <c r="B208" i="1"/>
  <c r="A208" i="1"/>
  <c r="N207" i="1"/>
  <c r="M207" i="1"/>
  <c r="I207" i="1"/>
  <c r="H207" i="1"/>
  <c r="G207" i="1"/>
  <c r="E207" i="1"/>
  <c r="D207" i="1"/>
  <c r="C207" i="1"/>
  <c r="B207" i="1"/>
  <c r="A207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N205" i="1"/>
  <c r="M205" i="1"/>
  <c r="L205" i="1"/>
  <c r="K205" i="1"/>
  <c r="I205" i="1"/>
  <c r="H205" i="1"/>
  <c r="G205" i="1"/>
  <c r="F205" i="1"/>
  <c r="E205" i="1"/>
  <c r="D205" i="1"/>
  <c r="C205" i="1"/>
  <c r="B205" i="1"/>
  <c r="A205" i="1"/>
  <c r="N204" i="1"/>
  <c r="M204" i="1"/>
  <c r="J204" i="1"/>
  <c r="I204" i="1"/>
  <c r="H204" i="1"/>
  <c r="G204" i="1"/>
  <c r="E204" i="1"/>
  <c r="D204" i="1"/>
  <c r="C204" i="1"/>
  <c r="B204" i="1"/>
  <c r="A204" i="1"/>
  <c r="N203" i="1"/>
  <c r="M203" i="1"/>
  <c r="I203" i="1"/>
  <c r="H203" i="1"/>
  <c r="G203" i="1"/>
  <c r="E203" i="1"/>
  <c r="D203" i="1"/>
  <c r="C203" i="1"/>
  <c r="B203" i="1"/>
  <c r="A203" i="1"/>
  <c r="N202" i="1"/>
  <c r="M202" i="1"/>
  <c r="I202" i="1"/>
  <c r="H202" i="1"/>
  <c r="G202" i="1"/>
  <c r="E202" i="1"/>
  <c r="D202" i="1"/>
  <c r="C202" i="1"/>
  <c r="B202" i="1"/>
  <c r="A202" i="1"/>
  <c r="N201" i="1"/>
  <c r="M201" i="1"/>
  <c r="I201" i="1"/>
  <c r="J201" i="1" s="1"/>
  <c r="H201" i="1"/>
  <c r="G201" i="1"/>
  <c r="E201" i="1"/>
  <c r="D201" i="1"/>
  <c r="C201" i="1"/>
  <c r="B201" i="1"/>
  <c r="A201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N199" i="1"/>
  <c r="M199" i="1"/>
  <c r="L199" i="1"/>
  <c r="K199" i="1"/>
  <c r="I199" i="1"/>
  <c r="H199" i="1"/>
  <c r="G199" i="1"/>
  <c r="F199" i="1"/>
  <c r="E199" i="1"/>
  <c r="D199" i="1"/>
  <c r="C199" i="1"/>
  <c r="B199" i="1"/>
  <c r="A199" i="1"/>
  <c r="N198" i="1"/>
  <c r="M198" i="1"/>
  <c r="K198" i="1"/>
  <c r="J198" i="1"/>
  <c r="I198" i="1"/>
  <c r="H198" i="1"/>
  <c r="G198" i="1"/>
  <c r="E198" i="1"/>
  <c r="L198" i="1" s="1"/>
  <c r="D198" i="1"/>
  <c r="C198" i="1"/>
  <c r="B198" i="1"/>
  <c r="A198" i="1"/>
  <c r="N197" i="1"/>
  <c r="M197" i="1"/>
  <c r="L197" i="1"/>
  <c r="I197" i="1"/>
  <c r="J197" i="1" s="1"/>
  <c r="H197" i="1"/>
  <c r="G197" i="1"/>
  <c r="F197" i="1"/>
  <c r="E197" i="1"/>
  <c r="K197" i="1" s="1"/>
  <c r="D197" i="1"/>
  <c r="C197" i="1"/>
  <c r="B197" i="1"/>
  <c r="A197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A196" i="1"/>
  <c r="N195" i="1"/>
  <c r="M195" i="1"/>
  <c r="L195" i="1"/>
  <c r="I195" i="1"/>
  <c r="H195" i="1"/>
  <c r="G195" i="1"/>
  <c r="E195" i="1"/>
  <c r="F195" i="1" s="1"/>
  <c r="D195" i="1"/>
  <c r="C195" i="1"/>
  <c r="B195" i="1"/>
  <c r="A195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N193" i="1"/>
  <c r="M193" i="1"/>
  <c r="I193" i="1"/>
  <c r="H193" i="1"/>
  <c r="G193" i="1"/>
  <c r="E193" i="1"/>
  <c r="D193" i="1"/>
  <c r="C193" i="1"/>
  <c r="B193" i="1"/>
  <c r="A193" i="1"/>
  <c r="N192" i="1"/>
  <c r="M192" i="1"/>
  <c r="I192" i="1"/>
  <c r="H192" i="1"/>
  <c r="G192" i="1"/>
  <c r="E192" i="1"/>
  <c r="D192" i="1"/>
  <c r="C192" i="1"/>
  <c r="B192" i="1"/>
  <c r="A192" i="1"/>
  <c r="N191" i="1"/>
  <c r="M191" i="1"/>
  <c r="I191" i="1"/>
  <c r="H191" i="1"/>
  <c r="G191" i="1"/>
  <c r="E191" i="1"/>
  <c r="D191" i="1"/>
  <c r="C191" i="1"/>
  <c r="B191" i="1"/>
  <c r="A191" i="1"/>
  <c r="N190" i="1"/>
  <c r="M190" i="1"/>
  <c r="I190" i="1"/>
  <c r="H190" i="1"/>
  <c r="G190" i="1"/>
  <c r="E190" i="1"/>
  <c r="D190" i="1"/>
  <c r="C190" i="1"/>
  <c r="B190" i="1"/>
  <c r="A190" i="1"/>
  <c r="N189" i="1"/>
  <c r="M189" i="1"/>
  <c r="L189" i="1"/>
  <c r="I189" i="1"/>
  <c r="J189" i="1" s="1"/>
  <c r="H189" i="1"/>
  <c r="G189" i="1"/>
  <c r="E189" i="1"/>
  <c r="F189" i="1" s="1"/>
  <c r="D189" i="1"/>
  <c r="C189" i="1"/>
  <c r="B189" i="1"/>
  <c r="A189" i="1"/>
  <c r="N188" i="1"/>
  <c r="M188" i="1"/>
  <c r="L188" i="1"/>
  <c r="K188" i="1"/>
  <c r="I188" i="1"/>
  <c r="J188" i="1" s="1"/>
  <c r="H188" i="1"/>
  <c r="G188" i="1"/>
  <c r="F188" i="1"/>
  <c r="E188" i="1"/>
  <c r="D188" i="1"/>
  <c r="C188" i="1"/>
  <c r="B188" i="1"/>
  <c r="A188" i="1"/>
  <c r="N187" i="1"/>
  <c r="M187" i="1"/>
  <c r="L187" i="1"/>
  <c r="K187" i="1"/>
  <c r="I187" i="1"/>
  <c r="H187" i="1"/>
  <c r="G187" i="1"/>
  <c r="F187" i="1"/>
  <c r="E187" i="1"/>
  <c r="D187" i="1"/>
  <c r="C187" i="1"/>
  <c r="B187" i="1"/>
  <c r="A187" i="1"/>
  <c r="N186" i="1"/>
  <c r="M186" i="1"/>
  <c r="K186" i="1"/>
  <c r="J186" i="1"/>
  <c r="I186" i="1"/>
  <c r="H186" i="1"/>
  <c r="G186" i="1"/>
  <c r="E186" i="1"/>
  <c r="D186" i="1"/>
  <c r="C186" i="1"/>
  <c r="B186" i="1"/>
  <c r="A186" i="1"/>
  <c r="N185" i="1"/>
  <c r="M185" i="1"/>
  <c r="L185" i="1"/>
  <c r="J185" i="1"/>
  <c r="I185" i="1"/>
  <c r="H185" i="1"/>
  <c r="G185" i="1"/>
  <c r="E185" i="1"/>
  <c r="K185" i="1" s="1"/>
  <c r="D185" i="1"/>
  <c r="C185" i="1"/>
  <c r="B185" i="1"/>
  <c r="A185" i="1"/>
  <c r="N184" i="1"/>
  <c r="M184" i="1"/>
  <c r="L184" i="1"/>
  <c r="I184" i="1"/>
  <c r="H184" i="1"/>
  <c r="G184" i="1"/>
  <c r="E184" i="1"/>
  <c r="J184" i="1" s="1"/>
  <c r="D184" i="1"/>
  <c r="C184" i="1"/>
  <c r="B184" i="1"/>
  <c r="A184" i="1"/>
  <c r="N183" i="1"/>
  <c r="M183" i="1"/>
  <c r="I183" i="1"/>
  <c r="J183" i="1" s="1"/>
  <c r="H183" i="1"/>
  <c r="G183" i="1"/>
  <c r="E183" i="1"/>
  <c r="D183" i="1"/>
  <c r="C183" i="1"/>
  <c r="B183" i="1"/>
  <c r="A183" i="1"/>
  <c r="N182" i="1"/>
  <c r="M182" i="1"/>
  <c r="L182" i="1"/>
  <c r="K182" i="1"/>
  <c r="I182" i="1"/>
  <c r="J182" i="1" s="1"/>
  <c r="H182" i="1"/>
  <c r="G182" i="1"/>
  <c r="F182" i="1"/>
  <c r="E182" i="1"/>
  <c r="D182" i="1"/>
  <c r="C182" i="1"/>
  <c r="B182" i="1"/>
  <c r="A182" i="1"/>
  <c r="N181" i="1"/>
  <c r="M181" i="1"/>
  <c r="L181" i="1"/>
  <c r="K181" i="1"/>
  <c r="I181" i="1"/>
  <c r="H181" i="1"/>
  <c r="G181" i="1"/>
  <c r="F181" i="1"/>
  <c r="E181" i="1"/>
  <c r="J181" i="1" s="1"/>
  <c r="D181" i="1"/>
  <c r="C181" i="1"/>
  <c r="B181" i="1"/>
  <c r="A181" i="1"/>
  <c r="N180" i="1"/>
  <c r="M180" i="1"/>
  <c r="K180" i="1"/>
  <c r="I180" i="1"/>
  <c r="H180" i="1"/>
  <c r="G180" i="1"/>
  <c r="E180" i="1"/>
  <c r="L180" i="1" s="1"/>
  <c r="D180" i="1"/>
  <c r="C180" i="1"/>
  <c r="B180" i="1"/>
  <c r="A180" i="1"/>
  <c r="N179" i="1"/>
  <c r="M179" i="1"/>
  <c r="I179" i="1"/>
  <c r="H179" i="1"/>
  <c r="G179" i="1"/>
  <c r="E179" i="1"/>
  <c r="D179" i="1"/>
  <c r="C179" i="1"/>
  <c r="B179" i="1"/>
  <c r="A179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N177" i="1"/>
  <c r="M177" i="1"/>
  <c r="L177" i="1"/>
  <c r="I177" i="1"/>
  <c r="J177" i="1" s="1"/>
  <c r="H177" i="1"/>
  <c r="G177" i="1"/>
  <c r="E177" i="1"/>
  <c r="F177" i="1" s="1"/>
  <c r="D177" i="1"/>
  <c r="C177" i="1"/>
  <c r="B177" i="1"/>
  <c r="A177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A176" i="1"/>
  <c r="N175" i="1"/>
  <c r="M175" i="1"/>
  <c r="I175" i="1"/>
  <c r="H175" i="1"/>
  <c r="G175" i="1"/>
  <c r="E175" i="1"/>
  <c r="L175" i="1" s="1"/>
  <c r="D175" i="1"/>
  <c r="C175" i="1"/>
  <c r="B175" i="1"/>
  <c r="A175" i="1"/>
  <c r="N174" i="1"/>
  <c r="M174" i="1"/>
  <c r="I174" i="1"/>
  <c r="H174" i="1"/>
  <c r="G174" i="1"/>
  <c r="E174" i="1"/>
  <c r="D174" i="1"/>
  <c r="C174" i="1"/>
  <c r="B174" i="1"/>
  <c r="A174" i="1"/>
  <c r="N173" i="1"/>
  <c r="M173" i="1"/>
  <c r="I173" i="1"/>
  <c r="H173" i="1"/>
  <c r="G173" i="1"/>
  <c r="E173" i="1"/>
  <c r="D173" i="1"/>
  <c r="C173" i="1"/>
  <c r="B173" i="1"/>
  <c r="A173" i="1"/>
  <c r="N172" i="1"/>
  <c r="M172" i="1"/>
  <c r="L172" i="1"/>
  <c r="K172" i="1"/>
  <c r="I172" i="1"/>
  <c r="J172" i="1" s="1"/>
  <c r="H172" i="1"/>
  <c r="G172" i="1"/>
  <c r="F172" i="1"/>
  <c r="E172" i="1"/>
  <c r="D172" i="1"/>
  <c r="C172" i="1"/>
  <c r="B172" i="1"/>
  <c r="A172" i="1"/>
  <c r="N171" i="1"/>
  <c r="M171" i="1"/>
  <c r="L171" i="1"/>
  <c r="K171" i="1"/>
  <c r="I171" i="1"/>
  <c r="J171" i="1" s="1"/>
  <c r="H171" i="1"/>
  <c r="G171" i="1"/>
  <c r="E171" i="1"/>
  <c r="F171" i="1" s="1"/>
  <c r="D171" i="1"/>
  <c r="C171" i="1"/>
  <c r="B171" i="1"/>
  <c r="A171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N169" i="1"/>
  <c r="M169" i="1"/>
  <c r="L169" i="1"/>
  <c r="K169" i="1"/>
  <c r="I169" i="1"/>
  <c r="H169" i="1"/>
  <c r="G169" i="1"/>
  <c r="F169" i="1"/>
  <c r="E169" i="1"/>
  <c r="D169" i="1"/>
  <c r="C169" i="1"/>
  <c r="B169" i="1"/>
  <c r="A169" i="1"/>
  <c r="N168" i="1"/>
  <c r="M168" i="1"/>
  <c r="K168" i="1"/>
  <c r="I168" i="1"/>
  <c r="H168" i="1"/>
  <c r="G168" i="1"/>
  <c r="E168" i="1"/>
  <c r="D168" i="1"/>
  <c r="C168" i="1"/>
  <c r="B168" i="1"/>
  <c r="A168" i="1"/>
  <c r="N167" i="1"/>
  <c r="M167" i="1"/>
  <c r="L167" i="1"/>
  <c r="I167" i="1"/>
  <c r="H167" i="1"/>
  <c r="G167" i="1"/>
  <c r="E167" i="1"/>
  <c r="K167" i="1" s="1"/>
  <c r="D167" i="1"/>
  <c r="C167" i="1"/>
  <c r="B167" i="1"/>
  <c r="A167" i="1"/>
  <c r="N166" i="1"/>
  <c r="M166" i="1"/>
  <c r="I166" i="1"/>
  <c r="H166" i="1"/>
  <c r="G166" i="1"/>
  <c r="E166" i="1"/>
  <c r="D166" i="1"/>
  <c r="C166" i="1"/>
  <c r="B166" i="1"/>
  <c r="A166" i="1"/>
  <c r="N165" i="1"/>
  <c r="M165" i="1"/>
  <c r="I165" i="1"/>
  <c r="H165" i="1"/>
  <c r="G165" i="1"/>
  <c r="E165" i="1"/>
  <c r="J165" i="1" s="1"/>
  <c r="D165" i="1"/>
  <c r="C165" i="1"/>
  <c r="B165" i="1"/>
  <c r="A165" i="1"/>
  <c r="N164" i="1"/>
  <c r="M164" i="1"/>
  <c r="L164" i="1"/>
  <c r="K164" i="1"/>
  <c r="I164" i="1"/>
  <c r="J164" i="1" s="1"/>
  <c r="H164" i="1"/>
  <c r="G164" i="1"/>
  <c r="F164" i="1"/>
  <c r="E164" i="1"/>
  <c r="D164" i="1"/>
  <c r="C164" i="1"/>
  <c r="B164" i="1"/>
  <c r="A164" i="1"/>
  <c r="N163" i="1"/>
  <c r="M163" i="1"/>
  <c r="I163" i="1"/>
  <c r="H163" i="1"/>
  <c r="G163" i="1"/>
  <c r="E163" i="1"/>
  <c r="D163" i="1"/>
  <c r="C163" i="1"/>
  <c r="B163" i="1"/>
  <c r="A163" i="1"/>
  <c r="N162" i="1"/>
  <c r="M162" i="1"/>
  <c r="K162" i="1"/>
  <c r="I162" i="1"/>
  <c r="H162" i="1"/>
  <c r="G162" i="1"/>
  <c r="F162" i="1"/>
  <c r="E162" i="1"/>
  <c r="L162" i="1" s="1"/>
  <c r="D162" i="1"/>
  <c r="C162" i="1"/>
  <c r="B162" i="1"/>
  <c r="A162" i="1"/>
  <c r="N161" i="1"/>
  <c r="M161" i="1"/>
  <c r="I161" i="1"/>
  <c r="H161" i="1"/>
  <c r="G161" i="1"/>
  <c r="E161" i="1"/>
  <c r="D161" i="1"/>
  <c r="C161" i="1"/>
  <c r="B161" i="1"/>
  <c r="A161" i="1"/>
  <c r="N160" i="1"/>
  <c r="M160" i="1"/>
  <c r="L160" i="1"/>
  <c r="K160" i="1"/>
  <c r="I160" i="1"/>
  <c r="J160" i="1" s="1"/>
  <c r="H160" i="1"/>
  <c r="G160" i="1"/>
  <c r="F160" i="1"/>
  <c r="E160" i="1"/>
  <c r="D160" i="1"/>
  <c r="C160" i="1"/>
  <c r="B160" i="1"/>
  <c r="A160" i="1"/>
  <c r="N159" i="1"/>
  <c r="M159" i="1"/>
  <c r="L159" i="1"/>
  <c r="K159" i="1"/>
  <c r="I159" i="1"/>
  <c r="J159" i="1" s="1"/>
  <c r="H159" i="1"/>
  <c r="G159" i="1"/>
  <c r="E159" i="1"/>
  <c r="F159" i="1" s="1"/>
  <c r="D159" i="1"/>
  <c r="C159" i="1"/>
  <c r="B159" i="1"/>
  <c r="A159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N157" i="1"/>
  <c r="M157" i="1"/>
  <c r="L157" i="1"/>
  <c r="I157" i="1"/>
  <c r="H157" i="1"/>
  <c r="G157" i="1"/>
  <c r="E157" i="1"/>
  <c r="D157" i="1"/>
  <c r="C157" i="1"/>
  <c r="B157" i="1"/>
  <c r="A157" i="1"/>
  <c r="N156" i="1"/>
  <c r="M156" i="1"/>
  <c r="I156" i="1"/>
  <c r="H156" i="1"/>
  <c r="G156" i="1"/>
  <c r="E156" i="1"/>
  <c r="F156" i="1" s="1"/>
  <c r="D156" i="1"/>
  <c r="C156" i="1"/>
  <c r="B156" i="1"/>
  <c r="A156" i="1"/>
  <c r="N155" i="1"/>
  <c r="M155" i="1"/>
  <c r="I155" i="1"/>
  <c r="J155" i="1" s="1"/>
  <c r="H155" i="1"/>
  <c r="G155" i="1"/>
  <c r="E155" i="1"/>
  <c r="F155" i="1" s="1"/>
  <c r="D155" i="1"/>
  <c r="C155" i="1"/>
  <c r="B155" i="1"/>
  <c r="A155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A154" i="1"/>
  <c r="N153" i="1"/>
  <c r="M153" i="1"/>
  <c r="L153" i="1"/>
  <c r="I153" i="1"/>
  <c r="H153" i="1"/>
  <c r="G153" i="1"/>
  <c r="E153" i="1"/>
  <c r="F153" i="1" s="1"/>
  <c r="D153" i="1"/>
  <c r="C153" i="1"/>
  <c r="B153" i="1"/>
  <c r="A153" i="1"/>
  <c r="N152" i="1"/>
  <c r="M152" i="1"/>
  <c r="L152" i="1"/>
  <c r="K152" i="1"/>
  <c r="I152" i="1"/>
  <c r="J152" i="1" s="1"/>
  <c r="H152" i="1"/>
  <c r="G152" i="1"/>
  <c r="F152" i="1"/>
  <c r="E152" i="1"/>
  <c r="D152" i="1"/>
  <c r="C152" i="1"/>
  <c r="B152" i="1"/>
  <c r="A152" i="1"/>
  <c r="N151" i="1"/>
  <c r="M151" i="1"/>
  <c r="L151" i="1"/>
  <c r="K151" i="1"/>
  <c r="I151" i="1"/>
  <c r="H151" i="1"/>
  <c r="G151" i="1"/>
  <c r="E151" i="1"/>
  <c r="D151" i="1"/>
  <c r="C151" i="1"/>
  <c r="B151" i="1"/>
  <c r="A151" i="1"/>
  <c r="N150" i="1"/>
  <c r="M150" i="1"/>
  <c r="I150" i="1"/>
  <c r="H150" i="1"/>
  <c r="G150" i="1"/>
  <c r="E150" i="1"/>
  <c r="D150" i="1"/>
  <c r="C150" i="1"/>
  <c r="B150" i="1"/>
  <c r="A150" i="1"/>
  <c r="N149" i="1"/>
  <c r="M149" i="1"/>
  <c r="I149" i="1"/>
  <c r="H149" i="1"/>
  <c r="G149" i="1"/>
  <c r="E149" i="1"/>
  <c r="D149" i="1"/>
  <c r="C149" i="1"/>
  <c r="B149" i="1"/>
  <c r="A149" i="1"/>
  <c r="N148" i="1"/>
  <c r="M148" i="1"/>
  <c r="L148" i="1"/>
  <c r="I148" i="1"/>
  <c r="H148" i="1"/>
  <c r="G148" i="1"/>
  <c r="F148" i="1"/>
  <c r="E148" i="1"/>
  <c r="J148" i="1" s="1"/>
  <c r="D148" i="1"/>
  <c r="C148" i="1"/>
  <c r="B148" i="1"/>
  <c r="A148" i="1"/>
  <c r="N147" i="1"/>
  <c r="M147" i="1"/>
  <c r="I147" i="1"/>
  <c r="H147" i="1"/>
  <c r="G147" i="1"/>
  <c r="E147" i="1"/>
  <c r="D147" i="1"/>
  <c r="C147" i="1"/>
  <c r="B147" i="1"/>
  <c r="A147" i="1"/>
  <c r="N146" i="1"/>
  <c r="M146" i="1"/>
  <c r="L146" i="1"/>
  <c r="K146" i="1"/>
  <c r="I146" i="1"/>
  <c r="J146" i="1" s="1"/>
  <c r="H146" i="1"/>
  <c r="G146" i="1"/>
  <c r="F146" i="1"/>
  <c r="E146" i="1"/>
  <c r="D146" i="1"/>
  <c r="C146" i="1"/>
  <c r="B146" i="1"/>
  <c r="A146" i="1"/>
  <c r="N145" i="1"/>
  <c r="M145" i="1"/>
  <c r="I145" i="1"/>
  <c r="H145" i="1"/>
  <c r="G145" i="1"/>
  <c r="E145" i="1"/>
  <c r="D145" i="1"/>
  <c r="C145" i="1"/>
  <c r="B145" i="1"/>
  <c r="A145" i="1"/>
  <c r="N144" i="1"/>
  <c r="M144" i="1"/>
  <c r="K144" i="1"/>
  <c r="J144" i="1"/>
  <c r="I144" i="1"/>
  <c r="H144" i="1"/>
  <c r="G144" i="1"/>
  <c r="F144" i="1"/>
  <c r="E144" i="1"/>
  <c r="L144" i="1" s="1"/>
  <c r="D144" i="1"/>
  <c r="C144" i="1"/>
  <c r="B144" i="1"/>
  <c r="A144" i="1"/>
  <c r="N143" i="1"/>
  <c r="M143" i="1"/>
  <c r="L143" i="1"/>
  <c r="K143" i="1"/>
  <c r="I143" i="1"/>
  <c r="J143" i="1" s="1"/>
  <c r="H143" i="1"/>
  <c r="G143" i="1"/>
  <c r="F143" i="1"/>
  <c r="E143" i="1"/>
  <c r="D143" i="1"/>
  <c r="C143" i="1"/>
  <c r="B143" i="1"/>
  <c r="A143" i="1"/>
  <c r="N142" i="1"/>
  <c r="M142" i="1"/>
  <c r="K142" i="1"/>
  <c r="J142" i="1"/>
  <c r="I142" i="1"/>
  <c r="H142" i="1"/>
  <c r="G142" i="1"/>
  <c r="E142" i="1"/>
  <c r="F142" i="1" s="1"/>
  <c r="D142" i="1"/>
  <c r="C142" i="1"/>
  <c r="B142" i="1"/>
  <c r="A142" i="1"/>
  <c r="N141" i="1"/>
  <c r="M141" i="1"/>
  <c r="L141" i="1"/>
  <c r="K141" i="1"/>
  <c r="I141" i="1"/>
  <c r="H141" i="1"/>
  <c r="G141" i="1"/>
  <c r="E141" i="1"/>
  <c r="F141" i="1" s="1"/>
  <c r="D141" i="1"/>
  <c r="C141" i="1"/>
  <c r="B141" i="1"/>
  <c r="A141" i="1"/>
  <c r="N140" i="1"/>
  <c r="M140" i="1"/>
  <c r="L140" i="1"/>
  <c r="I140" i="1"/>
  <c r="H140" i="1"/>
  <c r="G140" i="1"/>
  <c r="E140" i="1"/>
  <c r="J140" i="1" s="1"/>
  <c r="D140" i="1"/>
  <c r="C140" i="1"/>
  <c r="B140" i="1"/>
  <c r="A140" i="1"/>
  <c r="N139" i="1"/>
  <c r="M139" i="1"/>
  <c r="I139" i="1"/>
  <c r="H139" i="1"/>
  <c r="G139" i="1"/>
  <c r="F139" i="1"/>
  <c r="E139" i="1"/>
  <c r="D139" i="1"/>
  <c r="C139" i="1"/>
  <c r="B139" i="1"/>
  <c r="A139" i="1"/>
  <c r="N138" i="1"/>
  <c r="M138" i="1"/>
  <c r="J138" i="1"/>
  <c r="I138" i="1"/>
  <c r="H138" i="1"/>
  <c r="G138" i="1"/>
  <c r="F138" i="1"/>
  <c r="E138" i="1"/>
  <c r="D138" i="1"/>
  <c r="C138" i="1"/>
  <c r="B138" i="1"/>
  <c r="A138" i="1"/>
  <c r="N137" i="1"/>
  <c r="M137" i="1"/>
  <c r="L137" i="1"/>
  <c r="I137" i="1"/>
  <c r="H137" i="1"/>
  <c r="G137" i="1"/>
  <c r="E137" i="1"/>
  <c r="D137" i="1"/>
  <c r="C137" i="1"/>
  <c r="B137" i="1"/>
  <c r="A137" i="1"/>
  <c r="N136" i="1"/>
  <c r="M136" i="1"/>
  <c r="I136" i="1"/>
  <c r="H136" i="1"/>
  <c r="G136" i="1"/>
  <c r="E136" i="1"/>
  <c r="F136" i="1" s="1"/>
  <c r="D136" i="1"/>
  <c r="C136" i="1"/>
  <c r="B136" i="1"/>
  <c r="A136" i="1"/>
  <c r="N135" i="1"/>
  <c r="M135" i="1"/>
  <c r="L135" i="1"/>
  <c r="K135" i="1"/>
  <c r="I135" i="1"/>
  <c r="J135" i="1" s="1"/>
  <c r="H135" i="1"/>
  <c r="G135" i="1"/>
  <c r="E135" i="1"/>
  <c r="F135" i="1" s="1"/>
  <c r="D135" i="1"/>
  <c r="C135" i="1"/>
  <c r="B135" i="1"/>
  <c r="A135" i="1"/>
  <c r="N134" i="1"/>
  <c r="M134" i="1"/>
  <c r="I134" i="1"/>
  <c r="H134" i="1"/>
  <c r="G134" i="1"/>
  <c r="E134" i="1"/>
  <c r="J134" i="1" s="1"/>
  <c r="D134" i="1"/>
  <c r="C134" i="1"/>
  <c r="B134" i="1"/>
  <c r="A134" i="1"/>
  <c r="N133" i="1"/>
  <c r="M133" i="1"/>
  <c r="I133" i="1"/>
  <c r="H133" i="1"/>
  <c r="G133" i="1"/>
  <c r="E133" i="1"/>
  <c r="D133" i="1"/>
  <c r="C133" i="1"/>
  <c r="B133" i="1"/>
  <c r="A133" i="1"/>
  <c r="N132" i="1"/>
  <c r="M132" i="1"/>
  <c r="K132" i="1"/>
  <c r="J132" i="1"/>
  <c r="I132" i="1"/>
  <c r="H132" i="1"/>
  <c r="G132" i="1"/>
  <c r="F132" i="1"/>
  <c r="E132" i="1"/>
  <c r="L132" i="1" s="1"/>
  <c r="D132" i="1"/>
  <c r="C132" i="1"/>
  <c r="B132" i="1"/>
  <c r="A132" i="1"/>
  <c r="N131" i="1"/>
  <c r="M131" i="1"/>
  <c r="L131" i="1"/>
  <c r="I131" i="1"/>
  <c r="H131" i="1"/>
  <c r="G131" i="1"/>
  <c r="F131" i="1"/>
  <c r="E131" i="1"/>
  <c r="D131" i="1"/>
  <c r="C131" i="1"/>
  <c r="B131" i="1"/>
  <c r="A131" i="1"/>
  <c r="N130" i="1"/>
  <c r="M130" i="1"/>
  <c r="K130" i="1"/>
  <c r="J130" i="1"/>
  <c r="I130" i="1"/>
  <c r="H130" i="1"/>
  <c r="G130" i="1"/>
  <c r="E130" i="1"/>
  <c r="L130" i="1" s="1"/>
  <c r="D130" i="1"/>
  <c r="C130" i="1"/>
  <c r="B130" i="1"/>
  <c r="A130" i="1"/>
  <c r="N129" i="1"/>
  <c r="M129" i="1"/>
  <c r="L129" i="1"/>
  <c r="K129" i="1"/>
  <c r="I129" i="1"/>
  <c r="J129" i="1" s="1"/>
  <c r="H129" i="1"/>
  <c r="G129" i="1"/>
  <c r="E129" i="1"/>
  <c r="F129" i="1" s="1"/>
  <c r="D129" i="1"/>
  <c r="C129" i="1"/>
  <c r="B129" i="1"/>
  <c r="A129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N127" i="1"/>
  <c r="M127" i="1"/>
  <c r="L127" i="1"/>
  <c r="K127" i="1"/>
  <c r="I127" i="1"/>
  <c r="J127" i="1" s="1"/>
  <c r="H127" i="1"/>
  <c r="G127" i="1"/>
  <c r="E127" i="1"/>
  <c r="F127" i="1" s="1"/>
  <c r="D127" i="1"/>
  <c r="C127" i="1"/>
  <c r="B127" i="1"/>
  <c r="A127" i="1"/>
  <c r="N126" i="1"/>
  <c r="M126" i="1"/>
  <c r="I126" i="1"/>
  <c r="H126" i="1"/>
  <c r="G126" i="1"/>
  <c r="E126" i="1"/>
  <c r="D126" i="1"/>
  <c r="C126" i="1"/>
  <c r="B126" i="1"/>
  <c r="A126" i="1"/>
  <c r="N125" i="1"/>
  <c r="M125" i="1"/>
  <c r="I125" i="1"/>
  <c r="H125" i="1"/>
  <c r="G125" i="1"/>
  <c r="F125" i="1"/>
  <c r="E125" i="1"/>
  <c r="D125" i="1"/>
  <c r="C125" i="1"/>
  <c r="B125" i="1"/>
  <c r="A125" i="1"/>
  <c r="N124" i="1"/>
  <c r="M124" i="1"/>
  <c r="I124" i="1"/>
  <c r="H124" i="1"/>
  <c r="G124" i="1"/>
  <c r="E124" i="1"/>
  <c r="D124" i="1"/>
  <c r="C124" i="1"/>
  <c r="B124" i="1"/>
  <c r="A124" i="1"/>
  <c r="N123" i="1"/>
  <c r="M123" i="1"/>
  <c r="I123" i="1"/>
  <c r="H123" i="1"/>
  <c r="G123" i="1"/>
  <c r="E123" i="1"/>
  <c r="D123" i="1"/>
  <c r="C123" i="1"/>
  <c r="B123" i="1"/>
  <c r="A123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N121" i="1"/>
  <c r="M121" i="1"/>
  <c r="L121" i="1"/>
  <c r="K121" i="1"/>
  <c r="I121" i="1"/>
  <c r="J121" i="1" s="1"/>
  <c r="H121" i="1"/>
  <c r="G121" i="1"/>
  <c r="E121" i="1"/>
  <c r="F121" i="1" s="1"/>
  <c r="D121" i="1"/>
  <c r="C121" i="1"/>
  <c r="B121" i="1"/>
  <c r="A121" i="1"/>
  <c r="N120" i="1"/>
  <c r="M120" i="1"/>
  <c r="L120" i="1"/>
  <c r="I120" i="1"/>
  <c r="J120" i="1" s="1"/>
  <c r="H120" i="1"/>
  <c r="G120" i="1"/>
  <c r="E120" i="1"/>
  <c r="F120" i="1" s="1"/>
  <c r="D120" i="1"/>
  <c r="C120" i="1"/>
  <c r="B120" i="1"/>
  <c r="A120" i="1"/>
  <c r="N119" i="1"/>
  <c r="M119" i="1"/>
  <c r="L119" i="1"/>
  <c r="K119" i="1"/>
  <c r="I119" i="1"/>
  <c r="H119" i="1"/>
  <c r="G119" i="1"/>
  <c r="F119" i="1"/>
  <c r="E119" i="1"/>
  <c r="J119" i="1" s="1"/>
  <c r="D119" i="1"/>
  <c r="C119" i="1"/>
  <c r="B119" i="1"/>
  <c r="A119" i="1"/>
  <c r="N118" i="1"/>
  <c r="M118" i="1"/>
  <c r="J118" i="1"/>
  <c r="I118" i="1"/>
  <c r="H118" i="1"/>
  <c r="G118" i="1"/>
  <c r="F118" i="1"/>
  <c r="E118" i="1"/>
  <c r="D118" i="1"/>
  <c r="C118" i="1"/>
  <c r="B118" i="1"/>
  <c r="A118" i="1"/>
  <c r="N117" i="1"/>
  <c r="M117" i="1"/>
  <c r="I117" i="1"/>
  <c r="H117" i="1"/>
  <c r="G117" i="1"/>
  <c r="E117" i="1"/>
  <c r="D117" i="1"/>
  <c r="C117" i="1"/>
  <c r="B117" i="1"/>
  <c r="A117" i="1"/>
  <c r="N116" i="1"/>
  <c r="M116" i="1"/>
  <c r="I116" i="1"/>
  <c r="H116" i="1"/>
  <c r="G116" i="1"/>
  <c r="E116" i="1"/>
  <c r="F116" i="1" s="1"/>
  <c r="D116" i="1"/>
  <c r="C116" i="1"/>
  <c r="B116" i="1"/>
  <c r="A116" i="1"/>
  <c r="N115" i="1"/>
  <c r="M115" i="1"/>
  <c r="L115" i="1"/>
  <c r="K115" i="1"/>
  <c r="I115" i="1"/>
  <c r="J115" i="1" s="1"/>
  <c r="H115" i="1"/>
  <c r="G115" i="1"/>
  <c r="E115" i="1"/>
  <c r="F115" i="1" s="1"/>
  <c r="D115" i="1"/>
  <c r="C115" i="1"/>
  <c r="B115" i="1"/>
  <c r="A115" i="1"/>
  <c r="N114" i="1"/>
  <c r="M114" i="1"/>
  <c r="I114" i="1"/>
  <c r="H114" i="1"/>
  <c r="G114" i="1"/>
  <c r="E114" i="1"/>
  <c r="D114" i="1"/>
  <c r="C114" i="1"/>
  <c r="B114" i="1"/>
  <c r="A114" i="1"/>
  <c r="N113" i="1"/>
  <c r="M113" i="1"/>
  <c r="L113" i="1"/>
  <c r="K113" i="1"/>
  <c r="I113" i="1"/>
  <c r="H113" i="1"/>
  <c r="G113" i="1"/>
  <c r="F113" i="1"/>
  <c r="E113" i="1"/>
  <c r="J113" i="1" s="1"/>
  <c r="D113" i="1"/>
  <c r="C113" i="1"/>
  <c r="B113" i="1"/>
  <c r="A113" i="1"/>
  <c r="N112" i="1"/>
  <c r="M112" i="1"/>
  <c r="J112" i="1"/>
  <c r="I112" i="1"/>
  <c r="H112" i="1"/>
  <c r="G112" i="1"/>
  <c r="F112" i="1"/>
  <c r="E112" i="1"/>
  <c r="D112" i="1"/>
  <c r="C112" i="1"/>
  <c r="B112" i="1"/>
  <c r="A112" i="1"/>
  <c r="N111" i="1"/>
  <c r="M111" i="1"/>
  <c r="L111" i="1"/>
  <c r="K111" i="1"/>
  <c r="I111" i="1"/>
  <c r="J111" i="1" s="1"/>
  <c r="H111" i="1"/>
  <c r="G111" i="1"/>
  <c r="E111" i="1"/>
  <c r="F111" i="1" s="1"/>
  <c r="D111" i="1"/>
  <c r="C111" i="1"/>
  <c r="B111" i="1"/>
  <c r="A111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N109" i="1"/>
  <c r="M109" i="1"/>
  <c r="L109" i="1"/>
  <c r="K109" i="1"/>
  <c r="I109" i="1"/>
  <c r="J109" i="1" s="1"/>
  <c r="H109" i="1"/>
  <c r="G109" i="1"/>
  <c r="E109" i="1"/>
  <c r="F109" i="1" s="1"/>
  <c r="D109" i="1"/>
  <c r="C109" i="1"/>
  <c r="B109" i="1"/>
  <c r="A109" i="1"/>
  <c r="N108" i="1"/>
  <c r="M108" i="1"/>
  <c r="I108" i="1"/>
  <c r="H108" i="1"/>
  <c r="G108" i="1"/>
  <c r="F108" i="1"/>
  <c r="E108" i="1"/>
  <c r="D108" i="1"/>
  <c r="C108" i="1"/>
  <c r="B108" i="1"/>
  <c r="A108" i="1"/>
  <c r="N107" i="1"/>
  <c r="M107" i="1"/>
  <c r="I107" i="1"/>
  <c r="H107" i="1"/>
  <c r="G107" i="1"/>
  <c r="E107" i="1"/>
  <c r="D107" i="1"/>
  <c r="C107" i="1"/>
  <c r="B107" i="1"/>
  <c r="A107" i="1"/>
  <c r="N106" i="1"/>
  <c r="M106" i="1"/>
  <c r="I106" i="1"/>
  <c r="H106" i="1"/>
  <c r="G106" i="1"/>
  <c r="E106" i="1"/>
  <c r="D106" i="1"/>
  <c r="C106" i="1"/>
  <c r="B106" i="1"/>
  <c r="A106" i="1"/>
  <c r="N105" i="1"/>
  <c r="M105" i="1"/>
  <c r="I105" i="1"/>
  <c r="H105" i="1"/>
  <c r="G105" i="1"/>
  <c r="E105" i="1"/>
  <c r="D105" i="1"/>
  <c r="C105" i="1"/>
  <c r="B105" i="1"/>
  <c r="A105" i="1"/>
  <c r="N104" i="1"/>
  <c r="M104" i="1"/>
  <c r="L104" i="1"/>
  <c r="K104" i="1"/>
  <c r="I104" i="1"/>
  <c r="J104" i="1" s="1"/>
  <c r="H104" i="1"/>
  <c r="G104" i="1"/>
  <c r="F104" i="1"/>
  <c r="E104" i="1"/>
  <c r="D104" i="1"/>
  <c r="C104" i="1"/>
  <c r="B104" i="1"/>
  <c r="A104" i="1"/>
  <c r="N103" i="1"/>
  <c r="M103" i="1"/>
  <c r="L103" i="1"/>
  <c r="K103" i="1"/>
  <c r="I103" i="1"/>
  <c r="J103" i="1" s="1"/>
  <c r="H103" i="1"/>
  <c r="G103" i="1"/>
  <c r="E103" i="1"/>
  <c r="F103" i="1" s="1"/>
  <c r="D103" i="1"/>
  <c r="C103" i="1"/>
  <c r="B103" i="1"/>
  <c r="A103" i="1"/>
  <c r="N102" i="1"/>
  <c r="M102" i="1"/>
  <c r="L102" i="1"/>
  <c r="J102" i="1"/>
  <c r="I102" i="1"/>
  <c r="H102" i="1"/>
  <c r="G102" i="1"/>
  <c r="E102" i="1"/>
  <c r="F102" i="1" s="1"/>
  <c r="D102" i="1"/>
  <c r="C102" i="1"/>
  <c r="B102" i="1"/>
  <c r="A102" i="1"/>
  <c r="N101" i="1"/>
  <c r="M101" i="1"/>
  <c r="L101" i="1"/>
  <c r="K101" i="1"/>
  <c r="I101" i="1"/>
  <c r="H101" i="1"/>
  <c r="G101" i="1"/>
  <c r="F101" i="1"/>
  <c r="E101" i="1"/>
  <c r="J101" i="1" s="1"/>
  <c r="D101" i="1"/>
  <c r="C101" i="1"/>
  <c r="B101" i="1"/>
  <c r="A101" i="1"/>
  <c r="N100" i="1"/>
  <c r="M100" i="1"/>
  <c r="J100" i="1"/>
  <c r="I100" i="1"/>
  <c r="H100" i="1"/>
  <c r="G100" i="1"/>
  <c r="F100" i="1"/>
  <c r="E100" i="1"/>
  <c r="D100" i="1"/>
  <c r="C100" i="1"/>
  <c r="B100" i="1"/>
  <c r="A100" i="1"/>
  <c r="N99" i="1"/>
  <c r="M99" i="1"/>
  <c r="I99" i="1"/>
  <c r="H99" i="1"/>
  <c r="G99" i="1"/>
  <c r="E99" i="1"/>
  <c r="L99" i="1" s="1"/>
  <c r="D99" i="1"/>
  <c r="C99" i="1"/>
  <c r="B99" i="1"/>
  <c r="A99" i="1"/>
  <c r="N98" i="1"/>
  <c r="M98" i="1"/>
  <c r="I98" i="1"/>
  <c r="H98" i="1"/>
  <c r="G98" i="1"/>
  <c r="E98" i="1"/>
  <c r="D98" i="1"/>
  <c r="C98" i="1"/>
  <c r="B98" i="1"/>
  <c r="A98" i="1"/>
  <c r="N97" i="1"/>
  <c r="M97" i="1"/>
  <c r="L97" i="1"/>
  <c r="K97" i="1"/>
  <c r="I97" i="1"/>
  <c r="J97" i="1" s="1"/>
  <c r="H97" i="1"/>
  <c r="G97" i="1"/>
  <c r="E97" i="1"/>
  <c r="F97" i="1" s="1"/>
  <c r="D97" i="1"/>
  <c r="C97" i="1"/>
  <c r="B97" i="1"/>
  <c r="A97" i="1"/>
  <c r="N96" i="1"/>
  <c r="M96" i="1"/>
  <c r="I96" i="1"/>
  <c r="H96" i="1"/>
  <c r="G96" i="1"/>
  <c r="E96" i="1"/>
  <c r="D96" i="1"/>
  <c r="C96" i="1"/>
  <c r="B96" i="1"/>
  <c r="A96" i="1"/>
  <c r="N95" i="1"/>
  <c r="M95" i="1"/>
  <c r="L95" i="1"/>
  <c r="K95" i="1"/>
  <c r="I95" i="1"/>
  <c r="H95" i="1"/>
  <c r="G95" i="1"/>
  <c r="F95" i="1"/>
  <c r="E95" i="1"/>
  <c r="J95" i="1" s="1"/>
  <c r="D95" i="1"/>
  <c r="C95" i="1"/>
  <c r="B95" i="1"/>
  <c r="A95" i="1"/>
  <c r="N94" i="1"/>
  <c r="M94" i="1"/>
  <c r="I94" i="1"/>
  <c r="J94" i="1" s="1"/>
  <c r="H94" i="1"/>
  <c r="G94" i="1"/>
  <c r="F94" i="1"/>
  <c r="E94" i="1"/>
  <c r="D94" i="1"/>
  <c r="C94" i="1"/>
  <c r="B94" i="1"/>
  <c r="A94" i="1"/>
  <c r="N93" i="1"/>
  <c r="M93" i="1"/>
  <c r="L93" i="1"/>
  <c r="K93" i="1"/>
  <c r="I93" i="1"/>
  <c r="J93" i="1" s="1"/>
  <c r="H93" i="1"/>
  <c r="G93" i="1"/>
  <c r="E93" i="1"/>
  <c r="F93" i="1" s="1"/>
  <c r="D93" i="1"/>
  <c r="C93" i="1"/>
  <c r="B93" i="1"/>
  <c r="A93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N91" i="1"/>
  <c r="M91" i="1"/>
  <c r="L91" i="1"/>
  <c r="K91" i="1"/>
  <c r="I91" i="1"/>
  <c r="J91" i="1" s="1"/>
  <c r="H91" i="1"/>
  <c r="G91" i="1"/>
  <c r="E91" i="1"/>
  <c r="F91" i="1" s="1"/>
  <c r="D91" i="1"/>
  <c r="C91" i="1"/>
  <c r="B91" i="1"/>
  <c r="A91" i="1"/>
  <c r="N90" i="1"/>
  <c r="M90" i="1"/>
  <c r="I90" i="1"/>
  <c r="H90" i="1"/>
  <c r="G90" i="1"/>
  <c r="E90" i="1"/>
  <c r="D90" i="1"/>
  <c r="C90" i="1"/>
  <c r="B90" i="1"/>
  <c r="A90" i="1"/>
  <c r="N89" i="1"/>
  <c r="M89" i="1"/>
  <c r="I89" i="1"/>
  <c r="H89" i="1"/>
  <c r="G89" i="1"/>
  <c r="E89" i="1"/>
  <c r="D89" i="1"/>
  <c r="C89" i="1"/>
  <c r="B89" i="1"/>
  <c r="A89" i="1"/>
  <c r="N88" i="1"/>
  <c r="M88" i="1"/>
  <c r="I88" i="1"/>
  <c r="H88" i="1"/>
  <c r="G88" i="1"/>
  <c r="E88" i="1"/>
  <c r="D88" i="1"/>
  <c r="C88" i="1"/>
  <c r="B88" i="1"/>
  <c r="A88" i="1"/>
  <c r="N87" i="1"/>
  <c r="M87" i="1"/>
  <c r="I87" i="1"/>
  <c r="H87" i="1"/>
  <c r="G87" i="1"/>
  <c r="E87" i="1"/>
  <c r="D87" i="1"/>
  <c r="C87" i="1"/>
  <c r="B87" i="1"/>
  <c r="A87" i="1"/>
  <c r="N86" i="1"/>
  <c r="M86" i="1"/>
  <c r="L86" i="1"/>
  <c r="K86" i="1"/>
  <c r="I86" i="1"/>
  <c r="J86" i="1" s="1"/>
  <c r="H86" i="1"/>
  <c r="G86" i="1"/>
  <c r="F86" i="1"/>
  <c r="E86" i="1"/>
  <c r="D86" i="1"/>
  <c r="C86" i="1"/>
  <c r="B86" i="1"/>
  <c r="A86" i="1"/>
  <c r="N85" i="1"/>
  <c r="M85" i="1"/>
  <c r="L85" i="1"/>
  <c r="K85" i="1"/>
  <c r="I85" i="1"/>
  <c r="J85" i="1" s="1"/>
  <c r="H85" i="1"/>
  <c r="G85" i="1"/>
  <c r="E85" i="1"/>
  <c r="F85" i="1" s="1"/>
  <c r="D85" i="1"/>
  <c r="C85" i="1"/>
  <c r="B85" i="1"/>
  <c r="A85" i="1"/>
  <c r="N84" i="1"/>
  <c r="M84" i="1"/>
  <c r="L84" i="1"/>
  <c r="I84" i="1"/>
  <c r="J84" i="1" s="1"/>
  <c r="H84" i="1"/>
  <c r="G84" i="1"/>
  <c r="E84" i="1"/>
  <c r="F84" i="1" s="1"/>
  <c r="D84" i="1"/>
  <c r="C84" i="1"/>
  <c r="B84" i="1"/>
  <c r="A84" i="1"/>
  <c r="N83" i="1"/>
  <c r="M83" i="1"/>
  <c r="L83" i="1"/>
  <c r="K83" i="1"/>
  <c r="I83" i="1"/>
  <c r="H83" i="1"/>
  <c r="G83" i="1"/>
  <c r="F83" i="1"/>
  <c r="E83" i="1"/>
  <c r="J83" i="1" s="1"/>
  <c r="D83" i="1"/>
  <c r="C83" i="1"/>
  <c r="B83" i="1"/>
  <c r="A83" i="1"/>
  <c r="N82" i="1"/>
  <c r="M82" i="1"/>
  <c r="J82" i="1"/>
  <c r="I82" i="1"/>
  <c r="H82" i="1"/>
  <c r="G82" i="1"/>
  <c r="F82" i="1"/>
  <c r="E82" i="1"/>
  <c r="D82" i="1"/>
  <c r="C82" i="1"/>
  <c r="B82" i="1"/>
  <c r="A82" i="1"/>
  <c r="N81" i="1"/>
  <c r="M81" i="1"/>
  <c r="I81" i="1"/>
  <c r="H81" i="1"/>
  <c r="G81" i="1"/>
  <c r="E81" i="1"/>
  <c r="D81" i="1"/>
  <c r="C81" i="1"/>
  <c r="B81" i="1"/>
  <c r="A81" i="1"/>
  <c r="N80" i="1"/>
  <c r="M80" i="1"/>
  <c r="I80" i="1"/>
  <c r="H80" i="1"/>
  <c r="G80" i="1"/>
  <c r="E80" i="1"/>
  <c r="D80" i="1"/>
  <c r="C80" i="1"/>
  <c r="B80" i="1"/>
  <c r="A80" i="1"/>
  <c r="N79" i="1"/>
  <c r="M79" i="1"/>
  <c r="L79" i="1"/>
  <c r="K79" i="1"/>
  <c r="I79" i="1"/>
  <c r="J79" i="1" s="1"/>
  <c r="H79" i="1"/>
  <c r="G79" i="1"/>
  <c r="E79" i="1"/>
  <c r="F79" i="1" s="1"/>
  <c r="D79" i="1"/>
  <c r="C79" i="1"/>
  <c r="B79" i="1"/>
  <c r="A79" i="1"/>
  <c r="N78" i="1"/>
  <c r="M78" i="1"/>
  <c r="I78" i="1"/>
  <c r="H78" i="1"/>
  <c r="G78" i="1"/>
  <c r="E78" i="1"/>
  <c r="D78" i="1"/>
  <c r="C78" i="1"/>
  <c r="B78" i="1"/>
  <c r="A78" i="1"/>
  <c r="N77" i="1"/>
  <c r="M77" i="1"/>
  <c r="L77" i="1"/>
  <c r="K77" i="1"/>
  <c r="I77" i="1"/>
  <c r="H77" i="1"/>
  <c r="G77" i="1"/>
  <c r="F77" i="1"/>
  <c r="E77" i="1"/>
  <c r="J77" i="1" s="1"/>
  <c r="D77" i="1"/>
  <c r="C77" i="1"/>
  <c r="B77" i="1"/>
  <c r="A77" i="1"/>
  <c r="N76" i="1"/>
  <c r="M76" i="1"/>
  <c r="I76" i="1"/>
  <c r="J76" i="1" s="1"/>
  <c r="H76" i="1"/>
  <c r="G76" i="1"/>
  <c r="F76" i="1"/>
  <c r="E76" i="1"/>
  <c r="D76" i="1"/>
  <c r="C76" i="1"/>
  <c r="B76" i="1"/>
  <c r="A76" i="1"/>
  <c r="N75" i="1"/>
  <c r="M75" i="1"/>
  <c r="L75" i="1"/>
  <c r="K75" i="1"/>
  <c r="I75" i="1"/>
  <c r="J75" i="1" s="1"/>
  <c r="H75" i="1"/>
  <c r="G75" i="1"/>
  <c r="E75" i="1"/>
  <c r="F75" i="1" s="1"/>
  <c r="D75" i="1"/>
  <c r="C75" i="1"/>
  <c r="B75" i="1"/>
  <c r="A75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N73" i="1"/>
  <c r="M73" i="1"/>
  <c r="L73" i="1"/>
  <c r="K73" i="1"/>
  <c r="I73" i="1"/>
  <c r="J73" i="1" s="1"/>
  <c r="H73" i="1"/>
  <c r="G73" i="1"/>
  <c r="E73" i="1"/>
  <c r="F73" i="1" s="1"/>
  <c r="D73" i="1"/>
  <c r="C73" i="1"/>
  <c r="B73" i="1"/>
  <c r="A73" i="1"/>
  <c r="N72" i="1"/>
  <c r="M72" i="1"/>
  <c r="I72" i="1"/>
  <c r="H72" i="1"/>
  <c r="G72" i="1"/>
  <c r="E72" i="1"/>
  <c r="D72" i="1"/>
  <c r="C72" i="1"/>
  <c r="B72" i="1"/>
  <c r="A72" i="1"/>
  <c r="N71" i="1"/>
  <c r="M71" i="1"/>
  <c r="I71" i="1"/>
  <c r="H71" i="1"/>
  <c r="G71" i="1"/>
  <c r="E71" i="1"/>
  <c r="D71" i="1"/>
  <c r="C71" i="1"/>
  <c r="B71" i="1"/>
  <c r="A71" i="1"/>
  <c r="N70" i="1"/>
  <c r="M70" i="1"/>
  <c r="I70" i="1"/>
  <c r="H70" i="1"/>
  <c r="G70" i="1"/>
  <c r="E70" i="1"/>
  <c r="D70" i="1"/>
  <c r="C70" i="1"/>
  <c r="B70" i="1"/>
  <c r="A70" i="1"/>
  <c r="N69" i="1"/>
  <c r="M69" i="1"/>
  <c r="I69" i="1"/>
  <c r="H69" i="1"/>
  <c r="G69" i="1"/>
  <c r="E69" i="1"/>
  <c r="D69" i="1"/>
  <c r="C69" i="1"/>
  <c r="B69" i="1"/>
  <c r="A69" i="1"/>
  <c r="N68" i="1"/>
  <c r="M68" i="1"/>
  <c r="L68" i="1"/>
  <c r="K68" i="1"/>
  <c r="I68" i="1"/>
  <c r="J68" i="1" s="1"/>
  <c r="H68" i="1"/>
  <c r="G68" i="1"/>
  <c r="F68" i="1"/>
  <c r="E68" i="1"/>
  <c r="D68" i="1"/>
  <c r="C68" i="1"/>
  <c r="B68" i="1"/>
  <c r="A68" i="1"/>
  <c r="N67" i="1"/>
  <c r="M67" i="1"/>
  <c r="L67" i="1"/>
  <c r="K67" i="1"/>
  <c r="I67" i="1"/>
  <c r="J67" i="1" s="1"/>
  <c r="H67" i="1"/>
  <c r="G67" i="1"/>
  <c r="E67" i="1"/>
  <c r="F67" i="1" s="1"/>
  <c r="D67" i="1"/>
  <c r="C67" i="1"/>
  <c r="B67" i="1"/>
  <c r="A67" i="1"/>
  <c r="N66" i="1"/>
  <c r="M66" i="1"/>
  <c r="L66" i="1"/>
  <c r="I66" i="1"/>
  <c r="J66" i="1" s="1"/>
  <c r="H66" i="1"/>
  <c r="G66" i="1"/>
  <c r="E66" i="1"/>
  <c r="F66" i="1" s="1"/>
  <c r="D66" i="1"/>
  <c r="C66" i="1"/>
  <c r="B66" i="1"/>
  <c r="A66" i="1"/>
  <c r="N65" i="1"/>
  <c r="M65" i="1"/>
  <c r="L65" i="1"/>
  <c r="K65" i="1"/>
  <c r="I65" i="1"/>
  <c r="H65" i="1"/>
  <c r="G65" i="1"/>
  <c r="F65" i="1"/>
  <c r="E65" i="1"/>
  <c r="J65" i="1" s="1"/>
  <c r="D65" i="1"/>
  <c r="C65" i="1"/>
  <c r="B65" i="1"/>
  <c r="A65" i="1"/>
  <c r="N64" i="1"/>
  <c r="M64" i="1"/>
  <c r="K64" i="1"/>
  <c r="I64" i="1"/>
  <c r="H64" i="1"/>
  <c r="G64" i="1"/>
  <c r="E64" i="1"/>
  <c r="L64" i="1" s="1"/>
  <c r="D64" i="1"/>
  <c r="C64" i="1"/>
  <c r="B64" i="1"/>
  <c r="A64" i="1"/>
  <c r="N63" i="1"/>
  <c r="M63" i="1"/>
  <c r="I63" i="1"/>
  <c r="H63" i="1"/>
  <c r="G63" i="1"/>
  <c r="F63" i="1"/>
  <c r="E63" i="1"/>
  <c r="D63" i="1"/>
  <c r="C63" i="1"/>
  <c r="B63" i="1"/>
  <c r="A63" i="1"/>
  <c r="N62" i="1"/>
  <c r="M62" i="1"/>
  <c r="K62" i="1"/>
  <c r="I62" i="1"/>
  <c r="H62" i="1"/>
  <c r="G62" i="1"/>
  <c r="F62" i="1"/>
  <c r="E62" i="1"/>
  <c r="L62" i="1" s="1"/>
  <c r="D62" i="1"/>
  <c r="C62" i="1"/>
  <c r="B62" i="1"/>
  <c r="A62" i="1"/>
  <c r="N61" i="1"/>
  <c r="M61" i="1"/>
  <c r="J61" i="1"/>
  <c r="I61" i="1"/>
  <c r="H61" i="1"/>
  <c r="G61" i="1"/>
  <c r="E61" i="1"/>
  <c r="D61" i="1"/>
  <c r="C61" i="1"/>
  <c r="B61" i="1"/>
  <c r="A61" i="1"/>
  <c r="N60" i="1"/>
  <c r="M60" i="1"/>
  <c r="L60" i="1"/>
  <c r="K60" i="1"/>
  <c r="I60" i="1"/>
  <c r="J60" i="1" s="1"/>
  <c r="H60" i="1"/>
  <c r="G60" i="1"/>
  <c r="F60" i="1"/>
  <c r="E60" i="1"/>
  <c r="D60" i="1"/>
  <c r="C60" i="1"/>
  <c r="B60" i="1"/>
  <c r="A60" i="1"/>
  <c r="N59" i="1"/>
  <c r="M59" i="1"/>
  <c r="L59" i="1"/>
  <c r="K59" i="1"/>
  <c r="I59" i="1"/>
  <c r="H59" i="1"/>
  <c r="G59" i="1"/>
  <c r="F59" i="1"/>
  <c r="E59" i="1"/>
  <c r="D59" i="1"/>
  <c r="C59" i="1"/>
  <c r="B59" i="1"/>
  <c r="A59" i="1"/>
  <c r="N58" i="1"/>
  <c r="M58" i="1"/>
  <c r="K58" i="1"/>
  <c r="I58" i="1"/>
  <c r="J58" i="1" s="1"/>
  <c r="H58" i="1"/>
  <c r="G58" i="1"/>
  <c r="E58" i="1"/>
  <c r="L58" i="1" s="1"/>
  <c r="D58" i="1"/>
  <c r="C58" i="1"/>
  <c r="B58" i="1"/>
  <c r="A58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N56" i="1"/>
  <c r="M56" i="1"/>
  <c r="I56" i="1"/>
  <c r="H56" i="1"/>
  <c r="G56" i="1"/>
  <c r="E56" i="1"/>
  <c r="D56" i="1"/>
  <c r="C56" i="1"/>
  <c r="B56" i="1"/>
  <c r="A56" i="1"/>
  <c r="N55" i="1"/>
  <c r="M55" i="1"/>
  <c r="I55" i="1"/>
  <c r="H55" i="1"/>
  <c r="G55" i="1"/>
  <c r="E55" i="1"/>
  <c r="D55" i="1"/>
  <c r="C55" i="1"/>
  <c r="B55" i="1"/>
  <c r="A55" i="1"/>
  <c r="N54" i="1"/>
  <c r="M54" i="1"/>
  <c r="K54" i="1"/>
  <c r="I54" i="1"/>
  <c r="H54" i="1"/>
  <c r="G54" i="1"/>
  <c r="F54" i="1"/>
  <c r="E54" i="1"/>
  <c r="L54" i="1" s="1"/>
  <c r="D54" i="1"/>
  <c r="C54" i="1"/>
  <c r="B54" i="1"/>
  <c r="A54" i="1"/>
  <c r="N53" i="1"/>
  <c r="M53" i="1"/>
  <c r="I53" i="1"/>
  <c r="H53" i="1"/>
  <c r="G53" i="1"/>
  <c r="E53" i="1"/>
  <c r="D53" i="1"/>
  <c r="C53" i="1"/>
  <c r="B53" i="1"/>
  <c r="A53" i="1"/>
  <c r="N52" i="1"/>
  <c r="M52" i="1"/>
  <c r="I52" i="1"/>
  <c r="H52" i="1"/>
  <c r="G52" i="1"/>
  <c r="E52" i="1"/>
  <c r="J52" i="1" s="1"/>
  <c r="D52" i="1"/>
  <c r="C52" i="1"/>
  <c r="B52" i="1"/>
  <c r="A52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N50" i="1"/>
  <c r="M50" i="1"/>
  <c r="L50" i="1"/>
  <c r="I50" i="1"/>
  <c r="J50" i="1" s="1"/>
  <c r="H50" i="1"/>
  <c r="G50" i="1"/>
  <c r="E50" i="1"/>
  <c r="F50" i="1" s="1"/>
  <c r="D50" i="1"/>
  <c r="C50" i="1"/>
  <c r="B50" i="1"/>
  <c r="A50" i="1"/>
  <c r="N49" i="1"/>
  <c r="M49" i="1"/>
  <c r="L49" i="1"/>
  <c r="K49" i="1"/>
  <c r="I49" i="1"/>
  <c r="H49" i="1"/>
  <c r="G49" i="1"/>
  <c r="E49" i="1"/>
  <c r="F49" i="1" s="1"/>
  <c r="D49" i="1"/>
  <c r="C49" i="1"/>
  <c r="B49" i="1"/>
  <c r="A49" i="1"/>
  <c r="N48" i="1"/>
  <c r="M48" i="1"/>
  <c r="L48" i="1"/>
  <c r="I48" i="1"/>
  <c r="H48" i="1"/>
  <c r="G48" i="1"/>
  <c r="E48" i="1"/>
  <c r="D48" i="1"/>
  <c r="C48" i="1"/>
  <c r="B48" i="1"/>
  <c r="A48" i="1"/>
  <c r="N47" i="1"/>
  <c r="M47" i="1"/>
  <c r="I47" i="1"/>
  <c r="H47" i="1"/>
  <c r="G47" i="1"/>
  <c r="E47" i="1"/>
  <c r="D47" i="1"/>
  <c r="C47" i="1"/>
  <c r="B47" i="1"/>
  <c r="A47" i="1"/>
  <c r="N46" i="1"/>
  <c r="M46" i="1"/>
  <c r="I46" i="1"/>
  <c r="H46" i="1"/>
  <c r="G46" i="1"/>
  <c r="E46" i="1"/>
  <c r="D46" i="1"/>
  <c r="C46" i="1"/>
  <c r="B46" i="1"/>
  <c r="A46" i="1"/>
  <c r="N45" i="1"/>
  <c r="M45" i="1"/>
  <c r="I45" i="1"/>
  <c r="H45" i="1"/>
  <c r="G45" i="1"/>
  <c r="E45" i="1"/>
  <c r="D45" i="1"/>
  <c r="C45" i="1"/>
  <c r="B45" i="1"/>
  <c r="A45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N43" i="1"/>
  <c r="M43" i="1"/>
  <c r="L43" i="1"/>
  <c r="K43" i="1"/>
  <c r="I43" i="1"/>
  <c r="J43" i="1" s="1"/>
  <c r="H43" i="1"/>
  <c r="G43" i="1"/>
  <c r="E43" i="1"/>
  <c r="F43" i="1" s="1"/>
  <c r="D43" i="1"/>
  <c r="C43" i="1"/>
  <c r="B43" i="1"/>
  <c r="A43" i="1"/>
  <c r="N42" i="1"/>
  <c r="M42" i="1"/>
  <c r="L42" i="1"/>
  <c r="K42" i="1"/>
  <c r="I42" i="1"/>
  <c r="J42" i="1" s="1"/>
  <c r="H42" i="1"/>
  <c r="G42" i="1"/>
  <c r="E42" i="1"/>
  <c r="F42" i="1" s="1"/>
  <c r="D42" i="1"/>
  <c r="C42" i="1"/>
  <c r="B42" i="1"/>
  <c r="A42" i="1"/>
  <c r="N41" i="1"/>
  <c r="M41" i="1"/>
  <c r="L41" i="1"/>
  <c r="K41" i="1"/>
  <c r="I41" i="1"/>
  <c r="H41" i="1"/>
  <c r="G41" i="1"/>
  <c r="F41" i="1"/>
  <c r="E41" i="1"/>
  <c r="J41" i="1" s="1"/>
  <c r="D41" i="1"/>
  <c r="C41" i="1"/>
  <c r="B41" i="1"/>
  <c r="A41" i="1"/>
  <c r="N40" i="1"/>
  <c r="M40" i="1"/>
  <c r="K40" i="1"/>
  <c r="I40" i="1"/>
  <c r="H40" i="1"/>
  <c r="G40" i="1"/>
  <c r="E40" i="1"/>
  <c r="L40" i="1" s="1"/>
  <c r="D40" i="1"/>
  <c r="C40" i="1"/>
  <c r="B40" i="1"/>
  <c r="A40" i="1"/>
  <c r="N39" i="1"/>
  <c r="M39" i="1"/>
  <c r="I39" i="1"/>
  <c r="H39" i="1"/>
  <c r="G39" i="1"/>
  <c r="E39" i="1"/>
  <c r="D39" i="1"/>
  <c r="C39" i="1"/>
  <c r="B39" i="1"/>
  <c r="A39" i="1"/>
  <c r="N38" i="1"/>
  <c r="M38" i="1"/>
  <c r="I38" i="1"/>
  <c r="H38" i="1"/>
  <c r="G38" i="1"/>
  <c r="F38" i="1"/>
  <c r="E38" i="1"/>
  <c r="K38" i="1" s="1"/>
  <c r="D38" i="1"/>
  <c r="C38" i="1"/>
  <c r="B38" i="1"/>
  <c r="A38" i="1"/>
  <c r="N37" i="1"/>
  <c r="M37" i="1"/>
  <c r="I37" i="1"/>
  <c r="J37" i="1" s="1"/>
  <c r="H37" i="1"/>
  <c r="G37" i="1"/>
  <c r="F37" i="1"/>
  <c r="E37" i="1"/>
  <c r="D37" i="1"/>
  <c r="C37" i="1"/>
  <c r="B37" i="1"/>
  <c r="A37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N35" i="1"/>
  <c r="M35" i="1"/>
  <c r="L35" i="1"/>
  <c r="K35" i="1"/>
  <c r="J35" i="1"/>
  <c r="I35" i="1"/>
  <c r="H35" i="1"/>
  <c r="G35" i="1"/>
  <c r="E35" i="1"/>
  <c r="F35" i="1" s="1"/>
  <c r="D35" i="1"/>
  <c r="C35" i="1"/>
  <c r="B35" i="1"/>
  <c r="A35" i="1"/>
  <c r="N34" i="1"/>
  <c r="M34" i="1"/>
  <c r="L34" i="1"/>
  <c r="K34" i="1"/>
  <c r="I34" i="1"/>
  <c r="H34" i="1"/>
  <c r="G34" i="1"/>
  <c r="E34" i="1"/>
  <c r="J34" i="1" s="1"/>
  <c r="D34" i="1"/>
  <c r="C34" i="1"/>
  <c r="B34" i="1"/>
  <c r="A34" i="1"/>
  <c r="N33" i="1"/>
  <c r="M33" i="1"/>
  <c r="I33" i="1"/>
  <c r="H33" i="1"/>
  <c r="G33" i="1"/>
  <c r="E33" i="1"/>
  <c r="D33" i="1"/>
  <c r="C33" i="1"/>
  <c r="B33" i="1"/>
  <c r="A33" i="1"/>
  <c r="N32" i="1"/>
  <c r="M32" i="1"/>
  <c r="I32" i="1"/>
  <c r="H32" i="1"/>
  <c r="G32" i="1"/>
  <c r="F32" i="1"/>
  <c r="E32" i="1"/>
  <c r="K32" i="1" s="1"/>
  <c r="D32" i="1"/>
  <c r="C32" i="1"/>
  <c r="B32" i="1"/>
  <c r="A32" i="1"/>
  <c r="N31" i="1"/>
  <c r="M31" i="1"/>
  <c r="J31" i="1"/>
  <c r="I31" i="1"/>
  <c r="H31" i="1"/>
  <c r="G31" i="1"/>
  <c r="E31" i="1"/>
  <c r="D31" i="1"/>
  <c r="C31" i="1"/>
  <c r="B31" i="1"/>
  <c r="A31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N29" i="1"/>
  <c r="M29" i="1"/>
  <c r="L29" i="1"/>
  <c r="K29" i="1"/>
  <c r="I29" i="1"/>
  <c r="J29" i="1" s="1"/>
  <c r="H29" i="1"/>
  <c r="G29" i="1"/>
  <c r="E29" i="1"/>
  <c r="F29" i="1" s="1"/>
  <c r="D29" i="1"/>
  <c r="C29" i="1"/>
  <c r="B29" i="1"/>
  <c r="A29" i="1"/>
  <c r="N28" i="1"/>
  <c r="M28" i="1"/>
  <c r="L28" i="1"/>
  <c r="K28" i="1"/>
  <c r="I28" i="1"/>
  <c r="H28" i="1"/>
  <c r="G28" i="1"/>
  <c r="E28" i="1"/>
  <c r="J28" i="1" s="1"/>
  <c r="D28" i="1"/>
  <c r="C28" i="1"/>
  <c r="B28" i="1"/>
  <c r="A28" i="1"/>
  <c r="N27" i="1"/>
  <c r="M27" i="1"/>
  <c r="I27" i="1"/>
  <c r="H27" i="1"/>
  <c r="G27" i="1"/>
  <c r="E27" i="1"/>
  <c r="D27" i="1"/>
  <c r="C27" i="1"/>
  <c r="B27" i="1"/>
  <c r="A27" i="1"/>
  <c r="N26" i="1"/>
  <c r="M26" i="1"/>
  <c r="I26" i="1"/>
  <c r="H26" i="1"/>
  <c r="G26" i="1"/>
  <c r="E26" i="1"/>
  <c r="D26" i="1"/>
  <c r="C26" i="1"/>
  <c r="B26" i="1"/>
  <c r="A26" i="1"/>
  <c r="N25" i="1"/>
  <c r="M25" i="1"/>
  <c r="I25" i="1"/>
  <c r="H25" i="1"/>
  <c r="G25" i="1"/>
  <c r="E25" i="1"/>
  <c r="J25" i="1" s="1"/>
  <c r="D25" i="1"/>
  <c r="C25" i="1"/>
  <c r="B25" i="1"/>
  <c r="A25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N23" i="1"/>
  <c r="M23" i="1"/>
  <c r="L23" i="1"/>
  <c r="K23" i="1"/>
  <c r="I23" i="1"/>
  <c r="J23" i="1" s="1"/>
  <c r="H23" i="1"/>
  <c r="G23" i="1"/>
  <c r="E23" i="1"/>
  <c r="F23" i="1" s="1"/>
  <c r="D23" i="1"/>
  <c r="C23" i="1"/>
  <c r="B23" i="1"/>
  <c r="A23" i="1"/>
  <c r="N22" i="1"/>
  <c r="M22" i="1"/>
  <c r="L22" i="1"/>
  <c r="K22" i="1"/>
  <c r="I22" i="1"/>
  <c r="H22" i="1"/>
  <c r="G22" i="1"/>
  <c r="E22" i="1"/>
  <c r="J22" i="1" s="1"/>
  <c r="D22" i="1"/>
  <c r="C22" i="1"/>
  <c r="B22" i="1"/>
  <c r="A22" i="1"/>
  <c r="N21" i="1"/>
  <c r="M21" i="1"/>
  <c r="I21" i="1"/>
  <c r="H21" i="1"/>
  <c r="G21" i="1"/>
  <c r="F21" i="1"/>
  <c r="E21" i="1"/>
  <c r="D21" i="1"/>
  <c r="C21" i="1"/>
  <c r="B21" i="1"/>
  <c r="A21" i="1"/>
  <c r="N20" i="1"/>
  <c r="M20" i="1"/>
  <c r="I20" i="1"/>
  <c r="H20" i="1"/>
  <c r="G20" i="1"/>
  <c r="E20" i="1"/>
  <c r="D20" i="1"/>
  <c r="C20" i="1"/>
  <c r="B20" i="1"/>
  <c r="A20" i="1"/>
  <c r="N19" i="1"/>
  <c r="M19" i="1"/>
  <c r="I19" i="1"/>
  <c r="H19" i="1"/>
  <c r="G19" i="1"/>
  <c r="E19" i="1"/>
  <c r="J19" i="1" s="1"/>
  <c r="D19" i="1"/>
  <c r="C19" i="1"/>
  <c r="B19" i="1"/>
  <c r="A19" i="1"/>
  <c r="N18" i="1"/>
  <c r="M18" i="1"/>
  <c r="L18" i="1"/>
  <c r="K18" i="1"/>
  <c r="I18" i="1"/>
  <c r="J18" i="1" s="1"/>
  <c r="H18" i="1"/>
  <c r="G18" i="1"/>
  <c r="F18" i="1"/>
  <c r="E18" i="1"/>
  <c r="D18" i="1"/>
  <c r="C18" i="1"/>
  <c r="B18" i="1"/>
  <c r="A18" i="1"/>
  <c r="N17" i="1"/>
  <c r="M17" i="1"/>
  <c r="L17" i="1"/>
  <c r="K17" i="1"/>
  <c r="I17" i="1"/>
  <c r="J17" i="1" s="1"/>
  <c r="H17" i="1"/>
  <c r="G17" i="1"/>
  <c r="E17" i="1"/>
  <c r="F17" i="1" s="1"/>
  <c r="D17" i="1"/>
  <c r="C17" i="1"/>
  <c r="B17" i="1"/>
  <c r="A17" i="1"/>
  <c r="N16" i="1"/>
  <c r="M16" i="1"/>
  <c r="L16" i="1"/>
  <c r="K16" i="1"/>
  <c r="I16" i="1"/>
  <c r="H16" i="1"/>
  <c r="G16" i="1"/>
  <c r="E16" i="1"/>
  <c r="J16" i="1" s="1"/>
  <c r="D16" i="1"/>
  <c r="C16" i="1"/>
  <c r="B16" i="1"/>
  <c r="A16" i="1"/>
  <c r="N15" i="1"/>
  <c r="M15" i="1"/>
  <c r="I15" i="1"/>
  <c r="H15" i="1"/>
  <c r="G15" i="1"/>
  <c r="E15" i="1"/>
  <c r="D15" i="1"/>
  <c r="C15" i="1"/>
  <c r="B15" i="1"/>
  <c r="A15" i="1"/>
  <c r="N14" i="1"/>
  <c r="M14" i="1"/>
  <c r="I14" i="1"/>
  <c r="H14" i="1"/>
  <c r="G14" i="1"/>
  <c r="F14" i="1"/>
  <c r="E14" i="1"/>
  <c r="D14" i="1"/>
  <c r="C14" i="1"/>
  <c r="B14" i="1"/>
  <c r="A14" i="1"/>
  <c r="N13" i="1"/>
  <c r="M13" i="1"/>
  <c r="J13" i="1"/>
  <c r="I13" i="1"/>
  <c r="H13" i="1"/>
  <c r="G13" i="1"/>
  <c r="F13" i="1"/>
  <c r="E13" i="1"/>
  <c r="D13" i="1"/>
  <c r="C13" i="1"/>
  <c r="B13" i="1"/>
  <c r="A13" i="1"/>
  <c r="N12" i="1"/>
  <c r="M12" i="1"/>
  <c r="L12" i="1"/>
  <c r="K12" i="1"/>
  <c r="I12" i="1"/>
  <c r="J12" i="1" s="1"/>
  <c r="H12" i="1"/>
  <c r="G12" i="1"/>
  <c r="F12" i="1"/>
  <c r="E12" i="1"/>
  <c r="D12" i="1"/>
  <c r="C12" i="1"/>
  <c r="B12" i="1"/>
  <c r="A12" i="1"/>
  <c r="N11" i="1"/>
  <c r="M11" i="1"/>
  <c r="L11" i="1"/>
  <c r="K11" i="1"/>
  <c r="J11" i="1"/>
  <c r="I11" i="1"/>
  <c r="H11" i="1"/>
  <c r="G11" i="1"/>
  <c r="E11" i="1"/>
  <c r="F11" i="1" s="1"/>
  <c r="D11" i="1"/>
  <c r="C11" i="1"/>
  <c r="B11" i="1"/>
  <c r="A11" i="1"/>
  <c r="N10" i="1"/>
  <c r="M10" i="1"/>
  <c r="L10" i="1"/>
  <c r="K10" i="1"/>
  <c r="I10" i="1"/>
  <c r="H10" i="1"/>
  <c r="G10" i="1"/>
  <c r="E10" i="1"/>
  <c r="J10" i="1" s="1"/>
  <c r="D10" i="1"/>
  <c r="C10" i="1"/>
  <c r="B10" i="1"/>
  <c r="A10" i="1"/>
  <c r="N9" i="1"/>
  <c r="M9" i="1"/>
  <c r="I9" i="1"/>
  <c r="H9" i="1"/>
  <c r="G9" i="1"/>
  <c r="E9" i="1"/>
  <c r="F9" i="1" s="1"/>
  <c r="D9" i="1"/>
  <c r="C9" i="1"/>
  <c r="B9" i="1"/>
  <c r="A9" i="1"/>
  <c r="N8" i="1"/>
  <c r="M8" i="1"/>
  <c r="I8" i="1"/>
  <c r="H8" i="1"/>
  <c r="G8" i="1"/>
  <c r="E8" i="1"/>
  <c r="D8" i="1"/>
  <c r="C8" i="1"/>
  <c r="B8" i="1"/>
  <c r="A8" i="1"/>
  <c r="N7" i="1"/>
  <c r="M7" i="1"/>
  <c r="I7" i="1"/>
  <c r="H7" i="1"/>
  <c r="G7" i="1"/>
  <c r="E7" i="1"/>
  <c r="D7" i="1"/>
  <c r="C7" i="1"/>
  <c r="B7" i="1"/>
  <c r="A7" i="1"/>
  <c r="N6" i="1"/>
  <c r="M6" i="1"/>
  <c r="L6" i="1"/>
  <c r="K6" i="1"/>
  <c r="I6" i="1"/>
  <c r="J6" i="1" s="1"/>
  <c r="H6" i="1"/>
  <c r="G6" i="1"/>
  <c r="F6" i="1"/>
  <c r="E6" i="1"/>
  <c r="D6" i="1"/>
  <c r="C6" i="1"/>
  <c r="B6" i="1"/>
  <c r="A6" i="1"/>
  <c r="N5" i="1"/>
  <c r="M5" i="1"/>
  <c r="L5" i="1"/>
  <c r="K5" i="1"/>
  <c r="I5" i="1"/>
  <c r="J5" i="1" s="1"/>
  <c r="H5" i="1"/>
  <c r="G5" i="1"/>
  <c r="E5" i="1"/>
  <c r="F5" i="1" s="1"/>
  <c r="D5" i="1"/>
  <c r="C5" i="1"/>
  <c r="B5" i="1"/>
  <c r="A5" i="1"/>
  <c r="N4" i="1"/>
  <c r="M4" i="1"/>
  <c r="L4" i="1"/>
  <c r="K4" i="1"/>
  <c r="I4" i="1"/>
  <c r="H4" i="1"/>
  <c r="G4" i="1"/>
  <c r="E4" i="1"/>
  <c r="J4" i="1" s="1"/>
  <c r="D4" i="1"/>
  <c r="C4" i="1"/>
  <c r="B4" i="1"/>
  <c r="A4" i="1"/>
  <c r="N3" i="1"/>
  <c r="M3" i="1"/>
  <c r="I3" i="1"/>
  <c r="H3" i="1"/>
  <c r="G3" i="1"/>
  <c r="E3" i="1"/>
  <c r="D3" i="1"/>
  <c r="C3" i="1"/>
  <c r="B3" i="1"/>
  <c r="A3" i="1"/>
  <c r="O2" i="1" a="1"/>
  <c r="O2" i="1" s="1"/>
  <c r="J107" i="1" l="1"/>
  <c r="L107" i="1"/>
  <c r="K107" i="1"/>
  <c r="L124" i="1"/>
  <c r="K124" i="1"/>
  <c r="J124" i="1"/>
  <c r="L72" i="1"/>
  <c r="K72" i="1"/>
  <c r="J72" i="1"/>
  <c r="L106" i="1"/>
  <c r="K106" i="1"/>
  <c r="J106" i="1"/>
  <c r="L45" i="1"/>
  <c r="J45" i="1"/>
  <c r="K45" i="1"/>
  <c r="F45" i="1"/>
  <c r="K149" i="1"/>
  <c r="J149" i="1"/>
  <c r="L149" i="1"/>
  <c r="J193" i="1"/>
  <c r="K193" i="1"/>
  <c r="L193" i="1"/>
  <c r="K274" i="1"/>
  <c r="J274" i="1"/>
  <c r="L274" i="1"/>
  <c r="F274" i="1"/>
  <c r="L126" i="1"/>
  <c r="K126" i="1"/>
  <c r="J126" i="1"/>
  <c r="J145" i="1"/>
  <c r="L145" i="1"/>
  <c r="F149" i="1"/>
  <c r="F193" i="1"/>
  <c r="K203" i="1"/>
  <c r="L203" i="1"/>
  <c r="J203" i="1"/>
  <c r="F203" i="1"/>
  <c r="F207" i="1"/>
  <c r="L207" i="1"/>
  <c r="K207" i="1"/>
  <c r="J207" i="1"/>
  <c r="J247" i="1"/>
  <c r="L247" i="1"/>
  <c r="K247" i="1"/>
  <c r="F247" i="1"/>
  <c r="F279" i="1"/>
  <c r="J279" i="1"/>
  <c r="L279" i="1"/>
  <c r="K279" i="1"/>
  <c r="L108" i="1"/>
  <c r="J108" i="1"/>
  <c r="K108" i="1"/>
  <c r="J125" i="1"/>
  <c r="K125" i="1"/>
  <c r="L125" i="1"/>
  <c r="F126" i="1"/>
  <c r="K137" i="1"/>
  <c r="F137" i="1"/>
  <c r="J137" i="1"/>
  <c r="F145" i="1"/>
  <c r="F147" i="1"/>
  <c r="L147" i="1"/>
  <c r="K147" i="1"/>
  <c r="J147" i="1"/>
  <c r="L192" i="1"/>
  <c r="K192" i="1"/>
  <c r="J192" i="1"/>
  <c r="F192" i="1"/>
  <c r="L90" i="1"/>
  <c r="K90" i="1"/>
  <c r="J90" i="1"/>
  <c r="K117" i="1"/>
  <c r="F117" i="1"/>
  <c r="J117" i="1"/>
  <c r="J89" i="1"/>
  <c r="L89" i="1"/>
  <c r="K89" i="1"/>
  <c r="K114" i="1"/>
  <c r="L114" i="1"/>
  <c r="F124" i="1"/>
  <c r="J133" i="1"/>
  <c r="L133" i="1"/>
  <c r="K191" i="1"/>
  <c r="L191" i="1"/>
  <c r="J191" i="1"/>
  <c r="F191" i="1"/>
  <c r="K56" i="1"/>
  <c r="J56" i="1"/>
  <c r="F56" i="1"/>
  <c r="J71" i="1"/>
  <c r="K71" i="1"/>
  <c r="L71" i="1"/>
  <c r="F72" i="1"/>
  <c r="K81" i="1"/>
  <c r="J81" i="1"/>
  <c r="F81" i="1"/>
  <c r="L88" i="1"/>
  <c r="K88" i="1"/>
  <c r="J88" i="1"/>
  <c r="F89" i="1"/>
  <c r="K96" i="1"/>
  <c r="L96" i="1"/>
  <c r="J98" i="1"/>
  <c r="L98" i="1"/>
  <c r="K98" i="1"/>
  <c r="F106" i="1"/>
  <c r="F114" i="1"/>
  <c r="L123" i="1"/>
  <c r="J123" i="1"/>
  <c r="K123" i="1"/>
  <c r="F123" i="1"/>
  <c r="F133" i="1"/>
  <c r="L174" i="1"/>
  <c r="K174" i="1"/>
  <c r="J174" i="1"/>
  <c r="F174" i="1"/>
  <c r="J190" i="1"/>
  <c r="L190" i="1"/>
  <c r="K190" i="1"/>
  <c r="F261" i="1"/>
  <c r="J261" i="1"/>
  <c r="L261" i="1"/>
  <c r="K261" i="1"/>
  <c r="K7" i="1"/>
  <c r="L7" i="1"/>
  <c r="L8" i="1"/>
  <c r="K8" i="1"/>
  <c r="J8" i="1"/>
  <c r="L15" i="1"/>
  <c r="J15" i="1"/>
  <c r="K15" i="1"/>
  <c r="L70" i="1"/>
  <c r="K70" i="1"/>
  <c r="J70" i="1"/>
  <c r="F71" i="1"/>
  <c r="K78" i="1"/>
  <c r="L78" i="1"/>
  <c r="J80" i="1"/>
  <c r="L80" i="1"/>
  <c r="K80" i="1"/>
  <c r="F88" i="1"/>
  <c r="F96" i="1"/>
  <c r="F98" i="1"/>
  <c r="L105" i="1"/>
  <c r="J105" i="1"/>
  <c r="K105" i="1"/>
  <c r="F105" i="1"/>
  <c r="K145" i="1"/>
  <c r="J166" i="1"/>
  <c r="L166" i="1"/>
  <c r="F166" i="1"/>
  <c r="K166" i="1"/>
  <c r="K179" i="1"/>
  <c r="L179" i="1"/>
  <c r="J179" i="1"/>
  <c r="F179" i="1"/>
  <c r="F190" i="1"/>
  <c r="F291" i="1"/>
  <c r="L291" i="1"/>
  <c r="K291" i="1"/>
  <c r="L294" i="1"/>
  <c r="F294" i="1"/>
  <c r="K294" i="1"/>
  <c r="F7" i="1"/>
  <c r="F8" i="1"/>
  <c r="K13" i="1"/>
  <c r="L13" i="1"/>
  <c r="L14" i="1"/>
  <c r="K14" i="1"/>
  <c r="J14" i="1"/>
  <c r="F15" i="1"/>
  <c r="L21" i="1"/>
  <c r="J21" i="1"/>
  <c r="K21" i="1"/>
  <c r="F55" i="1"/>
  <c r="L55" i="1"/>
  <c r="K55" i="1"/>
  <c r="J55" i="1"/>
  <c r="L63" i="1"/>
  <c r="K63" i="1"/>
  <c r="J63" i="1"/>
  <c r="F70" i="1"/>
  <c r="F78" i="1"/>
  <c r="F80" i="1"/>
  <c r="L87" i="1"/>
  <c r="K87" i="1"/>
  <c r="J87" i="1"/>
  <c r="F87" i="1"/>
  <c r="L117" i="1"/>
  <c r="K173" i="1"/>
  <c r="L173" i="1"/>
  <c r="J173" i="1"/>
  <c r="F173" i="1"/>
  <c r="K244" i="1"/>
  <c r="L244" i="1"/>
  <c r="J244" i="1"/>
  <c r="F244" i="1"/>
  <c r="K298" i="1"/>
  <c r="L298" i="1"/>
  <c r="J298" i="1"/>
  <c r="L3" i="1"/>
  <c r="J3" i="1"/>
  <c r="K3" i="1"/>
  <c r="F175" i="1"/>
  <c r="F3" i="1"/>
  <c r="L9" i="1"/>
  <c r="J9" i="1"/>
  <c r="K9" i="1"/>
  <c r="K19" i="1"/>
  <c r="L19" i="1"/>
  <c r="L20" i="1"/>
  <c r="K20" i="1"/>
  <c r="J20" i="1"/>
  <c r="L27" i="1"/>
  <c r="K27" i="1"/>
  <c r="J27" i="1"/>
  <c r="K48" i="1"/>
  <c r="F48" i="1"/>
  <c r="J48" i="1"/>
  <c r="F61" i="1"/>
  <c r="K61" i="1"/>
  <c r="L61" i="1"/>
  <c r="L69" i="1"/>
  <c r="J69" i="1"/>
  <c r="K69" i="1"/>
  <c r="F69" i="1"/>
  <c r="J163" i="1"/>
  <c r="K163" i="1"/>
  <c r="L163" i="1"/>
  <c r="J136" i="1"/>
  <c r="L136" i="1"/>
  <c r="K136" i="1"/>
  <c r="J175" i="1"/>
  <c r="K175" i="1"/>
  <c r="K202" i="1"/>
  <c r="J202" i="1"/>
  <c r="L202" i="1"/>
  <c r="F202" i="1"/>
  <c r="K256" i="1"/>
  <c r="J256" i="1"/>
  <c r="F256" i="1"/>
  <c r="K262" i="1"/>
  <c r="L262" i="1"/>
  <c r="J262" i="1"/>
  <c r="F262" i="1"/>
  <c r="F90" i="1"/>
  <c r="K99" i="1"/>
  <c r="F99" i="1"/>
  <c r="J99" i="1"/>
  <c r="F107" i="1"/>
  <c r="K116" i="1"/>
  <c r="L116" i="1"/>
  <c r="J116" i="1"/>
  <c r="F134" i="1"/>
  <c r="K134" i="1"/>
  <c r="L134" i="1"/>
  <c r="K238" i="1"/>
  <c r="J238" i="1"/>
  <c r="F238" i="1"/>
  <c r="F19" i="1"/>
  <c r="F20" i="1"/>
  <c r="L25" i="1"/>
  <c r="K25" i="1"/>
  <c r="K26" i="1"/>
  <c r="L26" i="1"/>
  <c r="J26" i="1"/>
  <c r="F27" i="1"/>
  <c r="L33" i="1"/>
  <c r="K33" i="1"/>
  <c r="J33" i="1"/>
  <c r="J47" i="1"/>
  <c r="L47" i="1"/>
  <c r="K47" i="1"/>
  <c r="L52" i="1"/>
  <c r="K52" i="1"/>
  <c r="J53" i="1"/>
  <c r="K53" i="1"/>
  <c r="L53" i="1"/>
  <c r="F53" i="1"/>
  <c r="L56" i="1"/>
  <c r="L81" i="1"/>
  <c r="J114" i="1"/>
  <c r="K133" i="1"/>
  <c r="F163" i="1"/>
  <c r="J235" i="1"/>
  <c r="L235" i="1"/>
  <c r="F235" i="1"/>
  <c r="F243" i="1"/>
  <c r="J243" i="1"/>
  <c r="L243" i="1"/>
  <c r="K243" i="1"/>
  <c r="F25" i="1"/>
  <c r="F26" i="1"/>
  <c r="K31" i="1"/>
  <c r="L31" i="1"/>
  <c r="F33" i="1"/>
  <c r="L39" i="1"/>
  <c r="K39" i="1"/>
  <c r="J39" i="1"/>
  <c r="L46" i="1"/>
  <c r="K46" i="1"/>
  <c r="J46" i="1"/>
  <c r="F47" i="1"/>
  <c r="F52" i="1"/>
  <c r="J96" i="1"/>
  <c r="K161" i="1"/>
  <c r="J161" i="1"/>
  <c r="L161" i="1"/>
  <c r="F161" i="1"/>
  <c r="F225" i="1"/>
  <c r="L225" i="1"/>
  <c r="K225" i="1"/>
  <c r="J225" i="1"/>
  <c r="J291" i="1"/>
  <c r="J294" i="1"/>
  <c r="J7" i="1"/>
  <c r="F31" i="1"/>
  <c r="K37" i="1"/>
  <c r="L37" i="1"/>
  <c r="F39" i="1"/>
  <c r="F46" i="1"/>
  <c r="J78" i="1"/>
  <c r="L150" i="1"/>
  <c r="F150" i="1"/>
  <c r="K150" i="1"/>
  <c r="J150" i="1"/>
  <c r="L216" i="1"/>
  <c r="K216" i="1"/>
  <c r="J217" i="1"/>
  <c r="L217" i="1"/>
  <c r="K217" i="1"/>
  <c r="F217" i="1"/>
  <c r="K220" i="1"/>
  <c r="J220" i="1"/>
  <c r="F237" i="1"/>
  <c r="L237" i="1"/>
  <c r="K237" i="1"/>
  <c r="L240" i="1"/>
  <c r="F240" i="1"/>
  <c r="F255" i="1"/>
  <c r="L255" i="1"/>
  <c r="K255" i="1"/>
  <c r="L258" i="1"/>
  <c r="F258" i="1"/>
  <c r="F273" i="1"/>
  <c r="L273" i="1"/>
  <c r="K273" i="1"/>
  <c r="L276" i="1"/>
  <c r="F276" i="1"/>
  <c r="K50" i="1"/>
  <c r="K66" i="1"/>
  <c r="K84" i="1"/>
  <c r="K102" i="1"/>
  <c r="K120" i="1"/>
  <c r="L142" i="1"/>
  <c r="K184" i="1"/>
  <c r="F201" i="1"/>
  <c r="L201" i="1"/>
  <c r="K201" i="1"/>
  <c r="L204" i="1"/>
  <c r="F204" i="1"/>
  <c r="L213" i="1"/>
  <c r="F219" i="1"/>
  <c r="L219" i="1"/>
  <c r="K219" i="1"/>
  <c r="F220" i="1"/>
  <c r="L222" i="1"/>
  <c r="F222" i="1"/>
  <c r="J288" i="1"/>
  <c r="K299" i="1"/>
  <c r="L299" i="1"/>
  <c r="J265" i="1"/>
  <c r="L265" i="1"/>
  <c r="K265" i="1"/>
  <c r="L220" i="1"/>
  <c r="J229" i="1"/>
  <c r="L229" i="1"/>
  <c r="K229" i="1"/>
  <c r="K240" i="1"/>
  <c r="K245" i="1"/>
  <c r="L245" i="1"/>
  <c r="L246" i="1"/>
  <c r="K246" i="1"/>
  <c r="J246" i="1"/>
  <c r="K258" i="1"/>
  <c r="K263" i="1"/>
  <c r="L263" i="1"/>
  <c r="L264" i="1"/>
  <c r="K264" i="1"/>
  <c r="J264" i="1"/>
  <c r="F265" i="1"/>
  <c r="K276" i="1"/>
  <c r="F280" i="1"/>
  <c r="K281" i="1"/>
  <c r="L281" i="1"/>
  <c r="L282" i="1"/>
  <c r="K282" i="1"/>
  <c r="J282" i="1"/>
  <c r="F4" i="1"/>
  <c r="F10" i="1"/>
  <c r="F16" i="1"/>
  <c r="F22" i="1"/>
  <c r="F28" i="1"/>
  <c r="J32" i="1"/>
  <c r="F34" i="1"/>
  <c r="J38" i="1"/>
  <c r="F40" i="1"/>
  <c r="J54" i="1"/>
  <c r="J62" i="1"/>
  <c r="F64" i="1"/>
  <c r="L82" i="1"/>
  <c r="K82" i="1"/>
  <c r="L100" i="1"/>
  <c r="K100" i="1"/>
  <c r="L118" i="1"/>
  <c r="K118" i="1"/>
  <c r="L138" i="1"/>
  <c r="K138" i="1"/>
  <c r="J139" i="1"/>
  <c r="L139" i="1"/>
  <c r="K139" i="1"/>
  <c r="F140" i="1"/>
  <c r="K148" i="1"/>
  <c r="J162" i="1"/>
  <c r="F167" i="1"/>
  <c r="L168" i="1"/>
  <c r="F168" i="1"/>
  <c r="K177" i="1"/>
  <c r="F180" i="1"/>
  <c r="K189" i="1"/>
  <c r="K204" i="1"/>
  <c r="F208" i="1"/>
  <c r="J211" i="1"/>
  <c r="L211" i="1"/>
  <c r="K211" i="1"/>
  <c r="K222" i="1"/>
  <c r="F226" i="1"/>
  <c r="K227" i="1"/>
  <c r="L227" i="1"/>
  <c r="L228" i="1"/>
  <c r="K228" i="1"/>
  <c r="J228" i="1"/>
  <c r="F229" i="1"/>
  <c r="F245" i="1"/>
  <c r="F246" i="1"/>
  <c r="F263" i="1"/>
  <c r="F264" i="1"/>
  <c r="F281" i="1"/>
  <c r="F282" i="1"/>
  <c r="K297" i="1"/>
  <c r="L32" i="1"/>
  <c r="L38" i="1"/>
  <c r="J299" i="1"/>
  <c r="F58" i="1"/>
  <c r="J59" i="1"/>
  <c r="J153" i="1"/>
  <c r="F183" i="1"/>
  <c r="L183" i="1"/>
  <c r="K183" i="1"/>
  <c r="F184" i="1"/>
  <c r="J195" i="1"/>
  <c r="J249" i="1"/>
  <c r="J267" i="1"/>
  <c r="J280" i="1"/>
  <c r="J285" i="1"/>
  <c r="F288" i="1"/>
  <c r="J289" i="1"/>
  <c r="L289" i="1"/>
  <c r="J283" i="1"/>
  <c r="L283" i="1"/>
  <c r="K283" i="1"/>
  <c r="F299" i="1"/>
  <c r="F165" i="1"/>
  <c r="L165" i="1"/>
  <c r="K165" i="1"/>
  <c r="J157" i="1"/>
  <c r="K157" i="1"/>
  <c r="K209" i="1"/>
  <c r="L209" i="1"/>
  <c r="L210" i="1"/>
  <c r="K210" i="1"/>
  <c r="J210" i="1"/>
  <c r="K155" i="1"/>
  <c r="L155" i="1"/>
  <c r="L156" i="1"/>
  <c r="K156" i="1"/>
  <c r="J156" i="1"/>
  <c r="F157" i="1"/>
  <c r="J40" i="1"/>
  <c r="J49" i="1"/>
  <c r="J64" i="1"/>
  <c r="L76" i="1"/>
  <c r="K76" i="1"/>
  <c r="L94" i="1"/>
  <c r="K94" i="1"/>
  <c r="L112" i="1"/>
  <c r="K112" i="1"/>
  <c r="F130" i="1"/>
  <c r="K131" i="1"/>
  <c r="J131" i="1"/>
  <c r="K140" i="1"/>
  <c r="J141" i="1"/>
  <c r="K153" i="1"/>
  <c r="J167" i="1"/>
  <c r="J168" i="1"/>
  <c r="J180" i="1"/>
  <c r="F185" i="1"/>
  <c r="L186" i="1"/>
  <c r="F186" i="1"/>
  <c r="K195" i="1"/>
  <c r="F198" i="1"/>
  <c r="J199" i="1"/>
  <c r="J226" i="1"/>
  <c r="J231" i="1"/>
  <c r="J245" i="1"/>
  <c r="K249" i="1"/>
  <c r="F252" i="1"/>
  <c r="J253" i="1"/>
  <c r="L253" i="1"/>
  <c r="J263" i="1"/>
  <c r="K267" i="1"/>
  <c r="F270" i="1"/>
  <c r="J271" i="1"/>
  <c r="L271" i="1"/>
  <c r="L280" i="1"/>
  <c r="J281" i="1"/>
  <c r="K285" i="1"/>
  <c r="F289" i="1"/>
  <c r="K292" i="1"/>
  <c r="J292" i="1"/>
  <c r="J151" i="1"/>
  <c r="J169" i="1"/>
  <c r="J187" i="1"/>
  <c r="J205" i="1"/>
  <c r="J223" i="1"/>
  <c r="J241" i="1"/>
  <c r="F151" i="1"/>
  <c r="F295" i="1"/>
  <c r="N2" i="1"/>
  <c r="M2" i="1"/>
  <c r="I2" i="1"/>
  <c r="H2" i="1"/>
  <c r="G2" i="1"/>
  <c r="E2" i="1"/>
  <c r="L2" i="1" s="1"/>
  <c r="D2" i="1"/>
  <c r="C2" i="1"/>
  <c r="B2" i="1"/>
  <c r="A2" i="1"/>
  <c r="J2" i="1" l="1"/>
  <c r="F2" i="1"/>
  <c r="K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E504BD3-6B00-42BB-9DF4-6A38D32F2F22}" keepAlive="1" name="Consulta - Consulta1" description="Conexión a la consulta 'Consulta1' en el libro." type="5" refreshedVersion="8" background="1" saveData="1">
    <dbPr connection="Provider=Microsoft.Mashup.OleDb.1;Data Source=$Workbook$;Location=Consulta1;Extended Properties=&quot;&quot;" command="SELECT * FROM [Consulta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<sst xmlns="http://schemas.openxmlformats.org/spreadsheetml/2006/main" count="31934" uniqueCount="7208">
  <si>
    <t>Descripción</t>
  </si>
  <si>
    <t xml:space="preserve">SKU </t>
  </si>
  <si>
    <t xml:space="preserve">Lote </t>
  </si>
  <si>
    <t>Finca</t>
  </si>
  <si>
    <t>Destino</t>
  </si>
  <si>
    <t>NIVEL CRITICO</t>
  </si>
  <si>
    <t>Cantidad</t>
  </si>
  <si>
    <t>Pallets</t>
  </si>
  <si>
    <t xml:space="preserve">Fecha de proceso </t>
  </si>
  <si>
    <t>SEMANA</t>
  </si>
  <si>
    <t>DIAS TRANSITO</t>
  </si>
  <si>
    <t>HORAS TRANSITO</t>
  </si>
  <si>
    <t>FECHA CITA</t>
  </si>
  <si>
    <t>A11 045 Sector Mazatan</t>
  </si>
  <si>
    <t>McAllen</t>
  </si>
  <si>
    <t>A01 002 Fortaleza</t>
  </si>
  <si>
    <t>VSA</t>
  </si>
  <si>
    <t>Chalco</t>
  </si>
  <si>
    <t>QRO</t>
  </si>
  <si>
    <t>CEDA</t>
  </si>
  <si>
    <t>A01 001 Marbella</t>
  </si>
  <si>
    <t>A01 003 Doña Nelly</t>
  </si>
  <si>
    <t>SMO</t>
  </si>
  <si>
    <t>A04 084 Lisboa</t>
  </si>
  <si>
    <t>A04 039 San Jose Morelia Nava</t>
  </si>
  <si>
    <t>S-MTY</t>
  </si>
  <si>
    <t>Japon</t>
  </si>
  <si>
    <t>A41 100 Doña Lupe JV</t>
  </si>
  <si>
    <t>A01 004 La Ceiba</t>
  </si>
  <si>
    <t>A04 037 Josefina Nava</t>
  </si>
  <si>
    <t>A06 043 Nuestra señora</t>
  </si>
  <si>
    <t>MTY</t>
  </si>
  <si>
    <t>A27 073 Plantacion</t>
  </si>
  <si>
    <t>PREENFRIO NELLY</t>
  </si>
  <si>
    <t>ALTA</t>
  </si>
  <si>
    <t>VOLUMEN / CAPACIDAD INSTALADA</t>
  </si>
  <si>
    <t>CLIENTE</t>
  </si>
  <si>
    <t>DESTINO</t>
  </si>
  <si>
    <t>TRÁNSITO (DÍAS)</t>
  </si>
  <si>
    <t>TRÁNSITO (HRS)</t>
  </si>
  <si>
    <t>CICLO HORAS FORTALEZA</t>
  </si>
  <si>
    <t>CICLO HORAS NELLY</t>
  </si>
  <si>
    <t>CRITICIDAD</t>
  </si>
  <si>
    <t>PREENFRIO FORTALEZA</t>
  </si>
  <si>
    <t>NORMAL</t>
  </si>
  <si>
    <t>POSICIONAMIENTO DE TRANSPORTE</t>
  </si>
  <si>
    <t>SMART</t>
  </si>
  <si>
    <t>Cd. Juárez</t>
  </si>
  <si>
    <t>DIRECTO SIN PREENFRIO</t>
  </si>
  <si>
    <t>BAJA</t>
  </si>
  <si>
    <t>EMPAQUE TARDIO</t>
  </si>
  <si>
    <t>CHANITOS</t>
  </si>
  <si>
    <t>FALLA ELECTRICA</t>
  </si>
  <si>
    <t>Chihuahua</t>
  </si>
  <si>
    <t>MANTENIMIENTO CORRECTIVO</t>
  </si>
  <si>
    <t>CHIQUITA</t>
  </si>
  <si>
    <t>Chiquita</t>
  </si>
  <si>
    <t>MANTENIMIENTO PREVENTIVO</t>
  </si>
  <si>
    <t>Colima</t>
  </si>
  <si>
    <t>JAPON</t>
  </si>
  <si>
    <t>PREENFRIO</t>
  </si>
  <si>
    <t>PALLETS</t>
  </si>
  <si>
    <t>NELLY</t>
  </si>
  <si>
    <t>WALMART</t>
  </si>
  <si>
    <t>FORTALEZA</t>
  </si>
  <si>
    <t>Ciudad Juarez</t>
  </si>
  <si>
    <t>Tulti-CEDA</t>
  </si>
  <si>
    <t>Tabasco</t>
  </si>
  <si>
    <t>Zumpango</t>
  </si>
  <si>
    <t>Trazabilidad de finca</t>
  </si>
  <si>
    <t>B21 274 Chical AR</t>
  </si>
  <si>
    <t>A04 005 La Gloria</t>
  </si>
  <si>
    <t>A08 006 San Joaquin</t>
  </si>
  <si>
    <t>A02 007 Hydro Marte R Gomez</t>
  </si>
  <si>
    <t>A02 008 La Joya</t>
  </si>
  <si>
    <t>A02 009 Las Lomas</t>
  </si>
  <si>
    <t>A08 010 Las Flores</t>
  </si>
  <si>
    <t>A02 011 Herradura del carmen</t>
  </si>
  <si>
    <t>A02 012 Thomas</t>
  </si>
  <si>
    <t>A02 013 Marigabriela 1</t>
  </si>
  <si>
    <t>A02 014 Carmen 12 Nativa</t>
  </si>
  <si>
    <t>A02 015 Progreso Nativa</t>
  </si>
  <si>
    <t>A02 016 Union</t>
  </si>
  <si>
    <t>A02 017 Rancho Nuevo</t>
  </si>
  <si>
    <t>A02 018 Marigabriela 2</t>
  </si>
  <si>
    <t>A02 019 Vergel Nativa</t>
  </si>
  <si>
    <t>A02 020 California</t>
  </si>
  <si>
    <t>A02 021 Santa Barbara Nativa</t>
  </si>
  <si>
    <t>A25 022 Doña Mildred</t>
  </si>
  <si>
    <t>A08 023 Las Eloisas</t>
  </si>
  <si>
    <t>A02 024 no usar El Cuerudo</t>
  </si>
  <si>
    <t>A03 025 Bondad</t>
  </si>
  <si>
    <t>A03 026 Santa Fe</t>
  </si>
  <si>
    <t>A03 027 El Cahua</t>
  </si>
  <si>
    <t>A03 028 Romina</t>
  </si>
  <si>
    <t>A03 029 Esmeralda</t>
  </si>
  <si>
    <t>A24 030 Venezuela</t>
  </si>
  <si>
    <t>A25 031 Vigor</t>
  </si>
  <si>
    <t>A24 032 Ojo de agua</t>
  </si>
  <si>
    <t>A04 033 Carlota Nava</t>
  </si>
  <si>
    <t xml:space="preserve">A04 034 </t>
  </si>
  <si>
    <t>A04 035 Guadalupe Nava</t>
  </si>
  <si>
    <t>A04 036 Esperanza Nava</t>
  </si>
  <si>
    <t>A04 038 El Triunfo Nava</t>
  </si>
  <si>
    <t>A05 040 Plataneros Unidos 1</t>
  </si>
  <si>
    <t>A05 041 Plataneros Unidos 2 Cotan o Micros</t>
  </si>
  <si>
    <t>A05 042 El Conde</t>
  </si>
  <si>
    <t>A06 044 Anexo 04</t>
  </si>
  <si>
    <t>A07 046 Las Conchas Asake</t>
  </si>
  <si>
    <t>A07 047 San Antonio Asake</t>
  </si>
  <si>
    <t>A07 048 Caridad Asake</t>
  </si>
  <si>
    <t>A08 049 Dos Hermanos</t>
  </si>
  <si>
    <t>A08 050 Santa Marta</t>
  </si>
  <si>
    <t>A09 051 Miguel Aleman 1</t>
  </si>
  <si>
    <t>A09 052 Miguel Aleman 2</t>
  </si>
  <si>
    <t>A10 053 Santa Cruz</t>
  </si>
  <si>
    <t>A10 054 San Rafael</t>
  </si>
  <si>
    <t xml:space="preserve">A11 055 Sector Mazatan Valle Verde </t>
  </si>
  <si>
    <t>A11 056 San Isidro</t>
  </si>
  <si>
    <t>A12 057 Tiquisate 1</t>
  </si>
  <si>
    <t>A12 058 Tiquisate 2</t>
  </si>
  <si>
    <t>A13 059 Skarlet</t>
  </si>
  <si>
    <t>A13 060 Los Angeles</t>
  </si>
  <si>
    <t>A14 061 Corozal</t>
  </si>
  <si>
    <t>A14 062 Charly</t>
  </si>
  <si>
    <t xml:space="preserve">A15 063 Zaragoza </t>
  </si>
  <si>
    <t>A16 064 Santa Elena</t>
  </si>
  <si>
    <t>A17 065 Anvirama</t>
  </si>
  <si>
    <t>A18 066 Chaparral</t>
  </si>
  <si>
    <t>A25 067 El Cuerudo GT</t>
  </si>
  <si>
    <t>A20 068 Faja de Oro</t>
  </si>
  <si>
    <t xml:space="preserve">A21 069 San Carlos </t>
  </si>
  <si>
    <t>A22 070 Normandia</t>
  </si>
  <si>
    <t>A23 071 El Porvenir</t>
  </si>
  <si>
    <t xml:space="preserve"> 072 Santa Marta</t>
  </si>
  <si>
    <t>A28 074 El Aguacate</t>
  </si>
  <si>
    <t>A29 075 Heidy</t>
  </si>
  <si>
    <t>A30 076 Miguel Navarro</t>
  </si>
  <si>
    <t>A26 077 Dorado  Nuevo</t>
  </si>
  <si>
    <t xml:space="preserve">A24 078 Santa Clara </t>
  </si>
  <si>
    <t xml:space="preserve">A31 079 Rancho Grande </t>
  </si>
  <si>
    <t xml:space="preserve">A03 080 Altamira </t>
  </si>
  <si>
    <t>A32 081 Finca Rancho Nuevo</t>
  </si>
  <si>
    <t>A35 082 Empaque de Macho Ej Libertad</t>
  </si>
  <si>
    <t>A04 083 Santa Maria</t>
  </si>
  <si>
    <t>A02 085 Rosalinda</t>
  </si>
  <si>
    <t>A02 086 Galicia</t>
  </si>
  <si>
    <t>A11 087 19 de Abril</t>
  </si>
  <si>
    <t>A25 088 Doña Lupe</t>
  </si>
  <si>
    <t>A33 089 Jennys Bananas</t>
  </si>
  <si>
    <t>A36 090 Heavy</t>
  </si>
  <si>
    <t>A37 091 Los Potrillos</t>
  </si>
  <si>
    <t>A11 092 Composta</t>
  </si>
  <si>
    <t>A26 093 Tres Hermanos MT</t>
  </si>
  <si>
    <t>A38 094 Lagartero</t>
  </si>
  <si>
    <t>A39 095 Esquipulas</t>
  </si>
  <si>
    <t>A40 096 Cuauhtemoc</t>
  </si>
  <si>
    <t>A40 097 Anexo 2</t>
  </si>
  <si>
    <t>A04 098 Trinidad y Lindavista</t>
  </si>
  <si>
    <t>A26 099 Empaque 1 Diaz Ordaz</t>
  </si>
  <si>
    <t xml:space="preserve">B03 001 Los Cedros </t>
  </si>
  <si>
    <t xml:space="preserve">B01 002 Manguera Loca </t>
  </si>
  <si>
    <t>B01 003 Pitillo</t>
  </si>
  <si>
    <t>B04 004 La Peña</t>
  </si>
  <si>
    <t xml:space="preserve"> 005 Panadero</t>
  </si>
  <si>
    <t>B01 006 Chocokillo</t>
  </si>
  <si>
    <t xml:space="preserve">B01 007 Juan Choncupa </t>
  </si>
  <si>
    <t>B01 008 Wili Espindola</t>
  </si>
  <si>
    <t>B01 009 Las Casitas</t>
  </si>
  <si>
    <t xml:space="preserve"> 010 Julio Medina</t>
  </si>
  <si>
    <t xml:space="preserve"> 011 Edgar Gonzales</t>
  </si>
  <si>
    <t xml:space="preserve"> 012 La Nave</t>
  </si>
  <si>
    <t xml:space="preserve"> 013 Nenita</t>
  </si>
  <si>
    <t>B01 014 El Ranchito</t>
  </si>
  <si>
    <t>B12 015 San Rafael</t>
  </si>
  <si>
    <t>B01 016 Aldo Bravo</t>
  </si>
  <si>
    <t>B05 017 Jarabia</t>
  </si>
  <si>
    <t>B01 018 Chuy Peregrino</t>
  </si>
  <si>
    <t>B01 019 Jesus Mendoza</t>
  </si>
  <si>
    <t>B01 020 Ada Nares</t>
  </si>
  <si>
    <t xml:space="preserve"> 021 Roberto Medina</t>
  </si>
  <si>
    <t>B01 022 Ticho</t>
  </si>
  <si>
    <t>B01 023 Milagritos (Repetido con 097)</t>
  </si>
  <si>
    <t>B01 024 Ricardo Botelo</t>
  </si>
  <si>
    <t>B3 025 Zanja Prieta</t>
  </si>
  <si>
    <t>B01 026 Orliz</t>
  </si>
  <si>
    <t xml:space="preserve">B01 027 Las Fosas </t>
  </si>
  <si>
    <t>B01 028 Boro Serrano</t>
  </si>
  <si>
    <t xml:space="preserve"> 029 Jose Gomez</t>
  </si>
  <si>
    <t>B05 030 Fernando Velazco</t>
  </si>
  <si>
    <t xml:space="preserve"> 031 Colorin</t>
  </si>
  <si>
    <t xml:space="preserve"> 032 Piloto</t>
  </si>
  <si>
    <t>B01 033 Soledad</t>
  </si>
  <si>
    <t>B01 034 Mezcales</t>
  </si>
  <si>
    <t xml:space="preserve"> 035 Lobos</t>
  </si>
  <si>
    <t>B01 036 Rio WP</t>
  </si>
  <si>
    <t>B24 037 Jorge Ochoa</t>
  </si>
  <si>
    <t>B07 038 Puerta de Golpe</t>
  </si>
  <si>
    <t>B02 039 Cofradia Ochoa</t>
  </si>
  <si>
    <t>B02 040 Chuy Acebedo</t>
  </si>
  <si>
    <t>B20 041 Mariana 1</t>
  </si>
  <si>
    <t>B02 042 Mariana 4</t>
  </si>
  <si>
    <t>B02 043 Mariana 6</t>
  </si>
  <si>
    <t>B02 044 Delfina</t>
  </si>
  <si>
    <t>B21 045 Valle Nuevo 1</t>
  </si>
  <si>
    <t>B02 046 Valle Nuevo 2</t>
  </si>
  <si>
    <t>B02 047 Vallenato</t>
  </si>
  <si>
    <t>B02 048 Tango</t>
  </si>
  <si>
    <t xml:space="preserve"> 049 Conchas</t>
  </si>
  <si>
    <t xml:space="preserve"> 050 Camichin</t>
  </si>
  <si>
    <t>B03 051 La Limonera</t>
  </si>
  <si>
    <t xml:space="preserve">B01 052 El Manguito </t>
  </si>
  <si>
    <t>B20 053 Cahuite ES</t>
  </si>
  <si>
    <t xml:space="preserve"> 054 Koki</t>
  </si>
  <si>
    <t>B03 055 San Jorge</t>
  </si>
  <si>
    <t>B03 056 La Tigrera</t>
  </si>
  <si>
    <t>B03 057 Colomo</t>
  </si>
  <si>
    <t>B03 058 El Banco</t>
  </si>
  <si>
    <t>B03 059 La Vena B3</t>
  </si>
  <si>
    <t>B03 060 Chave</t>
  </si>
  <si>
    <t>B05 061 La Tostada</t>
  </si>
  <si>
    <t>B03 062 No usar Magallon repetida con  057 Colomos</t>
  </si>
  <si>
    <t>B03 063 Pedro Sandoval</t>
  </si>
  <si>
    <t>B03 064 Yagui</t>
  </si>
  <si>
    <t>B03 065 La Lima</t>
  </si>
  <si>
    <t xml:space="preserve"> 066 La Guacima</t>
  </si>
  <si>
    <t xml:space="preserve"> 067 David Gonzales</t>
  </si>
  <si>
    <t xml:space="preserve"> 068 Juan Nava</t>
  </si>
  <si>
    <t>B01 069 Sapo de Oro EF</t>
  </si>
  <si>
    <t>B05 070 Mario Garcia</t>
  </si>
  <si>
    <t>B03 071 Paraiso</t>
  </si>
  <si>
    <t xml:space="preserve"> 072 Hugo Moreo</t>
  </si>
  <si>
    <t xml:space="preserve"> 073 Jesus Quintero</t>
  </si>
  <si>
    <t>B04 074 La Playa B4</t>
  </si>
  <si>
    <t>B07 075 Las Palmas</t>
  </si>
  <si>
    <t>B02 076 La Peña B02</t>
  </si>
  <si>
    <t>B01 077 Las Parotas</t>
  </si>
  <si>
    <t>B01 078 Ticuiz</t>
  </si>
  <si>
    <t>B04 079 La Luna</t>
  </si>
  <si>
    <t>B04 080 San Cristobal</t>
  </si>
  <si>
    <t>B04 081 Nacho Hernandez</t>
  </si>
  <si>
    <t>B03 082 Albercas</t>
  </si>
  <si>
    <t>B01 083 Sapo de Oro MF</t>
  </si>
  <si>
    <t xml:space="preserve">b06 084 Caspejo </t>
  </si>
  <si>
    <t xml:space="preserve"> 085 Guanabas</t>
  </si>
  <si>
    <t>B05 086 Agua Sanchez</t>
  </si>
  <si>
    <t xml:space="preserve"> 087 Verduguillo</t>
  </si>
  <si>
    <t xml:space="preserve"> 088 El Naranjal</t>
  </si>
  <si>
    <t>B02 089 Callejones la curva</t>
  </si>
  <si>
    <t>B07 090 La Garrapata</t>
  </si>
  <si>
    <t>B01 091 Caspejo  repetida con 84</t>
  </si>
  <si>
    <t xml:space="preserve"> 092 No usar, Rigo Abarca duplicada con 231</t>
  </si>
  <si>
    <t>B01 093 Productores WP</t>
  </si>
  <si>
    <t xml:space="preserve">B15  094 Camalote </t>
  </si>
  <si>
    <t>B15 095 Los dos Hermanos Juan Valdivia</t>
  </si>
  <si>
    <t>B15 096 La Ilusion</t>
  </si>
  <si>
    <t>B03 097 Los Milagritos</t>
  </si>
  <si>
    <t xml:space="preserve">B01 098 El Chical </t>
  </si>
  <si>
    <t xml:space="preserve">B01 099 La Yony </t>
  </si>
  <si>
    <t>B01 100 Castrejon</t>
  </si>
  <si>
    <t>B12 101 La Lguna  (repetido con 140)</t>
  </si>
  <si>
    <t xml:space="preserve">B20 102 Manuel Leiva </t>
  </si>
  <si>
    <t xml:space="preserve">B01 103 Palomas </t>
  </si>
  <si>
    <t xml:space="preserve">B01 104 Panteon </t>
  </si>
  <si>
    <t xml:space="preserve">B01 105 Las 500 </t>
  </si>
  <si>
    <t xml:space="preserve">B01 106 Las Trancas  </t>
  </si>
  <si>
    <t>B01 107 Lomas y Lopez</t>
  </si>
  <si>
    <t>B01 108 Productores MA</t>
  </si>
  <si>
    <t xml:space="preserve"> 109 Los Corrales el Zapotal </t>
  </si>
  <si>
    <t xml:space="preserve">B08 110 Santa Marta </t>
  </si>
  <si>
    <t xml:space="preserve">B05 111 Leonarda </t>
  </si>
  <si>
    <t>B05 112 La Guinea</t>
  </si>
  <si>
    <t xml:space="preserve"> 113 Kway</t>
  </si>
  <si>
    <t>B25 114 El mango DF</t>
  </si>
  <si>
    <t xml:space="preserve">B13 115 El Sacrificio </t>
  </si>
  <si>
    <t>B01 116 Rocio Ibarra</t>
  </si>
  <si>
    <t>B01 117 El Egido</t>
  </si>
  <si>
    <t>B01 118  Norma  (Repetido con 189)</t>
  </si>
  <si>
    <t>B03 119 La Parcela Escolar</t>
  </si>
  <si>
    <t>B02 120 Rio Ochoa</t>
  </si>
  <si>
    <t>B05 121 Ibanaba</t>
  </si>
  <si>
    <t xml:space="preserve"> 122 Cesar Diaz Ochoa</t>
  </si>
  <si>
    <t>B04 123 Parota, Banamac</t>
  </si>
  <si>
    <t>B03 124 La Herradura</t>
  </si>
  <si>
    <t>B03 125 Zapotan</t>
  </si>
  <si>
    <t xml:space="preserve">B03 126 Laberinto </t>
  </si>
  <si>
    <t xml:space="preserve"> 127 Pipe gonzalez</t>
  </si>
  <si>
    <t xml:space="preserve"> 128 San Jose</t>
  </si>
  <si>
    <t xml:space="preserve">B01 129 Elvis Escalera </t>
  </si>
  <si>
    <t>B01 130 Chueco</t>
  </si>
  <si>
    <t xml:space="preserve">B03 131 Bugambilias </t>
  </si>
  <si>
    <t>B03 132 Camichines</t>
  </si>
  <si>
    <t>B03 133 El Ahijadero</t>
  </si>
  <si>
    <t>B01 134 Cesar Marquez</t>
  </si>
  <si>
    <t>B03 135 Camalote (Se repite con 094)</t>
  </si>
  <si>
    <t>B05 136 Abdias María Acevedo</t>
  </si>
  <si>
    <t>B01 137 Carlos  Solis</t>
  </si>
  <si>
    <t>B03 138 La mojonera</t>
  </si>
  <si>
    <t>B13 139 El Martirio</t>
  </si>
  <si>
    <t>B12 140 La Laguna</t>
  </si>
  <si>
    <t>B01 141 Jose Avila</t>
  </si>
  <si>
    <t xml:space="preserve">B01 142 La Popa </t>
  </si>
  <si>
    <t>B03 143 Guanabas</t>
  </si>
  <si>
    <t>B03 144 Los Marias</t>
  </si>
  <si>
    <t>B03 145 Los Mangos</t>
  </si>
  <si>
    <t>B03 146 Maria Luisa</t>
  </si>
  <si>
    <t>B15 147 Victor Martinez</t>
  </si>
  <si>
    <t>B03 148 El Circulo</t>
  </si>
  <si>
    <t>B03 149 Zanja Prieta (repetido con 025)</t>
  </si>
  <si>
    <t xml:space="preserve">B08 150 La Alcancia </t>
  </si>
  <si>
    <t>B03 151 Finca Las Hamacas</t>
  </si>
  <si>
    <t>B01 152 Baltazar Campuzano</t>
  </si>
  <si>
    <t>B09 153 La Espinal</t>
  </si>
  <si>
    <t>B09 154 La Vena CG</t>
  </si>
  <si>
    <t>B01 155 La piedrera</t>
  </si>
  <si>
    <t>B03 156 Bananas Moreno</t>
  </si>
  <si>
    <t>B13 157 Chapis</t>
  </si>
  <si>
    <t>B03 158 El Bado</t>
  </si>
  <si>
    <t>B01 159 Las Polas</t>
  </si>
  <si>
    <t>B03 160 Las 30</t>
  </si>
  <si>
    <t>B05 161 Jesus Campuzano</t>
  </si>
  <si>
    <t>B07 162 Memin</t>
  </si>
  <si>
    <t>B01 163 La Gata</t>
  </si>
  <si>
    <t>B07 164 Ticuiz EV (repetido con 78)</t>
  </si>
  <si>
    <t>B14 165 El Saucito 1 GG</t>
  </si>
  <si>
    <t>B03 166 Parotas</t>
  </si>
  <si>
    <t>B14 167 Callejones</t>
  </si>
  <si>
    <t>B01 168 Miguel Cabello</t>
  </si>
  <si>
    <t>B01 169 El Barrial</t>
  </si>
  <si>
    <t xml:space="preserve">B02 170 Mariana 2 </t>
  </si>
  <si>
    <t>B04 171 La Escondida</t>
  </si>
  <si>
    <t>B03 172 La Victoria</t>
  </si>
  <si>
    <t>B20 173 La Playa UE</t>
  </si>
  <si>
    <t>B14 174 El Saucito 2 GG</t>
  </si>
  <si>
    <t>B14 175 Santa Elena</t>
  </si>
  <si>
    <t xml:space="preserve">B03 176 El Empaque </t>
  </si>
  <si>
    <t xml:space="preserve">B03 177 Las Palmas </t>
  </si>
  <si>
    <t>B15 178 Los Almendros</t>
  </si>
  <si>
    <t xml:space="preserve"> 179 Nono Moreno</t>
  </si>
  <si>
    <t>B07 180 Rancho Grande</t>
  </si>
  <si>
    <t>B01 181 Cabañas</t>
  </si>
  <si>
    <t>B07 182 La Playa SP</t>
  </si>
  <si>
    <t>B02 183 Ceiba</t>
  </si>
  <si>
    <t>B13 184 El Saucito PP</t>
  </si>
  <si>
    <t>B20 185 El Sueño</t>
  </si>
  <si>
    <t>B15 186 Topete</t>
  </si>
  <si>
    <t>B02 187 Fabiola Moreno Ochoa</t>
  </si>
  <si>
    <t>B14 188 Chanchopa</t>
  </si>
  <si>
    <t>B01 189 Norma</t>
  </si>
  <si>
    <t>B03 190 Los 3 hermanos</t>
  </si>
  <si>
    <t>B01 191 Rio</t>
  </si>
  <si>
    <t>B03 192 Valentina</t>
  </si>
  <si>
    <t>B05 193 El Palmar Gladis Garcia</t>
  </si>
  <si>
    <t>B12 194 El Café</t>
  </si>
  <si>
    <t>B03 195 El Bambú</t>
  </si>
  <si>
    <t>B05 196 Paraiso 2</t>
  </si>
  <si>
    <t>B02 197 Santa Rosa</t>
  </si>
  <si>
    <t>B07 198 Macario Rios</t>
  </si>
  <si>
    <t>B05 199 Paraiso 1</t>
  </si>
  <si>
    <t>B15 200 EL Chato</t>
  </si>
  <si>
    <t>B07 201 Las Guasimas</t>
  </si>
  <si>
    <t>B07 202 Empacadora Maco repetido con 198</t>
  </si>
  <si>
    <t>B07 203 Saucito EV</t>
  </si>
  <si>
    <t>B07 204 Guanabana</t>
  </si>
  <si>
    <t>B18 205 El Salvador</t>
  </si>
  <si>
    <t>B01 207 El bajio</t>
  </si>
  <si>
    <t>B01 208 Ruben Orozco</t>
  </si>
  <si>
    <t>B15 209 San Vicente</t>
  </si>
  <si>
    <t>B03 210 La Popa</t>
  </si>
  <si>
    <t xml:space="preserve">B07 211 San Miguel Ojo de Agua </t>
  </si>
  <si>
    <t>B01 212 Rigoberto Martinez</t>
  </si>
  <si>
    <t>B01 213 Los Morenos</t>
  </si>
  <si>
    <t>B01 214 El Minuto</t>
  </si>
  <si>
    <t xml:space="preserve">B3 215 Primavera </t>
  </si>
  <si>
    <t>B04 216 Palmas</t>
  </si>
  <si>
    <t>B07 217 Santa Cruz</t>
  </si>
  <si>
    <t>B15 218 Juan Rocha</t>
  </si>
  <si>
    <t>B3 219 Las Pilas</t>
  </si>
  <si>
    <t xml:space="preserve">B01 220 Alfonso salgado </t>
  </si>
  <si>
    <t>B07 221 La Perla del Rincon</t>
  </si>
  <si>
    <t>B15 222 Alfonso Ortega</t>
  </si>
  <si>
    <t xml:space="preserve"> 223 El Ejemplo</t>
  </si>
  <si>
    <t>B07 224 Parotas EV</t>
  </si>
  <si>
    <t>B20 225 La Gloria RL</t>
  </si>
  <si>
    <t>B06 226 Francisco Tapia</t>
  </si>
  <si>
    <t>B07 227 La Higuerita</t>
  </si>
  <si>
    <t>B07 228 Zaragoza</t>
  </si>
  <si>
    <t xml:space="preserve"> 229 El Empaque</t>
  </si>
  <si>
    <t>B06 230 El Vado No usar El Vado Repetida con 267 La Hermita</t>
  </si>
  <si>
    <t>B06 231 Frutas Valle Abarca</t>
  </si>
  <si>
    <t>B01 232 Guatepots</t>
  </si>
  <si>
    <t>B03 233 La Laguna FP</t>
  </si>
  <si>
    <t>B07 234 El Caracol</t>
  </si>
  <si>
    <t>B05 235 Rancho Amela</t>
  </si>
  <si>
    <t>B06 236 Don Goyo</t>
  </si>
  <si>
    <t>B03 237 Don Lupe</t>
  </si>
  <si>
    <t>B20 238 Empaque Moreno</t>
  </si>
  <si>
    <t>B03 239 La peña</t>
  </si>
  <si>
    <t>B20 240 Javier Leyva</t>
  </si>
  <si>
    <t>B05 241 Manguito ME</t>
  </si>
  <si>
    <t>B19 242 Cahuite Arceo</t>
  </si>
  <si>
    <t>B19 243 Cofradia DA</t>
  </si>
  <si>
    <t>B19 244 Mocambo DA</t>
  </si>
  <si>
    <t>B19 245 Parota DA</t>
  </si>
  <si>
    <t>B07 246 Cartagena</t>
  </si>
  <si>
    <t>B07 247 Los Cuartones</t>
  </si>
  <si>
    <t>B01 248 La Escolar JR</t>
  </si>
  <si>
    <t>B20 249 Parotas JG</t>
  </si>
  <si>
    <t>B02 250 Cahuite O</t>
  </si>
  <si>
    <t>B05  251 Paraiso 3</t>
  </si>
  <si>
    <t>B07 252 Las Planas Callejones Erick V.</t>
  </si>
  <si>
    <t>B06 253 Hermanos Rivera (Jose Rivera)</t>
  </si>
  <si>
    <t>B01 254 Chiclon Hector Tapia</t>
  </si>
  <si>
    <t>B06 255 Triunfo JR</t>
  </si>
  <si>
    <t>B03 256 Sayulita</t>
  </si>
  <si>
    <t>B20 257 Mariachi</t>
  </si>
  <si>
    <t>B01 258 Montezuma</t>
  </si>
  <si>
    <t xml:space="preserve"> 259 Alberto Ortega JV</t>
  </si>
  <si>
    <t xml:space="preserve">B03 260 El Espinal </t>
  </si>
  <si>
    <t>B20 261 Ruben Bravo</t>
  </si>
  <si>
    <t>B07 262 El Venado EV</t>
  </si>
  <si>
    <t>B19 263 Nenitas</t>
  </si>
  <si>
    <t>B19 264 Coahuayana</t>
  </si>
  <si>
    <t>B20 265 Laguna JG</t>
  </si>
  <si>
    <t>B03 266 El Aguacate JL</t>
  </si>
  <si>
    <t>B20 267 La Hermita</t>
  </si>
  <si>
    <t>B20 268 Esteban Mendoza</t>
  </si>
  <si>
    <t>B20 269 Raulin</t>
  </si>
  <si>
    <t>B20 270 Cerrito de aguilar</t>
  </si>
  <si>
    <t>B05 271 Pacifico</t>
  </si>
  <si>
    <t>B02 272 La Coneja</t>
  </si>
  <si>
    <t>B23 273 Caleras Moreno</t>
  </si>
  <si>
    <t>B20 275 Ticuiz al Ogro JG</t>
  </si>
  <si>
    <t>B01 276 Raul Ortega</t>
  </si>
  <si>
    <t>B05 277 Adan Ursua</t>
  </si>
  <si>
    <t>B20 278 Crucero del Ticuiz</t>
  </si>
  <si>
    <t>B20 279 Las animas</t>
  </si>
  <si>
    <t>B24 280 La Guerita</t>
  </si>
  <si>
    <t>B03 281 El Aguila</t>
  </si>
  <si>
    <t>B20 282 Moreno La Peña</t>
  </si>
  <si>
    <t>B14 283 La Laguna GG</t>
  </si>
  <si>
    <t>B15 284 Saucera</t>
  </si>
  <si>
    <t>B03 285 Magaña</t>
  </si>
  <si>
    <t>B03 286 El Rio Arif</t>
  </si>
  <si>
    <t>B20 287 El Pilar</t>
  </si>
  <si>
    <t>B04 288 El Rastro</t>
  </si>
  <si>
    <t>B21 289 Mendoza</t>
  </si>
  <si>
    <t>B20 290 Los Patios</t>
  </si>
  <si>
    <t>B21 291 La Reversa</t>
  </si>
  <si>
    <t>B06 292 La Lupita</t>
  </si>
  <si>
    <t>B04 293 El Tesoro</t>
  </si>
  <si>
    <t>B01 294 Los Hernandez</t>
  </si>
  <si>
    <t>B06 295 La Noria</t>
  </si>
  <si>
    <t>B06 296 Iñiguez</t>
  </si>
  <si>
    <t>B25 297 Ticuiz IS</t>
  </si>
  <si>
    <t>B27 298 La Plantilla</t>
  </si>
  <si>
    <t>B27 299 Las Palmas IS</t>
  </si>
  <si>
    <t>B03 300 Ema RM</t>
  </si>
  <si>
    <t>B21 301 Miguel Mendoza</t>
  </si>
  <si>
    <t>C01 0G1 Genesis 1</t>
  </si>
  <si>
    <t>C01 0G2 Genesis 2</t>
  </si>
  <si>
    <t>C01 0G3 Genesis 3</t>
  </si>
  <si>
    <t>C01 0G4 Genesis 4</t>
  </si>
  <si>
    <t>C02 002 Las Lilias</t>
  </si>
  <si>
    <t>C20 003 San Lorenzo</t>
  </si>
  <si>
    <t xml:space="preserve"> 004 El Peru</t>
  </si>
  <si>
    <t>C02 005 La Ponderosa</t>
  </si>
  <si>
    <t xml:space="preserve"> 006 Chemizal</t>
  </si>
  <si>
    <t xml:space="preserve"> 007 La Rampa</t>
  </si>
  <si>
    <t xml:space="preserve"> 008 El Porvenir</t>
  </si>
  <si>
    <t xml:space="preserve"> 009  Santa Fe</t>
  </si>
  <si>
    <t xml:space="preserve"> 010 San Antonio</t>
  </si>
  <si>
    <t xml:space="preserve"> 011 San Miguel</t>
  </si>
  <si>
    <t xml:space="preserve"> 012 Esmeralda Dos</t>
  </si>
  <si>
    <t xml:space="preserve"> 013 Delicias 1</t>
  </si>
  <si>
    <t xml:space="preserve"> 014 Delicias 2</t>
  </si>
  <si>
    <t xml:space="preserve"> 015 Sarabia</t>
  </si>
  <si>
    <t xml:space="preserve"> 016 San Joaquin </t>
  </si>
  <si>
    <t>C04 017 Jaguar</t>
  </si>
  <si>
    <t xml:space="preserve"> 018 El Amparo</t>
  </si>
  <si>
    <t xml:space="preserve"> 019 Los Remedios</t>
  </si>
  <si>
    <t>C05 020 Candelaria</t>
  </si>
  <si>
    <t>C05 021 Tembladera</t>
  </si>
  <si>
    <t xml:space="preserve"> 022 El Tirol</t>
  </si>
  <si>
    <t xml:space="preserve"> 023 Plantacion Sonora</t>
  </si>
  <si>
    <t xml:space="preserve"> 024 Sonora Galeana</t>
  </si>
  <si>
    <t>C14 025 Sabe Bananas</t>
  </si>
  <si>
    <t xml:space="preserve"> 026 La Alianza</t>
  </si>
  <si>
    <t xml:space="preserve"> 027 Santa Rosa</t>
  </si>
  <si>
    <t>C09 028 San Jose Gonzales</t>
  </si>
  <si>
    <t xml:space="preserve"> 029 Chula Bananas</t>
  </si>
  <si>
    <t>C16 030 Chela Bananas</t>
  </si>
  <si>
    <t>C11 031 El Dolar</t>
  </si>
  <si>
    <t xml:space="preserve"> 032 San Antonio Tacotalpa</t>
  </si>
  <si>
    <t xml:space="preserve"> 033 El Misterio</t>
  </si>
  <si>
    <t xml:space="preserve"> 034 Chicho Bananas</t>
  </si>
  <si>
    <t>C14 035 San Roman</t>
  </si>
  <si>
    <t xml:space="preserve"> 036 Agropecuaria Eart</t>
  </si>
  <si>
    <t xml:space="preserve"> 037 La Montaña</t>
  </si>
  <si>
    <t xml:space="preserve"> 038 La Santisima Trinidad</t>
  </si>
  <si>
    <t>C17 039 Hevi Regional</t>
  </si>
  <si>
    <t>C07 040 Cofruver</t>
  </si>
  <si>
    <t>C18 041 Santos Soberano</t>
  </si>
  <si>
    <t>C18 042 Roberto Martinez Rueda</t>
  </si>
  <si>
    <t>C19 043 Felipe Martinez Ruiz</t>
  </si>
  <si>
    <t>C20 044 El Macayo</t>
  </si>
  <si>
    <t>C07 045 Santa Rosa FC</t>
  </si>
  <si>
    <t>C20 046 El Merodio</t>
  </si>
  <si>
    <t>C07 047 Victoria</t>
  </si>
  <si>
    <t>C07 048 Colocha</t>
  </si>
  <si>
    <t>D01 "001 1 Mundo Nuevo</t>
  </si>
  <si>
    <t>E01 001 Moises Bautista Martinez</t>
  </si>
  <si>
    <t>E02 002 Comercializadora Ranvel</t>
  </si>
  <si>
    <t>E03 003 Dora Maria Martinez Rueda</t>
  </si>
  <si>
    <t>E04 004 Bananas Tuba</t>
  </si>
  <si>
    <t>E05 005 Banarana</t>
  </si>
  <si>
    <t>E06 006 Leonter Martinez Gonzalez</t>
  </si>
  <si>
    <t>E07 007 Leobardo Jair Velazquez Rangel</t>
  </si>
  <si>
    <t>E08 008 Navafrut Maduraciones</t>
  </si>
  <si>
    <t>E09 009 Margarita Roman Arroyo</t>
  </si>
  <si>
    <t>E10 010 Felipe de Jesus Cervantes Ledezma</t>
  </si>
  <si>
    <t>E11 011 Comercializadora Banamachos</t>
  </si>
  <si>
    <t>Domicilio</t>
  </si>
  <si>
    <t>Estado</t>
  </si>
  <si>
    <t>Municipio</t>
  </si>
  <si>
    <t>Codigo postal</t>
  </si>
  <si>
    <t>Coordenadas</t>
  </si>
  <si>
    <t>Link</t>
  </si>
  <si>
    <t>Destinos</t>
  </si>
  <si>
    <t>Carretera a Jaritas Km. 13</t>
  </si>
  <si>
    <t>Chiapas</t>
  </si>
  <si>
    <t>Tapachula</t>
  </si>
  <si>
    <t>14°41'01.6"N 92°17'06.9"W</t>
  </si>
  <si>
    <t>https://goo.gl/maps/qGeGDXzmmymVyzLP9</t>
  </si>
  <si>
    <t>Japón</t>
  </si>
  <si>
    <t xml:space="preserve">Colonia Marta R. Gomez </t>
  </si>
  <si>
    <t xml:space="preserve">Chiapas </t>
  </si>
  <si>
    <t>Mazatan</t>
  </si>
  <si>
    <t>14°57'15.3"N 92°26'59.0"W</t>
  </si>
  <si>
    <t>https://goo.gl/maps/fnW8DDkT3wNtEXeSA</t>
  </si>
  <si>
    <t>Plan de Ayala</t>
  </si>
  <si>
    <t>Huehuetan</t>
  </si>
  <si>
    <t>14°59'48.9"N 92°29'52.8"W</t>
  </si>
  <si>
    <t>https://goo.gl/maps/C1cgsvYkCYKNJPny6</t>
  </si>
  <si>
    <t>Guamuchal</t>
  </si>
  <si>
    <t>14°59'11.9"N 92°30'06.8"W</t>
  </si>
  <si>
    <t>https://goo.gl/maps/gNwRwT3qCacQ9pMt8</t>
  </si>
  <si>
    <t xml:space="preserve">Barra de Cahoacan </t>
  </si>
  <si>
    <t>Suchiate</t>
  </si>
  <si>
    <t>14°38'20.2"N 92°18'48.1"W</t>
  </si>
  <si>
    <t>https://goo.gl/maps/4aw6M19uK4XBNera9</t>
  </si>
  <si>
    <t>Rancho Don Ramon</t>
  </si>
  <si>
    <t>14°37'00.0"N 92°13'15.2"W</t>
  </si>
  <si>
    <t>https://goo.gl/maps/3T8XwxYkNNWHompB7</t>
  </si>
  <si>
    <t>14°55'13.7"N 92°27'15.4"W</t>
  </si>
  <si>
    <t>https://goo.gl/maps/AAM9qnwxs3bxE34W7</t>
  </si>
  <si>
    <t>Rancheria Paloma Blanca</t>
  </si>
  <si>
    <t>Acapetahua</t>
  </si>
  <si>
    <t>15°18'31.1"N 92°45'06.1"W</t>
  </si>
  <si>
    <t>https://goo.gl/maps/XvfzqdkZQYTYc8RP8</t>
  </si>
  <si>
    <t xml:space="preserve">Ejido Jiquilpan </t>
  </si>
  <si>
    <t>15°20'35.2"N 92°48'31.1"W</t>
  </si>
  <si>
    <t>https://goo.gl/maps/m7xMRRD56wuNJTsN6</t>
  </si>
  <si>
    <t>14°37'29.6"N 92°14'14.1"W</t>
  </si>
  <si>
    <t>https://goo.gl/maps/F7kNcEaYeHMMGVqv8</t>
  </si>
  <si>
    <t xml:space="preserve">Rancheria Las Trancas </t>
  </si>
  <si>
    <t>14°54'57.3"N 92°24'24.1"W</t>
  </si>
  <si>
    <t>https://goo.gl/maps/8MhTkiqK1NEpgPz99</t>
  </si>
  <si>
    <t>Rancheria Canton Genova</t>
  </si>
  <si>
    <t>14°38'33.6"N 92°11'54.1"W</t>
  </si>
  <si>
    <t>https://goo.gl/maps/KtztzUgWgS8bmNGD8</t>
  </si>
  <si>
    <t xml:space="preserve">Ejido Jesus </t>
  </si>
  <si>
    <t>14°38'34.7"N 92°11'04.9"W</t>
  </si>
  <si>
    <t>https://goo.gl/maps/gGd8TGPRhwRBEgwD7</t>
  </si>
  <si>
    <t xml:space="preserve">Rancheria El Corralito </t>
  </si>
  <si>
    <t>14°54'58.3"N 92°25'05.4"W</t>
  </si>
  <si>
    <t>https://goo.gl/maps/bGEqBQJrqS7YnCb36</t>
  </si>
  <si>
    <t>14°55'26.7"N 92°25'59.3"W</t>
  </si>
  <si>
    <t>https://goo.gl/maps/JTQpMgz28A4yuzbTA</t>
  </si>
  <si>
    <t>Colonia Ignacio Lopez Rayon</t>
  </si>
  <si>
    <t>14°38'08.7"N 92°11'12.8"W</t>
  </si>
  <si>
    <t>https://goo.gl/maps/SVDQksmscgMpDhxX8</t>
  </si>
  <si>
    <t>Ejido El Cascabel</t>
  </si>
  <si>
    <t>14°38'53.8"N 92°10'32.4"W</t>
  </si>
  <si>
    <t>https://maps.app.goo.gl/yyVyQFw9kYe3kd349</t>
  </si>
  <si>
    <t>14°38'37.2"N 92°11'28.1"W</t>
  </si>
  <si>
    <t>https://goo.gl/maps/BPNhgU1iNC3toZbN7</t>
  </si>
  <si>
    <t>14°55'19.8"N 92°27'43.8"W</t>
  </si>
  <si>
    <t>https://goo.gl/maps/c6DAUZDSSvCqA4YA8</t>
  </si>
  <si>
    <t>14°38'07.7"N 92°12'15.8"W</t>
  </si>
  <si>
    <t>https://goo.gl/maps/x3TxYup3gcXf7TP4A</t>
  </si>
  <si>
    <t xml:space="preserve">Las Carolinas </t>
  </si>
  <si>
    <t>14°54'38.3"N 92°27'50.9"W</t>
  </si>
  <si>
    <t>https://goo.gl/maps/npMLCwRWHRrnXCZ76</t>
  </si>
  <si>
    <t>14°54'24.0"N 92°26'26.3"W</t>
  </si>
  <si>
    <t>https://goo.gl/maps/8nHEzgxoTb9X5sZY7</t>
  </si>
  <si>
    <t>Rancho Leoncillos</t>
  </si>
  <si>
    <t>14°45'45.9"N 92°23'47.9"W</t>
  </si>
  <si>
    <t>https://goo.gl/maps/DG8BsFRpcQPzaEzh7</t>
  </si>
  <si>
    <t>Altamira</t>
  </si>
  <si>
    <t>14°40'39.5"N 92°17'37.8"W</t>
  </si>
  <si>
    <t>https://goo.gl/maps/PphkbMkuv1AH61iV6</t>
  </si>
  <si>
    <t xml:space="preserve">La Herradura </t>
  </si>
  <si>
    <t>14°34'35.0"N 92°13'00.3"W</t>
  </si>
  <si>
    <t>https://maps.app.goo.gl/shQUvUBQ71mZEDyE9</t>
  </si>
  <si>
    <t xml:space="preserve">La Innominada </t>
  </si>
  <si>
    <t>14°39'38.6"N 92°17'03.3"W</t>
  </si>
  <si>
    <t>https://goo.gl/maps/UD9VxJeq7R3LSwZj7</t>
  </si>
  <si>
    <t xml:space="preserve">Benito Juarez </t>
  </si>
  <si>
    <t>14°38'30.0"N 92°17'02.8"W</t>
  </si>
  <si>
    <t>https://goo.gl/maps/tK1iT4gHmAHp8ESx7</t>
  </si>
  <si>
    <t>Cuauhtemoc</t>
  </si>
  <si>
    <t>14°35'07.6"N 92°13'03.6"W</t>
  </si>
  <si>
    <t>https://goo.gl/maps/5PxHAbGx6Mt1j4Bv6</t>
  </si>
  <si>
    <t xml:space="preserve">Rancheria Isleven </t>
  </si>
  <si>
    <t>14°47'54.2"N 92°17'38.2"W</t>
  </si>
  <si>
    <t>https://maps.app.goo.gl/D1kHYtV3Q9vsxafm9</t>
  </si>
  <si>
    <t>Ejido La Libertad</t>
  </si>
  <si>
    <t>14°35'29.2"N 92°12'35.1"W</t>
  </si>
  <si>
    <t>https://goo.gl/maps/QqHfzP5USaXt4oFm6</t>
  </si>
  <si>
    <t>Cuatro Caminos</t>
  </si>
  <si>
    <t>14°53'37.4"N 92°24'31.9"W</t>
  </si>
  <si>
    <t>https://goo.gl/maps/dFEGsT47n5G8w6DD8</t>
  </si>
  <si>
    <t>Finca Santa Teresa</t>
  </si>
  <si>
    <t>14°50'47.6"N 92°19'33.9"W</t>
  </si>
  <si>
    <t>https://goo.gl/maps/k3e7xCWrpgYf7pWWA</t>
  </si>
  <si>
    <t>Los Toros, Estación</t>
  </si>
  <si>
    <t>14°48'33.1"N 92°19'55.0"W</t>
  </si>
  <si>
    <t>https://goo.gl/maps/VjxcwdTTfPQVtKEN8</t>
  </si>
  <si>
    <t>San Juan Cintahuayate</t>
  </si>
  <si>
    <t>14°45'58.2"N 92°14'39.1"W</t>
  </si>
  <si>
    <t>https://goo.gl/maps/PCtXDhAWkCfYehYY9</t>
  </si>
  <si>
    <t xml:space="preserve">Leoncillos </t>
  </si>
  <si>
    <t>14°47'26.0"N 92°24'52.0"W</t>
  </si>
  <si>
    <t>https://goo.gl/maps/bqehwq2po61ugXeJA</t>
  </si>
  <si>
    <t xml:space="preserve">Las Josefinas </t>
  </si>
  <si>
    <t>14°37'49.3"N 92°11'40.0"W</t>
  </si>
  <si>
    <t>https://goo.gl/maps/TUsTqi3ZsyyV9n3V7</t>
  </si>
  <si>
    <t xml:space="preserve">Cuauhtemoc </t>
  </si>
  <si>
    <t>14°35'17.8"N 92°12'51.2"W</t>
  </si>
  <si>
    <t>https://goo.gl/maps/PTjiNga8TkWKQ5ANA</t>
  </si>
  <si>
    <t>14°34'14.9"N 92°12'32.8"W</t>
  </si>
  <si>
    <t>https://goo.gl/maps/kegNtUJZ95coAo5FA</t>
  </si>
  <si>
    <t>14°35'09.7"N 92°13'37.1"W</t>
  </si>
  <si>
    <t>https://goo.gl/maps/JfFxbh8cgjZ8Xvjq9</t>
  </si>
  <si>
    <t xml:space="preserve">San Jorge </t>
  </si>
  <si>
    <t>14°35'43.8"N 92°12'02.1"W</t>
  </si>
  <si>
    <t>https://goo.gl/maps/hrrPGiy3fJjXt1BWA</t>
  </si>
  <si>
    <t>14°39'31.9"N 92°11'09.3"W</t>
  </si>
  <si>
    <t>https://goo.gl/maps/9A1a3JxJRJ7VCkCK6</t>
  </si>
  <si>
    <t>14°51'48.2"N 92°25'11.4"W</t>
  </si>
  <si>
    <t>https://goo.gl/maps/VqyewcdFagBqvL6U8</t>
  </si>
  <si>
    <t>14°49'35.8"N 92°27'36.5"W</t>
  </si>
  <si>
    <t>https://goo.gl/maps/tSzooT2k31FpuMFv6</t>
  </si>
  <si>
    <t>El Triunfo I</t>
  </si>
  <si>
    <t>14°49'15.6"N 92°27'52.5"W</t>
  </si>
  <si>
    <t>https://maps.app.goo.gl/rqD3g8jWfPyANZqu5</t>
  </si>
  <si>
    <t>14°39'16.0"N 92°18'13.0"W</t>
  </si>
  <si>
    <t>https://goo.gl/maps/7F5RPs3umWHR2Rc1A</t>
  </si>
  <si>
    <t>14°39'02.8"N 92°19'06.9"W</t>
  </si>
  <si>
    <t>https://goo.gl/maps/bxcUK2v7UuGm7v9z7</t>
  </si>
  <si>
    <t>14°45'47.6"N 92°23'11.2"W</t>
  </si>
  <si>
    <t>https://maps.app.goo.gl/UWoTXNrLhnG4FYEc6</t>
  </si>
  <si>
    <t xml:space="preserve">Genaro Vazquez Rojas </t>
  </si>
  <si>
    <t>14°41'52.0"N 92°21'26.3"W</t>
  </si>
  <si>
    <t>https://maps.app.goo.gl/uVwU5PurVPx9kVHw5</t>
  </si>
  <si>
    <t>Santa Martha</t>
  </si>
  <si>
    <t>14°37'06.6"N 92°11'41.8"W</t>
  </si>
  <si>
    <t>https://goo.gl/maps/JXCSzYAeFFVLY2eHA</t>
  </si>
  <si>
    <t xml:space="preserve">Miguel  Aleman </t>
  </si>
  <si>
    <t>14°33'11.7"N 92°13'25.3"W</t>
  </si>
  <si>
    <t>https://goo.gl/maps/8EnHPurb8KSbWAGF9</t>
  </si>
  <si>
    <t>14°33'21.2"N 92°13'04.1"W</t>
  </si>
  <si>
    <t>https://goo.gl/maps/VHgACYdFbVXFQVJG9</t>
  </si>
  <si>
    <t xml:space="preserve">Santa Monica </t>
  </si>
  <si>
    <t>14°43'25.4"N 92°09'47.1"W</t>
  </si>
  <si>
    <t>https://goo.gl/maps/J4EkMP2KVDzF64AfA</t>
  </si>
  <si>
    <t xml:space="preserve">El Campito </t>
  </si>
  <si>
    <t>14°40'11.7"N 92°10'42.8"W</t>
  </si>
  <si>
    <t>https://goo.gl/maps/8ZGRFn9VVuGoAd78A</t>
  </si>
  <si>
    <t>14°49'15.9"N 92°27'52.7"W</t>
  </si>
  <si>
    <t>https://maps.app.goo.gl/S3jWEgspTsVvBMuy9</t>
  </si>
  <si>
    <t>Guanacaxtal</t>
  </si>
  <si>
    <t>14°49'50.8"N 92°27'31.0"W</t>
  </si>
  <si>
    <t>https://goo.gl/maps/spB851tWFMFw8oFV6</t>
  </si>
  <si>
    <t>El Triunfo 2da seccion</t>
  </si>
  <si>
    <t>14°49'55.0"N 92°27'03.7"W</t>
  </si>
  <si>
    <t>https://goo.gl/maps/7LqY8eAYQsbqvYb56</t>
  </si>
  <si>
    <t xml:space="preserve">San Judas Tadeo </t>
  </si>
  <si>
    <t>14°50'19.9"N 92°26'41.6"W</t>
  </si>
  <si>
    <t>https://goo.gl/maps/ZfYCbsRGBJhm13mr6</t>
  </si>
  <si>
    <t xml:space="preserve">Poblacion 5 de febrero </t>
  </si>
  <si>
    <t>15°00'22.9"N 92°28'29.5"W</t>
  </si>
  <si>
    <t>https://goo.gl/maps/iVPW93wEVUpUoL919</t>
  </si>
  <si>
    <t>14°42'54.4"N 92°09'41.3"W</t>
  </si>
  <si>
    <t>https://goo.gl/maps/FRyoYUTxMLVmWMFq8</t>
  </si>
  <si>
    <t>Ignacio Zaragoza</t>
  </si>
  <si>
    <t>14°44'26.2"N 92°10'15.8"W</t>
  </si>
  <si>
    <t>https://goo.gl/maps/bFQhTdj4k4rnRjQr9</t>
  </si>
  <si>
    <t xml:space="preserve">Pilar Sitala </t>
  </si>
  <si>
    <t>14°57'02.1"N 92°29'48.5"W</t>
  </si>
  <si>
    <t>https://goo.gl/maps/xTd632Tk6bUJDZDv5</t>
  </si>
  <si>
    <t>Las Viudas</t>
  </si>
  <si>
    <t>14°42'46.4"N 92°12'07.5"W</t>
  </si>
  <si>
    <t>https://goo.gl/maps/j2iMYbYmkfqLxxYo9</t>
  </si>
  <si>
    <t>El Coquito</t>
  </si>
  <si>
    <t>14°49'42.4"N 92°22'44.8"W</t>
  </si>
  <si>
    <t>https://goo.gl/maps/eRVzs5rm2RN8QXhp8</t>
  </si>
  <si>
    <t>Audon Barrios</t>
  </si>
  <si>
    <t>14°55'34.3"N 92°28'56.5"W</t>
  </si>
  <si>
    <t>https://goo.gl/maps/8zH9SEAJF3Bp1PAz9</t>
  </si>
  <si>
    <t xml:space="preserve">Jesus </t>
  </si>
  <si>
    <t>14°38'32.1"N 92°10'11.7"W</t>
  </si>
  <si>
    <t>https://goo.gl/maps/1UXRFoCcWiB3qDty8</t>
  </si>
  <si>
    <t>Marte R Gomez</t>
  </si>
  <si>
    <t>14°55'13.9"N 92°26'19.3"W</t>
  </si>
  <si>
    <t>https://goo.gl/maps/pAjrPJ5ehDdu2VLT9</t>
  </si>
  <si>
    <t>El Paraiso</t>
  </si>
  <si>
    <t>14°39'14.6"N 92°13'12.4"W</t>
  </si>
  <si>
    <t>https://goo.gl/maps/zY8bnSWgQ9DCLUdu6</t>
  </si>
  <si>
    <t>El Trocadero</t>
  </si>
  <si>
    <t>14°36'20.0"N 92°12'17.8"W</t>
  </si>
  <si>
    <t>https://goo.gl/maps/AWKSJXMoE5vkK5TF6</t>
  </si>
  <si>
    <t>14°36'58.3"N 92°14'32.6"W</t>
  </si>
  <si>
    <t>https://goo.gl/maps/3BYEvDeX7Ng6yb1f8</t>
  </si>
  <si>
    <t>Plantain</t>
  </si>
  <si>
    <t>El Aguacate</t>
  </si>
  <si>
    <t>14°50'25.1"N 92°25'44.8"W</t>
  </si>
  <si>
    <t>https://goo.gl/maps/yi7LfEdxyPyjDeMY6</t>
  </si>
  <si>
    <t>14°38'18.0"N 92°15'48.3"W</t>
  </si>
  <si>
    <t>https://goo.gl/maps/yAqyFintzuZNYTKf7</t>
  </si>
  <si>
    <t>Nuevo Dorado</t>
  </si>
  <si>
    <t>14°40'20.3"N 92°12'33.9"W</t>
  </si>
  <si>
    <t>https://goo.gl/maps/FWXvwAXKFChMWTW36</t>
  </si>
  <si>
    <t xml:space="preserve">Alvaro Obregon </t>
  </si>
  <si>
    <t>14°54'00.1"N 92°23'33.9"W</t>
  </si>
  <si>
    <t>https://maps.app.goo.gl/y3mjUejGwEWrn8vt5</t>
  </si>
  <si>
    <t>Guadalupe Victoria</t>
  </si>
  <si>
    <t>14°47'36.6"N 92°16'25.5"W</t>
  </si>
  <si>
    <t>https://maps.app.goo.gl/gjdFGZvcxGyk88WLA</t>
  </si>
  <si>
    <t>14°40'55.0"N 92°16'56.0"W</t>
  </si>
  <si>
    <t>https://maps.app.goo.gl/aH3VzJDkHxjSUcaL7</t>
  </si>
  <si>
    <t xml:space="preserve">Ejido La Libertad </t>
  </si>
  <si>
    <t>14°35'08.7"N 92°12'03.4"W</t>
  </si>
  <si>
    <t>https://maps.app.goo.gl/zYBPbiTR2FmApFv19</t>
  </si>
  <si>
    <t>14°47'10.3"N 92°16'14.0"W</t>
  </si>
  <si>
    <t>https://goo.gl/maps/V1Uj3rKBvFuLJaMg6</t>
  </si>
  <si>
    <t>14°45'24.9"N 92°24'53.2"W</t>
  </si>
  <si>
    <t>https://maps.app.goo.gl/EQR4UG9PCH85DrfU7</t>
  </si>
  <si>
    <t>14°44'41.9"N 92°22'43.5"W</t>
  </si>
  <si>
    <t>https://maps.app.goo.gl/C3h47BZMt5UrJBJ2A</t>
  </si>
  <si>
    <t xml:space="preserve">Abril </t>
  </si>
  <si>
    <t>14°48'28.1"N 92°29'47.6"W</t>
  </si>
  <si>
    <t>https://maps.app.goo.gl/JNVKY9PRxmSrYqKp7</t>
  </si>
  <si>
    <t>14°56'00.0"N 92°26'26.1"W</t>
  </si>
  <si>
    <t>https://maps.app.goo.gl/55tvsdMp4dMUfQRr9</t>
  </si>
  <si>
    <t xml:space="preserve">El Manglar </t>
  </si>
  <si>
    <t>14°40'44.0"N 92°21'01.5"W</t>
  </si>
  <si>
    <t>https://maps.app.goo.gl/2Yk1XLrTbRsDWkZq8</t>
  </si>
  <si>
    <t>14°49'16.0"N 92°27'53.0"W</t>
  </si>
  <si>
    <t>https://maps.app.goo.gl/P3zfosMR8iM2Yuma8</t>
  </si>
  <si>
    <t>Ejido Quince de Abril</t>
  </si>
  <si>
    <t>14°41'25.3"N 92°14'45.2"W</t>
  </si>
  <si>
    <t>Ranchería Isleven</t>
  </si>
  <si>
    <t>14°47'08.9"N 92°16'41.1"W</t>
  </si>
  <si>
    <t>https://maps.app.goo.gl/4sHPwmnAxxLbsqtQ6</t>
  </si>
  <si>
    <t xml:space="preserve"> Guanacaxtal</t>
  </si>
  <si>
    <t>14°50'35.2"N 92°28'29.0"W</t>
  </si>
  <si>
    <t>https://maps.app.goo.gl/YPt6U3gQ83ok9U5DA</t>
  </si>
  <si>
    <t>14°37'09.0"N 92°14'36.1"W</t>
  </si>
  <si>
    <t>https://maps.app.goo.gl/sagEuodLPjT7C7eXA</t>
  </si>
  <si>
    <t>Domicilio conocido, Reforma s/n, 30820 Tapachula de Córdova y Ordóñez, Chis.</t>
  </si>
  <si>
    <t>14.811272463599213, -92.30772746692472</t>
  </si>
  <si>
    <t>https://maps.app.goo.gl/MqH55Zx5WPoifSoY7</t>
  </si>
  <si>
    <t>Banano</t>
  </si>
  <si>
    <t>Santa Lucía I, Chiapas</t>
  </si>
  <si>
    <t>14°43'53.3"N 92°14'13.9"W</t>
  </si>
  <si>
    <t>https://maps.app.goo.gl/Hwt3oaNpJZXpN8S2A</t>
  </si>
  <si>
    <t>14°47'54.1"N 92°13'53.9"W</t>
  </si>
  <si>
    <t>https://maps.app.goo.gl/AZj7qurmCn1efpxj9</t>
  </si>
  <si>
    <t>Veinte de Noviembre</t>
  </si>
  <si>
    <t xml:space="preserve">Michoacan </t>
  </si>
  <si>
    <t>Coahuayana Michoacan</t>
  </si>
  <si>
    <t>18°46'45.9"N 103°38'08.1"W</t>
  </si>
  <si>
    <t>Col. Veinte de Noviembre, Michoacán</t>
  </si>
  <si>
    <t>18°45'28.5"N 103°38'54.7"W</t>
  </si>
  <si>
    <t>https://maps.app.goo.gl/fhQZ4CCSjUT3ydos6</t>
  </si>
  <si>
    <t>Coahuayana Viejo Michoacan</t>
  </si>
  <si>
    <t>18°45'52.9"N 103°39'18.4"W</t>
  </si>
  <si>
    <t>https://goo.gl/maps/c5t6rjv5c6EWUyzq9</t>
  </si>
  <si>
    <t xml:space="preserve">Boca de Apiza </t>
  </si>
  <si>
    <t>Almendras Michoacan</t>
  </si>
  <si>
    <t>18°42'17.9"N 103°43'16.3"W</t>
  </si>
  <si>
    <t>https://goo.gl/maps/RcniYV539Ch71jzs9</t>
  </si>
  <si>
    <t>Ejido La Peña Coahuayana</t>
  </si>
  <si>
    <t>18°41'40.0"N 103°42'05.6"W</t>
  </si>
  <si>
    <t>https://maps.app.goo.gl/3Q2rF313LhmGMeed6</t>
  </si>
  <si>
    <t>18°44'11.8"N 103°39'37.9"W</t>
  </si>
  <si>
    <t>https://maps.app.goo.gl/rUVzYMWTZb7oXpKE9</t>
  </si>
  <si>
    <t>El Ranchito</t>
  </si>
  <si>
    <t>18°40'20.9"N 103°39'28.0"W</t>
  </si>
  <si>
    <t>https://goo.gl/maps/KunoBwzK4uyH852DA</t>
  </si>
  <si>
    <t>Colonia San Rafael</t>
  </si>
  <si>
    <t>Tecoman Colima</t>
  </si>
  <si>
    <t>18°46'36.7"N 103°50'12.2"W</t>
  </si>
  <si>
    <t>https://maps.app.goo.gl/D9kh1a4zD5ioZBsu7</t>
  </si>
  <si>
    <t xml:space="preserve">Colonia Veinte de Noviembre El Camalote </t>
  </si>
  <si>
    <t>18°46'45.7"N 103°38'07.6"W</t>
  </si>
  <si>
    <t>https://goo.gl/maps/8C22EGCkdJKLgeQG9</t>
  </si>
  <si>
    <t>Lomas Michoacan</t>
  </si>
  <si>
    <t>60805 Coahuayana, Michoacan. </t>
  </si>
  <si>
    <t>Michoaca</t>
  </si>
  <si>
    <t>18°44'41.4"N 103°39'47.8"W</t>
  </si>
  <si>
    <t>Coahuayana Viejo, Michoacán</t>
  </si>
  <si>
    <t>18°44'54.5"N 103°39'40.8"W</t>
  </si>
  <si>
    <t>Coahuayana Viejo, Michoacan</t>
  </si>
  <si>
    <t>Michoacan</t>
  </si>
  <si>
    <t>18°45'37.3"N 103°40'24.4"W</t>
  </si>
  <si>
    <t>https://maps.app.goo.gl/gdYNwo33hZUgKhHH6</t>
  </si>
  <si>
    <t>El Pilar</t>
  </si>
  <si>
    <t>18°47'14.9"N 103°47'04.7"W</t>
  </si>
  <si>
    <t>https://maps.app.goo.gl/VKz7j5o4bxYf2FBv6</t>
  </si>
  <si>
    <t>El Ticuiz Coahuayana Michoacan</t>
  </si>
  <si>
    <t>18°40'09.6"N 103°41'42.2"W</t>
  </si>
  <si>
    <t>https://maps.app.goo.gl/HMGXmTfGZ3hDxjU18</t>
  </si>
  <si>
    <t xml:space="preserve"> Pueblo Cerro de Ortega</t>
  </si>
  <si>
    <t>Cerro de Ortega Tecoman Colima</t>
  </si>
  <si>
    <t>18°46'42.7"N 103°41'29.5"W</t>
  </si>
  <si>
    <t>https://goo.gl/maps/3g9Gp2nSaWDryRMC8</t>
  </si>
  <si>
    <t xml:space="preserve">Villa Esther </t>
  </si>
  <si>
    <t>18°46'43.3"N 103°49'14.2"W</t>
  </si>
  <si>
    <t>https://maps.app.goo.gl/8L7bDJMVZC1owYFWA</t>
  </si>
  <si>
    <t>18°39'35.7"N 103°39'54.1"W</t>
  </si>
  <si>
    <t>https://goo.gl/maps/dSzRbokj1YncrE7K7</t>
  </si>
  <si>
    <t>18°47'06.7"N 103°40'06.4"W</t>
  </si>
  <si>
    <t>https://goo.gl/maps/VH89CktzjKLYUkoW8</t>
  </si>
  <si>
    <t>18°44'50.6"N 103°42'40.9"W</t>
  </si>
  <si>
    <t>https://goo.gl/maps/pRe6oFb9jfdqbBve7</t>
  </si>
  <si>
    <t>San Vicente</t>
  </si>
  <si>
    <t>18°44'26.7"N 103°41'59.1"W</t>
  </si>
  <si>
    <t>https://goo.gl/maps/LL5kpKrREHUfcoBh6</t>
  </si>
  <si>
    <t xml:space="preserve">Cerro de Ortega </t>
  </si>
  <si>
    <t>18°46'33.8"N 103°42'18.0"W</t>
  </si>
  <si>
    <t>https://maps.app.goo.gl/NrZTL2yQnwqXGBXN9</t>
  </si>
  <si>
    <t>Pueblo Cerro de Ortega</t>
  </si>
  <si>
    <t>18°44'20.7"N 103°42'53.2"W</t>
  </si>
  <si>
    <t>https://maps.app.goo.gl/kbjMjuQ3q5SijRGKA</t>
  </si>
  <si>
    <t xml:space="preserve">Pueblo Cofradia de Morelos </t>
  </si>
  <si>
    <t>18.8726267,-103.8293533</t>
  </si>
  <si>
    <t>https://goo.gl/maps/hGCLGWXRwWTdVC2N8</t>
  </si>
  <si>
    <t>Ejido San Vicente</t>
  </si>
  <si>
    <t>San Vicente Michoacan</t>
  </si>
  <si>
    <t>18.732472, -103.683686</t>
  </si>
  <si>
    <t>https://maps.app.goo.gl/joifys4oofzoakiF7</t>
  </si>
  <si>
    <t>Rancheria El Saucito</t>
  </si>
  <si>
    <t>18°51'41.9"N 103°47'49.1"W</t>
  </si>
  <si>
    <t>https://goo.gl/maps/fvGx93iB49nJ331a6</t>
  </si>
  <si>
    <t>18°51'51.6"N 103°48'05.8"W</t>
  </si>
  <si>
    <t>https://maps.app.goo.gl/iRKSpFFKn7QKYgxm6</t>
  </si>
  <si>
    <t>18°51'59.9"N 103°48'03.5"W</t>
  </si>
  <si>
    <t>https://maps.app.goo.gl/cCpHYoY99aD51yJV9</t>
  </si>
  <si>
    <t>18°51'11.52"N 103°48'44.89"W</t>
  </si>
  <si>
    <t>https://maps.app.goo.gl/g3MHC5yARDsEDGrX9</t>
  </si>
  <si>
    <t xml:space="preserve">Colonia San Antonio </t>
  </si>
  <si>
    <t>18°47'31.9"N 103°48'28.6"W</t>
  </si>
  <si>
    <t>https://goo.gl/maps/Xn45YMFUr1GofhD99</t>
  </si>
  <si>
    <t>18°47'31.6"N 103°48'29.3"W</t>
  </si>
  <si>
    <t>https://goo.gl/maps/gowVyiQ52odPD7Hm9</t>
  </si>
  <si>
    <t>El Tunel</t>
  </si>
  <si>
    <t>19°01'45.0"N 103°52'24.9"W</t>
  </si>
  <si>
    <t>https://goo.gl/maps/uacBdYo8JdekTW8FA</t>
  </si>
  <si>
    <t>Caleras</t>
  </si>
  <si>
    <t>19° 0'34.91"N 103°52'28.16"W</t>
  </si>
  <si>
    <t>https://maps.app.goo.gl/xQkzQ6dPPdSZr761A</t>
  </si>
  <si>
    <t>Coahuayana de Hidalgo</t>
  </si>
  <si>
    <t>Ranchito Michoacan</t>
  </si>
  <si>
    <t>18°42'13.9"N 103°38'28.4"W</t>
  </si>
  <si>
    <t>https://maps.app.goo.gl/LRxCj5KaxjzX5ACY6</t>
  </si>
  <si>
    <t>18°44'56.7"N 103°39'34.6"W</t>
  </si>
  <si>
    <t>https://maps.app.goo.gl/WP1S5arXC33wrWSA8</t>
  </si>
  <si>
    <t>18°46'09.3"N 103°39'29.3"W</t>
  </si>
  <si>
    <t>https://goo.gl/maps/EYapWKaP29J3hf1r5</t>
  </si>
  <si>
    <t>Puerta de Caleras</t>
  </si>
  <si>
    <t>18°58'20.6"N 103°51'13.3"W</t>
  </si>
  <si>
    <t>https://goo.gl/maps/eJLZ8HesXqjgk2JQA</t>
  </si>
  <si>
    <t>Colomos Colima</t>
  </si>
  <si>
    <t>El Frijol</t>
  </si>
  <si>
    <t>19°02'05.2"N 104°13'24.5"W</t>
  </si>
  <si>
    <t>https://maps.app.goo.gl/WgvwxscymYCBR5SZ6</t>
  </si>
  <si>
    <t>Ejido Rio Marabasco</t>
  </si>
  <si>
    <t xml:space="preserve">Cihuatlan Jalisco </t>
  </si>
  <si>
    <t>19°14'02.0"N 104°32'23.2"W</t>
  </si>
  <si>
    <t>https://goo.gl/maps/CvFaYPvnLH9yyzhQ9</t>
  </si>
  <si>
    <t>28838, El Centinela de Arriba, Manzanillo. Colima</t>
  </si>
  <si>
    <t>19°10'08.0"N 104°34'11.2"W</t>
  </si>
  <si>
    <t>19°02'00.6"N 104°13'24.0"W</t>
  </si>
  <si>
    <t>https://goo.gl/maps/LSBb3FFE3yaBgsL77</t>
  </si>
  <si>
    <t xml:space="preserve">El Rebalse </t>
  </si>
  <si>
    <t>Jalisco</t>
  </si>
  <si>
    <t>19°11'00.5"N 104°34'55.8"W</t>
  </si>
  <si>
    <t>https://goo.gl/maps/mXfzEnM61YhQ276e9</t>
  </si>
  <si>
    <t>19°11'00.9"N 104°34'56.4"W</t>
  </si>
  <si>
    <t>https://goo.gl/maps/EH4UEanhofKeoe2X8</t>
  </si>
  <si>
    <t xml:space="preserve">el banco </t>
  </si>
  <si>
    <t>https://goo.gl/maps/sPHyMe9dxbB5bJow6</t>
  </si>
  <si>
    <t>18°45'26.1"N 103°40'10.6"W</t>
  </si>
  <si>
    <t>https://maps.app.goo.gl/CkbP2X1j66XUKANX6</t>
  </si>
  <si>
    <t>Marabasco Colima</t>
  </si>
  <si>
    <t>19°13'55.7"N 104°32'49.6"W</t>
  </si>
  <si>
    <t>https://maps.app.goo.gl/kJ4bjKpLJ18V1PzTA</t>
  </si>
  <si>
    <t xml:space="preserve">Rancheria Callejones </t>
  </si>
  <si>
    <t>18°48'42.6"N 103°37'30.3"W</t>
  </si>
  <si>
    <t>https://goo.gl/maps/mmc3LQ46LLawdSDX7</t>
  </si>
  <si>
    <t>18°47'52.2"N 103°38'41.3"W</t>
  </si>
  <si>
    <t>https://goo.gl/maps/ZEijyrqT3KwjhLus6</t>
  </si>
  <si>
    <t>Ejido La Peña</t>
  </si>
  <si>
    <t>La Peña Michoacan</t>
  </si>
  <si>
    <t>18.694144, -103.712185</t>
  </si>
  <si>
    <t>https://maps.app.goo.gl/PEaQ1zFsRBSDowrBA</t>
  </si>
  <si>
    <t>Col. Veinte de Noviembre</t>
  </si>
  <si>
    <t>18°45'46.1"N 103°38'44.3"W</t>
  </si>
  <si>
    <t>18°40'12.8"N 103°41'40.4"W</t>
  </si>
  <si>
    <t>https://goo.gl/maps/oEcZhvA4abC2uqXGA</t>
  </si>
  <si>
    <t xml:space="preserve">Los Ciruelos </t>
  </si>
  <si>
    <t>18°44'18.8"N 103°39'03.3"W</t>
  </si>
  <si>
    <t>https://goo.gl/maps/UCgoJF2Prykgwrjv7</t>
  </si>
  <si>
    <t>Colonia Veinte de Noviembre</t>
  </si>
  <si>
    <t>Camalote Michoacan</t>
  </si>
  <si>
    <t>18°46'16.7"N 103°38'35.7"W</t>
  </si>
  <si>
    <t>https://goo.gl/maps/HRA7eyUyxA92YjeeA</t>
  </si>
  <si>
    <t>El Camalote</t>
  </si>
  <si>
    <t>18°46'46.3"N 103°38'05.3"W</t>
  </si>
  <si>
    <t>https://goo.gl/maps/AQmrmSd9bJVZ62YT7</t>
  </si>
  <si>
    <t>18°44'35.3"N 103°39'35.5"W</t>
  </si>
  <si>
    <t>https://goo.gl/maps/pAQAncpMWYxAaPEk9</t>
  </si>
  <si>
    <t>18°44'34.4"N 103°39'35.7"W</t>
  </si>
  <si>
    <t>https://goo.gl/maps/H1xZ5eqPzgevEoQg6</t>
  </si>
  <si>
    <t>18°46'04.4"N 103°39'56.7"W</t>
  </si>
  <si>
    <t>https://maps.app.goo.gl/g2wjXioJnKH4KAXM6</t>
  </si>
  <si>
    <t>El Antojo, Colima</t>
  </si>
  <si>
    <t>18°49'25.3"N 103°50'52.2"W</t>
  </si>
  <si>
    <t>18°44'49.7"N 103°42'41.1"W</t>
  </si>
  <si>
    <t>https://goo.gl/maps/hBJ29DwGzwDdXwEy7</t>
  </si>
  <si>
    <t>Ojo de Agua de San Telmo, Pueblo, 60804, Coahuayana · Michoacán de Ocampo ; Quinta Rosario, Rancho</t>
  </si>
  <si>
    <t>18°43'02.1"N 103°42'02.8"W</t>
  </si>
  <si>
    <t>Jungapeo</t>
  </si>
  <si>
    <t>18°44'39.9"N 103°39'18.8"W</t>
  </si>
  <si>
    <t>https://maps.app.goo.gl/EunFqB3z5pdUE4Wp6</t>
  </si>
  <si>
    <t>18°44'09.8"N 103°42'04.1"W</t>
  </si>
  <si>
    <t>La Limonera</t>
  </si>
  <si>
    <t>18°43'31.3"N 103°42'24.9"W</t>
  </si>
  <si>
    <t>https://goo.gl/maps/wBPwNoKYNX5S73eD7</t>
  </si>
  <si>
    <t>18°45'21.6"N 103°42'21.8"W</t>
  </si>
  <si>
    <t>https://goo.gl/maps/pKZtBr4zSfWPCFqD6</t>
  </si>
  <si>
    <t>La Platanera</t>
  </si>
  <si>
    <t>Ahijadero Tecoman Colima</t>
  </si>
  <si>
    <t>18°54'12.6"N 103°48'08.7"W</t>
  </si>
  <si>
    <t>https://maps.app.goo.gl/bSsVcgetdfyxdAV86</t>
  </si>
  <si>
    <t>El Ranchito, Michoacán</t>
  </si>
  <si>
    <t>18°40'44.7"N 103°40'38.5"W</t>
  </si>
  <si>
    <t>18°45'01.2"N 103°39'51.6"W</t>
  </si>
  <si>
    <t>18°45'24.7"N 103°39'14.7"W</t>
  </si>
  <si>
    <t>18°45'11.1"N 103°40'48.0"W</t>
  </si>
  <si>
    <t>https://goo.gl/maps/ozVXdcE6wbjjqYdB9</t>
  </si>
  <si>
    <t>18°45'43.3"N 103°39'30.8"W</t>
  </si>
  <si>
    <t>https://maps.app.goo.gl/DutkdPxFzdHxqPZn9</t>
  </si>
  <si>
    <t>El zapotal</t>
  </si>
  <si>
    <t>Villa Fantasia</t>
  </si>
  <si>
    <t>18°50'10.0"N 103°52'56.4"W</t>
  </si>
  <si>
    <t>https://goo.gl/maps/9Lam2WDn1o1GZ7xA9</t>
  </si>
  <si>
    <t>Coahuayana viejo, Michoacan</t>
  </si>
  <si>
    <t>18°44'29.7"N 103°40'38.4"W</t>
  </si>
  <si>
    <t>18°59'33.3"N 103°52'37.0"W</t>
  </si>
  <si>
    <t>https://maps.app.goo.gl/i8sgoYUfkCq7ekhm9</t>
  </si>
  <si>
    <t>Los Ciruelos, Michoacán</t>
  </si>
  <si>
    <t>18°44'17.0"N 103°39'33.7"W</t>
  </si>
  <si>
    <t>https://maps.app.goo.gl/tZUVhFinF6q8qUBT8</t>
  </si>
  <si>
    <t>El Sacrificio, Colima.</t>
  </si>
  <si>
    <t>18°55'07.4"N 103°49'37.7"W</t>
  </si>
  <si>
    <t>https://maps.app.goo.gl/WofwSet8oD3aqK4U8</t>
  </si>
  <si>
    <t>El Ranchito Michoacan</t>
  </si>
  <si>
    <t>18°40'37.3"N 103°39'45.9"W</t>
  </si>
  <si>
    <t>https://maps.app.goo.gl/JKRS8Ps5oLKywRdm7</t>
  </si>
  <si>
    <t>18°45'33.13"N 103°41'52.23"W</t>
  </si>
  <si>
    <t>https://maps.app.goo.gl/8DdEc9xwbeVuUkG27</t>
  </si>
  <si>
    <t>Quinta Rosario Coahuayana Michoacan</t>
  </si>
  <si>
    <t>18°42'00.6"N 103°42'16.0"W</t>
  </si>
  <si>
    <t>https://goo.gl/maps/Bi44bnCeXtnjXgap8</t>
  </si>
  <si>
    <t>Zapotan, Michoacan</t>
  </si>
  <si>
    <t>18°42'48.2"N 103°36'51.7"W</t>
  </si>
  <si>
    <t>https://maps.app.goo.gl/66hiErXAhFC4DmZSA</t>
  </si>
  <si>
    <t>Cihuatlan</t>
  </si>
  <si>
    <t>19°13'39.4"N 104°34'17.0"W</t>
  </si>
  <si>
    <t>https://maps.app.goo.gl/9kULdY8QS5sc8Dw27</t>
  </si>
  <si>
    <t>Zapotan Coahuayana Michoacan</t>
  </si>
  <si>
    <t>Zapotan</t>
  </si>
  <si>
    <t>https://maps.app.goo.gl/rHCi5ctJfZhHxRHv7</t>
  </si>
  <si>
    <t> El Ahijadero, Michoacán</t>
  </si>
  <si>
    <t>18°41'44.2"N 103°37'22.4"W</t>
  </si>
  <si>
    <t>18°45'40.5"N 103°40'19.6"W</t>
  </si>
  <si>
    <t>https://goo.gl/maps/EiZpKvJ1U3NsayM38</t>
  </si>
  <si>
    <t>18°45'30.4"N 103°40'38.5"W</t>
  </si>
  <si>
    <t>https://maps.app.goo.gl/yTsgn2dAR1EFV1vA9</t>
  </si>
  <si>
    <t>Chalipa, Colima</t>
  </si>
  <si>
    <t>18°53'56.9"N 103°49'40.6"W</t>
  </si>
  <si>
    <t>https://maps.app.goo.gl/wT6wK9uYL8WMF5z69</t>
  </si>
  <si>
    <t xml:space="preserve">Cerrito de Aguilar </t>
  </si>
  <si>
    <t>18°49'12.0"N 103°50'27.2"W</t>
  </si>
  <si>
    <t>https://maps.app.goo.gl/wEhRmQyBMKTCPSAy8</t>
  </si>
  <si>
    <t>18°41'52.4"N 103°42'55.9"W</t>
  </si>
  <si>
    <t>https://goo.gl/maps/s5D2ET4zmZfmNt4q7</t>
  </si>
  <si>
    <t>Coahuayana Viejo.</t>
  </si>
  <si>
    <t>18°45'07.0"N 103°41'32.6"W</t>
  </si>
  <si>
    <t>Boca de apiza Michoacan</t>
  </si>
  <si>
    <t>Cihuatlán, Jalisco</t>
  </si>
  <si>
    <t>19°12'29.7"N 104°34'49.6"W</t>
  </si>
  <si>
    <t>Quinta Rosario (Rancho) en Coahuayana, Michoacán de Ocampo, México.</t>
  </si>
  <si>
    <t>18°42'06.9"N 103°42'30.9"W</t>
  </si>
  <si>
    <t xml:space="preserve">Código postal. 28935. Tecomán Colima · Cofradía de Morelos. </t>
  </si>
  <si>
    <t>Ticuiz Michoacan</t>
  </si>
  <si>
    <t xml:space="preserve">El Saucito </t>
  </si>
  <si>
    <t>18°51'17.8"N 103°47'38.5"W</t>
  </si>
  <si>
    <t>https://maps.app.goo.gl/9b4zrWbqJjTofZay7</t>
  </si>
  <si>
    <t>Callejones Los Olivos Tecoman Colima CP 28219</t>
  </si>
  <si>
    <t>18°49'11.1"N 103°38'41.9"W</t>
  </si>
  <si>
    <t>https://maps.app.goo.gl/yqNsW66zfotNMCLF7</t>
  </si>
  <si>
    <t>Callejones Tecoman Colima CP 28219</t>
  </si>
  <si>
    <t>18°49'00.0"N 103°38'22.9"W</t>
  </si>
  <si>
    <t>https://maps.app.goo.gl/WjhYVctXRA2aTtRV9</t>
  </si>
  <si>
    <t>18°51'34.60"N 103°48'10.99"W</t>
  </si>
  <si>
    <t>https://maps.app.goo.gl/tvV6ah8oUGNtqThy7</t>
  </si>
  <si>
    <t>Coahuayana</t>
  </si>
  <si>
    <t>18°51'05.7"N 103°37'14.5"W</t>
  </si>
  <si>
    <t>https://goo.gl/maps/5bLUadGBYuhUfZxi7</t>
  </si>
  <si>
    <t>Cerrito de Aguilar Colima</t>
  </si>
  <si>
    <t>Cerro Aguilar Chanchopa</t>
  </si>
  <si>
    <t>18°49'23.1"N 103°50'21.4"W</t>
  </si>
  <si>
    <t>https://maps.app.goo.gl/VJZBd7sxYdUxqtku5</t>
  </si>
  <si>
    <t>Cllejones, Colima</t>
  </si>
  <si>
    <t>Callejones Tecoman Colima</t>
  </si>
  <si>
    <t>18°48'43.7"N 103°37'31.3"W</t>
  </si>
  <si>
    <t>Rancheria el Saucito Tecoman Colima</t>
  </si>
  <si>
    <t>Chanchopa Tecoman Colima</t>
  </si>
  <si>
    <t>18°50'54.3"N 103°47'57.1"W</t>
  </si>
  <si>
    <t>https://maps.app.goo.gl/tRJopNV8bTDm8xHt7</t>
  </si>
  <si>
    <t>Rancho el Bonito</t>
  </si>
  <si>
    <t>Las Antenas Tecoman Colima</t>
  </si>
  <si>
    <t>18°50'36.2"N 103°48'47.5"W</t>
  </si>
  <si>
    <t>https://maps.app.goo.gl/sNKf18mgeBDY6idV8</t>
  </si>
  <si>
    <t>COAHUAYANA, MICHOACAN DE OCAMPO. MÉXICO CP. 60805</t>
  </si>
  <si>
    <t>18°45'42.2"N 103°39'25.1"W</t>
  </si>
  <si>
    <t>18°45'16.9"N 103°39'52.6"W</t>
  </si>
  <si>
    <t>https://maps.app.goo.gl/drbWFsspF6cdf2Er6</t>
  </si>
  <si>
    <t>Crucero boca de Apiza Michoacan</t>
  </si>
  <si>
    <t>Boca de Apiza Tecoman</t>
  </si>
  <si>
    <t>18.762975, -103.694294</t>
  </si>
  <si>
    <t>https://maps.app.goo.gl/uP9FLHfz72j4fqkU9</t>
  </si>
  <si>
    <t xml:space="preserve">La Vainilla </t>
  </si>
  <si>
    <t>18°58'12.0"N 103°50'45.2"W</t>
  </si>
  <si>
    <t>18°46'02.8"N 103°39'39.4"W</t>
  </si>
  <si>
    <t>Caleras Tecoman Colima</t>
  </si>
  <si>
    <t>18.703590, -103.641208</t>
  </si>
  <si>
    <t>https://maps.app.goo.gl/C5V25idEJttPcsnq9</t>
  </si>
  <si>
    <t>https://maps.app.goo.gl/6rHCxfoLzz9mrycr6</t>
  </si>
  <si>
    <t>Col. Veinte De Noviembre</t>
  </si>
  <si>
    <t>18°46'15.8"N 103°39'00.7"W</t>
  </si>
  <si>
    <t>18°45'37.0"N 103°40'24.8"W</t>
  </si>
  <si>
    <t>https://maps.app.goo.gl/N4VD3Sn8c5nttxDX7</t>
  </si>
  <si>
    <t>18°45'23.5"N 103°39'34.2"W</t>
  </si>
  <si>
    <t>https://maps.app.goo.gl/wRou1iKEnd5szNcX7</t>
  </si>
  <si>
    <t xml:space="preserve">Rio Marabasco </t>
  </si>
  <si>
    <t>19°13'58.8"N 104°32'18.1"W</t>
  </si>
  <si>
    <t>https://maps.app.goo.gl/bHzdtFhDYFtEYYUo7</t>
  </si>
  <si>
    <t>Boca de Apiza, Mich. Cp. 60804</t>
  </si>
  <si>
    <t>19°13'53.5"N 104°32'42.9"W</t>
  </si>
  <si>
    <t>AV. PROGRESO 44, CP 28900. TECOMÁN, MX.</t>
  </si>
  <si>
    <t>18°45'49.4"N 103°42'06.2"W</t>
  </si>
  <si>
    <t>https://maps.app.goo.gl/dbUuhe32n8iPJhFd9</t>
  </si>
  <si>
    <t>18°44'30.1"N 103°42'51.6"W</t>
  </si>
  <si>
    <t>Ranchería callejones Tecoman, Colima. Cp 28906</t>
  </si>
  <si>
    <t>18.8143 -103.6334</t>
  </si>
  <si>
    <t>18°48'14.4"N 103°37'39.1"W</t>
  </si>
  <si>
    <t>https://maps.app.goo.gl/EpErFbFCLZDimAwC7</t>
  </si>
  <si>
    <t>https://maps.app.goo.gl/LtdLmn58WSHGP2LM9</t>
  </si>
  <si>
    <t>El Diecinueve Tecoman Colima</t>
  </si>
  <si>
    <t>El diecinueve Tecoman Colima</t>
  </si>
  <si>
    <t>18°47'56.1"N 103°48'14.1"W</t>
  </si>
  <si>
    <t>https://maps.app.goo.gl/SBduqo9VawswQFQx9</t>
  </si>
  <si>
    <t>18°46'50.6"N 103°37'57.8"W</t>
  </si>
  <si>
    <t>https://maps.app.goo.gl/Vf6qfYDdyvUcv1hy9</t>
  </si>
  <si>
    <t>Rancheria Puerta de Caleras</t>
  </si>
  <si>
    <t>18°58'02.5"N 103°52'00.7"W</t>
  </si>
  <si>
    <t>https://maps.app.goo.gl/xwHEzM7C7JMYYMjJ6</t>
  </si>
  <si>
    <t> San Vicente en Coahuayana, Michoacán de Ocampo. CP 60804</t>
  </si>
  <si>
    <t>18°44'43.7"N 103°41'22.2"W</t>
  </si>
  <si>
    <t>18°45'36.3"N 103°40'23.7"W</t>
  </si>
  <si>
    <t>18°46'51.0"N 103°44'16.7"W</t>
  </si>
  <si>
    <t>https://maps.app.goo.gl/jPJmjJKVNaotzdUN8</t>
  </si>
  <si>
    <t>18°46'25.8"N 103°38'43.9"W</t>
  </si>
  <si>
    <t>Callejones, Colima</t>
  </si>
  <si>
    <t>18°48'04.8"N 103°38'04.9"W</t>
  </si>
  <si>
    <t>18°44'51.4"N 103°42'47.9"W</t>
  </si>
  <si>
    <t>https://maps.app.goo.gl/yYJic2wsNynHJGap8</t>
  </si>
  <si>
    <t>18.75342 103.66482</t>
  </si>
  <si>
    <t>20 de Noviembre, Michoacan.</t>
  </si>
  <si>
    <t>18°46'05.2"N 103°37'57.0"W</t>
  </si>
  <si>
    <t>28900 Carr. a Callejones,  Colima.</t>
  </si>
  <si>
    <t>18.9271105930887 -103.877928447091</t>
  </si>
  <si>
    <t>Puerta de Caleras Tecoman Colima</t>
  </si>
  <si>
    <t>18°58'21.0"N 103°51'13.0"W</t>
  </si>
  <si>
    <t>https://maps.app.goo.gl/jwxZpck87Acfhp6NA</t>
  </si>
  <si>
    <t>Zapotan Coahuayana</t>
  </si>
  <si>
    <t>18°43'04.9"N 103°36'46.8"W</t>
  </si>
  <si>
    <t>https://maps.app.goo.gl/DDMePiTmPAKABt1A7</t>
  </si>
  <si>
    <t>60804, Coahuayana, Mich. México</t>
  </si>
  <si>
    <t>18°42'35.5"N 103°42'49.4"W</t>
  </si>
  <si>
    <t>Cofradia Morelos</t>
  </si>
  <si>
    <t>El Vado No usar El Vado Repetida con 267 La Hermita</t>
  </si>
  <si>
    <t>18°39'43.6"N 103°40'57.6"W</t>
  </si>
  <si>
    <t>https://maps.app.goo.gl/qw2H9PcMDwgW6EBC9</t>
  </si>
  <si>
    <t>18°43'24.7"N 103°41'27.6"W</t>
  </si>
  <si>
    <t>https://maps.app.goo.gl/7GqV6JDt95whSo3w9</t>
  </si>
  <si>
    <t>La Platanera Laguna Alcuzahue Tecoman Colima</t>
  </si>
  <si>
    <t>18°53'45.5"N 103°48'32.2"W</t>
  </si>
  <si>
    <t>https://maps.app.goo.gl/v6VHmkLDBuHrWjR3A</t>
  </si>
  <si>
    <t>La Cuarta Tecoman Colima</t>
  </si>
  <si>
    <t>18°54'51.7"N 103°49'31.8"W</t>
  </si>
  <si>
    <t>https://maps.app.goo.gl/v3d8sSBtmN1mpxNr7</t>
  </si>
  <si>
    <t>18°48'31.1"N 103°47'07.2"W</t>
  </si>
  <si>
    <t>https://maps.app.goo.gl/cQ4GNfkeZnKZkGSw6</t>
  </si>
  <si>
    <t>18°42'21.6"N 103°42'49.9"W</t>
  </si>
  <si>
    <t>https://maps.app.goo.gl/mrVBFwNMwr7MCfko6</t>
  </si>
  <si>
    <t>Coahuyana viejo michoacan</t>
  </si>
  <si>
    <t>18°45'34.8"N 103°39'06.0"W</t>
  </si>
  <si>
    <t>https://maps.app.goo.gl/Pky5AWWMJew9jBW9A</t>
  </si>
  <si>
    <t>Calle 20 de Nov. Num 24. Cp 60805, Michoacan de Ocampo.</t>
  </si>
  <si>
    <t>18.740927972984 -103.657441589506</t>
  </si>
  <si>
    <t>18°42'19.7"N 103°42'48.8"W</t>
  </si>
  <si>
    <t>https://maps.app.goo.gl/MBFz6arwPm2vjgxh9</t>
  </si>
  <si>
    <t>18°40'41.3"N 103°40'28.9"W</t>
  </si>
  <si>
    <t>https://maps.app.goo.gl/DugyetdoUVir9N1c6</t>
  </si>
  <si>
    <t>Plantilla del canal. San Francisco</t>
  </si>
  <si>
    <t>CALLE VICENTE GUERRERO, SN. COFRADIA DE HIDALGO. TECOMAN, COLIMA. CP 28929.</t>
  </si>
  <si>
    <t>18.90264 -103.792</t>
  </si>
  <si>
    <t>18.82829 -103.83216</t>
  </si>
  <si>
    <t>18.88909 -103.81571</t>
  </si>
  <si>
    <t>18°46'35.3"N 103°40'38.9"W</t>
  </si>
  <si>
    <t>CALLEJONES #12 COL. COAHUAYANA VIEJO, CP.60805, MICHOACAN, MICHOACAN, MEXICO</t>
  </si>
  <si>
    <t>michoacan</t>
  </si>
  <si>
    <t>18.7522457251526 -103.66740327716</t>
  </si>
  <si>
    <t>18°47'57.1"N 103°37'52.1"W</t>
  </si>
  <si>
    <t>https://maps.app.goo.gl/831zukQ73ZmvFGFs9</t>
  </si>
  <si>
    <t>San Francisco ( El Chavarín)</t>
  </si>
  <si>
    <t>18°49'21.5"N 103°47'48.7"W</t>
  </si>
  <si>
    <t>18.740995507582134, -103.65424639847143</t>
  </si>
  <si>
    <t>Arturo Noriega Pizano, Ranchería, 28900, Tecomán. Colima ; Cerro de Ortega. Pueblo</t>
  </si>
  <si>
    <t>18°44'18.6"N 103°43'54.5"W</t>
  </si>
  <si>
    <t>Veinte de Noviembre, Michoacán</t>
  </si>
  <si>
    <t>coahuayana michoacan</t>
  </si>
  <si>
    <t>18°46'21.2"N 103°39'16.2"W</t>
  </si>
  <si>
    <t>Congregación El Rebalse en Cihuatlán, estado de Jalisco. Es un código postal de tipo Rural</t>
  </si>
  <si>
    <t>19°11'18.7"N 104°35'34.3"W</t>
  </si>
  <si>
    <t>El Pacifico Manzanillo Colima CP 28943</t>
  </si>
  <si>
    <t>Manzanillo Colima</t>
  </si>
  <si>
    <t>18°49'07.2"N 103°52'03.0"W</t>
  </si>
  <si>
    <t>https://maps.app.goo.gl/Q4sUqzAyTd6P1j1Y9</t>
  </si>
  <si>
    <t>CARRETERA RAMAL A CERRO DE ORTEGA, TECOMAN, COLIMA. CP 28906. MÉXICO.</t>
  </si>
  <si>
    <t>Tecoman colima</t>
  </si>
  <si>
    <t>18°47'20.7"N 103°39'50.2"W</t>
  </si>
  <si>
    <t>18°45'07.7"N 103°41'32.6"W</t>
  </si>
  <si>
    <t>COL. VEINTE DE NOVIEMBRE, MICHOACAN.  CP. 60805</t>
  </si>
  <si>
    <t>18°46'49.3"N 103°37'53.7"W</t>
  </si>
  <si>
    <t>18°47'19.2"N 103°39'50.2"W</t>
  </si>
  <si>
    <t>https://maps.app.goo.gl/Fw3memVAk4HV4Mdu9</t>
  </si>
  <si>
    <t>AV. REVOLUCIÓN, TECOMAN, COLIMA. MX. CP 28900</t>
  </si>
  <si>
    <t>18°44'07.0"N 103°42'49.3"W</t>
  </si>
  <si>
    <t>18°44'15.2"N 103°39'39.0"W</t>
  </si>
  <si>
    <t>https://maps.app.goo.gl/WEpUVPjwCdmiPzNT6</t>
  </si>
  <si>
    <t xml:space="preserve">Cofradia de Hidalgo, Tecoman Colima </t>
  </si>
  <si>
    <t>18°53'42.7"N 103°47'27.7"W</t>
  </si>
  <si>
    <t>https://maps.app.goo.gl/SgM2kVERArbsmCXW8</t>
  </si>
  <si>
    <t>CAMINO ANTIGUO A BARRA  DE NAVIDAD 1, CIHUATLÁN. JAL.</t>
  </si>
  <si>
    <t>19°13'20.9"N 104°39'08.6"W</t>
  </si>
  <si>
    <t>CALLE REFORMA S 209, EL RANCHITO. COAHUAYANA DE HIDALGO, MICHOACAN.</t>
  </si>
  <si>
    <t>18°40'54.1"N 103°39'39.0"W</t>
  </si>
  <si>
    <t>18°45'37.3"N 103°38'45.9"W</t>
  </si>
  <si>
    <t>CARRETERA RAMAL A CERRITO DE AGUILAR, EJ.EL ANTOJO. TECOMAN, COLIMA.</t>
  </si>
  <si>
    <t>18°49'26.9"N 103°50'50.4"W</t>
  </si>
  <si>
    <t>El Pacífico, Colima</t>
  </si>
  <si>
    <t>18°49'06.0"N 103°52'03.8"W</t>
  </si>
  <si>
    <t>18°48'23.3"N 103°38'15.2"W</t>
  </si>
  <si>
    <t>https://maps.app.goo.gl/A1hrHpj6t87YyWMF9</t>
  </si>
  <si>
    <t xml:space="preserve">CARRETERA PUERTA DE CALERAS, MADRID. TECOMAN, COLIMA. </t>
  </si>
  <si>
    <t>19°03'57.3"N 103°52'34.4"W</t>
  </si>
  <si>
    <t>https://maps.app.goo.gl/9F6vcmyCYkra6HMT6</t>
  </si>
  <si>
    <t>CARRETERA RAMAL A COAHUAYANA, 60804. COAHUAYANA DE HIDALGO, MICH, MX.</t>
  </si>
  <si>
    <t>18°44'13.9"N 103°40'51.7"W</t>
  </si>
  <si>
    <t>El Ticuiz, Michoacán</t>
  </si>
  <si>
    <t>18°39'51.4"N 103°40'43.7"W</t>
  </si>
  <si>
    <t>18°45'34.3"N 103°38'47.7"W</t>
  </si>
  <si>
    <t>LA VAINILLA, TECOMAN, MEXICO.</t>
  </si>
  <si>
    <t>18°48'48.0"N 103°39'17.1"W</t>
  </si>
  <si>
    <t>18°40'19.9"N 103°40'46.3"W</t>
  </si>
  <si>
    <t>Los Ciruelos</t>
  </si>
  <si>
    <t>18°44'34.8"N 103°39'02.9"W</t>
  </si>
  <si>
    <t> Cerro de Ortega, Colima</t>
  </si>
  <si>
    <t>18°46'36.4"N 103°44'22.3"W</t>
  </si>
  <si>
    <t>San Vicente, Michoacan</t>
  </si>
  <si>
    <t>18°44'26.5"N 103°41'36.0"W</t>
  </si>
  <si>
    <t>https://maps.app.goo.gl/Y1rrQr2rxWwWbDpt5</t>
  </si>
  <si>
    <t>La platanera, Colima</t>
  </si>
  <si>
    <t>18°54'24.6"N 103°48'33.7"W</t>
  </si>
  <si>
    <t>18°45'40.3"N 103°40'49.5"W</t>
  </si>
  <si>
    <t>18°45'33.8"N 103°39'05.3"W</t>
  </si>
  <si>
    <t>18°45'58.5"N 103°40'28.8"W</t>
  </si>
  <si>
    <t>https://www.google.com/maps/place/18%C2%B045'58.5%22N+103%C2%B040'28.8%22W/@18.7662508,-103.6772486,661m/data=!3m2!1e3!4b1!4m4!3m3!8m2!3d18.7662508!4d-103.6746737?hl=es&amp;entry=ttu&amp;g_ep=EgoyMDI2MDUyNy4wIKXMDSoASAFQAw%3D%3D</t>
  </si>
  <si>
    <t>El Pilar, Colima</t>
  </si>
  <si>
    <t>El Pilar Colima</t>
  </si>
  <si>
    <t>18°47'21.4"N 103°47'08.6"W</t>
  </si>
  <si>
    <t>https://www.google.com/maps/place/18%C2%B047'21.4%22N+103%C2%B047'08.6%22W/@18.7892784,-103.7882975,661m/data=!3m2!1e3!4b1!4m4!3m3!8m2!3d18.7892784!4d-103.7857226?hl=es&amp;entry=ttu&amp;g_ep=EgoyMDI2MDUyNy4wIKXMDSoASAFQAw%3D%3D</t>
  </si>
  <si>
    <t>18°54'28.5"N 103°50'36.7"W</t>
  </si>
  <si>
    <t>https://www.google.com/maps/place/18%C2%B054'28.5%22N+103%C2%B050'36.7%22W/@18.90791,-103.846097,660m/data=!3m2!1e3!4b1!4m4!3m3!8m2!3d18.90791!4d-103.8435221?hl=es&amp;entry=ttu&amp;g_ep=EgoyMDI2MDUyNy4wIKXMDSoASAFQAw%3D%3D</t>
  </si>
  <si>
    <t xml:space="preserve">Col. Veinte de Noviembre, Michoacan </t>
  </si>
  <si>
    <t>18°46'13.1"N 103°38'04.2"W</t>
  </si>
  <si>
    <t>https://maps.app.goo.gl/ciiBEJZWWzDyRLmq9</t>
  </si>
  <si>
    <t>Los Ciruelos Michoacan</t>
  </si>
  <si>
    <t>18°44'17.0"N 103°39'18.2"W</t>
  </si>
  <si>
    <t>https://maps.app.goo.gl/z2rmDLj78hFzRV2a8</t>
  </si>
  <si>
    <t>Ejido Coahuayana, MichoacáN</t>
  </si>
  <si>
    <t>18°44'18.3"N 103°39'42.6"W</t>
  </si>
  <si>
    <t>https://maps.app.goo.gl/3nfmogUMrma7LrHKA</t>
  </si>
  <si>
    <t>18°40'53.8"N 103°39'38.2"W</t>
  </si>
  <si>
    <t>https://maps.app.goo.gl/qayenuyS5wHBRZ7S9</t>
  </si>
  <si>
    <t>18°53'19.1"N 103°47'53.4"W</t>
  </si>
  <si>
    <t>https://maps.app.goo.gl/a6ogrbc6bGcnxHVs8</t>
  </si>
  <si>
    <t>18°46'20.1"N 103°39'47.7"W</t>
  </si>
  <si>
    <t>https://maps.app.goo.gl/FrvFG8aFB6aob25YA</t>
  </si>
  <si>
    <t>Zapotan Michoacan</t>
  </si>
  <si>
    <t>18°42'37.5"N 103°37'15.7"W</t>
  </si>
  <si>
    <t>https://maps.app.goo.gl/9vWHfv48M2u7rr4U9</t>
  </si>
  <si>
    <t>18°46'02.5"N 103°41'21.1"W</t>
  </si>
  <si>
    <t>https://maps.app.goo.gl/ZQQr8XsfjL8AMHkR9</t>
  </si>
  <si>
    <t xml:space="preserve"> Ticuiz, Michoacán</t>
  </si>
  <si>
    <t>18°40'00.6"N 103°40'29.2"W</t>
  </si>
  <si>
    <t>https://maps.app.goo.gl/7YbtesX2CSjUt8JW6</t>
  </si>
  <si>
    <t>Quinta Rosario, Michoacán</t>
  </si>
  <si>
    <t>18°42'16.8"N 103°42'53.5"W</t>
  </si>
  <si>
    <t>https://maps.app.goo.gl/Qwd77RscJUqPSprn8</t>
  </si>
  <si>
    <t>Boca de Apiza, Michoacán</t>
  </si>
  <si>
    <t>18°41'55.9"N 103°42'53.4"W</t>
  </si>
  <si>
    <t>https://maps.app.goo.gl/noH2xh2daxfjrCrK8</t>
  </si>
  <si>
    <t>https://maps.app.goo.gl/8YNDFJ9u9dHPF2wi9</t>
  </si>
  <si>
    <t>los ciuruelos michoacan</t>
  </si>
  <si>
    <t>18°44'41.5"N 103°38'36.4"W</t>
  </si>
  <si>
    <t>https://maps.app.goo.gl/m1yBC1q9QBKPdrkv5</t>
  </si>
  <si>
    <t xml:space="preserve">Blanquillo 1a Seccion </t>
  </si>
  <si>
    <t xml:space="preserve">Pichucalco </t>
  </si>
  <si>
    <t xml:space="preserve">C010G1
</t>
  </si>
  <si>
    <t>17°34'35.8"N 93°03'33.1"W</t>
  </si>
  <si>
    <t>https://maps.app.goo.gl/akfFmyjaVypbfggG7</t>
  </si>
  <si>
    <t xml:space="preserve">C010G2
</t>
  </si>
  <si>
    <t>17°35'12.0"N 93°04'43.7"W</t>
  </si>
  <si>
    <t>https://maps.app.goo.gl/5GT597tCsGWhhCcFA</t>
  </si>
  <si>
    <t xml:space="preserve">C010G3
</t>
  </si>
  <si>
    <t xml:space="preserve">C010G4
</t>
  </si>
  <si>
    <t xml:space="preserve">Las Lilias </t>
  </si>
  <si>
    <t>Teapa</t>
  </si>
  <si>
    <t>17°40'21.8"N 92°57'01.3"W</t>
  </si>
  <si>
    <t>https://goo.gl/maps/kS1HP13td3kuU4Hs9</t>
  </si>
  <si>
    <t>Ejido Andres Quintana Roo</t>
  </si>
  <si>
    <t>17°42'20.0"N 93°02'06.7"W</t>
  </si>
  <si>
    <t>https://goo.gl/maps/xP9ksPjbetFdCPwAA</t>
  </si>
  <si>
    <t xml:space="preserve">El Peru </t>
  </si>
  <si>
    <t>17°40'04.3"N 92°56'49.7"W</t>
  </si>
  <si>
    <t>https://goo.gl/maps/MBzbKTGBiF2HKQUx7</t>
  </si>
  <si>
    <t>17°37'57.2"N 92°58'35.0"W</t>
  </si>
  <si>
    <t>https://maps.app.goo.gl/qxZsy9j3rKLx6DhVA</t>
  </si>
  <si>
    <t>Miguel Hidalgo 2da Seccion</t>
  </si>
  <si>
    <t xml:space="preserve">Balancan Tabasco </t>
  </si>
  <si>
    <t>17°36'46.7"N 92°56'26.8"W</t>
  </si>
  <si>
    <t>https://goo.gl/maps/RjTcbZDDuaX9jZ61A</t>
  </si>
  <si>
    <t>C05020
2518061</t>
  </si>
  <si>
    <t>Jose Maria Morelos y Pavon</t>
  </si>
  <si>
    <t>Huimanguillo</t>
  </si>
  <si>
    <t>17°37'46.1"N 92°55'12.9"W</t>
  </si>
  <si>
    <t>https://goo.gl/maps/zmNr1WMTahdmbXGYA</t>
  </si>
  <si>
    <t>C05021
2518061</t>
  </si>
  <si>
    <t>Miguel Hidalgo 2da. Secc., Tabasco</t>
  </si>
  <si>
    <t>17°36'14.5"N 92°57'01.8"W</t>
  </si>
  <si>
    <t>https://maps.app.goo.gl/ujJsiCdaqV9u2MxU9</t>
  </si>
  <si>
    <t>Matamoros, Tabasco</t>
  </si>
  <si>
    <t>17°34'26.9"N 92°53'25.6"W</t>
  </si>
  <si>
    <t>https://maps.app.goo.gl/ib8xC2HXDgLKQAeo9</t>
  </si>
  <si>
    <t>Ranchería Blanquillo 2a Sección, Rural ; Chiapas, Pichucalco · Pueblo Nuevo Nicapa, Rural</t>
  </si>
  <si>
    <t>17.6093404499213, -93.05199199334615</t>
  </si>
  <si>
    <t>Teapa Tabasco</t>
  </si>
  <si>
    <t>17.61225999450492, -92.9537632423287</t>
  </si>
  <si>
    <t>https://maps.app.goo.gl/rZRh7UwzskXU4r2L6</t>
  </si>
  <si>
    <t>17°36'38.7"N 93°03'10.4"W</t>
  </si>
  <si>
    <t>Tacotalpa</t>
  </si>
  <si>
    <t>Cucuyulapa</t>
  </si>
  <si>
    <t>Cardenas</t>
  </si>
  <si>
    <t>17°57'53.9"N 93°15'43.8"W</t>
  </si>
  <si>
    <t>https://maps.app.goo.gl/XLgiJztWocvKN4Zj7</t>
  </si>
  <si>
    <t>17°59'54.3"N 93°13'44.1"W</t>
  </si>
  <si>
    <t>https://maps.app.goo.gl/deuMz3zyNzfu6Liz6</t>
  </si>
  <si>
    <t>17°35'12.1"N 92°50'58.5"W</t>
  </si>
  <si>
    <t>https://maps.app.goo.gl/rSenNTiBJr7PmLWV6</t>
  </si>
  <si>
    <t>Oaxaca</t>
  </si>
  <si>
    <t>CDMX</t>
  </si>
  <si>
    <t>Coahuayana Viejo, Pueblo, 60805. Michoacán de Ocampo; El Sifón, Rancho, 60805.</t>
  </si>
  <si>
    <t>Tultitlan</t>
  </si>
  <si>
    <t>OV OM</t>
  </si>
  <si>
    <t>Chanitos Premium Tarima Chep</t>
  </si>
  <si>
    <t>Chanitos Organic Banded Market Side Mexico</t>
  </si>
  <si>
    <t>Chanitos Premium Granel</t>
  </si>
  <si>
    <t>Chanitos Cha Cha Cha (2da) Granel</t>
  </si>
  <si>
    <t>Chanitos Manitas Granel</t>
  </si>
  <si>
    <t>Chanitos Cha Cha Cha (DS) Granel</t>
  </si>
  <si>
    <t>Platano de Chiapas BAE UPC 3237</t>
  </si>
  <si>
    <t>Chanitos Premium EUA Tarima Americana</t>
  </si>
  <si>
    <t>Chanitos Plantain 20Kg Tarima Americana</t>
  </si>
  <si>
    <t>Chanitos Cha Cha Cha 22XU  CP34 Mar Kodawari</t>
  </si>
  <si>
    <t>Chanitos Cha Cha Cha 22XU CP27 Mar Kodawari</t>
  </si>
  <si>
    <t>Chanitos Premium Tarima Americana</t>
  </si>
  <si>
    <t>Chanitos Plantain 20Kg Tarima Chep</t>
  </si>
  <si>
    <t>Chanitos Plantain 50lb Tarima Americana</t>
  </si>
  <si>
    <t>CPR01102</t>
  </si>
  <si>
    <t>CRG07128</t>
  </si>
  <si>
    <t>CPR01101</t>
  </si>
  <si>
    <t>CSA04120</t>
  </si>
  <si>
    <t>CMN05123</t>
  </si>
  <si>
    <t>CDS04122</t>
  </si>
  <si>
    <t>CPR01114</t>
  </si>
  <si>
    <t>CPR01104</t>
  </si>
  <si>
    <t>CPL08134</t>
  </si>
  <si>
    <t>CPR03119</t>
  </si>
  <si>
    <t>CPR03124</t>
  </si>
  <si>
    <t>CPR01103</t>
  </si>
  <si>
    <t>CPL08141</t>
  </si>
  <si>
    <t>CPL08133</t>
  </si>
  <si>
    <t>A01002-381409-1</t>
  </si>
  <si>
    <t>A01002-381409-4</t>
  </si>
  <si>
    <t>A01002-381409-3</t>
  </si>
  <si>
    <t>A01002-381409-5</t>
  </si>
  <si>
    <t>A01001-381409-1</t>
  </si>
  <si>
    <t>A01001-381409-4</t>
  </si>
  <si>
    <t>A01001-381409-3</t>
  </si>
  <si>
    <t>A01001-381409-5</t>
  </si>
  <si>
    <t>A01003-381409-1</t>
  </si>
  <si>
    <t>A01003-381409-4</t>
  </si>
  <si>
    <t>A01003-381409-3</t>
  </si>
  <si>
    <t>A01003-381409-5</t>
  </si>
  <si>
    <t>A11045-381409-1</t>
  </si>
  <si>
    <t>A11056-381409-1</t>
  </si>
  <si>
    <t>A11045-381509-1</t>
  </si>
  <si>
    <t>A04084-381509-1</t>
  </si>
  <si>
    <t>A41100-381509-1</t>
  </si>
  <si>
    <t>A01001-381509-1</t>
  </si>
  <si>
    <t>A01001-381509-4</t>
  </si>
  <si>
    <t>A01001-381509-3</t>
  </si>
  <si>
    <t>A01001-381509-5</t>
  </si>
  <si>
    <t>A01003-381509-1</t>
  </si>
  <si>
    <t>A01003-381509-4</t>
  </si>
  <si>
    <t>A01003-381509-3</t>
  </si>
  <si>
    <t>A01003-381509-5</t>
  </si>
  <si>
    <t>A01002-381509-1</t>
  </si>
  <si>
    <t>A01002-381509-4</t>
  </si>
  <si>
    <t>A01002-381509-3</t>
  </si>
  <si>
    <t>A01002-381509-5</t>
  </si>
  <si>
    <t>A04039-381609-1</t>
  </si>
  <si>
    <t>A04084-381609-1</t>
  </si>
  <si>
    <t>A41100-381709-1</t>
  </si>
  <si>
    <t>A06043-381709-1</t>
  </si>
  <si>
    <t>A04039-381709-1</t>
  </si>
  <si>
    <t>A04084-381709-1</t>
  </si>
  <si>
    <t>A04039-381809-1</t>
  </si>
  <si>
    <t>A01002-381709-1</t>
  </si>
  <si>
    <t>A01002-381709-4</t>
  </si>
  <si>
    <t>A01002-381709-3</t>
  </si>
  <si>
    <t>A01002-381709-5</t>
  </si>
  <si>
    <t>A01001-381709-1</t>
  </si>
  <si>
    <t>A01001-381709-4</t>
  </si>
  <si>
    <t>A01001-381709-3</t>
  </si>
  <si>
    <t>A01001-381709-5</t>
  </si>
  <si>
    <t>A01003-381709-1</t>
  </si>
  <si>
    <t>A01003-381709-4</t>
  </si>
  <si>
    <t>A01003-381709-3</t>
  </si>
  <si>
    <t>A01003-381709-5</t>
  </si>
  <si>
    <t>A06043-381809-1</t>
  </si>
  <si>
    <t>A04084-381809-1</t>
  </si>
  <si>
    <t>A01001-381809-1</t>
  </si>
  <si>
    <t>A01001-381809-4</t>
  </si>
  <si>
    <t>A01001-381809-3</t>
  </si>
  <si>
    <t>A01001-381809-5</t>
  </si>
  <si>
    <t>A01002-381809-1</t>
  </si>
  <si>
    <t>A01002-381809-4</t>
  </si>
  <si>
    <t>A01002-381809-3</t>
  </si>
  <si>
    <t>A01002-381809-5</t>
  </si>
  <si>
    <t>A01004-381809-1</t>
  </si>
  <si>
    <t>A01004-381809-4</t>
  </si>
  <si>
    <t>A01004-381809-3</t>
  </si>
  <si>
    <t>A01004-381809-5</t>
  </si>
  <si>
    <t>A27073-381809-1</t>
  </si>
  <si>
    <t>A41100-381809-1</t>
  </si>
  <si>
    <t>A01002-381909-1</t>
  </si>
  <si>
    <t>A01002-381909-4</t>
  </si>
  <si>
    <t>A01002-381909-3</t>
  </si>
  <si>
    <t>A01002-381909-5</t>
  </si>
  <si>
    <t>A01003-381909-1</t>
  </si>
  <si>
    <t>A01003-381909-4</t>
  </si>
  <si>
    <t>A01003-381909-3</t>
  </si>
  <si>
    <t>A01003-381909-5</t>
  </si>
  <si>
    <t>A01001-381909-1</t>
  </si>
  <si>
    <t>A01001-381909-4</t>
  </si>
  <si>
    <t>A01001-381909-3</t>
  </si>
  <si>
    <t>A01001-381909-5</t>
  </si>
  <si>
    <t>A04039-381909-1</t>
  </si>
  <si>
    <t>A04083-381909-1</t>
  </si>
  <si>
    <t>Granel</t>
  </si>
  <si>
    <t>SKU</t>
  </si>
  <si>
    <t>Lote</t>
  </si>
  <si>
    <t>Fecha de proceso</t>
  </si>
  <si>
    <t>Llave_Base_Consulta</t>
  </si>
  <si>
    <t>Ocurrencia_Consulta</t>
  </si>
  <si>
    <t>Llave_Embarque_Consulta</t>
  </si>
  <si>
    <t>Archivo_Origen</t>
  </si>
  <si>
    <t>Chanitos Cha Cha Cha 22XU CP26 Mar Kodawari</t>
  </si>
  <si>
    <t>CPR03117</t>
  </si>
  <si>
    <t>A01001-012912-1</t>
  </si>
  <si>
    <t>16667</t>
  </si>
  <si>
    <t>Programa Embarques 2026 S-01.xlsx</t>
  </si>
  <si>
    <t>A01001-012912-4</t>
  </si>
  <si>
    <t>A01001-012912-3</t>
  </si>
  <si>
    <t>A01001-012912-5</t>
  </si>
  <si>
    <t>A04084-012912-1</t>
  </si>
  <si>
    <t>16130</t>
  </si>
  <si>
    <t>A01002-012912-1</t>
  </si>
  <si>
    <t>16093</t>
  </si>
  <si>
    <t>A11045-012912-1</t>
  </si>
  <si>
    <t>16315</t>
  </si>
  <si>
    <t>A11092-012912-1</t>
  </si>
  <si>
    <t>16316</t>
  </si>
  <si>
    <t>A01004-012912-1</t>
  </si>
  <si>
    <t>Chanitos Snack</t>
  </si>
  <si>
    <t>CDS06124</t>
  </si>
  <si>
    <t>A01001-013012-1</t>
  </si>
  <si>
    <t>16314</t>
  </si>
  <si>
    <t>A01001-013012-4</t>
  </si>
  <si>
    <t>A01001-013012-3</t>
  </si>
  <si>
    <t>A01001-013012-5</t>
  </si>
  <si>
    <t>A01002-013012-1</t>
  </si>
  <si>
    <t>16098</t>
  </si>
  <si>
    <t>A04084-013012-1</t>
  </si>
  <si>
    <t>16681</t>
  </si>
  <si>
    <t>A26077-013012-1</t>
  </si>
  <si>
    <t>16840</t>
  </si>
  <si>
    <t>A01004-013012-1</t>
  </si>
  <si>
    <t>A11087-013012-1</t>
  </si>
  <si>
    <t>A27073-013012-1</t>
  </si>
  <si>
    <t>15769</t>
  </si>
  <si>
    <t>A27073-010201-1</t>
  </si>
  <si>
    <t>16104</t>
  </si>
  <si>
    <t>A01002-010201-1</t>
  </si>
  <si>
    <t>A01001-010201-1</t>
  </si>
  <si>
    <t>A01001-010201-4</t>
  </si>
  <si>
    <t>A01001-010201-3</t>
  </si>
  <si>
    <t>A01001-010201-5</t>
  </si>
  <si>
    <t>A01002-010201-4</t>
  </si>
  <si>
    <t>A01002-010201-3</t>
  </si>
  <si>
    <t>A01002-010201-5</t>
  </si>
  <si>
    <t>A01003-010201-1</t>
  </si>
  <si>
    <t>16673</t>
  </si>
  <si>
    <t>16675</t>
  </si>
  <si>
    <t>A01003-010201-4</t>
  </si>
  <si>
    <t>A01003-010201-5</t>
  </si>
  <si>
    <t>A05041-010301-1</t>
  </si>
  <si>
    <t>A05 041 Plataneros Unidos 2</t>
  </si>
  <si>
    <t>17208</t>
  </si>
  <si>
    <t>A05042-010301-1</t>
  </si>
  <si>
    <t>A01003-010301-1</t>
  </si>
  <si>
    <t>16831</t>
  </si>
  <si>
    <t>A01003-010301-4</t>
  </si>
  <si>
    <t>A01003-010301-3</t>
  </si>
  <si>
    <t>A01003-010301-5</t>
  </si>
  <si>
    <t>A01001-010301-1</t>
  </si>
  <si>
    <t>16829</t>
  </si>
  <si>
    <t>A01001-010301-4</t>
  </si>
  <si>
    <t>A01001-010301-3</t>
  </si>
  <si>
    <t>A01001-010301-5</t>
  </si>
  <si>
    <t>A01002-010301-1</t>
  </si>
  <si>
    <t>A01002-010301-4</t>
  </si>
  <si>
    <t>A01002-010301-3</t>
  </si>
  <si>
    <t>A01002-010301-5</t>
  </si>
  <si>
    <t>A04084-020501-1</t>
  </si>
  <si>
    <t>17065</t>
  </si>
  <si>
    <t>Programa Embarques 2026 S-02.xlsx</t>
  </si>
  <si>
    <t>A01002-020501-1</t>
  </si>
  <si>
    <t>16962</t>
  </si>
  <si>
    <t>A01002-020501-4</t>
  </si>
  <si>
    <t>A01002-020501-3</t>
  </si>
  <si>
    <t>A01002-020501-5</t>
  </si>
  <si>
    <t>A01003-020501-1</t>
  </si>
  <si>
    <t>16956</t>
  </si>
  <si>
    <t>A01003-020501-4</t>
  </si>
  <si>
    <t>A01003-020501-3</t>
  </si>
  <si>
    <t>A01003-020501-5</t>
  </si>
  <si>
    <t>A01001-020501-1</t>
  </si>
  <si>
    <t>17230</t>
  </si>
  <si>
    <t>A01001-020501-4</t>
  </si>
  <si>
    <t>A01001-020501-3</t>
  </si>
  <si>
    <t>A01001-020501-5</t>
  </si>
  <si>
    <t>A27073-020501-1</t>
  </si>
  <si>
    <t>16101</t>
  </si>
  <si>
    <t>A04084-020601-1</t>
  </si>
  <si>
    <t>17043</t>
  </si>
  <si>
    <t>A01002-020601-1</t>
  </si>
  <si>
    <t>17044</t>
  </si>
  <si>
    <t>17053</t>
  </si>
  <si>
    <t>A01002-020601-4</t>
  </si>
  <si>
    <t>A01002-020601-3</t>
  </si>
  <si>
    <t>A01002-020601-5</t>
  </si>
  <si>
    <t>A01004-020601-1</t>
  </si>
  <si>
    <t>A26077-020601-1</t>
  </si>
  <si>
    <t>17139</t>
  </si>
  <si>
    <t>A11056-020601-1</t>
  </si>
  <si>
    <t>A01001-020601-1</t>
  </si>
  <si>
    <t>17232</t>
  </si>
  <si>
    <t>A01001-020601-4</t>
  </si>
  <si>
    <t>A01001-020601-3</t>
  </si>
  <si>
    <t>A01001-020601-5</t>
  </si>
  <si>
    <t>A01004-020601-4</t>
  </si>
  <si>
    <t>A01004-020601-3</t>
  </si>
  <si>
    <t>A01004-020601-5</t>
  </si>
  <si>
    <t>A01001-020701-1</t>
  </si>
  <si>
    <t>A01001-020701-4</t>
  </si>
  <si>
    <t>A01001-020701-3</t>
  </si>
  <si>
    <t>A01001-020701-5</t>
  </si>
  <si>
    <t>A01002-020701-1</t>
  </si>
  <si>
    <t>17126</t>
  </si>
  <si>
    <t>A01002-020701-4</t>
  </si>
  <si>
    <t>A01002-020701-3</t>
  </si>
  <si>
    <t>A01002-020701-5</t>
  </si>
  <si>
    <t>A11092-020701-1</t>
  </si>
  <si>
    <t>17224</t>
  </si>
  <si>
    <t>A04084-020701-1</t>
  </si>
  <si>
    <t>A01004-020701-1</t>
  </si>
  <si>
    <t>A01004-020701-4</t>
  </si>
  <si>
    <t>A01004-020701-3</t>
  </si>
  <si>
    <t>A01004-020701-5</t>
  </si>
  <si>
    <t>A01001-020801-1</t>
  </si>
  <si>
    <t>A01001-020801-4</t>
  </si>
  <si>
    <t>A01001-020801-3</t>
  </si>
  <si>
    <t>A01001-020801-5</t>
  </si>
  <si>
    <t>A04084-020801-1</t>
  </si>
  <si>
    <t>17129</t>
  </si>
  <si>
    <t>17497</t>
  </si>
  <si>
    <t>A01003-020801-1</t>
  </si>
  <si>
    <t>17131</t>
  </si>
  <si>
    <t>A01003-020801-4</t>
  </si>
  <si>
    <t>A01003-020801-3</t>
  </si>
  <si>
    <t>A01003-020801-5</t>
  </si>
  <si>
    <t>A01003-020901-1</t>
  </si>
  <si>
    <t>A01003-020901-4</t>
  </si>
  <si>
    <t>A01003-020901-3</t>
  </si>
  <si>
    <t>A01003-020901-5</t>
  </si>
  <si>
    <t>Chanitos Premium Tarima Chep Banda 3b</t>
  </si>
  <si>
    <t>CPR03123</t>
  </si>
  <si>
    <t>A01002-031201-1</t>
  </si>
  <si>
    <t>Programa Embarques 2026 S-03.xlsx</t>
  </si>
  <si>
    <t>A01002-031201-4</t>
  </si>
  <si>
    <t>A01002-031201-3</t>
  </si>
  <si>
    <t>A01002-031201-5</t>
  </si>
  <si>
    <t>A01004-031201-1</t>
  </si>
  <si>
    <t>A01004-031201-4</t>
  </si>
  <si>
    <t>A01004-031201-5</t>
  </si>
  <si>
    <t>A27073-031201-1</t>
  </si>
  <si>
    <t>16103</t>
  </si>
  <si>
    <t>A01001-031201-1</t>
  </si>
  <si>
    <t>17919</t>
  </si>
  <si>
    <t>A01001-031201-4</t>
  </si>
  <si>
    <t>A01001-031201-3</t>
  </si>
  <si>
    <t>A01001-031201-5</t>
  </si>
  <si>
    <t>A04084-031201-1</t>
  </si>
  <si>
    <t>17754</t>
  </si>
  <si>
    <t>17756</t>
  </si>
  <si>
    <t>17881</t>
  </si>
  <si>
    <t>A01002-031301-1</t>
  </si>
  <si>
    <t>A01002-031301-4</t>
  </si>
  <si>
    <t>A01002-031301-3</t>
  </si>
  <si>
    <t>A01002-031301-5</t>
  </si>
  <si>
    <t>A01001-031301-1</t>
  </si>
  <si>
    <t>18147</t>
  </si>
  <si>
    <t>17988</t>
  </si>
  <si>
    <t>17905</t>
  </si>
  <si>
    <t>A01001-031301-4</t>
  </si>
  <si>
    <t>A01001-031301-3</t>
  </si>
  <si>
    <t>A01001-031301-5</t>
  </si>
  <si>
    <t>A11045-031301-1</t>
  </si>
  <si>
    <t>17918</t>
  </si>
  <si>
    <t>A11092-031301-1</t>
  </si>
  <si>
    <t>A01003-031301-1</t>
  </si>
  <si>
    <t>17900</t>
  </si>
  <si>
    <t>A01003-031301-4</t>
  </si>
  <si>
    <t>A01003-031301-3</t>
  </si>
  <si>
    <t>A01003-031301-5</t>
  </si>
  <si>
    <t>A04084-031301-1</t>
  </si>
  <si>
    <t>17876</t>
  </si>
  <si>
    <t>A01002-031401-1</t>
  </si>
  <si>
    <t>17989</t>
  </si>
  <si>
    <t>A01002-031401-4</t>
  </si>
  <si>
    <t>A01002-031401-3</t>
  </si>
  <si>
    <t>A01002-031401-5</t>
  </si>
  <si>
    <t>A11087-031401-1</t>
  </si>
  <si>
    <t>A01003-031401-1</t>
  </si>
  <si>
    <t>18022</t>
  </si>
  <si>
    <t>17907</t>
  </si>
  <si>
    <t>18016</t>
  </si>
  <si>
    <t>A01003-031401-4</t>
  </si>
  <si>
    <t>A01003-031401-3</t>
  </si>
  <si>
    <t>A01003-031401-5</t>
  </si>
  <si>
    <t>A04084-031401-1</t>
  </si>
  <si>
    <t>A01001-031401-1</t>
  </si>
  <si>
    <t>A01001-031401-4</t>
  </si>
  <si>
    <t>A01001-031401-3</t>
  </si>
  <si>
    <t>A01001-031401-5</t>
  </si>
  <si>
    <t>A04084-031501-1</t>
  </si>
  <si>
    <t>18086</t>
  </si>
  <si>
    <t>A36090-031501-1</t>
  </si>
  <si>
    <t>18021</t>
  </si>
  <si>
    <t>A01001-031501-1</t>
  </si>
  <si>
    <t>18015</t>
  </si>
  <si>
    <t>A01001-031501-4</t>
  </si>
  <si>
    <t>A01001-031501-3</t>
  </si>
  <si>
    <t>A01001-031501-5</t>
  </si>
  <si>
    <t>A01003-031501-1</t>
  </si>
  <si>
    <t>A01003-031501-4</t>
  </si>
  <si>
    <t>A01003-031501-3</t>
  </si>
  <si>
    <t>A01003-031501-5</t>
  </si>
  <si>
    <t>A26077-031501-1</t>
  </si>
  <si>
    <t>A01002-031501-1</t>
  </si>
  <si>
    <t>18090</t>
  </si>
  <si>
    <t>A01002-031501-4</t>
  </si>
  <si>
    <t>A01002-031501-3</t>
  </si>
  <si>
    <t>A01002-031501-5</t>
  </si>
  <si>
    <t>A25022-031601-1</t>
  </si>
  <si>
    <t>18227</t>
  </si>
  <si>
    <t>A04084-031601-1</t>
  </si>
  <si>
    <t>A01002-031601-1</t>
  </si>
  <si>
    <t>Chanitos (DS) Granel Carton y Sello Premium</t>
  </si>
  <si>
    <t>A01002-031601-5</t>
  </si>
  <si>
    <t>A01002-031601-4</t>
  </si>
  <si>
    <t>A01002-031601-3</t>
  </si>
  <si>
    <t>Marketside</t>
  </si>
  <si>
    <t>23</t>
  </si>
  <si>
    <t>4</t>
  </si>
  <si>
    <t>0</t>
  </si>
  <si>
    <t>A27073-041901-1</t>
  </si>
  <si>
    <t>16726</t>
  </si>
  <si>
    <t>Programa Embarques 2026 S-04.xlsx</t>
  </si>
  <si>
    <t>A01003-041901-1</t>
  </si>
  <si>
    <t>18495</t>
  </si>
  <si>
    <t>A01003-041901-4</t>
  </si>
  <si>
    <t>A01003-041901-3</t>
  </si>
  <si>
    <t>A01003-041901-5</t>
  </si>
  <si>
    <t>A04084-041901-1</t>
  </si>
  <si>
    <t>18472</t>
  </si>
  <si>
    <t>A11045-041901-1</t>
  </si>
  <si>
    <t>18498</t>
  </si>
  <si>
    <t>A01001-041901-1</t>
  </si>
  <si>
    <t>18682</t>
  </si>
  <si>
    <t>A01001-041901-4</t>
  </si>
  <si>
    <t>A01001-041901-3</t>
  </si>
  <si>
    <t>A01001-041901-5</t>
  </si>
  <si>
    <t>A01002-041901-1</t>
  </si>
  <si>
    <t>18473</t>
  </si>
  <si>
    <t>A01002-041901-4</t>
  </si>
  <si>
    <t>A01002-041901-3</t>
  </si>
  <si>
    <t>A01002-041901-5</t>
  </si>
  <si>
    <t>A11045-042001-1</t>
  </si>
  <si>
    <t>A11092-042001-1</t>
  </si>
  <si>
    <t>18605</t>
  </si>
  <si>
    <t>A26077-042001-1</t>
  </si>
  <si>
    <t>A01002-042001-1</t>
  </si>
  <si>
    <t>A01002-042001-4</t>
  </si>
  <si>
    <t>A01002-042001-3</t>
  </si>
  <si>
    <t>A01002-042001-5</t>
  </si>
  <si>
    <t>A01001-042001-1</t>
  </si>
  <si>
    <t>18683</t>
  </si>
  <si>
    <t>A01001-042001-4</t>
  </si>
  <si>
    <t>A01001-042001-3</t>
  </si>
  <si>
    <t>A01001-042001-5</t>
  </si>
  <si>
    <t>A01004-042001-1</t>
  </si>
  <si>
    <t>A01004-042001-4</t>
  </si>
  <si>
    <t>A01004-042001-5</t>
  </si>
  <si>
    <t>A04084-042001-1</t>
  </si>
  <si>
    <t>18604</t>
  </si>
  <si>
    <t>A01002-042101-1</t>
  </si>
  <si>
    <t>18607</t>
  </si>
  <si>
    <t>18621</t>
  </si>
  <si>
    <t>A01002-042101-4</t>
  </si>
  <si>
    <t>A01002-042101-3</t>
  </si>
  <si>
    <t>A01002-042101-5</t>
  </si>
  <si>
    <t>A25022-042101-1</t>
  </si>
  <si>
    <t>18691</t>
  </si>
  <si>
    <t>A01001-042101-1</t>
  </si>
  <si>
    <t>A01001-042101-4</t>
  </si>
  <si>
    <t>A01001-042101-3</t>
  </si>
  <si>
    <t>A01001-042101-5</t>
  </si>
  <si>
    <t>A01004-042101-1</t>
  </si>
  <si>
    <t>A01004-042101-4</t>
  </si>
  <si>
    <t>A01004-042101-5</t>
  </si>
  <si>
    <t>A04084-042101-1</t>
  </si>
  <si>
    <t>18620</t>
  </si>
  <si>
    <t>A01003-042201-1</t>
  </si>
  <si>
    <t>18614</t>
  </si>
  <si>
    <t>A01003-042201-4</t>
  </si>
  <si>
    <t>A01003-042201-3</t>
  </si>
  <si>
    <t>A01003-042201-5</t>
  </si>
  <si>
    <t>A04084-042201-1</t>
  </si>
  <si>
    <t>A25022-042201-1</t>
  </si>
  <si>
    <t>A36090-042201-1</t>
  </si>
  <si>
    <t>A01002-042201-1</t>
  </si>
  <si>
    <t>A01001-042201-1</t>
  </si>
  <si>
    <t>A01001-042201-4</t>
  </si>
  <si>
    <t>A01001-042201-3</t>
  </si>
  <si>
    <t>A01001-042201-5</t>
  </si>
  <si>
    <t>A01002-042201-4</t>
  </si>
  <si>
    <t>A01002-042201-3</t>
  </si>
  <si>
    <t>A01002-042201-5</t>
  </si>
  <si>
    <t>A27073-042301-1</t>
  </si>
  <si>
    <t>17280</t>
  </si>
  <si>
    <t>A01003-042301-1</t>
  </si>
  <si>
    <t>A01003-042301-4</t>
  </si>
  <si>
    <t>A01003-042301-3</t>
  </si>
  <si>
    <t>A01003-042301-5</t>
  </si>
  <si>
    <t>A36090-042301-1</t>
  </si>
  <si>
    <t>18773</t>
  </si>
  <si>
    <t>A04084-042301-1</t>
  </si>
  <si>
    <t>18771</t>
  </si>
  <si>
    <t>A01003-042401-1</t>
  </si>
  <si>
    <t>18772</t>
  </si>
  <si>
    <t>18774</t>
  </si>
  <si>
    <t>A01003-042401-4</t>
  </si>
  <si>
    <t>A01003-042401-3</t>
  </si>
  <si>
    <t>A01003-042401-5</t>
  </si>
  <si>
    <t>24</t>
  </si>
  <si>
    <t>0.35</t>
  </si>
  <si>
    <t>A01004-052601-1</t>
  </si>
  <si>
    <t>18888</t>
  </si>
  <si>
    <t>Programa Embarques 2026 S-05.xlsx</t>
  </si>
  <si>
    <t>19343</t>
  </si>
  <si>
    <t>A01004-052601-4</t>
  </si>
  <si>
    <t>A01004-052601-5</t>
  </si>
  <si>
    <t>A04084-052601-1</t>
  </si>
  <si>
    <t>18891</t>
  </si>
  <si>
    <t>A01002-052601-1</t>
  </si>
  <si>
    <t>18892</t>
  </si>
  <si>
    <t>A27073-052601-1</t>
  </si>
  <si>
    <t>16107</t>
  </si>
  <si>
    <t>A01001-052601-1</t>
  </si>
  <si>
    <t>19622</t>
  </si>
  <si>
    <t>A01001-052601-4</t>
  </si>
  <si>
    <t>A01001-052601-3</t>
  </si>
  <si>
    <t>A01001-052601-5</t>
  </si>
  <si>
    <t>A01002-052601-4</t>
  </si>
  <si>
    <t>A01002-052601-3</t>
  </si>
  <si>
    <t>A01002-052601-5</t>
  </si>
  <si>
    <t>A04084-052701-1</t>
  </si>
  <si>
    <t>19348</t>
  </si>
  <si>
    <t>A01002-052701-1</t>
  </si>
  <si>
    <t>19366</t>
  </si>
  <si>
    <t>19342</t>
  </si>
  <si>
    <t>A01002-052701-4</t>
  </si>
  <si>
    <t>A01002-052701-3</t>
  </si>
  <si>
    <t>A01002-052701-5</t>
  </si>
  <si>
    <t>A01004-052701-1</t>
  </si>
  <si>
    <t>A01004-052701-4</t>
  </si>
  <si>
    <t>A01004-052701-5</t>
  </si>
  <si>
    <t>A11087-052701-1</t>
  </si>
  <si>
    <t>19368</t>
  </si>
  <si>
    <t>A11045-052701-1</t>
  </si>
  <si>
    <t>A01001-052701-1</t>
  </si>
  <si>
    <t>A01001-052701-4</t>
  </si>
  <si>
    <t>A01001-052701-3</t>
  </si>
  <si>
    <t>A01001-052701-5</t>
  </si>
  <si>
    <t>A01002-052801-1</t>
  </si>
  <si>
    <t>A01002-052801-4</t>
  </si>
  <si>
    <t>A01002-052801-3</t>
  </si>
  <si>
    <t>A01002-052801-5</t>
  </si>
  <si>
    <t>A01001-052801-1</t>
  </si>
  <si>
    <t>A01001-052801-4</t>
  </si>
  <si>
    <t>A01001-052801-3</t>
  </si>
  <si>
    <t>A01001-052801-5</t>
  </si>
  <si>
    <t>A26077-052801-1</t>
  </si>
  <si>
    <t>A04084-052801-1</t>
  </si>
  <si>
    <t>A01003-052801-1</t>
  </si>
  <si>
    <t>A01003-052801-4</t>
  </si>
  <si>
    <t>A01003-052801-3</t>
  </si>
  <si>
    <t>A01003-052801-5</t>
  </si>
  <si>
    <t>A01003-052901-1</t>
  </si>
  <si>
    <t>19389</t>
  </si>
  <si>
    <t>A01003-052901-4</t>
  </si>
  <si>
    <t>A01003-052901-3</t>
  </si>
  <si>
    <t>A01003-052901-5</t>
  </si>
  <si>
    <t>A01001-052901-1</t>
  </si>
  <si>
    <t>19647</t>
  </si>
  <si>
    <t>A01001-052901-4</t>
  </si>
  <si>
    <t>A01001-052901-3</t>
  </si>
  <si>
    <t>A01001-052901-5</t>
  </si>
  <si>
    <t>A01002-052901-1</t>
  </si>
  <si>
    <t>19401</t>
  </si>
  <si>
    <t>19402</t>
  </si>
  <si>
    <t>A01002-052901-4</t>
  </si>
  <si>
    <t>A01002-052901-3</t>
  </si>
  <si>
    <t>A01002-052901-5</t>
  </si>
  <si>
    <t>A04084-052901-1</t>
  </si>
  <si>
    <t>A25031-053001-1</t>
  </si>
  <si>
    <t>19752</t>
  </si>
  <si>
    <t>A01003-053001-1</t>
  </si>
  <si>
    <t>19521</t>
  </si>
  <si>
    <t>19525</t>
  </si>
  <si>
    <t>A01003-053001-4</t>
  </si>
  <si>
    <t>A01003-053001-3</t>
  </si>
  <si>
    <t>A01003-053001-5</t>
  </si>
  <si>
    <t>A04084-053001-1</t>
  </si>
  <si>
    <t>A01002-053001-1</t>
  </si>
  <si>
    <t>A01002-053001-4</t>
  </si>
  <si>
    <t>A01002-053001-3</t>
  </si>
  <si>
    <t>A01002-053001-5</t>
  </si>
  <si>
    <t>A25022-053101-1</t>
  </si>
  <si>
    <t>A01003-053101-1</t>
  </si>
  <si>
    <t>A01003-053101-4</t>
  </si>
  <si>
    <t>A01003-053101-3</t>
  </si>
  <si>
    <t>A01003-053101-5</t>
  </si>
  <si>
    <t>A01004-070902-1</t>
  </si>
  <si>
    <t>20558</t>
  </si>
  <si>
    <t>Programa Embarques 2026 S-07.xlsx</t>
  </si>
  <si>
    <t>20953</t>
  </si>
  <si>
    <t>A01004-070902-4</t>
  </si>
  <si>
    <t>A01004-070902-3</t>
  </si>
  <si>
    <t>A01004-070902-5</t>
  </si>
  <si>
    <t>A11045-070902-1</t>
  </si>
  <si>
    <t>21162</t>
  </si>
  <si>
    <t>A01001-070902-1</t>
  </si>
  <si>
    <t>20411</t>
  </si>
  <si>
    <t>A01001-070902-4</t>
  </si>
  <si>
    <t>A01001-070902-3</t>
  </si>
  <si>
    <t>A01001-070902-5</t>
  </si>
  <si>
    <t>A01002-070902-1</t>
  </si>
  <si>
    <t>20561</t>
  </si>
  <si>
    <t>20438</t>
  </si>
  <si>
    <t>A01002-070902-4</t>
  </si>
  <si>
    <t>A01002-070902-3</t>
  </si>
  <si>
    <t>A01002-070902-5</t>
  </si>
  <si>
    <t>A27073-070902-1</t>
  </si>
  <si>
    <t>18866</t>
  </si>
  <si>
    <t>A01004-071002-1</t>
  </si>
  <si>
    <t>20559</t>
  </si>
  <si>
    <t>A01004-071002-4</t>
  </si>
  <si>
    <t>A01004-071002-5</t>
  </si>
  <si>
    <t>A11045-071002-1</t>
  </si>
  <si>
    <t>A11045-071102-1</t>
  </si>
  <si>
    <t>21255</t>
  </si>
  <si>
    <t>A26077-071102-1</t>
  </si>
  <si>
    <t>A25067-071002-1</t>
  </si>
  <si>
    <t>A26077-071002-1</t>
  </si>
  <si>
    <t>A04084-071002-1</t>
  </si>
  <si>
    <t>20436</t>
  </si>
  <si>
    <t>A01002-071002-1</t>
  </si>
  <si>
    <t>20562</t>
  </si>
  <si>
    <t>21244</t>
  </si>
  <si>
    <t>A01002-071002-4</t>
  </si>
  <si>
    <t>A01002-071002-3</t>
  </si>
  <si>
    <t>A01002-071002-5</t>
  </si>
  <si>
    <t>A01001-071002-1</t>
  </si>
  <si>
    <t>A01001-071002-4</t>
  </si>
  <si>
    <t>A01001-071002-3</t>
  </si>
  <si>
    <t>A01001-071002-5</t>
  </si>
  <si>
    <t>A01002-071102-1</t>
  </si>
  <si>
    <t>21267</t>
  </si>
  <si>
    <t>A01002-071102-4</t>
  </si>
  <si>
    <t>A01002-071102-3</t>
  </si>
  <si>
    <t>A01002-071102-5</t>
  </si>
  <si>
    <t>A01003-071102-1</t>
  </si>
  <si>
    <t>A01003-071102-4</t>
  </si>
  <si>
    <t>A01003-071102-3</t>
  </si>
  <si>
    <t>A01003-071102-5</t>
  </si>
  <si>
    <t>A04084-071102-1</t>
  </si>
  <si>
    <t>20567</t>
  </si>
  <si>
    <t>A25067-071102-1</t>
  </si>
  <si>
    <t>A01001-071102-1</t>
  </si>
  <si>
    <t>21694</t>
  </si>
  <si>
    <t>A01001-071102-4</t>
  </si>
  <si>
    <t>A01001-071102-3</t>
  </si>
  <si>
    <t>A01001-071102-5</t>
  </si>
  <si>
    <t>A04084-071202-1</t>
  </si>
  <si>
    <t>A01002-071202-1</t>
  </si>
  <si>
    <t>21253</t>
  </si>
  <si>
    <t>A01002-071202-4</t>
  </si>
  <si>
    <t>A01002-071202-3</t>
  </si>
  <si>
    <t>A01002-071202-5</t>
  </si>
  <si>
    <t>A01003-071202-1</t>
  </si>
  <si>
    <t>21593</t>
  </si>
  <si>
    <t>A01003-071202-4</t>
  </si>
  <si>
    <t>A01003-071202-3</t>
  </si>
  <si>
    <t>A01003-071202-5</t>
  </si>
  <si>
    <t>A25031-071202-1</t>
  </si>
  <si>
    <t>A01001-071202-1</t>
  </si>
  <si>
    <t>A01001-071202-4</t>
  </si>
  <si>
    <t>A01001-071202-3</t>
  </si>
  <si>
    <t>A01001-071202-5</t>
  </si>
  <si>
    <t>A04084-071302-1</t>
  </si>
  <si>
    <t>A01002-071302-1</t>
  </si>
  <si>
    <t>21417</t>
  </si>
  <si>
    <t>A01002-071302-4</t>
  </si>
  <si>
    <t>A01002-071302-3</t>
  </si>
  <si>
    <t>A01002-071302-5</t>
  </si>
  <si>
    <t>A01003-071302-1</t>
  </si>
  <si>
    <t>21416</t>
  </si>
  <si>
    <t>A01003-071302-4</t>
  </si>
  <si>
    <t>A01003-071302-3</t>
  </si>
  <si>
    <t>A01003-071302-5</t>
  </si>
  <si>
    <t>A25031-071402-1</t>
  </si>
  <si>
    <t>21732</t>
  </si>
  <si>
    <t>A04084-071402-1</t>
  </si>
  <si>
    <t>A01003-081602-1</t>
  </si>
  <si>
    <t>21828</t>
  </si>
  <si>
    <t>Programa Embarques 2026 S-08.xlsx</t>
  </si>
  <si>
    <t>21839</t>
  </si>
  <si>
    <t>A01003-081602-4</t>
  </si>
  <si>
    <t>A01003-081602-3</t>
  </si>
  <si>
    <t>A01003-081602-5</t>
  </si>
  <si>
    <t>A11045-081602-1</t>
  </si>
  <si>
    <t>21842</t>
  </si>
  <si>
    <t>A01001-081602-1</t>
  </si>
  <si>
    <t>22143</t>
  </si>
  <si>
    <t>A01001-081602-4</t>
  </si>
  <si>
    <t>A01001-081602-3</t>
  </si>
  <si>
    <t>A01001-081602-5</t>
  </si>
  <si>
    <t>A27073-081602-1</t>
  </si>
  <si>
    <t>21697</t>
  </si>
  <si>
    <t>A01003-081702-1</t>
  </si>
  <si>
    <t>A01003-081702-4</t>
  </si>
  <si>
    <t>A01003-081702-3</t>
  </si>
  <si>
    <t>A01003-081702-5</t>
  </si>
  <si>
    <t>A01002-081702-1</t>
  </si>
  <si>
    <t>21924</t>
  </si>
  <si>
    <t>21925</t>
  </si>
  <si>
    <t>21948</t>
  </si>
  <si>
    <t>A01002-081702-4</t>
  </si>
  <si>
    <t>A01002-081702-3</t>
  </si>
  <si>
    <t>A01002-081702-5</t>
  </si>
  <si>
    <t>A11045-081702-1</t>
  </si>
  <si>
    <t>A01001-081702-1</t>
  </si>
  <si>
    <t>22155</t>
  </si>
  <si>
    <t>A01001-081702-4</t>
  </si>
  <si>
    <t>A01001-081702-3</t>
  </si>
  <si>
    <t>A01001-081702-5</t>
  </si>
  <si>
    <t>A26077-081702-1</t>
  </si>
  <si>
    <t>A04084-081702-1</t>
  </si>
  <si>
    <t>A25067-081702-1</t>
  </si>
  <si>
    <t>21945</t>
  </si>
  <si>
    <t>A04084-081802-1</t>
  </si>
  <si>
    <t>21941</t>
  </si>
  <si>
    <t>A01002-081802-1</t>
  </si>
  <si>
    <t>22234</t>
  </si>
  <si>
    <t>22235</t>
  </si>
  <si>
    <t>A01002-081802-4</t>
  </si>
  <si>
    <t>A01002-081802-3</t>
  </si>
  <si>
    <t>A01002-081802-5</t>
  </si>
  <si>
    <t>A25067-081802-1</t>
  </si>
  <si>
    <t>A01004-081802-1</t>
  </si>
  <si>
    <t>22175</t>
  </si>
  <si>
    <t>21953</t>
  </si>
  <si>
    <t>A01004-081802-4</t>
  </si>
  <si>
    <t>A01004-081802-3</t>
  </si>
  <si>
    <t>A01004-081802-5</t>
  </si>
  <si>
    <t>A11045-081802-1</t>
  </si>
  <si>
    <t>A11056-081802-1</t>
  </si>
  <si>
    <t>22070</t>
  </si>
  <si>
    <t>A01001-081802-1</t>
  </si>
  <si>
    <t>A01001-081802-4</t>
  </si>
  <si>
    <t>A01001-081802-3</t>
  </si>
  <si>
    <t>A01001-081802-5</t>
  </si>
  <si>
    <t>A01002-081902-1</t>
  </si>
  <si>
    <t>A01002-081902-4</t>
  </si>
  <si>
    <t>A01002-081902-3</t>
  </si>
  <si>
    <t>A01002-081902-5</t>
  </si>
  <si>
    <t>A25067-081902-1</t>
  </si>
  <si>
    <t>22344</t>
  </si>
  <si>
    <t>A11045-081902-1</t>
  </si>
  <si>
    <t>A01003-081902-1</t>
  </si>
  <si>
    <t>22179</t>
  </si>
  <si>
    <t>A01003-081902-4</t>
  </si>
  <si>
    <t>A01003-081902-3</t>
  </si>
  <si>
    <t>A01003-081902-5</t>
  </si>
  <si>
    <t>A01001-081902-1</t>
  </si>
  <si>
    <t>22318</t>
  </si>
  <si>
    <t>A01001-081902-4</t>
  </si>
  <si>
    <t>A01001-081902-3</t>
  </si>
  <si>
    <t>A01001-081902-5</t>
  </si>
  <si>
    <t>A04084-081902-1</t>
  </si>
  <si>
    <t>A26077-081902-1</t>
  </si>
  <si>
    <t>A04084-082002-1</t>
  </si>
  <si>
    <t>A25067-082002-1</t>
  </si>
  <si>
    <t>A01002-082002-1</t>
  </si>
  <si>
    <t>22322</t>
  </si>
  <si>
    <t>22481</t>
  </si>
  <si>
    <t>22346</t>
  </si>
  <si>
    <t>A01002-082002-4</t>
  </si>
  <si>
    <t>A01002-082002-3</t>
  </si>
  <si>
    <t>A01002-082002-5</t>
  </si>
  <si>
    <t>A01003-082002-1</t>
  </si>
  <si>
    <t>A01003-082002-4</t>
  </si>
  <si>
    <t>A01003-082002-3</t>
  </si>
  <si>
    <t>A01003-082002-5</t>
  </si>
  <si>
    <t>A01004-082102-1</t>
  </si>
  <si>
    <t>A01004-082102-4</t>
  </si>
  <si>
    <t>A01004-082102-3</t>
  </si>
  <si>
    <t>A01004-082102-5</t>
  </si>
  <si>
    <t>A25022-082102-1</t>
  </si>
  <si>
    <t>22613</t>
  </si>
  <si>
    <t>A01002-082102-1</t>
  </si>
  <si>
    <t>22614</t>
  </si>
  <si>
    <t>A01002-082102-4</t>
  </si>
  <si>
    <t>A01002-082102-3</t>
  </si>
  <si>
    <t>A01002-082102-5</t>
  </si>
  <si>
    <t>A01001-092302-1</t>
  </si>
  <si>
    <t>22615</t>
  </si>
  <si>
    <t>Programa Embarques 2026 S-09.xlsx</t>
  </si>
  <si>
    <t>A01001-092302-4</t>
  </si>
  <si>
    <t>A01001-092302-3</t>
  </si>
  <si>
    <t>A01001-092302-5</t>
  </si>
  <si>
    <t>A01002-092302-1</t>
  </si>
  <si>
    <t>22616</t>
  </si>
  <si>
    <t>A01002-092302-4</t>
  </si>
  <si>
    <t>A01002-092302-3</t>
  </si>
  <si>
    <t>A01002-092302-5</t>
  </si>
  <si>
    <t>A26077-092302-1</t>
  </si>
  <si>
    <t>21701</t>
  </si>
  <si>
    <t>A11045-092302-1</t>
  </si>
  <si>
    <t>22591</t>
  </si>
  <si>
    <t>A01003-092302-1</t>
  </si>
  <si>
    <t>A01003-092302-4</t>
  </si>
  <si>
    <t>A01003-092302-3</t>
  </si>
  <si>
    <t>A01003-092302-5</t>
  </si>
  <si>
    <t>A26077-092402-1</t>
  </si>
  <si>
    <t>A11045-092402-1</t>
  </si>
  <si>
    <t>22735</t>
  </si>
  <si>
    <t>A01002-092402-1</t>
  </si>
  <si>
    <t>22648</t>
  </si>
  <si>
    <t>22850</t>
  </si>
  <si>
    <t>A01002-092402-4</t>
  </si>
  <si>
    <t>A01002-092402-3</t>
  </si>
  <si>
    <t>A01002-092402-5</t>
  </si>
  <si>
    <t>A01001-092402-1</t>
  </si>
  <si>
    <t>23023</t>
  </si>
  <si>
    <t>A01001-092402-4</t>
  </si>
  <si>
    <t>A01001-092402-3</t>
  </si>
  <si>
    <t>A01001-092402-5</t>
  </si>
  <si>
    <t>A01003-092402-1</t>
  </si>
  <si>
    <t>22734</t>
  </si>
  <si>
    <t>22728</t>
  </si>
  <si>
    <t>A01003-092402-4</t>
  </si>
  <si>
    <t>A01003-092402-3</t>
  </si>
  <si>
    <t>A01003-092402-5</t>
  </si>
  <si>
    <t>A04084-092402-1</t>
  </si>
  <si>
    <t>A11087-092502-1</t>
  </si>
  <si>
    <t>22858</t>
  </si>
  <si>
    <t>A01003-092502-1</t>
  </si>
  <si>
    <t>22852</t>
  </si>
  <si>
    <t>22854</t>
  </si>
  <si>
    <t>22897</t>
  </si>
  <si>
    <t>A01003-092502-4</t>
  </si>
  <si>
    <t>A01003-092502-3</t>
  </si>
  <si>
    <t>A01003-092502-5</t>
  </si>
  <si>
    <t>A25067-092502-1</t>
  </si>
  <si>
    <t>A01001-092502-1</t>
  </si>
  <si>
    <t>22857</t>
  </si>
  <si>
    <t>A01001-092502-4</t>
  </si>
  <si>
    <t>A01001-092502-3</t>
  </si>
  <si>
    <t>A01001-092502-5</t>
  </si>
  <si>
    <t>A04084-092502-1</t>
  </si>
  <si>
    <t>22853</t>
  </si>
  <si>
    <t>A01002-092502-1</t>
  </si>
  <si>
    <t>22650</t>
  </si>
  <si>
    <t>A01002-092502-4</t>
  </si>
  <si>
    <t>A01002-092502-3</t>
  </si>
  <si>
    <t>A01002-092502-5</t>
  </si>
  <si>
    <t>A04084-092602-1</t>
  </si>
  <si>
    <t>22958</t>
  </si>
  <si>
    <t>A01004-092602-1</t>
  </si>
  <si>
    <t>A01004-092602-4</t>
  </si>
  <si>
    <t>A01004-092602-3</t>
  </si>
  <si>
    <t>A01004-092602-5</t>
  </si>
  <si>
    <t>A25067-092602-1</t>
  </si>
  <si>
    <t>A25022-092602-1</t>
  </si>
  <si>
    <t>A01001-092602-1</t>
  </si>
  <si>
    <t>A01001-092602-4</t>
  </si>
  <si>
    <t>A01001-092602-3</t>
  </si>
  <si>
    <t>A01001-092602-5</t>
  </si>
  <si>
    <t>A01002-092602-1</t>
  </si>
  <si>
    <t>22664</t>
  </si>
  <si>
    <t>A01002-092602-4</t>
  </si>
  <si>
    <t>A01002-092602-3</t>
  </si>
  <si>
    <t>A01002-092602-5</t>
  </si>
  <si>
    <t>A3994-092602-1</t>
  </si>
  <si>
    <t>A39 95 Esquipulas</t>
  </si>
  <si>
    <t>23228</t>
  </si>
  <si>
    <t>A01002-092702-1</t>
  </si>
  <si>
    <t>22665</t>
  </si>
  <si>
    <t>A01002-092702-4</t>
  </si>
  <si>
    <t>A01002-092702-3</t>
  </si>
  <si>
    <t>A01002-092702-5</t>
  </si>
  <si>
    <t>A3994-092702-1</t>
  </si>
  <si>
    <t>A25067-092702-1</t>
  </si>
  <si>
    <t>22984</t>
  </si>
  <si>
    <t>A01001-092702-1</t>
  </si>
  <si>
    <t>22668</t>
  </si>
  <si>
    <t>A01001-092702-4</t>
  </si>
  <si>
    <t>A01001-092702-3</t>
  </si>
  <si>
    <t>A01001-092702-5</t>
  </si>
  <si>
    <t>A04084-092702-1</t>
  </si>
  <si>
    <t>23065</t>
  </si>
  <si>
    <t>A01003-092702-1</t>
  </si>
  <si>
    <t>23020</t>
  </si>
  <si>
    <t>23019</t>
  </si>
  <si>
    <t>A01003-092702-4</t>
  </si>
  <si>
    <t>A01003-092702-3</t>
  </si>
  <si>
    <t>A01003-092702-5</t>
  </si>
  <si>
    <t>A04084-092802-1</t>
  </si>
  <si>
    <t>A25022-092802-1</t>
  </si>
  <si>
    <t>23229</t>
  </si>
  <si>
    <t>A25031-092802-1</t>
  </si>
  <si>
    <t>A01004-092802-1</t>
  </si>
  <si>
    <t>22671</t>
  </si>
  <si>
    <t>A01004-092802-4</t>
  </si>
  <si>
    <t>A01004-092802-3</t>
  </si>
  <si>
    <t>A01004-092802-5</t>
  </si>
  <si>
    <t>A25067-092802-1</t>
  </si>
  <si>
    <t>A01001-100203-1</t>
  </si>
  <si>
    <t>23242</t>
  </si>
  <si>
    <t>Programa Embarques 2026 S-10.xlsx</t>
  </si>
  <si>
    <t>A01001-100203-3</t>
  </si>
  <si>
    <t>A01001-100203-4</t>
  </si>
  <si>
    <t>A01001-100203-5</t>
  </si>
  <si>
    <t>A01002-100203-1</t>
  </si>
  <si>
    <t>23385</t>
  </si>
  <si>
    <t>23415</t>
  </si>
  <si>
    <t>A01002-100203-3</t>
  </si>
  <si>
    <t>A01002-100203-4</t>
  </si>
  <si>
    <t>A01002-100203-5</t>
  </si>
  <si>
    <t>A25022-100203-1</t>
  </si>
  <si>
    <t>23386</t>
  </si>
  <si>
    <t>A01003-100203-1</t>
  </si>
  <si>
    <t>23334</t>
  </si>
  <si>
    <t>23335</t>
  </si>
  <si>
    <t>23502</t>
  </si>
  <si>
    <t>A01003-100203-3</t>
  </si>
  <si>
    <t>A01003-100203-4</t>
  </si>
  <si>
    <t>A01003-100203-5</t>
  </si>
  <si>
    <t>A01002-100303-1</t>
  </si>
  <si>
    <t>A01002-100303-3</t>
  </si>
  <si>
    <t>A01002-100303-4</t>
  </si>
  <si>
    <t>A01002-100303-5</t>
  </si>
  <si>
    <t>A04084-100303-1</t>
  </si>
  <si>
    <t>23416</t>
  </si>
  <si>
    <t>A27073-100303-1</t>
  </si>
  <si>
    <t>A11045-100303-1</t>
  </si>
  <si>
    <t>23506</t>
  </si>
  <si>
    <t>A01003-100303-1</t>
  </si>
  <si>
    <t>23441</t>
  </si>
  <si>
    <t>A01003-100303-3</t>
  </si>
  <si>
    <t>A01003-100303-4</t>
  </si>
  <si>
    <t>A01003-100303-5</t>
  </si>
  <si>
    <t>A11056-100303-1</t>
  </si>
  <si>
    <t>A01001-100303-1</t>
  </si>
  <si>
    <t>23593</t>
  </si>
  <si>
    <t>A01001-100303-3</t>
  </si>
  <si>
    <t>A01001-100303-4</t>
  </si>
  <si>
    <t>A01001-100303-5</t>
  </si>
  <si>
    <t>A25022-100403-1</t>
  </si>
  <si>
    <t>23428</t>
  </si>
  <si>
    <t>A01003-100403-1</t>
  </si>
  <si>
    <t>23444</t>
  </si>
  <si>
    <t>23532</t>
  </si>
  <si>
    <t>23531</t>
  </si>
  <si>
    <t>A01003-100403-3</t>
  </si>
  <si>
    <t>A01003-100403-4</t>
  </si>
  <si>
    <t>A01003-100403-5</t>
  </si>
  <si>
    <t>A01002-100403-1</t>
  </si>
  <si>
    <t>23445</t>
  </si>
  <si>
    <t>A01002-100403-3</t>
  </si>
  <si>
    <t>A01002-100403-4</t>
  </si>
  <si>
    <t>A01002-100403-5</t>
  </si>
  <si>
    <t>A01001-100403-1</t>
  </si>
  <si>
    <t>23429</t>
  </si>
  <si>
    <t>A01001-100403-3</t>
  </si>
  <si>
    <t>A01001-100403-4</t>
  </si>
  <si>
    <t>A01001-100403-5</t>
  </si>
  <si>
    <t>A01001-100503-1</t>
  </si>
  <si>
    <t>23550</t>
  </si>
  <si>
    <t>A01001-100503-3</t>
  </si>
  <si>
    <t>A01001-100503-4</t>
  </si>
  <si>
    <t>A01001-100503-5</t>
  </si>
  <si>
    <t>A04084-100503-1</t>
  </si>
  <si>
    <t>23440</t>
  </si>
  <si>
    <t>A39095-100503-1</t>
  </si>
  <si>
    <t>23482</t>
  </si>
  <si>
    <t>A01002-100503-1</t>
  </si>
  <si>
    <t>23437</t>
  </si>
  <si>
    <t>A01002-100503-3</t>
  </si>
  <si>
    <t>A01002-100503-4</t>
  </si>
  <si>
    <t>A01002-100503-5</t>
  </si>
  <si>
    <t>A01003-100503-1</t>
  </si>
  <si>
    <t>23575</t>
  </si>
  <si>
    <t>A01003-100503-3</t>
  </si>
  <si>
    <t>A01003-100503-4</t>
  </si>
  <si>
    <t>A01003-100503-5</t>
  </si>
  <si>
    <t>A27073-100503-1</t>
  </si>
  <si>
    <t>A01002-100603-1</t>
  </si>
  <si>
    <t>23457</t>
  </si>
  <si>
    <t>A01002-100603-3</t>
  </si>
  <si>
    <t>A01002-100603-4</t>
  </si>
  <si>
    <t>A01002-100603-5</t>
  </si>
  <si>
    <t>A01001-100603-1</t>
  </si>
  <si>
    <t>23579</t>
  </si>
  <si>
    <t>A01001-100603-3</t>
  </si>
  <si>
    <t>A01001-100603-4</t>
  </si>
  <si>
    <t>A01001-100603-5</t>
  </si>
  <si>
    <t>A01004-100603-1</t>
  </si>
  <si>
    <t>23943</t>
  </si>
  <si>
    <t>A01004-100603-3</t>
  </si>
  <si>
    <t>A01004-100603-5</t>
  </si>
  <si>
    <t>A01004-100603-4</t>
  </si>
  <si>
    <t>A39095-100603-1</t>
  </si>
  <si>
    <t>A04084-100603-1</t>
  </si>
  <si>
    <t>A25022-100703-1</t>
  </si>
  <si>
    <t>23460</t>
  </si>
  <si>
    <t>A25031-100703-1</t>
  </si>
  <si>
    <t>A04084-100703-1</t>
  </si>
  <si>
    <t>A01002-132303-1</t>
  </si>
  <si>
    <t>25566</t>
  </si>
  <si>
    <t>Programa Embarques 2026 S-13.xlsx</t>
  </si>
  <si>
    <t>25564</t>
  </si>
  <si>
    <t>A11045-132303-1</t>
  </si>
  <si>
    <t>25676</t>
  </si>
  <si>
    <t>A04084-132303-1</t>
  </si>
  <si>
    <t>A01004-132303-1</t>
  </si>
  <si>
    <t>25906 / 25907</t>
  </si>
  <si>
    <t>A01002-132303-4</t>
  </si>
  <si>
    <t>A01002-132303-3</t>
  </si>
  <si>
    <t>A01002-132303-5</t>
  </si>
  <si>
    <t>A01001-132303-4</t>
  </si>
  <si>
    <t>A01001-132303-3</t>
  </si>
  <si>
    <t>A01001-132303-5</t>
  </si>
  <si>
    <t>A01004-132303-4</t>
  </si>
  <si>
    <t>A01004-132303-3</t>
  </si>
  <si>
    <t>A01004-132303-5</t>
  </si>
  <si>
    <t>A01001-132303-1</t>
  </si>
  <si>
    <t>A01003-132403-1</t>
  </si>
  <si>
    <t>25580</t>
  </si>
  <si>
    <t>25671</t>
  </si>
  <si>
    <t>A01003-132403-4</t>
  </si>
  <si>
    <t>A01003-132403-3</t>
  </si>
  <si>
    <t>A01003-132403-5</t>
  </si>
  <si>
    <t>A04084-132403-1</t>
  </si>
  <si>
    <t>A26077-132403-1</t>
  </si>
  <si>
    <t>25677</t>
  </si>
  <si>
    <t>A01001-132403-1</t>
  </si>
  <si>
    <t>26090</t>
  </si>
  <si>
    <t>A01001-132403-4</t>
  </si>
  <si>
    <t>A01001-132403-3</t>
  </si>
  <si>
    <t>A01001-132403-5</t>
  </si>
  <si>
    <t>A01002-132403-1</t>
  </si>
  <si>
    <t>25673</t>
  </si>
  <si>
    <t>25674</t>
  </si>
  <si>
    <t>A01002-132403-4</t>
  </si>
  <si>
    <t>A01002-132403-3</t>
  </si>
  <si>
    <t>A01002-132403-5</t>
  </si>
  <si>
    <t>A01003-132503-1</t>
  </si>
  <si>
    <t>26174</t>
  </si>
  <si>
    <t>25672</t>
  </si>
  <si>
    <t>26176</t>
  </si>
  <si>
    <t>A01003-132503-4</t>
  </si>
  <si>
    <t>A01003-132503-3</t>
  </si>
  <si>
    <t>A01003-132503-5</t>
  </si>
  <si>
    <t>A11056-132503-1</t>
  </si>
  <si>
    <t>A11045-132503-1</t>
  </si>
  <si>
    <t>A04084-132503-1</t>
  </si>
  <si>
    <t>25781</t>
  </si>
  <si>
    <t>A01001-132503-1</t>
  </si>
  <si>
    <t>A01001-132503-4</t>
  </si>
  <si>
    <t>A01001-132503-3</t>
  </si>
  <si>
    <t>A01001-132503-5</t>
  </si>
  <si>
    <t>A01002-132503-1</t>
  </si>
  <si>
    <t>25776</t>
  </si>
  <si>
    <t>A01002-132503-4</t>
  </si>
  <si>
    <t>A01002-132503-3</t>
  </si>
  <si>
    <t>A01002-132503-5</t>
  </si>
  <si>
    <t>A01001-132603-1</t>
  </si>
  <si>
    <t>26175</t>
  </si>
  <si>
    <t>26170</t>
  </si>
  <si>
    <t>A01001-132603-4</t>
  </si>
  <si>
    <t>A01001-132603-3</t>
  </si>
  <si>
    <t>A01001-132603-5</t>
  </si>
  <si>
    <t>A01004-132603-1</t>
  </si>
  <si>
    <t>25777</t>
  </si>
  <si>
    <t>A01004-132603-4</t>
  </si>
  <si>
    <t>A01004-132603-3</t>
  </si>
  <si>
    <t>A01004-132603-5</t>
  </si>
  <si>
    <t>A3994-132603-1</t>
  </si>
  <si>
    <t>25804</t>
  </si>
  <si>
    <t>A04084-132603-1</t>
  </si>
  <si>
    <t>25791</t>
  </si>
  <si>
    <t>A01002-132603-1</t>
  </si>
  <si>
    <t>25782</t>
  </si>
  <si>
    <t>A01002-132603-4</t>
  </si>
  <si>
    <t>A01002-132603-3</t>
  </si>
  <si>
    <t>A01002-132603-5</t>
  </si>
  <si>
    <t>A05041-132703-1</t>
  </si>
  <si>
    <t>26101</t>
  </si>
  <si>
    <t>A25022-132703-1</t>
  </si>
  <si>
    <t>26473</t>
  </si>
  <si>
    <t>A01003-132703-1</t>
  </si>
  <si>
    <t>26173</t>
  </si>
  <si>
    <t>25792</t>
  </si>
  <si>
    <t>A01003-132703-4</t>
  </si>
  <si>
    <t>A01003-132703-3</t>
  </si>
  <si>
    <t>A01003-132703-5</t>
  </si>
  <si>
    <t>A01001-132703-1</t>
  </si>
  <si>
    <t>26641</t>
  </si>
  <si>
    <t>A01001-132703-4</t>
  </si>
  <si>
    <t>A01001-132703-3</t>
  </si>
  <si>
    <t>A01001-132703-5</t>
  </si>
  <si>
    <t>A3994-132703-1</t>
  </si>
  <si>
    <t>A04084-132703-1</t>
  </si>
  <si>
    <t>26614</t>
  </si>
  <si>
    <t>25795</t>
  </si>
  <si>
    <t>A01002-132703-1</t>
  </si>
  <si>
    <t>26265</t>
  </si>
  <si>
    <t>26471</t>
  </si>
  <si>
    <t>A01002-132703-4</t>
  </si>
  <si>
    <t>A01002-132703-3</t>
  </si>
  <si>
    <t>A01002-132703-5</t>
  </si>
  <si>
    <t>A26077-132703-1</t>
  </si>
  <si>
    <t>A01003-132803-1</t>
  </si>
  <si>
    <t>25802</t>
  </si>
  <si>
    <t>A01003-132803-4</t>
  </si>
  <si>
    <t>A01003-132803-3</t>
  </si>
  <si>
    <t>A01003-132803-5</t>
  </si>
  <si>
    <t>A05040-132803-1</t>
  </si>
  <si>
    <t>A11045-132803-1</t>
  </si>
  <si>
    <t>26177</t>
  </si>
  <si>
    <t>A11087-132803-1</t>
  </si>
  <si>
    <t>A25031-132803-1</t>
  </si>
  <si>
    <t>A04084-132803-1</t>
  </si>
  <si>
    <t>A01001-132803-1</t>
  </si>
  <si>
    <t>25796</t>
  </si>
  <si>
    <t>A01001-132803-4</t>
  </si>
  <si>
    <t>A01001-132803-3</t>
  </si>
  <si>
    <t>A01001-132803-5</t>
  </si>
  <si>
    <t>A01002-132803-1</t>
  </si>
  <si>
    <t>25803</t>
  </si>
  <si>
    <t>A01002-132803-4</t>
  </si>
  <si>
    <t>A01002-132803-3</t>
  </si>
  <si>
    <t>A01002-132803-5</t>
  </si>
  <si>
    <t>A11092-121603-1</t>
  </si>
  <si>
    <t>24527</t>
  </si>
  <si>
    <t>Programa Embarques 2026 S-12.xlsx</t>
  </si>
  <si>
    <t>A11045-121603-1</t>
  </si>
  <si>
    <t>24814</t>
  </si>
  <si>
    <t>A04084-121603-1</t>
  </si>
  <si>
    <t>24747</t>
  </si>
  <si>
    <t>A01002-121703-1</t>
  </si>
  <si>
    <t>24595</t>
  </si>
  <si>
    <t>25231</t>
  </si>
  <si>
    <t>A01002-121703-4</t>
  </si>
  <si>
    <t>A01002-121703-3</t>
  </si>
  <si>
    <t>A01002-121703-5</t>
  </si>
  <si>
    <t>A26077-121703-1</t>
  </si>
  <si>
    <t>A11045-121703-1</t>
  </si>
  <si>
    <t>A04084-121703-1</t>
  </si>
  <si>
    <t>A01003-121703-1</t>
  </si>
  <si>
    <t>A01003-121703-4</t>
  </si>
  <si>
    <t>A01003-121703-3</t>
  </si>
  <si>
    <t>A01003-121703-5</t>
  </si>
  <si>
    <t>A01001-121703-1</t>
  </si>
  <si>
    <t>A01001-121703-4</t>
  </si>
  <si>
    <t>A01001-121703-3</t>
  </si>
  <si>
    <t>A01001-121703-5</t>
  </si>
  <si>
    <t>A01003-121803-1</t>
  </si>
  <si>
    <t>24789</t>
  </si>
  <si>
    <t>24968</t>
  </si>
  <si>
    <t>A01003-121803-4</t>
  </si>
  <si>
    <t>A01003-121803-3</t>
  </si>
  <si>
    <t>A01003-121803-5</t>
  </si>
  <si>
    <t>A04084-121803-1</t>
  </si>
  <si>
    <t>A01001-121803-1</t>
  </si>
  <si>
    <t>24785</t>
  </si>
  <si>
    <t>24800</t>
  </si>
  <si>
    <t>A01001-121803-4</t>
  </si>
  <si>
    <t>A01001-121803-3</t>
  </si>
  <si>
    <t>A01001-121803-5</t>
  </si>
  <si>
    <t>A01002-121803-1</t>
  </si>
  <si>
    <t>24971</t>
  </si>
  <si>
    <t>A01002-121803-4</t>
  </si>
  <si>
    <t>A01002-121803-3</t>
  </si>
  <si>
    <t>A01002-121803-5</t>
  </si>
  <si>
    <t>A3995-121903-1</t>
  </si>
  <si>
    <t>24982</t>
  </si>
  <si>
    <t>A01003-121903-1</t>
  </si>
  <si>
    <t>A01003-121903-4</t>
  </si>
  <si>
    <t>A01003-121903-3</t>
  </si>
  <si>
    <t>A01003-121903-5</t>
  </si>
  <si>
    <t>A01002-121903-1</t>
  </si>
  <si>
    <t>24975</t>
  </si>
  <si>
    <t>25508</t>
  </si>
  <si>
    <t>A01002-121903-4</t>
  </si>
  <si>
    <t>A01002-121903-3</t>
  </si>
  <si>
    <t>A01002-121903-5</t>
  </si>
  <si>
    <t>A04084-121903-1</t>
  </si>
  <si>
    <t>A26077-121903-1</t>
  </si>
  <si>
    <t>A01001-121903-1</t>
  </si>
  <si>
    <t>A01001-121903-4</t>
  </si>
  <si>
    <t>A01001-121903-3</t>
  </si>
  <si>
    <t>A01001-121903-5</t>
  </si>
  <si>
    <t>A3995-122003-1</t>
  </si>
  <si>
    <t>A01003-122003-1</t>
  </si>
  <si>
    <t>25513</t>
  </si>
  <si>
    <t>25511</t>
  </si>
  <si>
    <t>A01003-122003-4</t>
  </si>
  <si>
    <t>A01003-122003-3</t>
  </si>
  <si>
    <t>A01003-122003-5</t>
  </si>
  <si>
    <t>A04084-122003-1</t>
  </si>
  <si>
    <t>25895</t>
  </si>
  <si>
    <t>A01001-122003-1</t>
  </si>
  <si>
    <t>25515</t>
  </si>
  <si>
    <t>A01001-122003-4</t>
  </si>
  <si>
    <t>A01001-122003-3</t>
  </si>
  <si>
    <t>A01001-122003-5</t>
  </si>
  <si>
    <t>A01002-122003-1</t>
  </si>
  <si>
    <t>25563</t>
  </si>
  <si>
    <t>25560</t>
  </si>
  <si>
    <t>A01002-122003-4</t>
  </si>
  <si>
    <t>A01002-122003-3</t>
  </si>
  <si>
    <t>A01002-122003-5</t>
  </si>
  <si>
    <t>A01004-122103-1</t>
  </si>
  <si>
    <t>24977</t>
  </si>
  <si>
    <t>A01004-122103-4</t>
  </si>
  <si>
    <t>A01004-122103-3</t>
  </si>
  <si>
    <t>A01004-122103-5</t>
  </si>
  <si>
    <t>A25031-122103-1</t>
  </si>
  <si>
    <t>25577</t>
  </si>
  <si>
    <t>A25022-122103-1</t>
  </si>
  <si>
    <t>A01002-122103-1</t>
  </si>
  <si>
    <t>25765</t>
  </si>
  <si>
    <t>A01002-122103-4</t>
  </si>
  <si>
    <t>A01002-122103-3</t>
  </si>
  <si>
    <t>A01002-122103-5</t>
  </si>
  <si>
    <t>A11045-122103-1</t>
  </si>
  <si>
    <t>25768</t>
  </si>
  <si>
    <t>A11092-122103-1</t>
  </si>
  <si>
    <t>A01001-122103-1</t>
  </si>
  <si>
    <t>A01001-122103-4</t>
  </si>
  <si>
    <t>A01001-122103-3</t>
  </si>
  <si>
    <t>A01001-122103-5</t>
  </si>
  <si>
    <t>A01001-161304-1</t>
  </si>
  <si>
    <t>28373</t>
  </si>
  <si>
    <t>Programa Embarques 2026 S-16.xlsx</t>
  </si>
  <si>
    <t>A01001-161304-4</t>
  </si>
  <si>
    <t>A01001-161304-3</t>
  </si>
  <si>
    <t>A01001-161304-5</t>
  </si>
  <si>
    <t>A01002-161304-1</t>
  </si>
  <si>
    <t>27790</t>
  </si>
  <si>
    <t>28070</t>
  </si>
  <si>
    <t>28061</t>
  </si>
  <si>
    <t>A01002-161304-4</t>
  </si>
  <si>
    <t>A01002-161304-3</t>
  </si>
  <si>
    <t>A01002-161304-5</t>
  </si>
  <si>
    <t>A11056-161304-1</t>
  </si>
  <si>
    <t>27793</t>
  </si>
  <si>
    <t>A11092-161304-1</t>
  </si>
  <si>
    <t>A01003-161304-1</t>
  </si>
  <si>
    <t>27795</t>
  </si>
  <si>
    <t>A01003-161304-4</t>
  </si>
  <si>
    <t>A01003-161304-3</t>
  </si>
  <si>
    <t>A01003-161304-5</t>
  </si>
  <si>
    <t>A11045-161404-1</t>
  </si>
  <si>
    <t>27796</t>
  </si>
  <si>
    <t>A11056-161404-1</t>
  </si>
  <si>
    <t>A04033-161404-1</t>
  </si>
  <si>
    <t>27801</t>
  </si>
  <si>
    <t>A01002-161404-1</t>
  </si>
  <si>
    <t>27806</t>
  </si>
  <si>
    <t>27800</t>
  </si>
  <si>
    <t>A01002-161404-4</t>
  </si>
  <si>
    <t>A01002-161404-3</t>
  </si>
  <si>
    <t>A01002-161404-5</t>
  </si>
  <si>
    <t>A04084-161404-1</t>
  </si>
  <si>
    <t>28197</t>
  </si>
  <si>
    <t>A01003-161404-1</t>
  </si>
  <si>
    <t>A01003-161404-4</t>
  </si>
  <si>
    <t>A01003-161404-3</t>
  </si>
  <si>
    <t>A01003-161404-5</t>
  </si>
  <si>
    <t>A26077-161404-1</t>
  </si>
  <si>
    <t>A01001-161404-1</t>
  </si>
  <si>
    <t>28195</t>
  </si>
  <si>
    <t>A01001-161404-4</t>
  </si>
  <si>
    <t>A01001-161404-3</t>
  </si>
  <si>
    <t>A01001-161404-5</t>
  </si>
  <si>
    <t>A01001-161504-1</t>
  </si>
  <si>
    <t>28374</t>
  </si>
  <si>
    <t>A01001-161504-4</t>
  </si>
  <si>
    <t>A01001-161504-3</t>
  </si>
  <si>
    <t>A01001-161504-5</t>
  </si>
  <si>
    <t>A01002-161504-1</t>
  </si>
  <si>
    <t>28311</t>
  </si>
  <si>
    <t>A01002-161504-4</t>
  </si>
  <si>
    <t>A01002-161504-3</t>
  </si>
  <si>
    <t>A01002-161504-5</t>
  </si>
  <si>
    <t>A01003-161504-1</t>
  </si>
  <si>
    <t>28255</t>
  </si>
  <si>
    <t>28256</t>
  </si>
  <si>
    <t>A01003-161504-4</t>
  </si>
  <si>
    <t>A01003-161504-3</t>
  </si>
  <si>
    <t>A01003-161504-5</t>
  </si>
  <si>
    <t>A04084-161504-1</t>
  </si>
  <si>
    <t>27816</t>
  </si>
  <si>
    <t>A04083-161504-1</t>
  </si>
  <si>
    <t>27807</t>
  </si>
  <si>
    <t>A04084-161604-1</t>
  </si>
  <si>
    <t>28368</t>
  </si>
  <si>
    <t>A04083-161604-1</t>
  </si>
  <si>
    <t>A01001-161604-1</t>
  </si>
  <si>
    <t>28421</t>
  </si>
  <si>
    <t>A01001-161604-4</t>
  </si>
  <si>
    <t>A01001-161604-3</t>
  </si>
  <si>
    <t>A01001-161604-5</t>
  </si>
  <si>
    <t>A01002-161604-1</t>
  </si>
  <si>
    <t>28367</t>
  </si>
  <si>
    <t>28366</t>
  </si>
  <si>
    <t>28361</t>
  </si>
  <si>
    <t>A01002-161604-4</t>
  </si>
  <si>
    <t>A01002-161604-3</t>
  </si>
  <si>
    <t>A01002-161604-5</t>
  </si>
  <si>
    <t>A01004-161604-1</t>
  </si>
  <si>
    <t>27818</t>
  </si>
  <si>
    <t>A01004-161604-4</t>
  </si>
  <si>
    <t>A01004-161604-3</t>
  </si>
  <si>
    <t>A01004-161604-5</t>
  </si>
  <si>
    <t>A01002-161704-1</t>
  </si>
  <si>
    <t>28508</t>
  </si>
  <si>
    <t>A01002-161704-4</t>
  </si>
  <si>
    <t>A01002-161704-3</t>
  </si>
  <si>
    <t>A01002-161704-5</t>
  </si>
  <si>
    <t>A01001-161704-1</t>
  </si>
  <si>
    <t>A01001-161704-4</t>
  </si>
  <si>
    <t>A01001-161704-3</t>
  </si>
  <si>
    <t>A01001-161704-5</t>
  </si>
  <si>
    <t>A04084-161704-1</t>
  </si>
  <si>
    <t>28507</t>
  </si>
  <si>
    <t>A04083-161704-1</t>
  </si>
  <si>
    <t>A27073-161704-1</t>
  </si>
  <si>
    <t>27794</t>
  </si>
  <si>
    <t>A26077-161704-1</t>
  </si>
  <si>
    <t>A01002-161804-1</t>
  </si>
  <si>
    <t>28410</t>
  </si>
  <si>
    <t>A01002-161804-4</t>
  </si>
  <si>
    <t>A01002-161804-3</t>
  </si>
  <si>
    <t>A01002-161804-5</t>
  </si>
  <si>
    <t>A11045-182704-1</t>
  </si>
  <si>
    <t>29741</t>
  </si>
  <si>
    <t>Programa Embarques 2026 S-18.xlsx</t>
  </si>
  <si>
    <t>A01001-182704-1</t>
  </si>
  <si>
    <t>29515</t>
  </si>
  <si>
    <t>29119</t>
  </si>
  <si>
    <t>A01001-182704-4</t>
  </si>
  <si>
    <t>A01001-182704-3</t>
  </si>
  <si>
    <t>A01001-182704-5</t>
  </si>
  <si>
    <t>A01002-182704-1</t>
  </si>
  <si>
    <t>29048</t>
  </si>
  <si>
    <t>29049</t>
  </si>
  <si>
    <t>29733</t>
  </si>
  <si>
    <t>A01002-182704-4</t>
  </si>
  <si>
    <t>A01002-182704-3</t>
  </si>
  <si>
    <t>A01002-182704-5</t>
  </si>
  <si>
    <t>A01003-182704-1</t>
  </si>
  <si>
    <t>29131</t>
  </si>
  <si>
    <t>A01003-182704-4</t>
  </si>
  <si>
    <t>A01003-182704-3</t>
  </si>
  <si>
    <t>A01003-182704-5</t>
  </si>
  <si>
    <t>A11045-182804-1</t>
  </si>
  <si>
    <t>29903</t>
  </si>
  <si>
    <t>A04084-182804-1</t>
  </si>
  <si>
    <t>A01001-182804-1</t>
  </si>
  <si>
    <t>29729</t>
  </si>
  <si>
    <t>29889</t>
  </si>
  <si>
    <t>A01001-182804-4</t>
  </si>
  <si>
    <t>A01001-182804-3</t>
  </si>
  <si>
    <t>A01001-182804-5</t>
  </si>
  <si>
    <t>A01002-182804-1</t>
  </si>
  <si>
    <t>29735</t>
  </si>
  <si>
    <t>29050</t>
  </si>
  <si>
    <t>A01002-182804-4</t>
  </si>
  <si>
    <t>A01002-182804-3</t>
  </si>
  <si>
    <t>A01002-182804-5</t>
  </si>
  <si>
    <t>A01003-182804-1</t>
  </si>
  <si>
    <t>29771</t>
  </si>
  <si>
    <t>29738</t>
  </si>
  <si>
    <t>29739</t>
  </si>
  <si>
    <t>A01003-182804-4</t>
  </si>
  <si>
    <t>A01003-182804-3</t>
  </si>
  <si>
    <t>A01003-182804-5</t>
  </si>
  <si>
    <t>A26077-182804-1</t>
  </si>
  <si>
    <t>A01001-182904-1</t>
  </si>
  <si>
    <t>29051</t>
  </si>
  <si>
    <t>A01001-182904-4</t>
  </si>
  <si>
    <t>A01001-182904-3</t>
  </si>
  <si>
    <t>A01001-182904-5</t>
  </si>
  <si>
    <t>A05041-182904-1</t>
  </si>
  <si>
    <t>A26077-182904-1</t>
  </si>
  <si>
    <t>29564</t>
  </si>
  <si>
    <t>A04084-182904-1</t>
  </si>
  <si>
    <t>A01003-182904-1</t>
  </si>
  <si>
    <t>29052</t>
  </si>
  <si>
    <t>A01003-182904-4</t>
  </si>
  <si>
    <t>A01003-182904-3</t>
  </si>
  <si>
    <t>A01003-182904-5</t>
  </si>
  <si>
    <t>A01002-182904-1</t>
  </si>
  <si>
    <t>29053</t>
  </si>
  <si>
    <t>A01002-182904-4</t>
  </si>
  <si>
    <t>A01002-182904-3</t>
  </si>
  <si>
    <t>A01002-182904-5</t>
  </si>
  <si>
    <t>A04084-183004-1</t>
  </si>
  <si>
    <t>29054</t>
  </si>
  <si>
    <t>A05040-183004-1</t>
  </si>
  <si>
    <t>30118</t>
  </si>
  <si>
    <t>A01004-183004-1</t>
  </si>
  <si>
    <t>A01004-183004-4</t>
  </si>
  <si>
    <t>A01004-183004-3</t>
  </si>
  <si>
    <t>A01004-183004-5</t>
  </si>
  <si>
    <t>A01001-183004-1</t>
  </si>
  <si>
    <t>29056</t>
  </si>
  <si>
    <t>A01001-183004-4</t>
  </si>
  <si>
    <t>A01001-183004-3</t>
  </si>
  <si>
    <t>A01001-183004-5</t>
  </si>
  <si>
    <t>A01002-183004-1</t>
  </si>
  <si>
    <t>29909</t>
  </si>
  <si>
    <t>A01002-183004-4</t>
  </si>
  <si>
    <t>29910</t>
  </si>
  <si>
    <t>A01002-183004-3</t>
  </si>
  <si>
    <t>A01002-183004-5</t>
  </si>
  <si>
    <t>A04083-180105-1</t>
  </si>
  <si>
    <t>30138</t>
  </si>
  <si>
    <t>A04038-180105-1</t>
  </si>
  <si>
    <t>A04084-180105-1</t>
  </si>
  <si>
    <t>29867</t>
  </si>
  <si>
    <t>A27073-180105-1</t>
  </si>
  <si>
    <t>29885</t>
  </si>
  <si>
    <t>A05042-180105-1</t>
  </si>
  <si>
    <t>29057</t>
  </si>
  <si>
    <t>29058</t>
  </si>
  <si>
    <t>A05040-180105-1</t>
  </si>
  <si>
    <t>A04005-180105-1</t>
  </si>
  <si>
    <t>30122</t>
  </si>
  <si>
    <t>A26077-180105-1</t>
  </si>
  <si>
    <t>A04083-180205-1</t>
  </si>
  <si>
    <t>30316</t>
  </si>
  <si>
    <t>A25022-180205-1</t>
  </si>
  <si>
    <t>A01003-180205-1</t>
  </si>
  <si>
    <t>30123</t>
  </si>
  <si>
    <t>30124</t>
  </si>
  <si>
    <t>A01003-180205-4</t>
  </si>
  <si>
    <t>A01003-180205-3</t>
  </si>
  <si>
    <t>A01003-180205-5</t>
  </si>
  <si>
    <t>A01002-180205-1</t>
  </si>
  <si>
    <t>29870</t>
  </si>
  <si>
    <t>A01002-180205-4</t>
  </si>
  <si>
    <t>A01002-180205-3</t>
  </si>
  <si>
    <t>A01002-180205-5</t>
  </si>
  <si>
    <t>A01004-142903-1</t>
  </si>
  <si>
    <t>26349</t>
  </si>
  <si>
    <t>Programa Embarques 2026 S-14.xlsx</t>
  </si>
  <si>
    <t>A01004-142903-4</t>
  </si>
  <si>
    <t>A01004-142903-3</t>
  </si>
  <si>
    <t>A01004-142903-5</t>
  </si>
  <si>
    <t>A01001-143003-1</t>
  </si>
  <si>
    <t>26351</t>
  </si>
  <si>
    <t>A01001-143003-4</t>
  </si>
  <si>
    <t>A01001-143003-3</t>
  </si>
  <si>
    <t>A01001-143003-5</t>
  </si>
  <si>
    <t>A01003-143003-1</t>
  </si>
  <si>
    <t>26458</t>
  </si>
  <si>
    <t>26696</t>
  </si>
  <si>
    <t>A01003-143003-4</t>
  </si>
  <si>
    <t>A01003-143003-3</t>
  </si>
  <si>
    <t>A01003-143003-5</t>
  </si>
  <si>
    <t>A01002-143003-1</t>
  </si>
  <si>
    <t>26737</t>
  </si>
  <si>
    <t>26698</t>
  </si>
  <si>
    <t>A01002-143003-4</t>
  </si>
  <si>
    <t>A01002-143003-3</t>
  </si>
  <si>
    <t>A01002-143003-5</t>
  </si>
  <si>
    <t>A04084-143003-1</t>
  </si>
  <si>
    <t>A04084-143103-1</t>
  </si>
  <si>
    <t>26709</t>
  </si>
  <si>
    <t>A01003-143103-1</t>
  </si>
  <si>
    <t>26096</t>
  </si>
  <si>
    <t>26099</t>
  </si>
  <si>
    <t>A01003-143103-4</t>
  </si>
  <si>
    <t>A01003-143103-3</t>
  </si>
  <si>
    <t>A01003-143103-5</t>
  </si>
  <si>
    <t>A27073-143103-1</t>
  </si>
  <si>
    <t>A01002-143103-1</t>
  </si>
  <si>
    <t>26461</t>
  </si>
  <si>
    <t>A01002-143103-4</t>
  </si>
  <si>
    <t>A01002-143103-3</t>
  </si>
  <si>
    <t>A01002-143103-5</t>
  </si>
  <si>
    <t>A01001-143103-1</t>
  </si>
  <si>
    <t>A01001-143103-4</t>
  </si>
  <si>
    <t>A01001-143103-3</t>
  </si>
  <si>
    <t>A01001-143103-5</t>
  </si>
  <si>
    <t>A11092-140104-1</t>
  </si>
  <si>
    <t>26783</t>
  </si>
  <si>
    <t>A27073-140104-1</t>
  </si>
  <si>
    <t>26884</t>
  </si>
  <si>
    <t>A01001-140104-1</t>
  </si>
  <si>
    <t>26468</t>
  </si>
  <si>
    <t>A01001-140104-4</t>
  </si>
  <si>
    <t>A01001-140104-3</t>
  </si>
  <si>
    <t>A01001-140104-5</t>
  </si>
  <si>
    <t>A01002-140104-1</t>
  </si>
  <si>
    <t>26469</t>
  </si>
  <si>
    <t>26771</t>
  </si>
  <si>
    <t>26758</t>
  </si>
  <si>
    <t>26763</t>
  </si>
  <si>
    <t>26772</t>
  </si>
  <si>
    <t>A01002-140104-4</t>
  </si>
  <si>
    <t>A01002-140104-3</t>
  </si>
  <si>
    <t>A01002-140104-5</t>
  </si>
  <si>
    <t>A01003-140104-1</t>
  </si>
  <si>
    <t>26100</t>
  </si>
  <si>
    <t>26474</t>
  </si>
  <si>
    <t>26733</t>
  </si>
  <si>
    <t>A01003-140104-4</t>
  </si>
  <si>
    <t>A01003-140104-3</t>
  </si>
  <si>
    <t>A01003-140104-5</t>
  </si>
  <si>
    <t>A04084-140104-1</t>
  </si>
  <si>
    <t>A01002-140204-1</t>
  </si>
  <si>
    <t>A01002-140204-4</t>
  </si>
  <si>
    <t>A01002-140204-3</t>
  </si>
  <si>
    <t>A01002-140204-5</t>
  </si>
  <si>
    <t>A01004-140204-1</t>
  </si>
  <si>
    <t>26475</t>
  </si>
  <si>
    <t>A01004-140204-4</t>
  </si>
  <si>
    <t>A01004-140204-3</t>
  </si>
  <si>
    <t>A01004-140204-5</t>
  </si>
  <si>
    <t>A11045-140204-1</t>
  </si>
  <si>
    <t>A01001-140204-1</t>
  </si>
  <si>
    <t>A01001-140204-4</t>
  </si>
  <si>
    <t>A01001-140204-3</t>
  </si>
  <si>
    <t>A01001-140204-5</t>
  </si>
  <si>
    <t>A01001-172004-1</t>
  </si>
  <si>
    <t>28883</t>
  </si>
  <si>
    <t>Programa Embarques 2026 S-17.xlsx</t>
  </si>
  <si>
    <t>28491</t>
  </si>
  <si>
    <t>A01001-172004-4</t>
  </si>
  <si>
    <t>A01001-172004-3</t>
  </si>
  <si>
    <t>A01001-172004-5</t>
  </si>
  <si>
    <t>A25067-172004-1</t>
  </si>
  <si>
    <t>28850</t>
  </si>
  <si>
    <t>A01002-172004-1</t>
  </si>
  <si>
    <t>28844</t>
  </si>
  <si>
    <t>28493</t>
  </si>
  <si>
    <t>A01002-172004-4</t>
  </si>
  <si>
    <t>A01002-172004-3</t>
  </si>
  <si>
    <t>A01002-172004-5</t>
  </si>
  <si>
    <t>A04038-172004-1</t>
  </si>
  <si>
    <t>28448</t>
  </si>
  <si>
    <t>A11056-172004-1</t>
  </si>
  <si>
    <t>28455</t>
  </si>
  <si>
    <t>A01003-172004-1</t>
  </si>
  <si>
    <t>28450</t>
  </si>
  <si>
    <t>A01003-172004-4</t>
  </si>
  <si>
    <t>A01003-172004-3</t>
  </si>
  <si>
    <t>A01003-172004-5</t>
  </si>
  <si>
    <t>A11045-172004-1</t>
  </si>
  <si>
    <t>A11092-172104-1</t>
  </si>
  <si>
    <t>A01001-172104-1</t>
  </si>
  <si>
    <t>28895</t>
  </si>
  <si>
    <t>29005</t>
  </si>
  <si>
    <t>A01001-172104-4</t>
  </si>
  <si>
    <t>A01001-172104-3</t>
  </si>
  <si>
    <t>A01001-172104-5</t>
  </si>
  <si>
    <t>A01002-172104-1</t>
  </si>
  <si>
    <t>28457</t>
  </si>
  <si>
    <t>29007</t>
  </si>
  <si>
    <t>A01002-172104-4</t>
  </si>
  <si>
    <t>A01002-172104-3</t>
  </si>
  <si>
    <t>A01002-172104-5</t>
  </si>
  <si>
    <t>A01003-172104-1</t>
  </si>
  <si>
    <t>28458</t>
  </si>
  <si>
    <t>A01003-172104-4</t>
  </si>
  <si>
    <t>A01003-172104-3</t>
  </si>
  <si>
    <t>A01003-172104-5</t>
  </si>
  <si>
    <t>A04084-172104-1</t>
  </si>
  <si>
    <t>A01003-172204-1</t>
  </si>
  <si>
    <t>29012</t>
  </si>
  <si>
    <t>A01003-172204-4</t>
  </si>
  <si>
    <t>A01003-172204-3</t>
  </si>
  <si>
    <t>A01003-172204-5</t>
  </si>
  <si>
    <t>A04084-172204-1</t>
  </si>
  <si>
    <t>A01001-172204-1</t>
  </si>
  <si>
    <t>29232</t>
  </si>
  <si>
    <t>A01001-172204-4</t>
  </si>
  <si>
    <t>A01001-172204-3</t>
  </si>
  <si>
    <t>A01001-172204-5</t>
  </si>
  <si>
    <t>A01002-172204-1</t>
  </si>
  <si>
    <t>28460</t>
  </si>
  <si>
    <t>A01002-172204-4</t>
  </si>
  <si>
    <t>A01002-172204-3</t>
  </si>
  <si>
    <t>A01002-172204-5</t>
  </si>
  <si>
    <t>A27073-172204-1</t>
  </si>
  <si>
    <t>28416</t>
  </si>
  <si>
    <t>A26077-172204-1</t>
  </si>
  <si>
    <t>A04084-172304-1</t>
  </si>
  <si>
    <t>29041</t>
  </si>
  <si>
    <t>A05041-172304-1</t>
  </si>
  <si>
    <t>29037</t>
  </si>
  <si>
    <t>A01001-172304-1</t>
  </si>
  <si>
    <t>28548</t>
  </si>
  <si>
    <t>A01001-172304-4</t>
  </si>
  <si>
    <t>A01001-172304-3</t>
  </si>
  <si>
    <t>A01001-172304-5</t>
  </si>
  <si>
    <t>A01002-172304-1</t>
  </si>
  <si>
    <t>29035</t>
  </si>
  <si>
    <t>29032</t>
  </si>
  <si>
    <t>A01002-172304-4</t>
  </si>
  <si>
    <t>A01002-172304-3</t>
  </si>
  <si>
    <t>A01002-172304-5</t>
  </si>
  <si>
    <t>A01004-172304-1</t>
  </si>
  <si>
    <t>28552</t>
  </si>
  <si>
    <t>A01004-172304-4</t>
  </si>
  <si>
    <t>A01004-172304-3</t>
  </si>
  <si>
    <t>A01004-172304-5</t>
  </si>
  <si>
    <t>A04084-172404-1</t>
  </si>
  <si>
    <t>A26077-172404-1</t>
  </si>
  <si>
    <t>29141</t>
  </si>
  <si>
    <t>A04083-172404-1</t>
  </si>
  <si>
    <t>28557</t>
  </si>
  <si>
    <t>A01001-172404-1</t>
  </si>
  <si>
    <t>A01001-172404-4</t>
  </si>
  <si>
    <t>A01001-172404-3</t>
  </si>
  <si>
    <t>A01001-172404-5</t>
  </si>
  <si>
    <t>A01003-172404-1</t>
  </si>
  <si>
    <t>28558</t>
  </si>
  <si>
    <t>A01003-172404-4</t>
  </si>
  <si>
    <t>A01003-172404-3</t>
  </si>
  <si>
    <t>A01003-172404-5</t>
  </si>
  <si>
    <t>A05042-172404-1</t>
  </si>
  <si>
    <t>29044</t>
  </si>
  <si>
    <t>A01002-172404-1</t>
  </si>
  <si>
    <t>29045</t>
  </si>
  <si>
    <t>29117</t>
  </si>
  <si>
    <t>A01002-172404-4</t>
  </si>
  <si>
    <t>A01002-172404-3</t>
  </si>
  <si>
    <t>A01002-172404-5</t>
  </si>
  <si>
    <t>A01004-172504-1</t>
  </si>
  <si>
    <t>A01004-172504-4</t>
  </si>
  <si>
    <t>A01004-172504-3</t>
  </si>
  <si>
    <t>A01004-172504-5</t>
  </si>
  <si>
    <t>A05040-172504-1</t>
  </si>
  <si>
    <t>A04038-172504-1</t>
  </si>
  <si>
    <t>29046</t>
  </si>
  <si>
    <t>A04083-172504-1</t>
  </si>
  <si>
    <t>29047</t>
  </si>
  <si>
    <t>A11045-190405-1</t>
  </si>
  <si>
    <t>29876</t>
  </si>
  <si>
    <t>Programa Embarques 2026 S-19.xlsx</t>
  </si>
  <si>
    <t>A01002-190405-1</t>
  </si>
  <si>
    <t>29877</t>
  </si>
  <si>
    <t>A01002-190405-4</t>
  </si>
  <si>
    <t>A01002-190405-3</t>
  </si>
  <si>
    <t>A01002-190405-5</t>
  </si>
  <si>
    <t>A01003-190405-1</t>
  </si>
  <si>
    <t>30410</t>
  </si>
  <si>
    <t>A01003-190405-4</t>
  </si>
  <si>
    <t>A01003-190405-3</t>
  </si>
  <si>
    <t>A01003-190405-5</t>
  </si>
  <si>
    <t>A01001-190405-1</t>
  </si>
  <si>
    <t>30409</t>
  </si>
  <si>
    <t>A01001-190405-4</t>
  </si>
  <si>
    <t>A01001-190405-3</t>
  </si>
  <si>
    <t>A01001-190405-5</t>
  </si>
  <si>
    <t>A01001-190505-1</t>
  </si>
  <si>
    <t>30317</t>
  </si>
  <si>
    <t>A01001-190505-4</t>
  </si>
  <si>
    <t>A01001-190505-3</t>
  </si>
  <si>
    <t>A01001-190505-5</t>
  </si>
  <si>
    <t>A01004-190505-1</t>
  </si>
  <si>
    <t>30028</t>
  </si>
  <si>
    <t>A01004-190505-4</t>
  </si>
  <si>
    <t>A01004-190505-3</t>
  </si>
  <si>
    <t>A01004-190505-5</t>
  </si>
  <si>
    <t>A01002-190505-1</t>
  </si>
  <si>
    <t>30030</t>
  </si>
  <si>
    <t>A01002-190505-4</t>
  </si>
  <si>
    <t>A01002-190505-3</t>
  </si>
  <si>
    <t>A01002-190505-5</t>
  </si>
  <si>
    <t>A11045-190505-1</t>
  </si>
  <si>
    <t>30514</t>
  </si>
  <si>
    <t>A04084-190505-1</t>
  </si>
  <si>
    <t>A05042-190505-1</t>
  </si>
  <si>
    <t>30038</t>
  </si>
  <si>
    <t>A26077-190505-1</t>
  </si>
  <si>
    <t>A01003-190605-1</t>
  </si>
  <si>
    <t>30040</t>
  </si>
  <si>
    <t>30550</t>
  </si>
  <si>
    <t>A01003-190605-4</t>
  </si>
  <si>
    <t>A01003-190605-3</t>
  </si>
  <si>
    <t>A01003-190605-5</t>
  </si>
  <si>
    <t>A04084-190605-1</t>
  </si>
  <si>
    <t>30567</t>
  </si>
  <si>
    <t>A05041-190605-1</t>
  </si>
  <si>
    <t>A01002-190605-1</t>
  </si>
  <si>
    <t>30484</t>
  </si>
  <si>
    <t>30045</t>
  </si>
  <si>
    <t>31008</t>
  </si>
  <si>
    <t>A01002-190605-4</t>
  </si>
  <si>
    <t>A01002-190605-3</t>
  </si>
  <si>
    <t>A01002-190605-5</t>
  </si>
  <si>
    <t>A26077-190605-1</t>
  </si>
  <si>
    <t>30661</t>
  </si>
  <si>
    <t>A01001-190605-1</t>
  </si>
  <si>
    <t>30483</t>
  </si>
  <si>
    <t>A01001-190605-4</t>
  </si>
  <si>
    <t>A01001-190605-3</t>
  </si>
  <si>
    <t>A01001-190605-5</t>
  </si>
  <si>
    <t>A05042-190705-1</t>
  </si>
  <si>
    <t>30046</t>
  </si>
  <si>
    <t>A04084-190705-1</t>
  </si>
  <si>
    <t>30690</t>
  </si>
  <si>
    <t>A01001-190705-1</t>
  </si>
  <si>
    <t>30563</t>
  </si>
  <si>
    <t>30076</t>
  </si>
  <si>
    <t>A01001-190705-4</t>
  </si>
  <si>
    <t>A01001-190705-3</t>
  </si>
  <si>
    <t>A01001-190705-5</t>
  </si>
  <si>
    <t>A01002-190705-1</t>
  </si>
  <si>
    <t>30682</t>
  </si>
  <si>
    <t>A01002-190705-4</t>
  </si>
  <si>
    <t>A01002-190705-3</t>
  </si>
  <si>
    <t>A01002-190705-5</t>
  </si>
  <si>
    <t>A01003-190705-1</t>
  </si>
  <si>
    <t>A01003-190705-4</t>
  </si>
  <si>
    <t>A01003-190705-3</t>
  </si>
  <si>
    <t>A01003-190705-5</t>
  </si>
  <si>
    <t>A27073-190805-1</t>
  </si>
  <si>
    <t>31010</t>
  </si>
  <si>
    <t>A04005-190805-1</t>
  </si>
  <si>
    <t>30078</t>
  </si>
  <si>
    <t>A01002-190805-1</t>
  </si>
  <si>
    <t>30564</t>
  </si>
  <si>
    <t>30565</t>
  </si>
  <si>
    <t>A01002-190805-4</t>
  </si>
  <si>
    <t>A01002-190805-3</t>
  </si>
  <si>
    <t>A01002-190805-5</t>
  </si>
  <si>
    <t>A05041-190805-1</t>
  </si>
  <si>
    <t>30767</t>
  </si>
  <si>
    <t>A01003-190805-1</t>
  </si>
  <si>
    <t>A01003-190805-4</t>
  </si>
  <si>
    <t>A01003-190805-3</t>
  </si>
  <si>
    <t>A01003-190805-5</t>
  </si>
  <si>
    <t>A26077-190805-1</t>
  </si>
  <si>
    <t>A25022-190905-1</t>
  </si>
  <si>
    <t>A01004-190905-1</t>
  </si>
  <si>
    <t>30314</t>
  </si>
  <si>
    <t>A01004-190905-4</t>
  </si>
  <si>
    <t>A01004-190905-3</t>
  </si>
  <si>
    <t>A01004-190905-5</t>
  </si>
  <si>
    <t>A01002-190905-1</t>
  </si>
  <si>
    <t>A01002-190905-4</t>
  </si>
  <si>
    <t>A01002-190905-3</t>
  </si>
  <si>
    <t>A01002-190905-5</t>
  </si>
  <si>
    <t>A11045-201105-1</t>
  </si>
  <si>
    <t>31111</t>
  </si>
  <si>
    <t>Programa Embarques 2026 S-20.xlsx</t>
  </si>
  <si>
    <t>A11056-201105-1</t>
  </si>
  <si>
    <t>31112</t>
  </si>
  <si>
    <t>A26077-201105-1</t>
  </si>
  <si>
    <t>31256</t>
  </si>
  <si>
    <t>A01001-201105-1</t>
  </si>
  <si>
    <t>30696</t>
  </si>
  <si>
    <t>A01001-201105-4</t>
  </si>
  <si>
    <t>A01001-201105-3</t>
  </si>
  <si>
    <t>A01001-201105-5</t>
  </si>
  <si>
    <t>A01003-201105-1</t>
  </si>
  <si>
    <t>31146</t>
  </si>
  <si>
    <t>30315</t>
  </si>
  <si>
    <t>A01003-201105-4</t>
  </si>
  <si>
    <t>A01003-201105-3</t>
  </si>
  <si>
    <t>A01003-201105-5</t>
  </si>
  <si>
    <t>A01002-201105-1</t>
  </si>
  <si>
    <t>31149</t>
  </si>
  <si>
    <t>A01002-201105-4</t>
  </si>
  <si>
    <t>A01002-201105-3</t>
  </si>
  <si>
    <t>A01002-201105-5</t>
  </si>
  <si>
    <t>A26077-201205-1</t>
  </si>
  <si>
    <t>A11056-201205-1</t>
  </si>
  <si>
    <t>30834</t>
  </si>
  <si>
    <t>A04084-201205-1</t>
  </si>
  <si>
    <t>A01001-201205-1</t>
  </si>
  <si>
    <t>31007</t>
  </si>
  <si>
    <t>30775</t>
  </si>
  <si>
    <t>A01001-201205-4</t>
  </si>
  <si>
    <t>A01001-201205-3</t>
  </si>
  <si>
    <t>A01001-201205-5</t>
  </si>
  <si>
    <t>A01003-201205-1</t>
  </si>
  <si>
    <t>31122</t>
  </si>
  <si>
    <t>30766</t>
  </si>
  <si>
    <t>A01003-201205-4</t>
  </si>
  <si>
    <t>A01003-201205-3</t>
  </si>
  <si>
    <t>A01003-201205-5</t>
  </si>
  <si>
    <t>A01002-201205-1</t>
  </si>
  <si>
    <t>31125</t>
  </si>
  <si>
    <t>A01002-201205-4</t>
  </si>
  <si>
    <t>A01002-201205-3</t>
  </si>
  <si>
    <t>A01002-201205-5</t>
  </si>
  <si>
    <t>A04084-201305-1</t>
  </si>
  <si>
    <t>31141</t>
  </si>
  <si>
    <t>A26077-201305-1</t>
  </si>
  <si>
    <t>A05042-201305-1</t>
  </si>
  <si>
    <t>31142</t>
  </si>
  <si>
    <t>A01004-201305-1</t>
  </si>
  <si>
    <t>30835</t>
  </si>
  <si>
    <t>31235</t>
  </si>
  <si>
    <t>A01004-201305-4</t>
  </si>
  <si>
    <t>A01004-201305-3</t>
  </si>
  <si>
    <t>A01004-201305-5</t>
  </si>
  <si>
    <t>A01002-201305-1</t>
  </si>
  <si>
    <t>30776</t>
  </si>
  <si>
    <t>A01002-201305-4</t>
  </si>
  <si>
    <t>A01002-201305-3</t>
  </si>
  <si>
    <t>A01002-201305-5</t>
  </si>
  <si>
    <t>A01001-201305-1</t>
  </si>
  <si>
    <t>30796</t>
  </si>
  <si>
    <t>A01001-201305-4</t>
  </si>
  <si>
    <t>A01001-201305-3</t>
  </si>
  <si>
    <t>A01001-201305-5</t>
  </si>
  <si>
    <t>A05042-201405-1</t>
  </si>
  <si>
    <t>31293</t>
  </si>
  <si>
    <t>A01001-201405-1</t>
  </si>
  <si>
    <t>30792</t>
  </si>
  <si>
    <t>31237</t>
  </si>
  <si>
    <t>A01001-201405-4</t>
  </si>
  <si>
    <t>A01001-201405-3</t>
  </si>
  <si>
    <t>A01001-201405-5</t>
  </si>
  <si>
    <t>A01002-201405-1</t>
  </si>
  <si>
    <t>A01002-201405-4</t>
  </si>
  <si>
    <t>A01002-201405-3</t>
  </si>
  <si>
    <t>A01002-201405-5</t>
  </si>
  <si>
    <t>A01003-201405-1</t>
  </si>
  <si>
    <t>30832</t>
  </si>
  <si>
    <t>A01003-201405-4</t>
  </si>
  <si>
    <t>A01003-201405-3</t>
  </si>
  <si>
    <t>A01003-201405-5</t>
  </si>
  <si>
    <t>A04084-201405-1</t>
  </si>
  <si>
    <t>A27073-201505-1</t>
  </si>
  <si>
    <t>31660</t>
  </si>
  <si>
    <t>A04005-201505-1</t>
  </si>
  <si>
    <t>31258</t>
  </si>
  <si>
    <t>A25067-201505-1</t>
  </si>
  <si>
    <t>31166</t>
  </si>
  <si>
    <t>A01002-201505-1</t>
  </si>
  <si>
    <t>31249</t>
  </si>
  <si>
    <t>A01002-201505-4</t>
  </si>
  <si>
    <t>A01002-201505-3</t>
  </si>
  <si>
    <t>A01002-201505-5</t>
  </si>
  <si>
    <t>A01003-201505-1</t>
  </si>
  <si>
    <t>31251</t>
  </si>
  <si>
    <t>30833</t>
  </si>
  <si>
    <t>A01003-201505-4</t>
  </si>
  <si>
    <t>A01003-201505-3</t>
  </si>
  <si>
    <t>A01003-201505-5</t>
  </si>
  <si>
    <t>A01001-201505-1</t>
  </si>
  <si>
    <t>A01001-201505-4</t>
  </si>
  <si>
    <t>A01001-201505-3</t>
  </si>
  <si>
    <t>A01001-201505-5</t>
  </si>
  <si>
    <t>A25067-201605-1</t>
  </si>
  <si>
    <t>A25022-201605-1</t>
  </si>
  <si>
    <t>31306</t>
  </si>
  <si>
    <t>A01003-201605-1</t>
  </si>
  <si>
    <t>A01003-201605-4</t>
  </si>
  <si>
    <t>A01003-201605-3</t>
  </si>
  <si>
    <t>A01003-201605-5</t>
  </si>
  <si>
    <t>A11045-211805-1</t>
  </si>
  <si>
    <t>31259</t>
  </si>
  <si>
    <t>Programa Embarques 2026 S-21.xlsx</t>
  </si>
  <si>
    <t>31657</t>
  </si>
  <si>
    <t>A01001-211805-1</t>
  </si>
  <si>
    <t>31301</t>
  </si>
  <si>
    <t>31286</t>
  </si>
  <si>
    <t>A01001-211805-4</t>
  </si>
  <si>
    <t>A01001-211805-3</t>
  </si>
  <si>
    <t>A01001-211805-5</t>
  </si>
  <si>
    <t>A01004-211805-1</t>
  </si>
  <si>
    <t>31384</t>
  </si>
  <si>
    <t>A01004-211805-4</t>
  </si>
  <si>
    <t>A01004-211805-3</t>
  </si>
  <si>
    <t>A01004-211805-5</t>
  </si>
  <si>
    <t>A01002-211805-1</t>
  </si>
  <si>
    <t>31287</t>
  </si>
  <si>
    <t>31537</t>
  </si>
  <si>
    <t>A01002-211805-4</t>
  </si>
  <si>
    <t>A01002-211805-3</t>
  </si>
  <si>
    <t>A01002-211805-5</t>
  </si>
  <si>
    <t>A40096-211905-1</t>
  </si>
  <si>
    <t>31809</t>
  </si>
  <si>
    <t>A04084-211905-1</t>
  </si>
  <si>
    <t>31523</t>
  </si>
  <si>
    <t>A11045-211905-1</t>
  </si>
  <si>
    <t>A01001-211905-1</t>
  </si>
  <si>
    <t>31727</t>
  </si>
  <si>
    <t>31434</t>
  </si>
  <si>
    <t>A01001-211905-4</t>
  </si>
  <si>
    <t>A01001-211905-3</t>
  </si>
  <si>
    <t>A01001-211905-5</t>
  </si>
  <si>
    <t>A01003-211905-1</t>
  </si>
  <si>
    <t>31658</t>
  </si>
  <si>
    <t>31311</t>
  </si>
  <si>
    <t>A01003-211905-4</t>
  </si>
  <si>
    <t>A01003-211905-3</t>
  </si>
  <si>
    <t>A01003-211905-5</t>
  </si>
  <si>
    <t>A01002-211905-1</t>
  </si>
  <si>
    <t>31305</t>
  </si>
  <si>
    <t>A01002-211905-4</t>
  </si>
  <si>
    <t>A01002-211905-3</t>
  </si>
  <si>
    <t>A01002-211905-5</t>
  </si>
  <si>
    <t>A04097-212005-1</t>
  </si>
  <si>
    <t>31521</t>
  </si>
  <si>
    <t>A04084-212005-1</t>
  </si>
  <si>
    <t>A26077-212005-1</t>
  </si>
  <si>
    <t>A05042-212005-1</t>
  </si>
  <si>
    <t>31799</t>
  </si>
  <si>
    <t>A01003-212005-1</t>
  </si>
  <si>
    <t>A01003-212005-4</t>
  </si>
  <si>
    <t>A01003-212005-3</t>
  </si>
  <si>
    <t>A01003-212005-5</t>
  </si>
  <si>
    <t>A01002-212005-1</t>
  </si>
  <si>
    <t>31663</t>
  </si>
  <si>
    <t>31313</t>
  </si>
  <si>
    <t>A01002-212005-4</t>
  </si>
  <si>
    <t>A01002-212005-3</t>
  </si>
  <si>
    <t>A01002-212005-5</t>
  </si>
  <si>
    <t>A01001-212005-1</t>
  </si>
  <si>
    <t>31664</t>
  </si>
  <si>
    <t>A01001-212005-4</t>
  </si>
  <si>
    <t>A01001-212005-3</t>
  </si>
  <si>
    <t>A01001-212005-5</t>
  </si>
  <si>
    <t>A04084-212105-1</t>
  </si>
  <si>
    <t>31597</t>
  </si>
  <si>
    <t>A25067-212105-1</t>
  </si>
  <si>
    <t>31447</t>
  </si>
  <si>
    <t>A01001-212105-1</t>
  </si>
  <si>
    <t>31441</t>
  </si>
  <si>
    <t>A01001-212105-4</t>
  </si>
  <si>
    <t>A01001-212105-3</t>
  </si>
  <si>
    <t>A01001-212105-5</t>
  </si>
  <si>
    <t>A01003-212105-1</t>
  </si>
  <si>
    <t>A01003-212105-4</t>
  </si>
  <si>
    <t>A01003-212105-3</t>
  </si>
  <si>
    <t>A01003-212105-5</t>
  </si>
  <si>
    <t>A01002-212105-1</t>
  </si>
  <si>
    <t>31800</t>
  </si>
  <si>
    <t>A01002-212105-4</t>
  </si>
  <si>
    <t>A01002-212105-3</t>
  </si>
  <si>
    <t>A01002-212105-5</t>
  </si>
  <si>
    <t>A27073-212205-1</t>
  </si>
  <si>
    <t>32346</t>
  </si>
  <si>
    <t>A06043-212205-1</t>
  </si>
  <si>
    <t>31821</t>
  </si>
  <si>
    <t>A04084-212205-1</t>
  </si>
  <si>
    <t>31823</t>
  </si>
  <si>
    <t>A01001-212205-1</t>
  </si>
  <si>
    <t>31590</t>
  </si>
  <si>
    <t>A01001-212205-4</t>
  </si>
  <si>
    <t>A01001-212205-3</t>
  </si>
  <si>
    <t>A01001-212205-5</t>
  </si>
  <si>
    <t>A01003-212205-1</t>
  </si>
  <si>
    <t>31449</t>
  </si>
  <si>
    <t>31923</t>
  </si>
  <si>
    <t>A01003-212205-4</t>
  </si>
  <si>
    <t>A01003-212205-3</t>
  </si>
  <si>
    <t>A01003-212205-5</t>
  </si>
  <si>
    <t>A01002-212205-1</t>
  </si>
  <si>
    <t>31924</t>
  </si>
  <si>
    <t>31451</t>
  </si>
  <si>
    <t>A01002-212205-4</t>
  </si>
  <si>
    <t>A01002-212205-3</t>
  </si>
  <si>
    <t>A01002-212205-5</t>
  </si>
  <si>
    <t>A06043-212305-1</t>
  </si>
  <si>
    <t>A01002-212305-1</t>
  </si>
  <si>
    <t>32014</t>
  </si>
  <si>
    <t>A01002-212305-4</t>
  </si>
  <si>
    <t>A01002-212305-3</t>
  </si>
  <si>
    <t>A01002-212305-5</t>
  </si>
  <si>
    <t>A01004-212305-1</t>
  </si>
  <si>
    <t>A01004-212305-4</t>
  </si>
  <si>
    <t>A01004-212305-3</t>
  </si>
  <si>
    <t>A01004-212305-5</t>
  </si>
  <si>
    <t>A27073-222505-1</t>
  </si>
  <si>
    <t>32440</t>
  </si>
  <si>
    <t>Programa Embarques 2026 S-22.xlsx</t>
  </si>
  <si>
    <t>A26077-222505-1</t>
  </si>
  <si>
    <t>32252</t>
  </si>
  <si>
    <t>A01001-222505-1</t>
  </si>
  <si>
    <t>32011</t>
  </si>
  <si>
    <t>A01001-222505-4</t>
  </si>
  <si>
    <t>A01001-222505-3</t>
  </si>
  <si>
    <t>A01001-222505-5</t>
  </si>
  <si>
    <t>A01003-222505-1</t>
  </si>
  <si>
    <t>31594</t>
  </si>
  <si>
    <t>31595</t>
  </si>
  <si>
    <t>A01003-222505-4</t>
  </si>
  <si>
    <t>A01003-222505-3</t>
  </si>
  <si>
    <t>A01003-222505-5</t>
  </si>
  <si>
    <t>A01002-222505-1</t>
  </si>
  <si>
    <t>32336</t>
  </si>
  <si>
    <t>32822</t>
  </si>
  <si>
    <t>A01002-222505-4</t>
  </si>
  <si>
    <t>A01002-222505-3</t>
  </si>
  <si>
    <t>A01002-222505-5</t>
  </si>
  <si>
    <t>A11045-222605-1</t>
  </si>
  <si>
    <t>A04084-222605-1</t>
  </si>
  <si>
    <t>A04038-222605-1</t>
  </si>
  <si>
    <t>32337</t>
  </si>
  <si>
    <t>A11056-222605-1</t>
  </si>
  <si>
    <t>32354</t>
  </si>
  <si>
    <t>A01001-222605-1</t>
  </si>
  <si>
    <t>32633</t>
  </si>
  <si>
    <t>A01001-222605-4</t>
  </si>
  <si>
    <t>A01001-222605-3</t>
  </si>
  <si>
    <t>A01001-222605-5</t>
  </si>
  <si>
    <t>A01002-222605-1</t>
  </si>
  <si>
    <t>32782</t>
  </si>
  <si>
    <t>32784</t>
  </si>
  <si>
    <t>A01002-222605-4</t>
  </si>
  <si>
    <t>A01002-222605-3</t>
  </si>
  <si>
    <t>A01002-222605-5</t>
  </si>
  <si>
    <t>A01004-222605-1</t>
  </si>
  <si>
    <t>32730</t>
  </si>
  <si>
    <t>A01004-222605-4</t>
  </si>
  <si>
    <t>A01004-222605-3</t>
  </si>
  <si>
    <t>A01004-222605-5</t>
  </si>
  <si>
    <t>A04084-222705-1</t>
  </si>
  <si>
    <t>A11045-222705-1</t>
  </si>
  <si>
    <t>A04033-222705-1</t>
  </si>
  <si>
    <t>32427</t>
  </si>
  <si>
    <t>A01002-222705-1</t>
  </si>
  <si>
    <t>32825</t>
  </si>
  <si>
    <t>32823</t>
  </si>
  <si>
    <t>A01002-222705-4</t>
  </si>
  <si>
    <t>A01002-222705-3</t>
  </si>
  <si>
    <t>A01002-222705-5</t>
  </si>
  <si>
    <t>A01004-222705-1</t>
  </si>
  <si>
    <t>32484</t>
  </si>
  <si>
    <t>A01004-222705-4</t>
  </si>
  <si>
    <t>A01004-222705-3</t>
  </si>
  <si>
    <t>A01004-222705-5</t>
  </si>
  <si>
    <t>A01001-222705-1</t>
  </si>
  <si>
    <t>32902</t>
  </si>
  <si>
    <t>A01001-222705-4</t>
  </si>
  <si>
    <t>A01001-222705-3</t>
  </si>
  <si>
    <t>A01001-222705-5</t>
  </si>
  <si>
    <t>A04084-222805-1</t>
  </si>
  <si>
    <t>32826</t>
  </si>
  <si>
    <t>A06043-222805-1</t>
  </si>
  <si>
    <t>32485</t>
  </si>
  <si>
    <t>A01002-222805-1</t>
  </si>
  <si>
    <t>32466</t>
  </si>
  <si>
    <t>32456</t>
  </si>
  <si>
    <t>A01002-222805-4</t>
  </si>
  <si>
    <t>A01002-222805-3</t>
  </si>
  <si>
    <t>A01002-222805-5</t>
  </si>
  <si>
    <t>A01001-222805-1</t>
  </si>
  <si>
    <t>32829</t>
  </si>
  <si>
    <t>A01001-222805-4</t>
  </si>
  <si>
    <t>A01001-222805-3</t>
  </si>
  <si>
    <t>A01001-222805-5</t>
  </si>
  <si>
    <t>A01003-222805-1</t>
  </si>
  <si>
    <t>32824</t>
  </si>
  <si>
    <t>A01003-222805-4</t>
  </si>
  <si>
    <t>A01003-222805-3</t>
  </si>
  <si>
    <t>A01003-222805-5</t>
  </si>
  <si>
    <t>A4094-222905-1</t>
  </si>
  <si>
    <t>33331</t>
  </si>
  <si>
    <t>A04084-222905-1</t>
  </si>
  <si>
    <t>32489</t>
  </si>
  <si>
    <t>A06043-222905-1</t>
  </si>
  <si>
    <t>A01001-222905-1</t>
  </si>
  <si>
    <t>32487</t>
  </si>
  <si>
    <t>A01001-222905-4</t>
  </si>
  <si>
    <t>A01001-222905-3</t>
  </si>
  <si>
    <t>A01001-222905-5</t>
  </si>
  <si>
    <t>A01004-222905-1</t>
  </si>
  <si>
    <t>32841</t>
  </si>
  <si>
    <t>A01004-222905-4</t>
  </si>
  <si>
    <t>A01004-222905-3</t>
  </si>
  <si>
    <t>A01004-222905-5</t>
  </si>
  <si>
    <t>A01002-223005-1</t>
  </si>
  <si>
    <t>32836</t>
  </si>
  <si>
    <t>A01002-223005-4</t>
  </si>
  <si>
    <t>A01002-223005-3</t>
  </si>
  <si>
    <t>A01002-223005-5</t>
  </si>
  <si>
    <t>A01003-223005-1</t>
  </si>
  <si>
    <t>33341</t>
  </si>
  <si>
    <t>A01003-223005-4</t>
  </si>
  <si>
    <t>A01003-223005-3</t>
  </si>
  <si>
    <t>A01003-223005-5</t>
  </si>
  <si>
    <t>A26077-230106-1</t>
  </si>
  <si>
    <t>33490</t>
  </si>
  <si>
    <t>Programa Embarques 2026 S-23.xlsx</t>
  </si>
  <si>
    <t>32853</t>
  </si>
  <si>
    <t>A25067-230106-1</t>
  </si>
  <si>
    <t>33291</t>
  </si>
  <si>
    <t>A01003-230106-1</t>
  </si>
  <si>
    <t>33295</t>
  </si>
  <si>
    <t>A01003-230106-4</t>
  </si>
  <si>
    <t>A01003-230106-3</t>
  </si>
  <si>
    <t>A01003-230106-5</t>
  </si>
  <si>
    <t>A04084-230206-1</t>
  </si>
  <si>
    <t>A11056-230206-1</t>
  </si>
  <si>
    <t>A11045-230206-1</t>
  </si>
  <si>
    <t>A25067-230206-1</t>
  </si>
  <si>
    <t>A01003-230206-1</t>
  </si>
  <si>
    <t>32837</t>
  </si>
  <si>
    <t>A01003-230206-4</t>
  </si>
  <si>
    <t>A01003-230206-3</t>
  </si>
  <si>
    <t>A01003-230206-5</t>
  </si>
  <si>
    <t>A01002-230206-1</t>
  </si>
  <si>
    <t>33339</t>
  </si>
  <si>
    <t>32842</t>
  </si>
  <si>
    <t>A01002-230206-4</t>
  </si>
  <si>
    <t>A01002-230206-3</t>
  </si>
  <si>
    <t>A01002-230206-5</t>
  </si>
  <si>
    <t>A01001-230206-1</t>
  </si>
  <si>
    <t>33358</t>
  </si>
  <si>
    <t>A01001-230206-4</t>
  </si>
  <si>
    <t>A01001-230206-3</t>
  </si>
  <si>
    <t>A01001-230206-5</t>
  </si>
  <si>
    <t>A04084-230306-1</t>
  </si>
  <si>
    <t>33332</t>
  </si>
  <si>
    <t>A11045-230306-1</t>
  </si>
  <si>
    <t>33641</t>
  </si>
  <si>
    <t>A06043-230306-1</t>
  </si>
  <si>
    <t>A04033-230306-1</t>
  </si>
  <si>
    <t>33340</t>
  </si>
  <si>
    <t>A01003-230306-1</t>
  </si>
  <si>
    <t>33333</t>
  </si>
  <si>
    <t>32846</t>
  </si>
  <si>
    <t>A01003-230306-4</t>
  </si>
  <si>
    <t>A01003-230306-3</t>
  </si>
  <si>
    <t>A01003-230306-5</t>
  </si>
  <si>
    <t>A01002-230306-1</t>
  </si>
  <si>
    <t>A01002-230306-4</t>
  </si>
  <si>
    <t>A01002-230306-3</t>
  </si>
  <si>
    <t>A01002-230306-5</t>
  </si>
  <si>
    <t>A01001-230306-1</t>
  </si>
  <si>
    <t>33621</t>
  </si>
  <si>
    <t>A01001-230306-4</t>
  </si>
  <si>
    <t>A01001-230306-3</t>
  </si>
  <si>
    <t>A01001-230306-5</t>
  </si>
  <si>
    <t>A04084-230406-1</t>
  </si>
  <si>
    <t>A26077-230406-1</t>
  </si>
  <si>
    <t>33768</t>
  </si>
  <si>
    <t>A06043-230406-1</t>
  </si>
  <si>
    <t>A05040-230406-1</t>
  </si>
  <si>
    <t>A05041-230406-1</t>
  </si>
  <si>
    <t>A01004-230406-1</t>
  </si>
  <si>
    <t>33353</t>
  </si>
  <si>
    <t>34099</t>
  </si>
  <si>
    <t>32845</t>
  </si>
  <si>
    <t>A01004-230406-4</t>
  </si>
  <si>
    <t>A01004-230406-3</t>
  </si>
  <si>
    <t>A01004-230406-5</t>
  </si>
  <si>
    <t>A01002-230406-1</t>
  </si>
  <si>
    <t>32859</t>
  </si>
  <si>
    <t>A01002-230406-4</t>
  </si>
  <si>
    <t>A01002-230406-3</t>
  </si>
  <si>
    <t>A01002-230406-5</t>
  </si>
  <si>
    <t>A01001-230406-1</t>
  </si>
  <si>
    <t>33628</t>
  </si>
  <si>
    <t>A01001-230406-4</t>
  </si>
  <si>
    <t>A01001-230406-3</t>
  </si>
  <si>
    <t>A01001-230406-5</t>
  </si>
  <si>
    <t>A05040-230506-1</t>
  </si>
  <si>
    <t>A05042-230506-1</t>
  </si>
  <si>
    <t>A36090-230506-1</t>
  </si>
  <si>
    <t>33719</t>
  </si>
  <si>
    <t>A27073-230506-1</t>
  </si>
  <si>
    <t>A04084-230506-1</t>
  </si>
  <si>
    <t>33361</t>
  </si>
  <si>
    <t>A01001-230506-1</t>
  </si>
  <si>
    <t>34102</t>
  </si>
  <si>
    <t>A01001-230506-4</t>
  </si>
  <si>
    <t>A01001-230506-3</t>
  </si>
  <si>
    <t>A01001-230506-5</t>
  </si>
  <si>
    <t>A01002-230506-1</t>
  </si>
  <si>
    <t>34100</t>
  </si>
  <si>
    <t>32860</t>
  </si>
  <si>
    <t>33636</t>
  </si>
  <si>
    <t>A01002-230506-4</t>
  </si>
  <si>
    <t>A01002-230506-3</t>
  </si>
  <si>
    <t>A01002-230506-5</t>
  </si>
  <si>
    <t>A01003-230506-1</t>
  </si>
  <si>
    <t>33647</t>
  </si>
  <si>
    <t>A01003-230506-4</t>
  </si>
  <si>
    <t>A01003-230506-3</t>
  </si>
  <si>
    <t>A01003-230506-5</t>
  </si>
  <si>
    <t>A11092-230606-1</t>
  </si>
  <si>
    <t>A11045-230606-1</t>
  </si>
  <si>
    <t>A36090-230606-1</t>
  </si>
  <si>
    <t>A25031-230606-1</t>
  </si>
  <si>
    <t>33638</t>
  </si>
  <si>
    <t>A25022-230606-1</t>
  </si>
  <si>
    <t>A01001-230606-1</t>
  </si>
  <si>
    <t>34083</t>
  </si>
  <si>
    <t>A01001-230606-4</t>
  </si>
  <si>
    <t>A01001-230606-3</t>
  </si>
  <si>
    <t>A01001-230606-5</t>
  </si>
  <si>
    <t>A01002-230606-1</t>
  </si>
  <si>
    <t>34104</t>
  </si>
  <si>
    <t>34086</t>
  </si>
  <si>
    <t>A01002-230606-4</t>
  </si>
  <si>
    <t>A01002-230606-3</t>
  </si>
  <si>
    <t>A01002-230606-5</t>
  </si>
  <si>
    <t>A11045-240806-1</t>
  </si>
  <si>
    <t>34257</t>
  </si>
  <si>
    <t>Programa Embarques 2026 S-24.xlsx</t>
  </si>
  <si>
    <t>A01001-240806-1</t>
  </si>
  <si>
    <t>33715</t>
  </si>
  <si>
    <t>A01001-240806-4</t>
  </si>
  <si>
    <t>A01001-240806-3</t>
  </si>
  <si>
    <t>A01001-240806-5</t>
  </si>
  <si>
    <t>A01002-240806-1</t>
  </si>
  <si>
    <t>33778</t>
  </si>
  <si>
    <t>34269</t>
  </si>
  <si>
    <t>33648</t>
  </si>
  <si>
    <t>A01002-240806-4</t>
  </si>
  <si>
    <t>A01002-240806-3</t>
  </si>
  <si>
    <t>A01002-240806-5</t>
  </si>
  <si>
    <t>A01004-240806-1</t>
  </si>
  <si>
    <t>34258</t>
  </si>
  <si>
    <t>A01004-240806-4</t>
  </si>
  <si>
    <t>A01004-240806-3</t>
  </si>
  <si>
    <t>A01004-240806-5</t>
  </si>
  <si>
    <t>A11056-240906-1</t>
  </si>
  <si>
    <t>33875</t>
  </si>
  <si>
    <t>A04084-240906-1</t>
  </si>
  <si>
    <t>34313</t>
  </si>
  <si>
    <t>A26077-240906-1</t>
  </si>
  <si>
    <t>A01002-240906-1</t>
  </si>
  <si>
    <t>34315</t>
  </si>
  <si>
    <t>A01002-240906-4</t>
  </si>
  <si>
    <t>A01002-240906-3</t>
  </si>
  <si>
    <t>A01002-240906-5</t>
  </si>
  <si>
    <t>A01003-240906-1</t>
  </si>
  <si>
    <t>34270</t>
  </si>
  <si>
    <t>A01003-240906-4</t>
  </si>
  <si>
    <t>A01003-240906-3</t>
  </si>
  <si>
    <t>A01003-240906-5</t>
  </si>
  <si>
    <t>A01001-240906-1</t>
  </si>
  <si>
    <t>34108</t>
  </si>
  <si>
    <t>A01001-240906-4</t>
  </si>
  <si>
    <t>A01001-240906-3</t>
  </si>
  <si>
    <t>A01001-240906-5</t>
  </si>
  <si>
    <t>A04084-241006-1</t>
  </si>
  <si>
    <t>34409</t>
  </si>
  <si>
    <t>A01002-241006-1</t>
  </si>
  <si>
    <t>33770</t>
  </si>
  <si>
    <t>33873</t>
  </si>
  <si>
    <t>33874</t>
  </si>
  <si>
    <t>A01002-241006-4</t>
  </si>
  <si>
    <t>A01002-241006-3</t>
  </si>
  <si>
    <t>A01002-241006-5</t>
  </si>
  <si>
    <t>A01003-241006-1</t>
  </si>
  <si>
    <t>34317</t>
  </si>
  <si>
    <t>A01003-241006-4</t>
  </si>
  <si>
    <t>A01003-241006-3</t>
  </si>
  <si>
    <t>A01003-241006-5</t>
  </si>
  <si>
    <t>A01001-241006-1</t>
  </si>
  <si>
    <t>34274</t>
  </si>
  <si>
    <t>A01001-241006-4</t>
  </si>
  <si>
    <t>A01001-241006-3</t>
  </si>
  <si>
    <t>A01001-241006-5</t>
  </si>
  <si>
    <t>A04084-241106-1</t>
  </si>
  <si>
    <t>A36090-241106-1</t>
  </si>
  <si>
    <t>34330</t>
  </si>
  <si>
    <t>A01003-241106-1</t>
  </si>
  <si>
    <t>34323</t>
  </si>
  <si>
    <t>34279</t>
  </si>
  <si>
    <t>A01003-241106-4</t>
  </si>
  <si>
    <t>A01003-241106-3</t>
  </si>
  <si>
    <t>A01003-241106-5</t>
  </si>
  <si>
    <t>A01002-241106-1</t>
  </si>
  <si>
    <t>34275</t>
  </si>
  <si>
    <t>34276</t>
  </si>
  <si>
    <t>A01002-241106-4</t>
  </si>
  <si>
    <t>A01002-241106-3</t>
  </si>
  <si>
    <t>A01002-241106-5</t>
  </si>
  <si>
    <t>A01001-241106-1</t>
  </si>
  <si>
    <t>34389</t>
  </si>
  <si>
    <t>A01001-241106-4</t>
  </si>
  <si>
    <t>A01001-241106-3</t>
  </si>
  <si>
    <t>A01001-241106-5</t>
  </si>
  <si>
    <t>A27073-241206-1</t>
  </si>
  <si>
    <t>A04084-241206-1</t>
  </si>
  <si>
    <t>34624</t>
  </si>
  <si>
    <t>A36090-241206-1</t>
  </si>
  <si>
    <t>A01004-241206-1</t>
  </si>
  <si>
    <t>34333</t>
  </si>
  <si>
    <t>34371</t>
  </si>
  <si>
    <t>34605</t>
  </si>
  <si>
    <t>A01004-241206-4</t>
  </si>
  <si>
    <t>A01004-241206-3</t>
  </si>
  <si>
    <t>A01004-241206-5</t>
  </si>
  <si>
    <t>A01002-241206-1</t>
  </si>
  <si>
    <t>34280</t>
  </si>
  <si>
    <t>A01002-241206-4</t>
  </si>
  <si>
    <t>A01002-241206-3</t>
  </si>
  <si>
    <t>A01002-241206-5</t>
  </si>
  <si>
    <t>A01001-241206-1</t>
  </si>
  <si>
    <t>34399</t>
  </si>
  <si>
    <t>A01001-241206-4</t>
  </si>
  <si>
    <t>A01001-241206-3</t>
  </si>
  <si>
    <t>A01001-241206-5</t>
  </si>
  <si>
    <t>A05040-241306-1</t>
  </si>
  <si>
    <t>34370</t>
  </si>
  <si>
    <t>A05042-241306-1</t>
  </si>
  <si>
    <t>A01003-241306-1</t>
  </si>
  <si>
    <t>34734</t>
  </si>
  <si>
    <t>34402</t>
  </si>
  <si>
    <t>A01003-241306-4</t>
  </si>
  <si>
    <t>A01003-241306-3</t>
  </si>
  <si>
    <t>A01003-241306-5</t>
  </si>
  <si>
    <t>33</t>
  </si>
  <si>
    <t>A11045-251506-1</t>
  </si>
  <si>
    <t/>
  </si>
  <si>
    <t>Programa Embarques 2026 S-25.xlsx</t>
  </si>
  <si>
    <t>A01002-251506-1</t>
  </si>
  <si>
    <t>34530</t>
  </si>
  <si>
    <t>34607</t>
  </si>
  <si>
    <t>A01002-251506-4</t>
  </si>
  <si>
    <t>A01002-251506-3</t>
  </si>
  <si>
    <t>A01002-251506-5</t>
  </si>
  <si>
    <t>A01001-251506-1</t>
  </si>
  <si>
    <t>34625</t>
  </si>
  <si>
    <t>34528</t>
  </si>
  <si>
    <t>A01001-251506-4</t>
  </si>
  <si>
    <t>A01001-251506-3</t>
  </si>
  <si>
    <t>A01001-251506-5</t>
  </si>
  <si>
    <t>A11056-251606-1</t>
  </si>
  <si>
    <t>34542</t>
  </si>
  <si>
    <t>A05042-251606-1</t>
  </si>
  <si>
    <t>34744</t>
  </si>
  <si>
    <t>A04084-251606-1</t>
  </si>
  <si>
    <t>A01003-251606-1</t>
  </si>
  <si>
    <t>34616</t>
  </si>
  <si>
    <t>34617</t>
  </si>
  <si>
    <t>34546</t>
  </si>
  <si>
    <t>A01003-251606-4</t>
  </si>
  <si>
    <t>A01003-251606-3</t>
  </si>
  <si>
    <t>A01003-251606-5</t>
  </si>
  <si>
    <t>A01001-251606-1</t>
  </si>
  <si>
    <t>34923</t>
  </si>
  <si>
    <t>A01001-251606-4</t>
  </si>
  <si>
    <t>A01001-251606-3</t>
  </si>
  <si>
    <t>A01001-251606-5</t>
  </si>
  <si>
    <t>A01002-251606-1</t>
  </si>
  <si>
    <t>34541</t>
  </si>
  <si>
    <t>34547</t>
  </si>
  <si>
    <t>A01002-251606-5</t>
  </si>
  <si>
    <t>A01002-251606-4</t>
  </si>
  <si>
    <t>A01002-251606-3</t>
  </si>
  <si>
    <t>A04084-251706-1</t>
  </si>
  <si>
    <t>34545</t>
  </si>
  <si>
    <t>A27073-251706-1</t>
  </si>
  <si>
    <t>34740</t>
  </si>
  <si>
    <t>A01003-251706-1</t>
  </si>
  <si>
    <t>34548</t>
  </si>
  <si>
    <t>A01003-251706-4</t>
  </si>
  <si>
    <t>A01003-251706-3</t>
  </si>
  <si>
    <t>A01003-251706-5</t>
  </si>
  <si>
    <t>A01001-251706-1</t>
  </si>
  <si>
    <t>34739</t>
  </si>
  <si>
    <t>A01001-251706-4</t>
  </si>
  <si>
    <t>A01001-251706-3</t>
  </si>
  <si>
    <t>A01001-251706-5</t>
  </si>
  <si>
    <t>A01002-251706-1</t>
  </si>
  <si>
    <t>34560</t>
  </si>
  <si>
    <t>34741</t>
  </si>
  <si>
    <t>A01002-251706-4</t>
  </si>
  <si>
    <t>A01002-251706-3</t>
  </si>
  <si>
    <t>A01002-251706-5</t>
  </si>
  <si>
    <t>A04084-251806-1</t>
  </si>
  <si>
    <t>34558</t>
  </si>
  <si>
    <t>A01002-251806-1</t>
  </si>
  <si>
    <t>34564</t>
  </si>
  <si>
    <t>34751</t>
  </si>
  <si>
    <t>34756</t>
  </si>
  <si>
    <t>34757</t>
  </si>
  <si>
    <t>A01002-251806-4</t>
  </si>
  <si>
    <t>A01002-251806-3</t>
  </si>
  <si>
    <t>A01002-251806-5</t>
  </si>
  <si>
    <t>A01001-251806-1</t>
  </si>
  <si>
    <t>35773</t>
  </si>
  <si>
    <t>34749</t>
  </si>
  <si>
    <t>A01001-251806-4</t>
  </si>
  <si>
    <t>A01001-251806-3</t>
  </si>
  <si>
    <t>A01001-251806-5</t>
  </si>
  <si>
    <t>A01003-251806-1</t>
  </si>
  <si>
    <t>34760</t>
  </si>
  <si>
    <t>34767</t>
  </si>
  <si>
    <t>A01003-251806-4</t>
  </si>
  <si>
    <t>A01003-251806-3</t>
  </si>
  <si>
    <t>A01003-251806-5</t>
  </si>
  <si>
    <t>A36090-251806-1</t>
  </si>
  <si>
    <t>A36090-251906-1</t>
  </si>
  <si>
    <t>A08006-251906-1</t>
  </si>
  <si>
    <t>A01001-251906-1</t>
  </si>
  <si>
    <t>34758</t>
  </si>
  <si>
    <t>A01001-251906-4</t>
  </si>
  <si>
    <t>A01001-251906-3</t>
  </si>
  <si>
    <t>A01001-251906-5</t>
  </si>
  <si>
    <t>A01002-251906-1</t>
  </si>
  <si>
    <t>34565</t>
  </si>
  <si>
    <t>34762</t>
  </si>
  <si>
    <t>34773</t>
  </si>
  <si>
    <t>A01002-251906-4</t>
  </si>
  <si>
    <t>A01002-251906-3</t>
  </si>
  <si>
    <t>A01002-251906-5</t>
  </si>
  <si>
    <t>A01004-251906-1</t>
  </si>
  <si>
    <t>34570</t>
  </si>
  <si>
    <t>34573</t>
  </si>
  <si>
    <t>A01004-251906-4</t>
  </si>
  <si>
    <t>A01004-251906-3</t>
  </si>
  <si>
    <t>A01004-251906-5</t>
  </si>
  <si>
    <t>A08006-252006-1</t>
  </si>
  <si>
    <t>A05040-252006-1</t>
  </si>
  <si>
    <t>34742</t>
  </si>
  <si>
    <t>A01002-252006-1</t>
  </si>
  <si>
    <t>34761</t>
  </si>
  <si>
    <t>A01002-252006-4</t>
  </si>
  <si>
    <t>A01002-252006-3</t>
  </si>
  <si>
    <t>A01002-252006-5</t>
  </si>
  <si>
    <t>A01004-252006-1</t>
  </si>
  <si>
    <t>34743</t>
  </si>
  <si>
    <t>A01004-252006-4</t>
  </si>
  <si>
    <t>A01004-252006-3</t>
  </si>
  <si>
    <t>A01004-252006-5</t>
  </si>
  <si>
    <t>34</t>
  </si>
  <si>
    <t>A11045-262206-1</t>
  </si>
  <si>
    <t>35310</t>
  </si>
  <si>
    <t>Programa Embarques 2026 S-26.xlsx</t>
  </si>
  <si>
    <t>A01003-262206-1</t>
  </si>
  <si>
    <t>35262</t>
  </si>
  <si>
    <t>35203</t>
  </si>
  <si>
    <t>35204</t>
  </si>
  <si>
    <t>A01003-262206-4</t>
  </si>
  <si>
    <t>A01003-262206-3</t>
  </si>
  <si>
    <t>A01003-262206-5</t>
  </si>
  <si>
    <t>A01002-262206-1</t>
  </si>
  <si>
    <t>35260</t>
  </si>
  <si>
    <t>34774</t>
  </si>
  <si>
    <t>A01002-262206-4</t>
  </si>
  <si>
    <t>A01002-262206-3</t>
  </si>
  <si>
    <t>A01002-262206-5</t>
  </si>
  <si>
    <t>A01001-262206-1</t>
  </si>
  <si>
    <t>35760</t>
  </si>
  <si>
    <t>A01001-262206-4</t>
  </si>
  <si>
    <t>A01001-262206-3</t>
  </si>
  <si>
    <t>A01001-262206-5</t>
  </si>
  <si>
    <t>A11056-262306-1</t>
  </si>
  <si>
    <t>A11092-262306-1</t>
  </si>
  <si>
    <t>35720</t>
  </si>
  <si>
    <t>A27073-262306-1</t>
  </si>
  <si>
    <t>35417</t>
  </si>
  <si>
    <t>A04084-262306-1</t>
  </si>
  <si>
    <t>35266</t>
  </si>
  <si>
    <t>A26099-262306-1</t>
  </si>
  <si>
    <t>A01004-262306-1</t>
  </si>
  <si>
    <t>A01004-262306-4</t>
  </si>
  <si>
    <t>A01004-262306-3</t>
  </si>
  <si>
    <t>A01004-262306-5</t>
  </si>
  <si>
    <t>A01001-262306-1</t>
  </si>
  <si>
    <t>36441</t>
  </si>
  <si>
    <t>35308</t>
  </si>
  <si>
    <t>35306</t>
  </si>
  <si>
    <t>A01001-262306-4</t>
  </si>
  <si>
    <t>A01001-262306-3</t>
  </si>
  <si>
    <t>A01001-262306-5</t>
  </si>
  <si>
    <t>A01002-262306-1</t>
  </si>
  <si>
    <t>35211</t>
  </si>
  <si>
    <t>35233</t>
  </si>
  <si>
    <t>A01002-262306-4</t>
  </si>
  <si>
    <t>A01002-262306-3</t>
  </si>
  <si>
    <t>A01002-262306-5</t>
  </si>
  <si>
    <t>A36090-262406-1</t>
  </si>
  <si>
    <t>35289</t>
  </si>
  <si>
    <t>A04084-262406-1</t>
  </si>
  <si>
    <t>35394</t>
  </si>
  <si>
    <t>A01002-262406-1</t>
  </si>
  <si>
    <t>35304</t>
  </si>
  <si>
    <t>35492</t>
  </si>
  <si>
    <t>A01002-262406-4</t>
  </si>
  <si>
    <t>A01002-262406-3</t>
  </si>
  <si>
    <t>A01002-262406-5</t>
  </si>
  <si>
    <t>A01001-262406-1</t>
  </si>
  <si>
    <t>35491</t>
  </si>
  <si>
    <t>A01001-262406-4</t>
  </si>
  <si>
    <t>A01001-262406-3</t>
  </si>
  <si>
    <t>A01001-262406-5</t>
  </si>
  <si>
    <t>A01003-262406-1</t>
  </si>
  <si>
    <t>35389</t>
  </si>
  <si>
    <t>35322</t>
  </si>
  <si>
    <t>A01003-262406-4</t>
  </si>
  <si>
    <t>A01003-262406-3</t>
  </si>
  <si>
    <t>A01003-262406-5</t>
  </si>
  <si>
    <t>A04084-262506-1</t>
  </si>
  <si>
    <t>35498</t>
  </si>
  <si>
    <t>A36090-262506-1</t>
  </si>
  <si>
    <t>35553</t>
  </si>
  <si>
    <t>A06043-262506-1</t>
  </si>
  <si>
    <t>35397</t>
  </si>
  <si>
    <t>A04038-262506-1</t>
  </si>
  <si>
    <t>A01003-262506-1</t>
  </si>
  <si>
    <t>35387</t>
  </si>
  <si>
    <t>35324</t>
  </si>
  <si>
    <t>A01003-262506-4</t>
  </si>
  <si>
    <t>A01003-262506-3</t>
  </si>
  <si>
    <t>A01003-262506-5</t>
  </si>
  <si>
    <t>A01001-262506-1</t>
  </si>
  <si>
    <t>35501</t>
  </si>
  <si>
    <t>A01001-262506-4</t>
  </si>
  <si>
    <t>A01001-262506-3</t>
  </si>
  <si>
    <t>A01001-262506-5</t>
  </si>
  <si>
    <t>A01002-262506-1</t>
  </si>
  <si>
    <t>35497</t>
  </si>
  <si>
    <t>35496</t>
  </si>
  <si>
    <t>35499</t>
  </si>
  <si>
    <t>A01002-262506-4</t>
  </si>
  <si>
    <t>A01002-262506-3</t>
  </si>
  <si>
    <t>A01002-262506-5</t>
  </si>
  <si>
    <t>A26077-262606-1</t>
  </si>
  <si>
    <t>35560</t>
  </si>
  <si>
    <t>A01002-262606-1</t>
  </si>
  <si>
    <t>35493</t>
  </si>
  <si>
    <t>A36090-262606-1</t>
  </si>
  <si>
    <t>35559</t>
  </si>
  <si>
    <t>A11087-262606-1</t>
  </si>
  <si>
    <t>36151</t>
  </si>
  <si>
    <t>A11092-262606-1</t>
  </si>
  <si>
    <t>A06043-262606-1</t>
  </si>
  <si>
    <t>A03027-262606-1</t>
  </si>
  <si>
    <t>35561</t>
  </si>
  <si>
    <t>A01004-262606-1</t>
  </si>
  <si>
    <t>35552</t>
  </si>
  <si>
    <t>A01004-262606-4</t>
  </si>
  <si>
    <t>A01004-262606-3</t>
  </si>
  <si>
    <t>A01004-262606-5</t>
  </si>
  <si>
    <t>A01001-262606-1</t>
  </si>
  <si>
    <t>35504</t>
  </si>
  <si>
    <t>A01001-262606-4</t>
  </si>
  <si>
    <t>A01001-262606-3</t>
  </si>
  <si>
    <t>A01001-262606-5</t>
  </si>
  <si>
    <t>36214</t>
  </si>
  <si>
    <t>35505</t>
  </si>
  <si>
    <t>35500</t>
  </si>
  <si>
    <t>A01002-262606-4</t>
  </si>
  <si>
    <t>A01002-262606-3</t>
  </si>
  <si>
    <t>A01002-262606-5</t>
  </si>
  <si>
    <t>A01002-262706-1</t>
  </si>
  <si>
    <t>A04084-262706-1</t>
  </si>
  <si>
    <t>36553</t>
  </si>
  <si>
    <t>A03027-262706-1</t>
  </si>
  <si>
    <t>A03026-262706-1</t>
  </si>
  <si>
    <t>A41005-262706-1</t>
  </si>
  <si>
    <t>A41 005 La Gloria</t>
  </si>
  <si>
    <t>36160</t>
  </si>
  <si>
    <t>A01003-262706-1</t>
  </si>
  <si>
    <t>35509</t>
  </si>
  <si>
    <t>A01003-262706-4</t>
  </si>
  <si>
    <t>A01003-262706-3</t>
  </si>
  <si>
    <t>A01003-262706-5</t>
  </si>
  <si>
    <t>A01002-262706-4</t>
  </si>
  <si>
    <t>A01002-262706-3</t>
  </si>
  <si>
    <t>A01002-262706-5</t>
  </si>
  <si>
    <t>A04084-272906-1</t>
  </si>
  <si>
    <t>36554</t>
  </si>
  <si>
    <t>Programa Embarques 2026 S-27.xlsx</t>
  </si>
  <si>
    <t>A26099-272906-1</t>
  </si>
  <si>
    <t>35562</t>
  </si>
  <si>
    <t>A01001-272906-1</t>
  </si>
  <si>
    <t>36217</t>
  </si>
  <si>
    <t>36176</t>
  </si>
  <si>
    <t>A01001-272906-4</t>
  </si>
  <si>
    <t>A01001-272906-5</t>
  </si>
  <si>
    <t>A01002-272906-1</t>
  </si>
  <si>
    <t>35510</t>
  </si>
  <si>
    <t>A01002-272906-4</t>
  </si>
  <si>
    <t>A01002-272906-5</t>
  </si>
  <si>
    <t>A04084-273006-1</t>
  </si>
  <si>
    <t>A11045-273006-1</t>
  </si>
  <si>
    <t>34846</t>
  </si>
  <si>
    <t>A11092-273006-1</t>
  </si>
  <si>
    <t>A36090-273006-1</t>
  </si>
  <si>
    <t>A01002-273006-1</t>
  </si>
  <si>
    <t>36178</t>
  </si>
  <si>
    <t>36234</t>
  </si>
  <si>
    <t>A01002-273006-4</t>
  </si>
  <si>
    <t>A01002-273006-5</t>
  </si>
  <si>
    <t>A01004-273006-1</t>
  </si>
  <si>
    <t>A01004-273006-4</t>
  </si>
  <si>
    <t>A01004-273006-5</t>
  </si>
  <si>
    <t>A01001-273006-1</t>
  </si>
  <si>
    <t>36393</t>
  </si>
  <si>
    <t>A01001-273006-4</t>
  </si>
  <si>
    <t>A01001-273006-5</t>
  </si>
  <si>
    <t>A04084-270107-1</t>
  </si>
  <si>
    <t>36249</t>
  </si>
  <si>
    <t>A36090-270107-1</t>
  </si>
  <si>
    <t>36258</t>
  </si>
  <si>
    <t>A11045-270107-1</t>
  </si>
  <si>
    <t>36252</t>
  </si>
  <si>
    <t>A01003-270107-1</t>
  </si>
  <si>
    <t>36238</t>
  </si>
  <si>
    <t>36284</t>
  </si>
  <si>
    <t>A01003-270107-4</t>
  </si>
  <si>
    <t>A01003-270107-5</t>
  </si>
  <si>
    <t>A01002-270107-1</t>
  </si>
  <si>
    <t>36276</t>
  </si>
  <si>
    <t>A01002-270107-4</t>
  </si>
  <si>
    <t>A01002-270107-5</t>
  </si>
  <si>
    <t>A01001-270107-1</t>
  </si>
  <si>
    <t>36351</t>
  </si>
  <si>
    <t>A01001-270107-4</t>
  </si>
  <si>
    <t>A01001-270107-5</t>
  </si>
  <si>
    <t>A26099-270207-1</t>
  </si>
  <si>
    <t>A06043-270207-1</t>
  </si>
  <si>
    <t>36387</t>
  </si>
  <si>
    <t>A01001-270207-1</t>
  </si>
  <si>
    <t>36172</t>
  </si>
  <si>
    <t>36278</t>
  </si>
  <si>
    <t>36289</t>
  </si>
  <si>
    <t>A01001-270207-4</t>
  </si>
  <si>
    <t>A01001-270207-5</t>
  </si>
  <si>
    <t>A01002-270207-1</t>
  </si>
  <si>
    <t>36174</t>
  </si>
  <si>
    <t>36369</t>
  </si>
  <si>
    <t>A01002-270207-4</t>
  </si>
  <si>
    <t>A01002-270207-5</t>
  </si>
  <si>
    <t>A01003-270207-1</t>
  </si>
  <si>
    <t>36352</t>
  </si>
  <si>
    <t>A01003-270207-4</t>
  </si>
  <si>
    <t>A01003-270207-5</t>
  </si>
  <si>
    <t>A04084-270307-1</t>
  </si>
  <si>
    <t>36718</t>
  </si>
  <si>
    <t>A27073-270307-1</t>
  </si>
  <si>
    <t>34738</t>
  </si>
  <si>
    <t>A25031-270307-1</t>
  </si>
  <si>
    <t>36388</t>
  </si>
  <si>
    <t>A25022-270307-1</t>
  </si>
  <si>
    <t>36792</t>
  </si>
  <si>
    <t>A06043-270307-1</t>
  </si>
  <si>
    <t>A01002-270307-1</t>
  </si>
  <si>
    <t>36285</t>
  </si>
  <si>
    <t>36364</t>
  </si>
  <si>
    <t>A01002-270307-4</t>
  </si>
  <si>
    <t>A01002-270307-5</t>
  </si>
  <si>
    <t>A01003-270307-1</t>
  </si>
  <si>
    <t>36290</t>
  </si>
  <si>
    <t>36298</t>
  </si>
  <si>
    <t>A01003-270307-4</t>
  </si>
  <si>
    <t>A01003-270307-5</t>
  </si>
  <si>
    <t>A01001-270307-1</t>
  </si>
  <si>
    <t>A01001-270307-4</t>
  </si>
  <si>
    <t>A01001-270307-5</t>
  </si>
  <si>
    <t>A03026-270407-1</t>
  </si>
  <si>
    <t>36793</t>
  </si>
  <si>
    <t>A03027-270407-1</t>
  </si>
  <si>
    <t>A25031-270407-1</t>
  </si>
  <si>
    <t>A25022-270407-1</t>
  </si>
  <si>
    <t>A01002-270407-1</t>
  </si>
  <si>
    <t>A01002-270407-4</t>
  </si>
  <si>
    <t>A01002-270407-5</t>
  </si>
  <si>
    <t>A01003-270407-1</t>
  </si>
  <si>
    <t>A01003-270407-4</t>
  </si>
  <si>
    <t>A01003-270407-3</t>
  </si>
  <si>
    <t>A01003-270407-5</t>
  </si>
  <si>
    <t>A11045-280607-1</t>
  </si>
  <si>
    <t>36389</t>
  </si>
  <si>
    <t>Programa Embarques 2026 S-28.xlsx</t>
  </si>
  <si>
    <t>A01002-280607-1</t>
  </si>
  <si>
    <t>36390</t>
  </si>
  <si>
    <t>A01002-280607-4</t>
  </si>
  <si>
    <t>A01002-280607-3</t>
  </si>
  <si>
    <t>A01002-280607-5</t>
  </si>
  <si>
    <t>A01004-280607-1</t>
  </si>
  <si>
    <t>36784</t>
  </si>
  <si>
    <t>A01004-280607-4</t>
  </si>
  <si>
    <t>A01004-280607-3</t>
  </si>
  <si>
    <t>A01004-280607-5</t>
  </si>
  <si>
    <t>A04084-280707-1</t>
  </si>
  <si>
    <t>36794</t>
  </si>
  <si>
    <t>A11056-280707-1</t>
  </si>
  <si>
    <t>A11087-280707-1</t>
  </si>
  <si>
    <t>A26099-280707-1</t>
  </si>
  <si>
    <t>A01002-280707-1</t>
  </si>
  <si>
    <t>36391</t>
  </si>
  <si>
    <t>36299</t>
  </si>
  <si>
    <t>A01002-280707-4</t>
  </si>
  <si>
    <t>A01002-280707-3</t>
  </si>
  <si>
    <t>A01002-280707-5</t>
  </si>
  <si>
    <t>A01001-280707-1</t>
  </si>
  <si>
    <t>37190</t>
  </si>
  <si>
    <t>A01001-280707-4</t>
  </si>
  <si>
    <t>A01001-280707-3</t>
  </si>
  <si>
    <t>A01001-280707-5</t>
  </si>
  <si>
    <t>A01003-280707-1</t>
  </si>
  <si>
    <t>36392</t>
  </si>
  <si>
    <t>A01003-280707-4</t>
  </si>
  <si>
    <t>A01003-280707-3</t>
  </si>
  <si>
    <t>A01003-280707-5</t>
  </si>
  <si>
    <t>A25031-280807-1</t>
  </si>
  <si>
    <t>37668</t>
  </si>
  <si>
    <t>A01001-280807-1</t>
  </si>
  <si>
    <t>37779</t>
  </si>
  <si>
    <t>A01001-280807-4</t>
  </si>
  <si>
    <t>A01001-280807-3</t>
  </si>
  <si>
    <t>A01001-280807-5</t>
  </si>
  <si>
    <t>A01003-280807-1</t>
  </si>
  <si>
    <t>37599</t>
  </si>
  <si>
    <t>37601</t>
  </si>
  <si>
    <t>A01003-280807-4</t>
  </si>
  <si>
    <t>A01003-280807-3</t>
  </si>
  <si>
    <t>A01003-280807-5</t>
  </si>
  <si>
    <t>A01002-280807-1</t>
  </si>
  <si>
    <t>36844</t>
  </si>
  <si>
    <t>37675</t>
  </si>
  <si>
    <t>A01002-280807-4</t>
  </si>
  <si>
    <t>A01002-280807-3</t>
  </si>
  <si>
    <t>A01002-280807-5</t>
  </si>
  <si>
    <t>A06043-280907-1</t>
  </si>
  <si>
    <t>36854</t>
  </si>
  <si>
    <t>A12057-280907-1</t>
  </si>
  <si>
    <t>A26099-280907-1</t>
  </si>
  <si>
    <t>A36090-280907-1</t>
  </si>
  <si>
    <t>36845</t>
  </si>
  <si>
    <t>A04084-280907-1</t>
  </si>
  <si>
    <t>36795</t>
  </si>
  <si>
    <t>A01003-280907-1</t>
  </si>
  <si>
    <t>A01003-280907-4</t>
  </si>
  <si>
    <t>A01003-280907-3</t>
  </si>
  <si>
    <t>A01003-280907-5</t>
  </si>
  <si>
    <t>A01002-280907-1</t>
  </si>
  <si>
    <t>37674</t>
  </si>
  <si>
    <t>A01002-280907-4</t>
  </si>
  <si>
    <t>A01002-280907-3</t>
  </si>
  <si>
    <t>A01002-280907-5</t>
  </si>
  <si>
    <t>A01001-280907-1</t>
  </si>
  <si>
    <t>36857</t>
  </si>
  <si>
    <t>A01001-280907-4</t>
  </si>
  <si>
    <t>A01001-280907-3</t>
  </si>
  <si>
    <t>A01001-280907-5</t>
  </si>
  <si>
    <t>A27073-281007-1</t>
  </si>
  <si>
    <t>36858</t>
  </si>
  <si>
    <t>A06043-281007-1</t>
  </si>
  <si>
    <t>36865</t>
  </si>
  <si>
    <t>A12057-281007-1</t>
  </si>
  <si>
    <t>A04084-281007-1</t>
  </si>
  <si>
    <t>36796</t>
  </si>
  <si>
    <t>A36090-281007-1</t>
  </si>
  <si>
    <t>36982</t>
  </si>
  <si>
    <t>A03026-281007-1</t>
  </si>
  <si>
    <t>36883</t>
  </si>
  <si>
    <t>A03028-281007-1</t>
  </si>
  <si>
    <t>38662</t>
  </si>
  <si>
    <t>A01004-281007-4</t>
  </si>
  <si>
    <t>A01001-281007-1</t>
  </si>
  <si>
    <t>A01001-281007-4</t>
  </si>
  <si>
    <t>A01001-281007-3</t>
  </si>
  <si>
    <t>A01001-281007-5</t>
  </si>
  <si>
    <t>A01002-281007-1</t>
  </si>
  <si>
    <t>37672</t>
  </si>
  <si>
    <t>37682</t>
  </si>
  <si>
    <t>A01002-281007-4</t>
  </si>
  <si>
    <t>A01002-281007-3</t>
  </si>
  <si>
    <t>A01002-281007-5</t>
  </si>
  <si>
    <t>A01004-281007-1</t>
  </si>
  <si>
    <t>36880</t>
  </si>
  <si>
    <t>A01004-281007-5</t>
  </si>
  <si>
    <t>A11087-281107-1</t>
  </si>
  <si>
    <t>A11045-281107-1</t>
  </si>
  <si>
    <t>A01002-281107-1</t>
  </si>
  <si>
    <t>37687</t>
  </si>
  <si>
    <t>A01002-281107-4</t>
  </si>
  <si>
    <t>A01002-281107-3</t>
  </si>
  <si>
    <t>A01002-281107-5</t>
  </si>
  <si>
    <t>36864</t>
  </si>
  <si>
    <t>A01004-281007-3</t>
  </si>
  <si>
    <t>A01002-291307-1</t>
  </si>
  <si>
    <t>37998</t>
  </si>
  <si>
    <t>Programa Embarques 2026 S-29.xlsx</t>
  </si>
  <si>
    <t>A01003-291307-1</t>
  </si>
  <si>
    <t>37686</t>
  </si>
  <si>
    <t>36986</t>
  </si>
  <si>
    <t>A11087-291307-1</t>
  </si>
  <si>
    <t>36987</t>
  </si>
  <si>
    <t>A11045-291307-1</t>
  </si>
  <si>
    <t>A01002-291307-4</t>
  </si>
  <si>
    <t>A01002-291307-3</t>
  </si>
  <si>
    <t>A01002-291307-5</t>
  </si>
  <si>
    <t>A01003-291307-4</t>
  </si>
  <si>
    <t>A01003-291307-3</t>
  </si>
  <si>
    <t>A01003-291307-5</t>
  </si>
  <si>
    <t>A01002-291407-1</t>
  </si>
  <si>
    <t>38013</t>
  </si>
  <si>
    <t>A01004-291407-1</t>
  </si>
  <si>
    <t>36797</t>
  </si>
  <si>
    <t>A04084-291407-1</t>
  </si>
  <si>
    <t>A01001-291407-1</t>
  </si>
  <si>
    <t>38050</t>
  </si>
  <si>
    <t>37752</t>
  </si>
  <si>
    <t>A11045-291407-1</t>
  </si>
  <si>
    <t>37750</t>
  </si>
  <si>
    <t>A01001-291407-4</t>
  </si>
  <si>
    <t>A01001-291407-3</t>
  </si>
  <si>
    <t>A01001-291407-5</t>
  </si>
  <si>
    <t>A01004-291407-4</t>
  </si>
  <si>
    <t>A01004-291407-3</t>
  </si>
  <si>
    <t>A01004-291407-5</t>
  </si>
  <si>
    <t>A01002-291407-4</t>
  </si>
  <si>
    <t>A01002-291407-3</t>
  </si>
  <si>
    <t>A01002-291407-5</t>
  </si>
  <si>
    <t>A26099-291407-1</t>
  </si>
  <si>
    <t>A01003-291507-1</t>
  </si>
  <si>
    <t>38028</t>
  </si>
  <si>
    <t>A01002-291507-1</t>
  </si>
  <si>
    <t>38011</t>
  </si>
  <si>
    <t>38030</t>
  </si>
  <si>
    <t>A01001-291507-1</t>
  </si>
  <si>
    <t>37838</t>
  </si>
  <si>
    <t>A04084-291507-1</t>
  </si>
  <si>
    <t>37839</t>
  </si>
  <si>
    <t>A01003-291507-4</t>
  </si>
  <si>
    <t>A01003-291507-3</t>
  </si>
  <si>
    <t>A01003-291507-5</t>
  </si>
  <si>
    <t>A01001-291507-4</t>
  </si>
  <si>
    <t>A01001-291507-3</t>
  </si>
  <si>
    <t>A01001-291507-5</t>
  </si>
  <si>
    <t>A01002-291507-4</t>
  </si>
  <si>
    <t>A01002-291507-3</t>
  </si>
  <si>
    <t>A01002-291507-5</t>
  </si>
  <si>
    <t>A01002-291607-1</t>
  </si>
  <si>
    <t>38034</t>
  </si>
  <si>
    <t>A01004-291607-1</t>
  </si>
  <si>
    <t>36798</t>
  </si>
  <si>
    <t>A04084-291607-1</t>
  </si>
  <si>
    <t>A01001-291607-1</t>
  </si>
  <si>
    <t>37846</t>
  </si>
  <si>
    <t>A06043-291607-1</t>
  </si>
  <si>
    <t>37860</t>
  </si>
  <si>
    <t>A12057-291607-1</t>
  </si>
  <si>
    <t>37847</t>
  </si>
  <si>
    <t>A01001-291607-4</t>
  </si>
  <si>
    <t>A01001-291607-3</t>
  </si>
  <si>
    <t>A01001-291607-5</t>
  </si>
  <si>
    <t>A01002-291607-4</t>
  </si>
  <si>
    <t>A01002-291607-3</t>
  </si>
  <si>
    <t>A01002-291607-5</t>
  </si>
  <si>
    <t>A01004-291607-4</t>
  </si>
  <si>
    <t>A01004-291607-3</t>
  </si>
  <si>
    <t>A01004-291607-5</t>
  </si>
  <si>
    <t>A01001-291707-1</t>
  </si>
  <si>
    <t>38207</t>
  </si>
  <si>
    <t>A01002-291707-1</t>
  </si>
  <si>
    <t>38032</t>
  </si>
  <si>
    <t>38033</t>
  </si>
  <si>
    <t>A25022-291707-1</t>
  </si>
  <si>
    <t>A26099-291707-1</t>
  </si>
  <si>
    <t>36935</t>
  </si>
  <si>
    <t>A05040-291707-1</t>
  </si>
  <si>
    <t>A01003-291707-1</t>
  </si>
  <si>
    <t>37852</t>
  </si>
  <si>
    <t>A04083-291707-1</t>
  </si>
  <si>
    <t>37853</t>
  </si>
  <si>
    <t>A06043-291707-1</t>
  </si>
  <si>
    <t>A27073-291707-1</t>
  </si>
  <si>
    <t>37843</t>
  </si>
  <si>
    <t>A01003-291707-4</t>
  </si>
  <si>
    <t>A01003-291707-3</t>
  </si>
  <si>
    <t>A01003-291707-5</t>
  </si>
  <si>
    <t>A01002-291707-4</t>
  </si>
  <si>
    <t>A01002-291707-3</t>
  </si>
  <si>
    <t>A01002-291707-5</t>
  </si>
  <si>
    <t>A01001-291707-4</t>
  </si>
  <si>
    <t>A01001-291707-3</t>
  </si>
  <si>
    <t>A01001-291707-5</t>
  </si>
  <si>
    <t>A09052-291807-1</t>
  </si>
  <si>
    <t>A25022-291807-1</t>
  </si>
  <si>
    <t>A04083-291807-1</t>
  </si>
  <si>
    <t>A11056-291807-1</t>
  </si>
  <si>
    <t>A11087-291807-1</t>
  </si>
  <si>
    <t>A01003-291807-1</t>
  </si>
  <si>
    <t>38213</t>
  </si>
  <si>
    <t>38215</t>
  </si>
  <si>
    <t>38219</t>
  </si>
  <si>
    <t>A01003-291807-4</t>
  </si>
  <si>
    <t>A01003-291807-3</t>
  </si>
  <si>
    <t>A01003-291807-5</t>
  </si>
  <si>
    <t>A11092-302007-1</t>
  </si>
  <si>
    <t>Programa Embarques 2026 S-30.xlsx</t>
  </si>
  <si>
    <t>A04083-302007-1</t>
  </si>
  <si>
    <t>37864</t>
  </si>
  <si>
    <t>A11045-302007-1</t>
  </si>
  <si>
    <t>37865</t>
  </si>
  <si>
    <t>A01004-302007-1</t>
  </si>
  <si>
    <t>38223</t>
  </si>
  <si>
    <t>39426</t>
  </si>
  <si>
    <t>A01004-302007-4</t>
  </si>
  <si>
    <t>39345</t>
  </si>
  <si>
    <t>A01004-302007-3</t>
  </si>
  <si>
    <t>A01004-302007-5</t>
  </si>
  <si>
    <t>A01001-302007-1</t>
  </si>
  <si>
    <t>A01001-302007-4</t>
  </si>
  <si>
    <t>A01001-302007-3</t>
  </si>
  <si>
    <t>A01001-302007-5</t>
  </si>
  <si>
    <t>A04084-302107-1</t>
  </si>
  <si>
    <t>37064</t>
  </si>
  <si>
    <t>A11092-302107-1</t>
  </si>
  <si>
    <t>A26099-302107-1</t>
  </si>
  <si>
    <t>39491</t>
  </si>
  <si>
    <t>A01003-302107-1</t>
  </si>
  <si>
    <t>A01003-302107-4</t>
  </si>
  <si>
    <t>39471</t>
  </si>
  <si>
    <t>A01003-302107-3</t>
  </si>
  <si>
    <t>A01003-302107-5</t>
  </si>
  <si>
    <t>A01002-302107-1</t>
  </si>
  <si>
    <t>38447</t>
  </si>
  <si>
    <t>38211</t>
  </si>
  <si>
    <t>A01002-302107-4</t>
  </si>
  <si>
    <t>A01002-302107-3</t>
  </si>
  <si>
    <t>A01002-302107-5</t>
  </si>
  <si>
    <t>A01001-302107-1</t>
  </si>
  <si>
    <t>38917</t>
  </si>
  <si>
    <t>A01001-302107-4</t>
  </si>
  <si>
    <t>A01001-302107-3</t>
  </si>
  <si>
    <t>A01001-302107-5</t>
  </si>
  <si>
    <t>A12057-302207-1</t>
  </si>
  <si>
    <t>37063</t>
  </si>
  <si>
    <t>A04084-302207-1</t>
  </si>
  <si>
    <t>37070</t>
  </si>
  <si>
    <t>A01002-302207-1</t>
  </si>
  <si>
    <t>38448</t>
  </si>
  <si>
    <t>37873</t>
  </si>
  <si>
    <t>A01002-302207-4</t>
  </si>
  <si>
    <t>39633</t>
  </si>
  <si>
    <t>A01002-302207-3</t>
  </si>
  <si>
    <t>A01002-302207-5</t>
  </si>
  <si>
    <t>A01003-302207-1</t>
  </si>
  <si>
    <t>A01003-302207-4</t>
  </si>
  <si>
    <t>A01003-302207-3</t>
  </si>
  <si>
    <t>A01003-302207-5</t>
  </si>
  <si>
    <t>A01001-302207-1</t>
  </si>
  <si>
    <t>38461</t>
  </si>
  <si>
    <t>37872</t>
  </si>
  <si>
    <t>A01001-302207-4</t>
  </si>
  <si>
    <t>A01001-302207-3</t>
  </si>
  <si>
    <t>A01001-302207-5</t>
  </si>
  <si>
    <t>A04084-302307-1</t>
  </si>
  <si>
    <t>A36090-302307-1</t>
  </si>
  <si>
    <t>38623</t>
  </si>
  <si>
    <t>A06043-302307-1</t>
  </si>
  <si>
    <t>38625</t>
  </si>
  <si>
    <t>A01001-302307-1</t>
  </si>
  <si>
    <t>39769</t>
  </si>
  <si>
    <t>A01001-302307-4</t>
  </si>
  <si>
    <t>39759</t>
  </si>
  <si>
    <t>A01001-302307-3</t>
  </si>
  <si>
    <t>39766</t>
  </si>
  <si>
    <t>A01001-302307-5</t>
  </si>
  <si>
    <t>A01002-302307-1</t>
  </si>
  <si>
    <t>39676</t>
  </si>
  <si>
    <t>39428</t>
  </si>
  <si>
    <t>A01002-302307-4</t>
  </si>
  <si>
    <t>A01002-302307-3</t>
  </si>
  <si>
    <t>A01002-302307-5</t>
  </si>
  <si>
    <t>A01004-302307-1</t>
  </si>
  <si>
    <t>38454</t>
  </si>
  <si>
    <t>A01004-302307-4</t>
  </si>
  <si>
    <t>A01004-302307-3</t>
  </si>
  <si>
    <t>A01004-302307-5</t>
  </si>
  <si>
    <t>A26099-302407-1</t>
  </si>
  <si>
    <t>37073</t>
  </si>
  <si>
    <t>38798</t>
  </si>
  <si>
    <t>A27073-302407-1</t>
  </si>
  <si>
    <t>37874</t>
  </si>
  <si>
    <t>A06043-302407-1</t>
  </si>
  <si>
    <t>39972</t>
  </si>
  <si>
    <t>A11056-302407-1</t>
  </si>
  <si>
    <t>A36090-302407-1</t>
  </si>
  <si>
    <t>38636</t>
  </si>
  <si>
    <t>A05040-302407-1</t>
  </si>
  <si>
    <t>38635</t>
  </si>
  <si>
    <t>A01002-302407-1</t>
  </si>
  <si>
    <t>38455</t>
  </si>
  <si>
    <t>38467</t>
  </si>
  <si>
    <t>A01002-302407-4</t>
  </si>
  <si>
    <t>39802</t>
  </si>
  <si>
    <t>A01002-302407-3</t>
  </si>
  <si>
    <t>A01002-302407-5</t>
  </si>
  <si>
    <t>A01003-302407-1</t>
  </si>
  <si>
    <t>38466</t>
  </si>
  <si>
    <t>38465</t>
  </si>
  <si>
    <t>A01003-302407-4</t>
  </si>
  <si>
    <t>A01003-302407-3</t>
  </si>
  <si>
    <t>A01003-302407-5</t>
  </si>
  <si>
    <t>A09052-302507-1</t>
  </si>
  <si>
    <t>38799</t>
  </si>
  <si>
    <t>A11045-302507-1</t>
  </si>
  <si>
    <t>A36090-302507-1</t>
  </si>
  <si>
    <t>38538</t>
  </si>
  <si>
    <t>A25022-302507-1</t>
  </si>
  <si>
    <t>38652</t>
  </si>
  <si>
    <t>A01003-302507-1</t>
  </si>
  <si>
    <t>38464</t>
  </si>
  <si>
    <t>39856</t>
  </si>
  <si>
    <t>A01003-302507-4</t>
  </si>
  <si>
    <t>39858</t>
  </si>
  <si>
    <t>A01003-302507-3</t>
  </si>
  <si>
    <t>39862</t>
  </si>
  <si>
    <t>A01003-302507-5</t>
  </si>
  <si>
    <t>A01002-302507-1</t>
  </si>
  <si>
    <t>A01002-302507-4</t>
  </si>
  <si>
    <t>A01002-302507-3</t>
  </si>
  <si>
    <t>A01002-302507-5</t>
  </si>
  <si>
    <t>A11045-312707-1</t>
  </si>
  <si>
    <t>38800</t>
  </si>
  <si>
    <t>Programa Embarques 2026 S-31.xlsx</t>
  </si>
  <si>
    <t>A11087-312707-1</t>
  </si>
  <si>
    <t>A01002-312707-1</t>
  </si>
  <si>
    <t>38535</t>
  </si>
  <si>
    <t>A01002-312707-4</t>
  </si>
  <si>
    <t>A01002-312707-3</t>
  </si>
  <si>
    <t>A01002-312707-5</t>
  </si>
  <si>
    <t>A01004-312707-1</t>
  </si>
  <si>
    <t>A01004-312707-4</t>
  </si>
  <si>
    <t>A01004-312707-3</t>
  </si>
  <si>
    <t>A01004-312707-5</t>
  </si>
  <si>
    <t>A01001-312707-1</t>
  </si>
  <si>
    <t>38661</t>
  </si>
  <si>
    <t>A01001-312707-4</t>
  </si>
  <si>
    <t>A01001-312707-3</t>
  </si>
  <si>
    <t>A01001-312707-5</t>
  </si>
  <si>
    <t>A11092-312807-1</t>
  </si>
  <si>
    <t>A04084-312807-1</t>
  </si>
  <si>
    <t>38672</t>
  </si>
  <si>
    <t>A36090-312807-1</t>
  </si>
  <si>
    <t>38664</t>
  </si>
  <si>
    <t>A01002-312807-1</t>
  </si>
  <si>
    <t>38804</t>
  </si>
  <si>
    <t>38802</t>
  </si>
  <si>
    <t>A01002-312807-4</t>
  </si>
  <si>
    <t>A01002-312807-3</t>
  </si>
  <si>
    <t>A01002-312807-5</t>
  </si>
  <si>
    <t>A01001-312807-1</t>
  </si>
  <si>
    <t>39637</t>
  </si>
  <si>
    <t>A01001-312807-4</t>
  </si>
  <si>
    <t>A01001-312807-3</t>
  </si>
  <si>
    <t>A01001-312807-5</t>
  </si>
  <si>
    <t>A01003-312807-1</t>
  </si>
  <si>
    <t>38673</t>
  </si>
  <si>
    <t>A01003-312807-4</t>
  </si>
  <si>
    <t>A01003-312807-3</t>
  </si>
  <si>
    <t>A01003-312807-5</t>
  </si>
  <si>
    <t>A04084-312907-1</t>
  </si>
  <si>
    <t>39319</t>
  </si>
  <si>
    <t>A03080-312907-1</t>
  </si>
  <si>
    <t>A03 080 Altamira</t>
  </si>
  <si>
    <t>A12057-312907-1</t>
  </si>
  <si>
    <t>40117</t>
  </si>
  <si>
    <t>A01001-312907-1</t>
  </si>
  <si>
    <t>40053</t>
  </si>
  <si>
    <t>A01001-312907-4</t>
  </si>
  <si>
    <t>A01001-312907-3</t>
  </si>
  <si>
    <t>A01001-312907-5</t>
  </si>
  <si>
    <t>A01002-312907-1</t>
  </si>
  <si>
    <t>A01002-312907-4</t>
  </si>
  <si>
    <t>A01002-312907-3</t>
  </si>
  <si>
    <t>A01002-312907-5</t>
  </si>
  <si>
    <t>A01003-312907-1</t>
  </si>
  <si>
    <t>40118</t>
  </si>
  <si>
    <t>A01003-312907-4</t>
  </si>
  <si>
    <t>A01003-312907-3</t>
  </si>
  <si>
    <t>A01003-312907-5</t>
  </si>
  <si>
    <t>A04084-313007-1</t>
  </si>
  <si>
    <t>39321</t>
  </si>
  <si>
    <t>A36090-313007-1</t>
  </si>
  <si>
    <t>A06043-313007-1</t>
  </si>
  <si>
    <t>39324</t>
  </si>
  <si>
    <t>A36005-313007-1</t>
  </si>
  <si>
    <t>A36 005 La Gloria</t>
  </si>
  <si>
    <t>38768</t>
  </si>
  <si>
    <t>A01002-313007-1</t>
  </si>
  <si>
    <t>39325</t>
  </si>
  <si>
    <t>39204</t>
  </si>
  <si>
    <t>39206</t>
  </si>
  <si>
    <t>A01002-313007-4</t>
  </si>
  <si>
    <t>A01002-313007-3</t>
  </si>
  <si>
    <t>A01002-313007-5</t>
  </si>
  <si>
    <t>A01001-313007-1</t>
  </si>
  <si>
    <t>A01001-313007-4</t>
  </si>
  <si>
    <t>A01001-313007-3</t>
  </si>
  <si>
    <t>A01001-313007-5</t>
  </si>
  <si>
    <t>A01004-313007-1</t>
  </si>
  <si>
    <t>A01004-313007-4</t>
  </si>
  <si>
    <t>A01004-313007-3</t>
  </si>
  <si>
    <t>A01004-313007-5</t>
  </si>
  <si>
    <t>A41100-313107-1</t>
  </si>
  <si>
    <t>39389</t>
  </si>
  <si>
    <t>A11045-313107-1</t>
  </si>
  <si>
    <t>39327</t>
  </si>
  <si>
    <t>A27073-313107-1</t>
  </si>
  <si>
    <t>39323</t>
  </si>
  <si>
    <t>A06043-313107-1</t>
  </si>
  <si>
    <t>39326</t>
  </si>
  <si>
    <t>A25031-313107-1</t>
  </si>
  <si>
    <t>39328</t>
  </si>
  <si>
    <t>A01003-313107-1</t>
  </si>
  <si>
    <t>39383</t>
  </si>
  <si>
    <t>A01003-313107-4</t>
  </si>
  <si>
    <t>A01003-313107-3</t>
  </si>
  <si>
    <t>A01003-313107-5</t>
  </si>
  <si>
    <t>A01001-313107-1</t>
  </si>
  <si>
    <t>A01001-313107-4</t>
  </si>
  <si>
    <t>A01001-313107-3</t>
  </si>
  <si>
    <t>A01001-313107-5</t>
  </si>
  <si>
    <t>A01002-313107-1</t>
  </si>
  <si>
    <t>39384</t>
  </si>
  <si>
    <t>39393</t>
  </si>
  <si>
    <t>A01002-313107-4</t>
  </si>
  <si>
    <t>A01002-313107-3</t>
  </si>
  <si>
    <t>A01002-313107-5</t>
  </si>
  <si>
    <t>A09051-310108-1</t>
  </si>
  <si>
    <t>A04039-310108-1</t>
  </si>
  <si>
    <t>A11092-310108-1</t>
  </si>
  <si>
    <t>A25031-310108-1</t>
  </si>
  <si>
    <t>A11045-320308-1</t>
  </si>
  <si>
    <t>40359</t>
  </si>
  <si>
    <t>Programa Embarques 2026 S-32.xlsx</t>
  </si>
  <si>
    <t>39337</t>
  </si>
  <si>
    <t>A01002-320308-1</t>
  </si>
  <si>
    <t>39390</t>
  </si>
  <si>
    <t>A01002-320308-4</t>
  </si>
  <si>
    <t>A01002-320308-3</t>
  </si>
  <si>
    <t>A01002-320308-5</t>
  </si>
  <si>
    <t>A01001-320308-1</t>
  </si>
  <si>
    <t>39335</t>
  </si>
  <si>
    <t>A01001-320308-4</t>
  </si>
  <si>
    <t>A01001-320308-3</t>
  </si>
  <si>
    <t>A01001-320308-5</t>
  </si>
  <si>
    <t>A01003-320308-1</t>
  </si>
  <si>
    <t>39336</t>
  </si>
  <si>
    <t>A01003-320308-4</t>
  </si>
  <si>
    <t>A01003-320308-3</t>
  </si>
  <si>
    <t>A01003-320308-5</t>
  </si>
  <si>
    <t>A36090-320408-1</t>
  </si>
  <si>
    <t>40335</t>
  </si>
  <si>
    <t>A27073-320408-1</t>
  </si>
  <si>
    <t>A11092-320408-1</t>
  </si>
  <si>
    <t>A01002-320408-1</t>
  </si>
  <si>
    <t>39396</t>
  </si>
  <si>
    <t>39399</t>
  </si>
  <si>
    <t>39928</t>
  </si>
  <si>
    <t>39397</t>
  </si>
  <si>
    <t>A01002-320408-4</t>
  </si>
  <si>
    <t>A01002-320408-3</t>
  </si>
  <si>
    <t>A01002-320408-5</t>
  </si>
  <si>
    <t>A01004-320408-1</t>
  </si>
  <si>
    <t>A01004-320408-4</t>
  </si>
  <si>
    <t>A01004-320408-3</t>
  </si>
  <si>
    <t>A01004-320408-5</t>
  </si>
  <si>
    <t>A01001-320408-1</t>
  </si>
  <si>
    <t>40279</t>
  </si>
  <si>
    <t>A01001-320408-4</t>
  </si>
  <si>
    <t>A01001-320408-3</t>
  </si>
  <si>
    <t>A01001-320408-5</t>
  </si>
  <si>
    <t>A12057-320508-1</t>
  </si>
  <si>
    <t>40360</t>
  </si>
  <si>
    <t>A36090-320508-1</t>
  </si>
  <si>
    <t>39338</t>
  </si>
  <si>
    <t>A04084-320508-1</t>
  </si>
  <si>
    <t>A01002-320508-1</t>
  </si>
  <si>
    <t>A01002-320508-4</t>
  </si>
  <si>
    <t>A01002-320508-3</t>
  </si>
  <si>
    <t>A01002-320508-5</t>
  </si>
  <si>
    <t>A01003-320408-1</t>
  </si>
  <si>
    <t>A01003-320508-1</t>
  </si>
  <si>
    <t>A01003-320508-4</t>
  </si>
  <si>
    <t>A01003-320508-3</t>
  </si>
  <si>
    <t>A01003-320508-5</t>
  </si>
  <si>
    <t>A01001-320508-1</t>
  </si>
  <si>
    <t>39947</t>
  </si>
  <si>
    <t>A01001-320508-4</t>
  </si>
  <si>
    <t>A01001-320508-3</t>
  </si>
  <si>
    <t>A01001-320508-5</t>
  </si>
  <si>
    <t>A04084-320608-1</t>
  </si>
  <si>
    <t>39339</t>
  </si>
  <si>
    <t>A36090-320608-1</t>
  </si>
  <si>
    <t>40029</t>
  </si>
  <si>
    <t>A36005-320608-1</t>
  </si>
  <si>
    <t>40028</t>
  </si>
  <si>
    <t>40057</t>
  </si>
  <si>
    <t>A01003-320608-1</t>
  </si>
  <si>
    <t>A01003-320608-4</t>
  </si>
  <si>
    <t>A01003-320608-3</t>
  </si>
  <si>
    <t>A01003-320608-5</t>
  </si>
  <si>
    <t>A01002-320608-1</t>
  </si>
  <si>
    <t>39682</t>
  </si>
  <si>
    <t>40079</t>
  </si>
  <si>
    <t>A01002-320608-4</t>
  </si>
  <si>
    <t>A01002-320608-3</t>
  </si>
  <si>
    <t>A01002-320608-5</t>
  </si>
  <si>
    <t>A01001-320608-1</t>
  </si>
  <si>
    <t>39932</t>
  </si>
  <si>
    <t>A01001-320608-4</t>
  </si>
  <si>
    <t>A01001-320608-3</t>
  </si>
  <si>
    <t>A01001-320608-5</t>
  </si>
  <si>
    <t>A04084-320708-1</t>
  </si>
  <si>
    <t>40041</t>
  </si>
  <si>
    <t>A27073-320708-1</t>
  </si>
  <si>
    <t>40027</t>
  </si>
  <si>
    <t>A11056-320708-1</t>
  </si>
  <si>
    <t>40337</t>
  </si>
  <si>
    <t>A36005-320708-1</t>
  </si>
  <si>
    <t>A41100-320708-1</t>
  </si>
  <si>
    <t>A01001-320708-1</t>
  </si>
  <si>
    <t>40058</t>
  </si>
  <si>
    <t>A01001-320708-4</t>
  </si>
  <si>
    <t>A01001-320708-3</t>
  </si>
  <si>
    <t>A01001-320708-5</t>
  </si>
  <si>
    <t>A01004-320708-1</t>
  </si>
  <si>
    <t>40047</t>
  </si>
  <si>
    <t>A01004-320708-3</t>
  </si>
  <si>
    <t>A01004-320708-5</t>
  </si>
  <si>
    <t>A01002-320708-1</t>
  </si>
  <si>
    <t>40086</t>
  </si>
  <si>
    <t>A01002-320708-4</t>
  </si>
  <si>
    <t>A01002-320708-3</t>
  </si>
  <si>
    <t>A01002-320708-5</t>
  </si>
  <si>
    <t>A25022-320808-1</t>
  </si>
  <si>
    <t>A01003-320808-1</t>
  </si>
  <si>
    <t>40091</t>
  </si>
  <si>
    <t>A01003-320808-4</t>
  </si>
  <si>
    <t>A01003-320808-3</t>
  </si>
  <si>
    <t>A01003-320808-5</t>
  </si>
  <si>
    <t>A04084-341708-1</t>
  </si>
  <si>
    <t>40781</t>
  </si>
  <si>
    <t>CHIAPAS|A04 084 LISBOA|20260817|20260821|MCALLEN|CHANITOS INT|CPR01104|20 CONVENCIONAL F1-1</t>
  </si>
  <si>
    <t>CHIAPAS|A04 084 LISBOA|20260817|20260821|MCALLEN|CHANITOS INT|CPR01104|20 CONVENCIONAL F1-1|1</t>
  </si>
  <si>
    <t>Programa Embarques 2026 S-34.xlsx</t>
  </si>
  <si>
    <t>A11045-341708-1</t>
  </si>
  <si>
    <t>40782</t>
  </si>
  <si>
    <t>CHIAPAS|A11 045 SECTOR MAZATAN|20260817|20260822|MCALLEN|CHANITOS INT|CPR01104|20 CONVENCIONAL F1-2</t>
  </si>
  <si>
    <t>CHIAPAS|A11 045 SECTOR MAZATAN|20260817|20260822|MCALLEN|CHANITOS INT|CPR01104|20 CONVENCIONAL F1-2|1</t>
  </si>
  <si>
    <t>40783</t>
  </si>
  <si>
    <t>CHIAPAS|A11 045 SECTOR MAZATAN|20260817|20260822|MCALLEN|CHANITOS INT|CPR01104|20 CONVENCIONAL F2-1</t>
  </si>
  <si>
    <t>CHIAPAS|A11 045 SECTOR MAZATAN|20260817|20260822|MCALLEN|CHANITOS INT|CPR01104|20 CONVENCIONAL F2-1|1</t>
  </si>
  <si>
    <t>A01004-341708-1</t>
  </si>
  <si>
    <t>41835</t>
  </si>
  <si>
    <t>CHIAPAS|A01 004 LA CEIBA|20260817|20260822|SMO|WM|CPR01102|24 CONVENCIONAL</t>
  </si>
  <si>
    <t>CHIAPAS|A01 004 LA CEIBA|20260817|20260822|SMO|WM|CPR01102|24 CONVENCIONAL|1</t>
  </si>
  <si>
    <t>A01002-341708-1</t>
  </si>
  <si>
    <t>42030</t>
  </si>
  <si>
    <t>CHIAPAS|A01 002 FORTALEZA|20260817|20260822|CHALCO|WM|CPR01102|23 CONVENCIONAL Y 1 BAE</t>
  </si>
  <si>
    <t>CHIAPAS|A01 002 FORTALEZA|20260817|20260822|CHALCO|WM|CPR01102|23 CONVENCIONAL Y 1 BAE|1</t>
  </si>
  <si>
    <t>CHIAPAS|A01 002 FORTALEZA|20260817|20260822|SMO|WM|CPR01102|24 CONVENCIONAL</t>
  </si>
  <si>
    <t>CHIAPAS|A01 002 FORTALEZA|20260817|20260822|SMO|WM|CPR01102|24 CONVENCIONAL|1</t>
  </si>
  <si>
    <t>40814</t>
  </si>
  <si>
    <t>CHIAPAS|A01 002 FORTALEZA|20260817|20260822|VSA|WM|CPR01102|19 CONVENCIONAL Y 5 ORG</t>
  </si>
  <si>
    <t>CHIAPAS|A01 002 FORTALEZA|20260817|20260822|VSA|WM|CPR01102|19 CONVENCIONAL Y 5 ORG|1</t>
  </si>
  <si>
    <t>CHIAPAS|A01 002 FORTALEZA|20260817|20260821|CEDA|CEDA PISO|CPR01101|CEDA PISO PRODUCTORAS</t>
  </si>
  <si>
    <t>CHIAPAS|A01 002 FORTALEZA|20260817|20260821|CEDA|CEDA PISO|CPR01101|CEDA PISO PRODUCTORAS|1</t>
  </si>
  <si>
    <t>40815</t>
  </si>
  <si>
    <t>CHIAPAS|A01 002 FORTALEZA|20260817|20260822|VSA|WM|CRG07128|19 CONVENCIONAL Y 5 ORG</t>
  </si>
  <si>
    <t>CHIAPAS|A01 002 FORTALEZA|20260817|20260822|VSA|WM|CRG07128|19 CONVENCIONAL Y 5 ORG|1</t>
  </si>
  <si>
    <t>A01001-341708-1</t>
  </si>
  <si>
    <t>40766</t>
  </si>
  <si>
    <t>CHIAPAS|A01 001 MARBELLA|20260817|20260821|CHALCO|WM|CPR01114|900 CAJAS CONV Y 60CAJAS BAE</t>
  </si>
  <si>
    <t>CHIAPAS|A01 001 MARBELLA|20260817|20260821|CHALCO|WM|CPR01114|900 CAJAS CONV Y 60CAJAS BAE|1</t>
  </si>
  <si>
    <t>CHIAPAS|A01 001 MARBELLA|20260817|20260821|CHALCO|WM|CPR01102|900 CAJAS CONV Y 60CAJAS BAE</t>
  </si>
  <si>
    <t>CHIAPAS|A01 001 MARBELLA|20260817|20260821|CHALCO|WM|CPR01102|900 CAJAS CONV Y 60CAJAS BAE|1</t>
  </si>
  <si>
    <t>CHIAPAS|A01 001 MARBELLA|20260817|20260821|CEDA|CEDA AUTOSERVICIO|CPR01102|CEDA</t>
  </si>
  <si>
    <t>CHIAPAS|A01 001 MARBELLA|20260817|20260821|CEDA|CEDA AUTOSERVICIO|CPR01102|CEDA|1</t>
  </si>
  <si>
    <t>CHIAPAS|A01 001 MARBELLA|20260817|20260821|CEDA|CEDA PISO|CPR01101|CEDA PISO PRODUCTORAS</t>
  </si>
  <si>
    <t>CHIAPAS|A01 001 MARBELLA|20260817|20260821|CEDA|CEDA PISO|CPR01101|CEDA PISO PRODUCTORAS|1</t>
  </si>
  <si>
    <t>A01001-341708-4</t>
  </si>
  <si>
    <t>CHIAPAS|A01 001 MARBELLA|20260817|20260821|CEDA|CEDA PISO|CSA04120|MISCELANEOS</t>
  </si>
  <si>
    <t>CHIAPAS|A01 001 MARBELLA|20260817|20260821|CEDA|CEDA PISO|CSA04120|MISCELANEOS|1</t>
  </si>
  <si>
    <t>A01001-341708-3</t>
  </si>
  <si>
    <t>CHIAPAS|A01 001 MARBELLA|20260817|20260821|CEDA|CEDA PISO|CMN05123|MISCELANEOS</t>
  </si>
  <si>
    <t>CHIAPAS|A01 001 MARBELLA|20260817|20260821|CEDA|CEDA PISO|CMN05123|MISCELANEOS|1</t>
  </si>
  <si>
    <t>A01001-341708-5</t>
  </si>
  <si>
    <t>CHIAPAS|A01 001 MARBELLA|20260817|20260821|CEDA|CEDA PISO|CDS04122|MISCELANEOS</t>
  </si>
  <si>
    <t>CHIAPAS|A01 001 MARBELLA|20260817|20260821|CEDA|CEDA PISO|CDS04122|MISCELANEOS|1</t>
  </si>
  <si>
    <t>CHIAPAS|A01 004 LA CEIBA|20260817|20260821|CEDA|CEDA PISO|CPR01101|CEDA PISO PRODUCTORAS</t>
  </si>
  <si>
    <t>CHIAPAS|A01 004 LA CEIBA|20260817|20260821|CEDA|CEDA PISO|CPR01101|CEDA PISO PRODUCTORAS|1</t>
  </si>
  <si>
    <t>A01004-341708-4</t>
  </si>
  <si>
    <t>CHIAPAS|A01 004 LA CEIBA|20260817|20260821|CEDA|CEDA PISO|CSA04120|MISCELANEOS</t>
  </si>
  <si>
    <t>CHIAPAS|A01 004 LA CEIBA|20260817|20260821|CEDA|CEDA PISO|CSA04120|MISCELANEOS|1</t>
  </si>
  <si>
    <t>A01004-341708-3</t>
  </si>
  <si>
    <t>CHIAPAS|A01 004 LA CEIBA|20260817|20260821|CEDA|CEDA PISO|CMN05123|MISCELANEOS</t>
  </si>
  <si>
    <t>CHIAPAS|A01 004 LA CEIBA|20260817|20260821|CEDA|CEDA PISO|CMN05123|MISCELANEOS|1</t>
  </si>
  <si>
    <t>A01004-341708-5</t>
  </si>
  <si>
    <t>CHIAPAS|A01 004 LA CEIBA|20260817|20260821|CEDA|CEDA PISO|CDS04122|MISCELANEOS</t>
  </si>
  <si>
    <t>CHIAPAS|A01 004 LA CEIBA|20260817|20260821|CEDA|CEDA PISO|CDS04122|MISCELANEOS|1</t>
  </si>
  <si>
    <t>A01002-341708-4</t>
  </si>
  <si>
    <t>CHIAPAS|A01 002 FORTALEZA|20260817|20260821|CEDA|CEDA PISO|CSA04120|MISCELANEOS</t>
  </si>
  <si>
    <t>CHIAPAS|A01 002 FORTALEZA|20260817|20260821|CEDA|CEDA PISO|CSA04120|MISCELANEOS|1</t>
  </si>
  <si>
    <t>A01002-341708-3</t>
  </si>
  <si>
    <t>CHIAPAS|A01 002 FORTALEZA|20260817|20260821|CEDA|CEDA PISO|CMN05123|MISCELANEOS</t>
  </si>
  <si>
    <t>CHIAPAS|A01 002 FORTALEZA|20260817|20260821|CEDA|CEDA PISO|CMN05123|MISCELANEOS|1</t>
  </si>
  <si>
    <t>A01002-341708-5</t>
  </si>
  <si>
    <t>CHIAPAS|A01 002 FORTALEZA|20260817|20260821|CEDA|CEDA PISO|CDS04122|MISCELANEOS</t>
  </si>
  <si>
    <t>CHIAPAS|A01 002 FORTALEZA|20260817|20260821|CEDA|CEDA PISO|CDS04122|MISCELANEOS|1</t>
  </si>
  <si>
    <t>A01002-341808-1</t>
  </si>
  <si>
    <t>CHIAPAS|A01 002 FORTALEZA|20260818|20260822|CHALCO|WM|CPR01114|23 CONVENCIONAL Y 1 BAE</t>
  </si>
  <si>
    <t>CHIAPAS|A01 002 FORTALEZA|20260818|20260822|CHALCO|WM|CPR01114|23 CONVENCIONAL Y 1 BAE|1</t>
  </si>
  <si>
    <t>CHIAPAS|A01 002 FORTALEZA|20260818|20260822|CHALCO|WM|CPR01102|23 CONVENCIONAL Y 1 BAE</t>
  </si>
  <si>
    <t>CHIAPAS|A01 002 FORTALEZA|20260818|20260822|CHALCO|WM|CPR01102|23 CONVENCIONAL Y 1 BAE|1</t>
  </si>
  <si>
    <t>42031</t>
  </si>
  <si>
    <t>CHIAPAS|A01 002 FORTALEZA|20260818|20260824|CHALCO|WM|CPR01102|1230 CAJAS CONV Y 66 CAJAS BAE</t>
  </si>
  <si>
    <t>CHIAPAS|A01 002 FORTALEZA|20260818|20260824|CHALCO|WM|CPR01102|1230 CAJAS CONV Y 66 CAJAS BAE|1</t>
  </si>
  <si>
    <t>CHIAPAS|A01 002 FORTALEZA|20260818|20260822|VSA|WM|CPR01102|19 CONVENCIONAL Y 5 ORG</t>
  </si>
  <si>
    <t>CHIAPAS|A01 002 FORTALEZA|20260818|20260822|VSA|WM|CPR01102|19 CONVENCIONAL Y 5 ORG|1</t>
  </si>
  <si>
    <t>A04084-341808-1</t>
  </si>
  <si>
    <t>40671</t>
  </si>
  <si>
    <t>CHIAPAS|A04 084 LISBOA|20260818|20260825|CIUDAD JUAREZ|SMART|CPR01103|20 CONVENCIONAL SCJ1</t>
  </si>
  <si>
    <t>CHIAPAS|A04 084 LISBOA|20260818|20260825|CIUDAD JUAREZ|SMART|CPR01103|20 CONVENCIONAL SCJ1|1</t>
  </si>
  <si>
    <t>A01001-341808-1</t>
  </si>
  <si>
    <t>41565</t>
  </si>
  <si>
    <t>CHIAPAS|A01 001 MARBELLA|20260818|20260824|JAPON|MAR|CPR03124|CP27-17 CP34-3</t>
  </si>
  <si>
    <t>CHIAPAS|A01 001 MARBELLA|20260818|20260824|JAPON|MAR|CPR03124|CP27-17 CP34-3|1</t>
  </si>
  <si>
    <t>CHIAPAS|A01 001 MARBELLA|20260818|20260824|JAPON|MAR|CPR03119|CP27-17 CP34-3</t>
  </si>
  <si>
    <t>CHIAPAS|A01 001 MARBELLA|20260818|20260824|JAPON|MAR|CPR03119|CP27-17 CP34-3|1</t>
  </si>
  <si>
    <t>CHIAPAS|A01 001 MARBELLA|20260818|20260821|CEDA|CEDA AUTOSERVICIO|CPR01102|CEDA</t>
  </si>
  <si>
    <t>CHIAPAS|A01 001 MARBELLA|20260818|20260821|CEDA|CEDA AUTOSERVICIO|CPR01102|CEDA|1</t>
  </si>
  <si>
    <t>A11092-341808-1</t>
  </si>
  <si>
    <t>CHIAPAS|A11 092 COMPOSTA|20260818|20260822|MCALLEN|CHANITOS INT|CPR01104|20 CONVENCIONAL F2-1</t>
  </si>
  <si>
    <t>CHIAPAS|A11 092 COMPOSTA|20260818|20260822|MCALLEN|CHANITOS INT|CPR01104|20 CONVENCIONAL F2-1|1</t>
  </si>
  <si>
    <t>A01003-341808-1</t>
  </si>
  <si>
    <t>40784</t>
  </si>
  <si>
    <t>CHIAPAS|A01 003 DONA NELLY|20260818|20260824|MCALLEN|CHANITOS INT|CPR01104|20 CONVENCIONAL F2-2</t>
  </si>
  <si>
    <t>CHIAPAS|A01 003 DONA NELLY|20260818|20260824|MCALLEN|CHANITOS INT|CPR01104|20 CONVENCIONAL F2-2|1</t>
  </si>
  <si>
    <t>CHIAPAS|A01 002 FORTALEZA|20260818|20260821|CEDA|CEDA PISO|CPR01101|CEDA PISO PRODUCTORAS</t>
  </si>
  <si>
    <t>CHIAPAS|A01 002 FORTALEZA|20260818|20260821|CEDA|CEDA PISO|CPR01101|CEDA PISO PRODUCTORAS|1</t>
  </si>
  <si>
    <t>A01002-341808-4</t>
  </si>
  <si>
    <t>CHIAPAS|A01 002 FORTALEZA|20260818|20260821|CEDA|CEDA PISO|CSA04120|MISCELANEOS</t>
  </si>
  <si>
    <t>CHIAPAS|A01 002 FORTALEZA|20260818|20260821|CEDA|CEDA PISO|CSA04120|MISCELANEOS|1</t>
  </si>
  <si>
    <t>A01002-341808-3</t>
  </si>
  <si>
    <t>CHIAPAS|A01 002 FORTALEZA|20260818|20260821|CEDA|CEDA PISO|CMN05123|MISCELANEOS</t>
  </si>
  <si>
    <t>CHIAPAS|A01 002 FORTALEZA|20260818|20260821|CEDA|CEDA PISO|CMN05123|MISCELANEOS|1</t>
  </si>
  <si>
    <t>A01002-341808-5</t>
  </si>
  <si>
    <t>CHIAPAS|A01 002 FORTALEZA|20260818|20260821|CEDA|CEDA PISO|CDS04122|MISCELANEOS</t>
  </si>
  <si>
    <t>CHIAPAS|A01 002 FORTALEZA|20260818|20260821|CEDA|CEDA PISO|CDS04122|MISCELANEOS|1</t>
  </si>
  <si>
    <t>A01001-341808-4</t>
  </si>
  <si>
    <t>CHIAPAS|A01 001 MARBELLA|20260818|20260821|CEDA|CEDA PISO|CSA04120|MISCELANEOS</t>
  </si>
  <si>
    <t>CHIAPAS|A01 001 MARBELLA|20260818|20260821|CEDA|CEDA PISO|CSA04120|MISCELANEOS|1</t>
  </si>
  <si>
    <t>A01001-341808-3</t>
  </si>
  <si>
    <t>CHIAPAS|A01 001 MARBELLA|20260818|20260821|CEDA|CEDA PISO|CMN05123|MISCELANEOS</t>
  </si>
  <si>
    <t>CHIAPAS|A01 001 MARBELLA|20260818|20260821|CEDA|CEDA PISO|CMN05123|MISCELANEOS|1</t>
  </si>
  <si>
    <t>A01001-341808-5</t>
  </si>
  <si>
    <t>CHIAPAS|A01 001 MARBELLA|20260818|20260821|CEDA|CEDA PISO|CDS04122|MISCELANEOS</t>
  </si>
  <si>
    <t>CHIAPAS|A01 001 MARBELLA|20260818|20260821|CEDA|CEDA PISO|CDS04122|MISCELANEOS|1</t>
  </si>
  <si>
    <t>CHIAPAS|A01 003 DONA NELLY|20260818|20260821|CEDA|CEDA PISO|CPR01101|CEDA PISO PRODUCTORAS</t>
  </si>
  <si>
    <t>CHIAPAS|A01 003 DONA NELLY|20260818|20260821|CEDA|CEDA PISO|CPR01101|CEDA PISO PRODUCTORAS|1</t>
  </si>
  <si>
    <t>A01003-341808-4</t>
  </si>
  <si>
    <t>CHIAPAS|A01 003 DONA NELLY|20260818|20260821|CEDA|CEDA PISO|CSA04120|MISCELANEOS</t>
  </si>
  <si>
    <t>CHIAPAS|A01 003 DONA NELLY|20260818|20260821|CEDA|CEDA PISO|CSA04120|MISCELANEOS|1</t>
  </si>
  <si>
    <t>A01003-341808-3</t>
  </si>
  <si>
    <t>CHIAPAS|A01 003 DONA NELLY|20260818|20260821|CEDA|CEDA PISO|CMN05123|MISCELANEOS</t>
  </si>
  <si>
    <t>CHIAPAS|A01 003 DONA NELLY|20260818|20260821|CEDA|CEDA PISO|CMN05123|MISCELANEOS|1</t>
  </si>
  <si>
    <t>A01003-341808-5</t>
  </si>
  <si>
    <t>CHIAPAS|A01 003 DONA NELLY|20260818|20260821|CEDA|CEDA PISO|CDS04122|MISCELANEOS</t>
  </si>
  <si>
    <t>CHIAPAS|A01 003 DONA NELLY|20260818|20260821|CEDA|CEDA PISO|CDS04122|MISCELANEOS|1</t>
  </si>
  <si>
    <t>CHIAPAS|A01 003 DONA NELLY|20260818|20260821|CEDA|CEDA AUTOSERVICIO|CPR01102|CEDA</t>
  </si>
  <si>
    <t>CHIAPAS|A01 003 DONA NELLY|20260818|20260821|CEDA|CEDA AUTOSERVICIO|CPR01102|CEDA|1</t>
  </si>
  <si>
    <t>CHIAPAS|A01 003 DONA NELLY|20260818|20260821|CEDA|CEDA AUTOSERVICIO|CPR01102|CEDA|2</t>
  </si>
  <si>
    <t>A01002-341908-1</t>
  </si>
  <si>
    <t>CHIAPAS|A01 002 FORTALEZA|20260819|20260824|CHALCO|WM|CPR01102|1230 CAJAS CONV Y 66 CAJAS BAE</t>
  </si>
  <si>
    <t>CHIAPAS|A01 002 FORTALEZA|20260819|20260824|CHALCO|WM|CPR01102|1230 CAJAS CONV Y 66 CAJAS BAE|1</t>
  </si>
  <si>
    <t>CHIAPAS|A01 002 FORTALEZA|20260819|20260824|CHALCO|WM|CPR01114|1230 CAJAS CONV Y 66 CAJAS BAE</t>
  </si>
  <si>
    <t>CHIAPAS|A01 002 FORTALEZA|20260819|20260824|CHALCO|WM|CPR01114|1230 CAJAS CONV Y 66 CAJAS BAE|1</t>
  </si>
  <si>
    <t>A01001-341908-1</t>
  </si>
  <si>
    <t>41836</t>
  </si>
  <si>
    <t>CHIAPAS|A01 001 MARBELLA|20260819|20260823|SMO|WM|CPR01102|24 CONVENCIONAL</t>
  </si>
  <si>
    <t>CHIAPAS|A01 001 MARBELLA|20260819|20260823|SMO|WM|CPR01102|24 CONVENCIONAL|1</t>
  </si>
  <si>
    <t>A41100-341908-1</t>
  </si>
  <si>
    <t>CHIAPAS|A41 100 DONA LUPE JV|20260819|20260825|CIUDAD JUAREZ|SMART|CPL08134|17 CONVENCIONAL Y 3 PLANTAIN</t>
  </si>
  <si>
    <t>CHIAPAS|A41 100 DONA LUPE JV|20260819|20260825|CIUDAD JUAREZ|SMART|CPL08134|17 CONVENCIONAL Y 3 PLANTAIN|1</t>
  </si>
  <si>
    <t>A01003-341908-1</t>
  </si>
  <si>
    <t>CHIAPAS|A01 003 DONA NELLY|20260819|20260825|CIUDAD JUAREZ|SMART|CPR01103|17 CONVENCIONAL Y 3 PLANTAIN</t>
  </si>
  <si>
    <t>CHIAPAS|A01 003 DONA NELLY|20260819|20260825|CIUDAD JUAREZ|SMART|CPR01103|17 CONVENCIONAL Y 3 PLANTAIN|1</t>
  </si>
  <si>
    <t>A04084-341908-1</t>
  </si>
  <si>
    <t>42592</t>
  </si>
  <si>
    <t>CHIAPAS|A04 084 LISBOA|20260819|20260826|CIUDAD JUAREZ|SMART|CPR01103|20 CONVENCIONAL SM1</t>
  </si>
  <si>
    <t>CHIAPAS|A04 084 LISBOA|20260819|20260826|CIUDAD JUAREZ|SMART|CPR01103|20 CONVENCIONAL SM1|1</t>
  </si>
  <si>
    <t>A36090-341908-1</t>
  </si>
  <si>
    <t>40785</t>
  </si>
  <si>
    <t>CHIAPAS|A36 090 HEAVY|20260819|20260824|MCALLEN|CHANITOS INT|CPR01104|20 CONVENCIONAL F3-1</t>
  </si>
  <si>
    <t>CHIAPAS|A36 090 HEAVY|20260819|20260824|MCALLEN|CHANITOS INT|CPR01104|20 CONVENCIONAL F3-1|1</t>
  </si>
  <si>
    <t>CHIAPAS|A01 002 FORTALEZA|20260819|20260821|CEDA|CEDA AUTOSERVICIO|CPR01102|CEDA</t>
  </si>
  <si>
    <t>CHIAPAS|A01 002 FORTALEZA|20260819|20260821|CEDA|CEDA AUTOSERVICIO|CPR01102|CEDA|1</t>
  </si>
  <si>
    <t>CHIAPAS|A01 002 FORTALEZA|20260819|20260821|CEDA|CEDA PISO|CPR01101|CEDA PISO PRODUCTORAS</t>
  </si>
  <si>
    <t>CHIAPAS|A01 002 FORTALEZA|20260819|20260821|CEDA|CEDA PISO|CPR01101|CEDA PISO PRODUCTORAS|1</t>
  </si>
  <si>
    <t>A01002-341908-4</t>
  </si>
  <si>
    <t>CHIAPAS|A01 002 FORTALEZA|20260819|20260821|CEDA|CEDA PISO|CSA04120|MISCELANEOS</t>
  </si>
  <si>
    <t>CHIAPAS|A01 002 FORTALEZA|20260819|20260821|CEDA|CEDA PISO|CSA04120|MISCELANEOS|1</t>
  </si>
  <si>
    <t>A01002-341908-3</t>
  </si>
  <si>
    <t>CHIAPAS|A01 002 FORTALEZA|20260819|20260821|CEDA|CEDA PISO|CMN05123|MISCELANEOS</t>
  </si>
  <si>
    <t>CHIAPAS|A01 002 FORTALEZA|20260819|20260821|CEDA|CEDA PISO|CMN05123|MISCELANEOS|1</t>
  </si>
  <si>
    <t>A01002-341908-5</t>
  </si>
  <si>
    <t>CHIAPAS|A01 002 FORTALEZA|20260819|20260821|CEDA|CEDA PISO|CDS04122|MISCELANEOS</t>
  </si>
  <si>
    <t>CHIAPAS|A01 002 FORTALEZA|20260819|20260821|CEDA|CEDA PISO|CDS04122|MISCELANEOS|1</t>
  </si>
  <si>
    <t>CHIAPAS|A01 001 MARBELLA|20260819|20260821|CEDA|CEDA AUTOSERVICIO|CPR01102|CEDA</t>
  </si>
  <si>
    <t>CHIAPAS|A01 001 MARBELLA|20260819|20260821|CEDA|CEDA AUTOSERVICIO|CPR01102|CEDA|1</t>
  </si>
  <si>
    <t>CHIAPAS|A01 001 MARBELLA|20260819|20260821|CEDA|CEDA PISO|CPR01101|CEDA PISO PRODUCTORAS</t>
  </si>
  <si>
    <t>CHIAPAS|A01 001 MARBELLA|20260819|20260821|CEDA|CEDA PISO|CPR01101|CEDA PISO PRODUCTORAS|1</t>
  </si>
  <si>
    <t>A01001-341908-4</t>
  </si>
  <si>
    <t>CHIAPAS|A01 001 MARBELLA|20260819|20260821|CEDA|CEDA PISO|CSA04120|MISCELANEOS</t>
  </si>
  <si>
    <t>CHIAPAS|A01 001 MARBELLA|20260819|20260821|CEDA|CEDA PISO|CSA04120|MISCELANEOS|1</t>
  </si>
  <si>
    <t>A01001-341908-3</t>
  </si>
  <si>
    <t>CHIAPAS|A01 001 MARBELLA|20260819|20260821|CEDA|CEDA PISO|CMN05123|MISCELANEOS</t>
  </si>
  <si>
    <t>CHIAPAS|A01 001 MARBELLA|20260819|20260821|CEDA|CEDA PISO|CMN05123|MISCELANEOS|1</t>
  </si>
  <si>
    <t>A01001-341908-5</t>
  </si>
  <si>
    <t>CHIAPAS|A01 001 MARBELLA|20260819|20260821|CEDA|CEDA PISO|CDS04122|MISCELANEOS</t>
  </si>
  <si>
    <t>CHIAPAS|A01 001 MARBELLA|20260819|20260821|CEDA|CEDA PISO|CDS04122|MISCELANEOS|1</t>
  </si>
  <si>
    <t>CHIAPAS|A01 003 DONA NELLY|20260819|20260821|CEDA|CEDA PISO|CPR01101|CEDA PISO PRODUCTORAS</t>
  </si>
  <si>
    <t>CHIAPAS|A01 003 DONA NELLY|20260819|20260821|CEDA|CEDA PISO|CPR01101|CEDA PISO PRODUCTORAS|1</t>
  </si>
  <si>
    <t>CHIAPAS|A01 003 DONA NELLY|20260819|20260821|CEDA|CEDA PISO|CPR01101|CEDA PISO PRODUCTORAS|2</t>
  </si>
  <si>
    <t>A01003-341908-4</t>
  </si>
  <si>
    <t>CHIAPAS|A01 003 DONA NELLY|20260819|20260821|CEDA|CEDA PISO|CSA04120|MISCELANEOS</t>
  </si>
  <si>
    <t>CHIAPAS|A01 003 DONA NELLY|20260819|20260821|CEDA|CEDA PISO|CSA04120|MISCELANEOS|1</t>
  </si>
  <si>
    <t>A01003-341908-3</t>
  </si>
  <si>
    <t>CHIAPAS|A01 003 DONA NELLY|20260819|20260821|CEDA|CEDA PISO|CMN05123|MISCELANEOS</t>
  </si>
  <si>
    <t>CHIAPAS|A01 003 DONA NELLY|20260819|20260821|CEDA|CEDA PISO|CMN05123|MISCELANEOS|1</t>
  </si>
  <si>
    <t>A01003-341908-5</t>
  </si>
  <si>
    <t>CHIAPAS|A01 003 DONA NELLY|20260819|20260821|CEDA|CEDA PISO|CDS04122|MISCELANEOS</t>
  </si>
  <si>
    <t>CHIAPAS|A01 003 DONA NELLY|20260819|20260821|CEDA|CEDA PISO|CDS04122|MISCELANEOS|1</t>
  </si>
  <si>
    <t>CHIAPAS|A41 100 DONA LUPE JV|20260819|20260821|CEDA|CEDA AUTOSERVICIO|CPL08141|CEDA PLANTAIN</t>
  </si>
  <si>
    <t>CHIAPAS|A41 100 DONA LUPE JV|20260819|20260821|CEDA|CEDA AUTOSERVICIO|CPL08141|CEDA PLANTAIN|1</t>
  </si>
  <si>
    <t>41990</t>
  </si>
  <si>
    <t>CHIAPAS|A01 003 DONA NELLY|20260819|20260824|MTY|WM|CPR01102|22 CONVENCIONAL CON 5 CAJAS BAE Y 2 ORG</t>
  </si>
  <si>
    <t>CHIAPAS|A01 003 DONA NELLY|20260819|20260824|MTY|WM|CPR01102|22 CONVENCIONAL CON 5 CAJAS BAE Y 2 ORG|1</t>
  </si>
  <si>
    <t>A36005-342008-1</t>
  </si>
  <si>
    <t>41839</t>
  </si>
  <si>
    <t>CHIAPAS|A36 005 LA GLORIA|20260820|20260824|SMO|WM|CPR01102|24 CONVENCIONAL</t>
  </si>
  <si>
    <t>CHIAPAS|A36 005 LA GLORIA|20260820|20260824|SMO|WM|CPR01102|24 CONVENCIONAL|1</t>
  </si>
  <si>
    <t>A06043-342008-1</t>
  </si>
  <si>
    <t>40787</t>
  </si>
  <si>
    <t>CHIAPAS|A06 043 NUESTRA SENORA|20260820|20260825|MCALLEN|CHANITOS INT|CPR01104|20 CONVENCIONAL F3-2</t>
  </si>
  <si>
    <t>CHIAPAS|A06 043 NUESTRA SENORA|20260820|20260825|MCALLEN|CHANITOS INT|CPR01104|20 CONVENCIONAL F3-2|1</t>
  </si>
  <si>
    <t>A04084-342008-1</t>
  </si>
  <si>
    <t>40668</t>
  </si>
  <si>
    <t>CHIAPAS|A04 084 LISBOA|20260820|20260826|S-MTY|SMART|CPR01103|20 CONVENCIONAL SCJ1</t>
  </si>
  <si>
    <t>CHIAPAS|A04 084 LISBOA|20260820|20260826|S-MTY|SMART|CPR01103|20 CONVENCIONAL SCJ1|1</t>
  </si>
  <si>
    <t>A12057-342008-1</t>
  </si>
  <si>
    <t>41680</t>
  </si>
  <si>
    <t>CHIAPAS|A12 057 TIQUISATE 1|20260820|20260824|VSA|WM|CPR01102|19 CONVENCIONAL Y 5 ORG</t>
  </si>
  <si>
    <t>CHIAPAS|A12 057 TIQUISATE 1|20260820|20260824|VSA|WM|CPR01102|19 CONVENCIONAL Y 5 ORG|1</t>
  </si>
  <si>
    <t>A36090-342008-1</t>
  </si>
  <si>
    <t>CHIAPAS|A36 090 HEAVY|20260820|20260826|CIUDAD JUAREZ|SMART|CPR01103|20 CONVENCIONAL SM2</t>
  </si>
  <si>
    <t>CHIAPAS|A36 090 HEAVY|20260820|20260826|CIUDAD JUAREZ|SMART|CPR01103|20 CONVENCIONAL SM2|1</t>
  </si>
  <si>
    <t>A01003-342008-1</t>
  </si>
  <si>
    <t>42008</t>
  </si>
  <si>
    <t>CHIAPAS|A01 003 DONA NELLY|20260820|20260824|MTY|WM|CPR01114|22 CONVENCIONAL CON 5 CAJAS BAE Y 2 ORG</t>
  </si>
  <si>
    <t>CHIAPAS|A01 003 DONA NELLY|20260820|20260824|MTY|WM|CPR01114|22 CONVENCIONAL CON 5 CAJAS BAE Y 2 ORG|1</t>
  </si>
  <si>
    <t>41995</t>
  </si>
  <si>
    <t>CHIAPAS|A01 003 DONA NELLY|20260820|20260824|MTY|WM|CRG07128|22 CONVENCIONAL CON 5 CAJAS BAE Y 2 ORG</t>
  </si>
  <si>
    <t>CHIAPAS|A01 003 DONA NELLY|20260820|20260824|MTY|WM|CRG07128|22 CONVENCIONAL CON 5 CAJAS BAE Y 2 ORG|1</t>
  </si>
  <si>
    <t>CHIAPAS|A01 003 DONA NELLY|20260820|20260824|MTY|WM|CPR01102|22 CONVENCIONAL CON 5 CAJAS BAE Y 2 ORG</t>
  </si>
  <si>
    <t>CHIAPAS|A01 003 DONA NELLY|20260820|20260824|MTY|WM|CPR01102|22 CONVENCIONAL CON 5 CAJAS BAE Y 2 ORG|1</t>
  </si>
  <si>
    <t>42021</t>
  </si>
  <si>
    <t>CHIAPAS|A01 003 DONA NELLY|20260820|20260826|QRO|WM|CPR01102|22 CONVENCIONAL Y 2 ORG</t>
  </si>
  <si>
    <t>CHIAPAS|A01 003 DONA NELLY|20260820|20260826|QRO|WM|CPR01102|22 CONVENCIONAL Y 2 ORG|1</t>
  </si>
  <si>
    <t>CHIAPAS|A01 003 DONA NELLY|20260820|20260821|CEDA|CEDA AUTOSERVICIO|CPR01103|CEDA</t>
  </si>
  <si>
    <t>CHIAPAS|A01 003 DONA NELLY|20260820|20260821|CEDA|CEDA AUTOSERVICIO|CPR01103|CEDA|1</t>
  </si>
  <si>
    <t>CHIAPAS|A01 003 DONA NELLY|20260820|20260821|CEDA|CEDA AUTOSERVICIO|CPR01103|CEDA|2</t>
  </si>
  <si>
    <t>CHIAPAS|A01 003 DONA NELLY|20260820|20260821|CEDA|CEDA PISO|CPR01101|CEDA PISO PRODUCTORAS</t>
  </si>
  <si>
    <t>CHIAPAS|A01 003 DONA NELLY|20260820|20260821|CEDA|CEDA PISO|CPR01101|CEDA PISO PRODUCTORAS|1</t>
  </si>
  <si>
    <t>CHIAPAS|A01 003 DONA NELLY|20260820|20260821|CEDA|CEDA PISO|CSA04120|MISCELANEOS</t>
  </si>
  <si>
    <t>CHIAPAS|A01 003 DONA NELLY|20260820|20260821|CEDA|CEDA PISO|CSA04120|MISCELANEOS|1</t>
  </si>
  <si>
    <t>CHIAPAS|A01 003 DONA NELLY|20260820|20260821|CEDA|CEDA PISO|CMN05123|MISCELANEOS</t>
  </si>
  <si>
    <t>CHIAPAS|A01 003 DONA NELLY|20260820|20260821|CEDA|CEDA PISO|CMN05123|MISCELANEOS|1</t>
  </si>
  <si>
    <t>CHIAPAS|A01 003 DONA NELLY|20260820|20260821|CEDA|CEDA PISO|CDS04122|MISCELANEOS</t>
  </si>
  <si>
    <t>CHIAPAS|A01 003 DONA NELLY|20260820|20260821|CEDA|CEDA PISO|CDS04122|MISCELANEOS|1</t>
  </si>
  <si>
    <t>A01001-342008-1</t>
  </si>
  <si>
    <t>42020</t>
  </si>
  <si>
    <t>CHIAPAS|A01 001 MARBELLA|20260820|20260824|QRO|WM|CPR01102|22 CONVENCIONAL Y 2 ORG</t>
  </si>
  <si>
    <t>CHIAPAS|A01 001 MARBELLA|20260820|20260824|QRO|WM|CPR01102|22 CONVENCIONAL Y 2 ORG|1</t>
  </si>
  <si>
    <t>CHIAPAS|A01 001 MARBELLA|20260820|20260821|CEDA|CEDA AUTOSERVICIO|CPL08141|CEDA PLANTAIN</t>
  </si>
  <si>
    <t>CHIAPAS|A01 001 MARBELLA|20260820|20260821|CEDA|CEDA AUTOSERVICIO|CPL08141|CEDA PLANTAIN|1</t>
  </si>
  <si>
    <t>CHIAPAS|A01 001 MARBELLA|20260820|20260821|CEDA|CEDA AUTOSERVICIO|CPR01102|CEDA</t>
  </si>
  <si>
    <t>CHIAPAS|A01 001 MARBELLA|20260820|20260821|CEDA|CEDA AUTOSERVICIO|CPR01102|CEDA|1</t>
  </si>
  <si>
    <t>CHIAPAS|A01 001 MARBELLA|20260820|20260821|CEDA|CEDA PISO|CPR01101|CEDA PISO PRODUCTORAS</t>
  </si>
  <si>
    <t>CHIAPAS|A01 001 MARBELLA|20260820|20260821|CEDA|CEDA PISO|CPR01101|CEDA PISO PRODUCTORAS|1</t>
  </si>
  <si>
    <t>A01001-342008-4</t>
  </si>
  <si>
    <t>CHIAPAS|A01 001 MARBELLA|20260820|20260821|CEDA|CEDA PISO|CSA04120|MISCELANEOS</t>
  </si>
  <si>
    <t>CHIAPAS|A01 001 MARBELLA|20260820|20260821|CEDA|CEDA PISO|CSA04120|MISCELANEOS|1</t>
  </si>
  <si>
    <t>A01001-342008-3</t>
  </si>
  <si>
    <t>CHIAPAS|A01 001 MARBELLA|20260820|20260821|CEDA|CEDA PISO|CMN05123|MISCELANEOS</t>
  </si>
  <si>
    <t>CHIAPAS|A01 001 MARBELLA|20260820|20260821|CEDA|CEDA PISO|CMN05123|MISCELANEOS|1</t>
  </si>
  <si>
    <t>A01001-342008-5</t>
  </si>
  <si>
    <t>CHIAPAS|A01 001 MARBELLA|20260820|20260821|CEDA|CEDA PISO|CDS04122|MISCELANEOS</t>
  </si>
  <si>
    <t>CHIAPAS|A01 001 MARBELLA|20260820|20260821|CEDA|CEDA PISO|CDS04122|MISCELANEOS|1</t>
  </si>
  <si>
    <t>42350</t>
  </si>
  <si>
    <t>CHIAPAS|A01 001 MARBELLA|20260820|20260825|SMO|WM|CPR01102|24 CONVENCIONAL REPOSICION</t>
  </si>
  <si>
    <t>CHIAPAS|A01 001 MARBELLA|20260820|20260825|SMO|WM|CPR01102|24 CONVENCIONAL REPOSICION|1</t>
  </si>
  <si>
    <t>A01002-342008-1</t>
  </si>
  <si>
    <t>CHIAPAS|A01 002 FORTALEZA|20260820|20260825|SMO|WM|CPR01102|24 CONVENCIONAL REPOSICION</t>
  </si>
  <si>
    <t>CHIAPAS|A01 002 FORTALEZA|20260820|20260825|SMO|WM|CPR01102|24 CONVENCIONAL REPOSICION|1</t>
  </si>
  <si>
    <t>42032</t>
  </si>
  <si>
    <t>CHIAPAS|A01 002 FORTALEZA|20260820|20260826|CHALCO|WM|CPR01102|906 CAJAS CONV Y 54 CAJAS BAE</t>
  </si>
  <si>
    <t>CHIAPAS|A01 002 FORTALEZA|20260820|20260826|CHALCO|WM|CPR01102|906 CAJAS CONV Y 54 CAJAS BAE|1</t>
  </si>
  <si>
    <t>CHIAPAS|A01 002 FORTALEZA|20260820|20260826|CHALCO|WM|CPR01114|906 CAJAS CONV Y 54 CAJAS BAE</t>
  </si>
  <si>
    <t>CHIAPAS|A01 002 FORTALEZA|20260820|20260826|CHALCO|WM|CPR01114|906 CAJAS CONV Y 54 CAJAS BAE|1</t>
  </si>
  <si>
    <t>CHIAPAS|A01 002 FORTALEZA|20260820|20260824|QRO|WM|CRG07128|22 CONVENCIONAL Y 2 ORG</t>
  </si>
  <si>
    <t>CHIAPAS|A01 002 FORTALEZA|20260820|20260824|QRO|WM|CRG07128|22 CONVENCIONAL Y 2 ORG|1</t>
  </si>
  <si>
    <t>41722</t>
  </si>
  <si>
    <t>CHIAPAS|A01 002 FORTALEZA|20260820|20260824|VSA|WM|CRG07128|19 CONVENCIONAL Y 5 ORG</t>
  </si>
  <si>
    <t>CHIAPAS|A01 002 FORTALEZA|20260820|20260824|VSA|WM|CRG07128|19 CONVENCIONAL Y 5 ORG|1</t>
  </si>
  <si>
    <t>CHIAPAS|A01 002 FORTALEZA|20260820|20260821|CEDA|CEDA PISO|CPR01114|CEDA PISO PRODUCTORAS</t>
  </si>
  <si>
    <t>CHIAPAS|A01 002 FORTALEZA|20260820|20260821|CEDA|CEDA PISO|CPR01114|CEDA PISO PRODUCTORAS|1</t>
  </si>
  <si>
    <t>CHIAPAS|A01 002 FORTALEZA|20260820|20260821|CEDA|CEDA PISO|CPR01101|CEDA PISO PRODUCTORAS</t>
  </si>
  <si>
    <t>CHIAPAS|A01 002 FORTALEZA|20260820|20260821|CEDA|CEDA PISO|CPR01101|CEDA PISO PRODUCTORAS|1</t>
  </si>
  <si>
    <t>A01002-342008-4</t>
  </si>
  <si>
    <t>CHIAPAS|A01 002 FORTALEZA|20260820|20260821|CEDA|CEDA PISO|CSA04120|MISCELANEOS</t>
  </si>
  <si>
    <t>CHIAPAS|A01 002 FORTALEZA|20260820|20260821|CEDA|CEDA PISO|CSA04120|MISCELANEOS|1</t>
  </si>
  <si>
    <t>A01002-342008-3</t>
  </si>
  <si>
    <t>CHIAPAS|A01 002 FORTALEZA|20260820|20260821|CEDA|CEDA PISO|CMN05123|MISCELANEOS</t>
  </si>
  <si>
    <t>CHIAPAS|A01 002 FORTALEZA|20260820|20260821|CEDA|CEDA PISO|CMN05123|MISCELANEOS|1</t>
  </si>
  <si>
    <t>A01002-342008-5</t>
  </si>
  <si>
    <t>CHIAPAS|A01 002 FORTALEZA|20260820|20260821|CEDA|CEDA PISO|CDS04122|MISCELANEOS</t>
  </si>
  <si>
    <t>CHIAPAS|A01 002 FORTALEZA|20260820|20260821|CEDA|CEDA PISO|CDS04122|MISCELANEOS|1</t>
  </si>
  <si>
    <t>A36090-342108-1</t>
  </si>
  <si>
    <t>CHIAPAS|A36 090 HEAVY|20260821|20260825|SMO|WM|CPR01102|24 CONVENCIONAL REPOSICION</t>
  </si>
  <si>
    <t>CHIAPAS|A36 090 HEAVY|20260821|20260825|SMO|WM|CPR01102|24 CONVENCIONAL REPOSICION|1</t>
  </si>
  <si>
    <t>CHIAPAS|A36 090 HEAVY|20260821|20260826|CHALCO|WM|CPR01102|906 CAJAS CONV Y 54 CAJAS BAE</t>
  </si>
  <si>
    <t>CHIAPAS|A36 090 HEAVY|20260821|20260826|CHALCO|WM|CPR01102|906 CAJAS CONV Y 54 CAJAS BAE|1</t>
  </si>
  <si>
    <t>A05040-342108-1</t>
  </si>
  <si>
    <t>42740</t>
  </si>
  <si>
    <t>CHIAPAS|A05 040 PLATANEROS UNIDOS 1|20260821|20260826|SMO|WM|CPR01102|24 CONVENCIONAL ADICIONAL BTS</t>
  </si>
  <si>
    <t>CHIAPAS|A05 040 PLATANEROS UNIDOS 1|20260821|20260826|SMO|WM|CPR01102|24 CONVENCIONAL ADICIONAL BTS|1</t>
  </si>
  <si>
    <t>A04084-342108-1</t>
  </si>
  <si>
    <t>CHIAPAS|A04 084 LISBOA|20260821|20260826|S-MTY|SMART|CPR01103|20 CONVENCIONAL SCJ2</t>
  </si>
  <si>
    <t>CHIAPAS|A04 084 LISBOA|20260821|20260826|S-MTY|SMART|CPR01103|20 CONVENCIONAL SCJ2|1</t>
  </si>
  <si>
    <t>A25022-342108-1</t>
  </si>
  <si>
    <t>40786</t>
  </si>
  <si>
    <t>CHIAPAS|A25 022 DONA MILDRED|20260821|20260825|MCALLEN|CHANITOS INT|CPR01104|20 CONVENCIONAL F4-2</t>
  </si>
  <si>
    <t>CHIAPAS|A25 022 DONA MILDRED|20260821|20260825|MCALLEN|CHANITOS INT|CPR01104|20 CONVENCIONAL F4-2|1</t>
  </si>
  <si>
    <t>A06043-342108-1</t>
  </si>
  <si>
    <t>CHIAPAS|A06 043 NUESTRA SENORA|20260821|20260825|MCALLEN|CHANITOS INT|CPR01104|20 CONVENCIONAL F3-2</t>
  </si>
  <si>
    <t>CHIAPAS|A06 043 NUESTRA SENORA|20260821|20260825|MCALLEN|CHANITOS INT|CPR01104|20 CONVENCIONAL F3-2|1</t>
  </si>
  <si>
    <t>A27073-342108-1</t>
  </si>
  <si>
    <t>42493</t>
  </si>
  <si>
    <t>CHIAPAS|A27 073 PLANTACION|20260821|20260825|MCALLEN|CHANITOS INT|CPL08133|24 PLANTAIN</t>
  </si>
  <si>
    <t>CHIAPAS|A27 073 PLANTACION|20260821|20260825|MCALLEN|CHANITOS INT|CPL08133|24 PLANTAIN|1</t>
  </si>
  <si>
    <t>A04039-342108-1</t>
  </si>
  <si>
    <t>41459</t>
  </si>
  <si>
    <t>CHIAPAS|A04 039 SAN JOSE MORELIA NAVA|20260821|20260827|MCALLEN|CHANITOS INT|CPR01104|20 CONVENCIONAL F5-1</t>
  </si>
  <si>
    <t>CHIAPAS|A04 039 SAN JOSE MORELIA NAVA|20260821|20260827|MCALLEN|CHANITOS INT|CPR01104|20 CONVENCIONAL F5-1|1</t>
  </si>
  <si>
    <t>A11092-342108-1</t>
  </si>
  <si>
    <t>41464</t>
  </si>
  <si>
    <t>CHIAPAS|A11 092 COMPOSTA|20260821|20260828|MCALLEN|CHANITOS INT|CPR01104|20 CONVENCIONAL F5-2</t>
  </si>
  <si>
    <t>CHIAPAS|A11 092 COMPOSTA|20260821|20260828|MCALLEN|CHANITOS INT|CPR01104|20 CONVENCIONAL F5-2|1</t>
  </si>
  <si>
    <t>A11045-342108-1</t>
  </si>
  <si>
    <t>CHIAPAS|A11 045 SECTOR MAZATAN|20260821|20260828|MCALLEN|CHANITOS INT|CPR01104|20 CONVENCIONAL F5-2</t>
  </si>
  <si>
    <t>CHIAPAS|A11 045 SECTOR MAZATAN|20260821|20260828|MCALLEN|CHANITOS INT|CPR01104|20 CONVENCIONAL F5-2|1</t>
  </si>
  <si>
    <t>41998</t>
  </si>
  <si>
    <t>CHIAPAS|A11 045 SECTOR MAZATAN|20260821|20260826|MTY|WM|CPR01102|23 CONVENCIONAL Y 1 ORG</t>
  </si>
  <si>
    <t>CHIAPAS|A11 045 SECTOR MAZATAN|20260821|20260826|MTY|WM|CPR01102|23 CONVENCIONAL Y 1 ORG|1</t>
  </si>
  <si>
    <t>CHIAPAS|A11 092 COMPOSTA|20260821|20260826|MTY|WM|CPR01102|23 CONVENCIONAL Y 1 ORG</t>
  </si>
  <si>
    <t>CHIAPAS|A11 092 COMPOSTA|20260821|20260826|MTY|WM|CPR01102|23 CONVENCIONAL Y 1 ORG|1</t>
  </si>
  <si>
    <t>40673</t>
  </si>
  <si>
    <t>CHIAPAS|A11 045 SECTOR MAZATAN|20260821|20260828|CIUDAD JUAREZ|SMART|CPR01103|20 CONVENCIONAL SM5</t>
  </si>
  <si>
    <t>CHIAPAS|A11 045 SECTOR MAZATAN|20260821|20260828|CIUDAD JUAREZ|SMART|CPR01103|20 CONVENCIONAL SM5|1</t>
  </si>
  <si>
    <t>CHIAPAS|A11 092 COMPOSTA|20260821|20260828|CIUDAD JUAREZ|SMART|CPR01103|20 CONVENCIONAL SM5</t>
  </si>
  <si>
    <t>CHIAPAS|A11 092 COMPOSTA|20260821|20260828|CIUDAD JUAREZ|SMART|CPR01103|20 CONVENCIONAL SM5|1</t>
  </si>
  <si>
    <t>A01003-342108-1</t>
  </si>
  <si>
    <t>CHIAPAS|A01 003 DONA NELLY|20260821|20260826|QRO|WM|CPR01102|22 CONVENCIONAL Y 2 ORG</t>
  </si>
  <si>
    <t>CHIAPAS|A01 003 DONA NELLY|20260821|20260826|QRO|WM|CPR01102|22 CONVENCIONAL Y 2 ORG|1</t>
  </si>
  <si>
    <t>CHIAPAS|A01 003 DONA NELLY|20260821|20260826|QRO|WM|CRG07128|22 CONVENCIONAL Y 2 ORG</t>
  </si>
  <si>
    <t>CHIAPAS|A01 003 DONA NELLY|20260821|20260826|QRO|WM|CRG07128|22 CONVENCIONAL Y 2 ORG|1</t>
  </si>
  <si>
    <t>CHIAPAS|A01 003 DONA NELLY|20260821|20260826|MTY|WM|CPR01102|23 CONVENCIONAL Y 1 ORG</t>
  </si>
  <si>
    <t>CHIAPAS|A01 003 DONA NELLY|20260821|20260826|MTY|WM|CPR01102|23 CONVENCIONAL Y 1 ORG|1</t>
  </si>
  <si>
    <t>CHIAPAS|A01 003 DONA NELLY|20260821|20260821|CEDA|CEDA PISO|CPR01101|CEDA PISO PRODUCTORAS</t>
  </si>
  <si>
    <t>CHIAPAS|A01 003 DONA NELLY|20260821|20260821|CEDA|CEDA PISO|CPR01101|CEDA PISO PRODUCTORAS|1</t>
  </si>
  <si>
    <t>A01003-342108-4</t>
  </si>
  <si>
    <t>CHIAPAS|A01 003 DONA NELLY|20260821|20260821|CEDA|CEDA PISO|CSA04120|MISCELANEOS</t>
  </si>
  <si>
    <t>CHIAPAS|A01 003 DONA NELLY|20260821|20260821|CEDA|CEDA PISO|CSA04120|MISCELANEOS|1</t>
  </si>
  <si>
    <t>A01003-342108-3</t>
  </si>
  <si>
    <t>CHIAPAS|A01 003 DONA NELLY|20260821|20260821|CEDA|CEDA PISO|CMN05123|MISCELANEOS</t>
  </si>
  <si>
    <t>CHIAPAS|A01 003 DONA NELLY|20260821|20260821|CEDA|CEDA PISO|CMN05123|MISCELANEOS|1</t>
  </si>
  <si>
    <t>A01003-342108-5</t>
  </si>
  <si>
    <t>CHIAPAS|A01 003 DONA NELLY|20260821|20260821|CEDA|CEDA PISO|CDS04122|MISCELANEOS</t>
  </si>
  <si>
    <t>CHIAPAS|A01 003 DONA NELLY|20260821|20260821|CEDA|CEDA PISO|CDS04122|MISCELANEOS|1</t>
  </si>
  <si>
    <t>A01002-342108-1</t>
  </si>
  <si>
    <t>CHIAPAS|A01 002 FORTALEZA|20260821|20260826|CHALCO|WM|CPR01102|906 CAJAS CONV Y 54 CAJAS BAE</t>
  </si>
  <si>
    <t>CHIAPAS|A01 002 FORTALEZA|20260821|20260826|CHALCO|WM|CPR01102|906 CAJAS CONV Y 54 CAJAS BAE|1</t>
  </si>
  <si>
    <t>CHIAPAS|A01 002 FORTALEZA|20260821|20260821|CEDA|CEDA PISO|CPR01101|CEDA PISO PRODUCTORAS</t>
  </si>
  <si>
    <t>CHIAPAS|A01 002 FORTALEZA|20260821|20260821|CEDA|CEDA PISO|CPR01101|CEDA PISO PRODUCTORAS|1</t>
  </si>
  <si>
    <t>A01002-342108-4</t>
  </si>
  <si>
    <t>CHIAPAS|A01 002 FORTALEZA|20260821|20260821|CEDA|CEDA PISO|CSA04120|MISCELANEOS</t>
  </si>
  <si>
    <t>CHIAPAS|A01 002 FORTALEZA|20260821|20260821|CEDA|CEDA PISO|CSA04120|MISCELANEOS|1</t>
  </si>
  <si>
    <t>A01002-342108-3</t>
  </si>
  <si>
    <t>CHIAPAS|A01 002 FORTALEZA|20260821|20260821|CEDA|CEDA PISO|CMN05123|MISCELANEOS</t>
  </si>
  <si>
    <t>CHIAPAS|A01 002 FORTALEZA|20260821|20260821|CEDA|CEDA PISO|CMN05123|MISCELANEOS|1</t>
  </si>
  <si>
    <t>A01002-342108-5</t>
  </si>
  <si>
    <t>CHIAPAS|A01 002 FORTALEZA|20260821|20260821|CEDA|CEDA PISO|CDS04122|MISCELANEOS</t>
  </si>
  <si>
    <t>CHIAPAS|A01 002 FORTALEZA|20260821|20260821|CEDA|CEDA PISO|CDS04122|MISCELANEOS|1</t>
  </si>
  <si>
    <t>CHIAPAS|A01 002 FORTALEZA|20260821|20260826|CHALCO|WM|CPR01102|906 CAJAS CONV Y 54 CAJAS BAE|2</t>
  </si>
  <si>
    <t>41727</t>
  </si>
  <si>
    <t>CHIAPAS|A01 002 FORTALEZA|20260821|20260827|VSA|WM|CPR01102|19 CONVENCIONAL Y 5 ORG</t>
  </si>
  <si>
    <t>CHIAPAS|A01 002 FORTALEZA|20260821|20260827|VSA|WM|CPR01102|19 CONVENCIONAL Y 5 ORG|1</t>
  </si>
  <si>
    <t>41729</t>
  </si>
  <si>
    <t>CHIAPAS|A01 002 FORTALEZA|20260821|20260827|VSA|WM|CRG07128|19 CONVENCIONAL Y 5 ORG</t>
  </si>
  <si>
    <t>CHIAPAS|A01 002 FORTALEZA|20260821|20260827|VSA|WM|CRG07128|19 CONVENCIONAL Y 5 ORG|1</t>
  </si>
  <si>
    <t>A01004-342108-1</t>
  </si>
  <si>
    <t>41460</t>
  </si>
  <si>
    <t>CHIAPAS|A01 004 LA CEIBA|20260821|20260827|MCALLEN|CHANITOS INT|CPR01104|20 CONVENCIONAL F4-1</t>
  </si>
  <si>
    <t>CHIAPAS|A01 004 LA CEIBA|20260821|20260827|MCALLEN|CHANITOS INT|CPR01104|20 CONVENCIONAL F4-1|1</t>
  </si>
  <si>
    <t>CHIAPAS|A01 004 LA CEIBA|20260821|20260821|CEDA|CEDA PISO|CPR01101|CEDA PISO PRODUCTORAS</t>
  </si>
  <si>
    <t>CHIAPAS|A01 004 LA CEIBA|20260821|20260821|CEDA|CEDA PISO|CPR01101|CEDA PISO PRODUCTORAS|1</t>
  </si>
  <si>
    <t>CHIAPAS|A01 004 LA CEIBA|20260821|20260821|CEDA|CEDA PISO|CPR01101|CEDA PISO PRODUCTORAS|2</t>
  </si>
  <si>
    <t>A01004-342108-4</t>
  </si>
  <si>
    <t>CHIAPAS|A01 004 LA CEIBA|20260821|20260821|CEDA|CEDA PISO|CSA04120|MISCELANEOS</t>
  </si>
  <si>
    <t>CHIAPAS|A01 004 LA CEIBA|20260821|20260821|CEDA|CEDA PISO|CSA04120|MISCELANEOS|1</t>
  </si>
  <si>
    <t>A01004-342108-3</t>
  </si>
  <si>
    <t>CHIAPAS|A01 004 LA CEIBA|20260821|20260821|CEDA|CEDA PISO|CMN05123|MISCELANEOS</t>
  </si>
  <si>
    <t>CHIAPAS|A01 004 LA CEIBA|20260821|20260821|CEDA|CEDA PISO|CMN05123|MISCELANEOS|1</t>
  </si>
  <si>
    <t>A01004-342108-5</t>
  </si>
  <si>
    <t>CHIAPAS|A01 004 LA CEIBA|20260821|20260821|CEDA|CEDA PISO|CDS04122|MISCELANEOS</t>
  </si>
  <si>
    <t>CHIAPAS|A01 004 LA CEIBA|20260821|20260821|CEDA|CEDA PISO|CDS04122|MISCELANEOS|1</t>
  </si>
  <si>
    <t>A04039-342208-1</t>
  </si>
  <si>
    <t>CHIAPAS|A04 039 SAN JOSE MORELIA NAVA|20260822|20260828|CIUDAD JUAREZ|SMART|CPR01103|20 CONVENCIONAL SM5</t>
  </si>
  <si>
    <t>CHIAPAS|A04 039 SAN JOSE MORELIA NAVA|20260822|20260828|CIUDAD JUAREZ|SMART|CPR01103|20 CONVENCIONAL SM5|1</t>
  </si>
  <si>
    <t>A25022-342208-1</t>
  </si>
  <si>
    <t>40669</t>
  </si>
  <si>
    <t>CHIAPAS|A25 022 DONA MILDRED|20260822|20260828|S-MTY|SMART|CPR01103|20 CONVENCIONAL SM5</t>
  </si>
  <si>
    <t>CHIAPAS|A25 022 DONA MILDRED|20260822|20260828|S-MTY|SMART|CPR01103|20 CONVENCIONAL SM5|1</t>
  </si>
  <si>
    <t>A11045-342208-1</t>
  </si>
  <si>
    <t>CHIAPAS|A11 045 SECTOR MAZATAN|20260822|20260828|CIUDAD JUAREZ|SMART|CPR01103|20 CONVENCIONAL SM5</t>
  </si>
  <si>
    <t>CHIAPAS|A11 045 SECTOR MAZATAN|20260822|20260828|CIUDAD JUAREZ|SMART|CPR01103|20 CONVENCIONAL SM5|1</t>
  </si>
  <si>
    <t>A01001-342208-1</t>
  </si>
  <si>
    <t>41917</t>
  </si>
  <si>
    <t>CHIAPAS|A01 001 MARBELLA|20260822|20260827|SMO|WM|CPR01102|24 CONVENCIONAL</t>
  </si>
  <si>
    <t>CHIAPAS|A01 001 MARBELLA|20260822|20260827|SMO|WM|CPR01102|24 CONVENCIONAL|1</t>
  </si>
  <si>
    <t>CHIAPAS|A01 001 MARBELLA|20260822|20260824|CEDA|CEDA AUTOSERVICIO|CPR01102|CEDA</t>
  </si>
  <si>
    <t>CHIAPAS|A01 001 MARBELLA|20260822|20260824|CEDA|CEDA AUTOSERVICIO|CPR01102|CEDA|1</t>
  </si>
  <si>
    <t>CHIAPAS|A01 001 MARBELLA|20260822|20260824|CEDA|CEDA PISO|CPR01101|CEDA PISO PRODUCTORAS</t>
  </si>
  <si>
    <t>CHIAPAS|A01 001 MARBELLA|20260822|20260824|CEDA|CEDA PISO|CPR01101|CEDA PISO PRODUCTORAS|1</t>
  </si>
  <si>
    <t>A01001-342208-4</t>
  </si>
  <si>
    <t>CHIAPAS|A01 001 MARBELLA|20260822|20260824|CEDA|CEDA PISO|CSA04120|MISCELANEOS</t>
  </si>
  <si>
    <t>CHIAPAS|A01 001 MARBELLA|20260822|20260824|CEDA|CEDA PISO|CSA04120|MISCELANEOS|1</t>
  </si>
  <si>
    <t>A01001-342208-3</t>
  </si>
  <si>
    <t>CHIAPAS|A01 001 MARBELLA|20260822|20260824|CEDA|CEDA PISO|CMN05123|MISCELANEOS</t>
  </si>
  <si>
    <t>CHIAPAS|A01 001 MARBELLA|20260822|20260824|CEDA|CEDA PISO|CMN05123|MISCELANEOS|1</t>
  </si>
  <si>
    <t>A01001-342208-5</t>
  </si>
  <si>
    <t>CHIAPAS|A01 001 MARBELLA|20260822|20260824|CEDA|CEDA PISO|CDS04122|MISCELANEOS</t>
  </si>
  <si>
    <t>CHIAPAS|A01 001 MARBELLA|20260822|20260824|CEDA|CEDA PISO|CDS04122|MISCELANEOS|1</t>
  </si>
  <si>
    <t>A01003-342208-1</t>
  </si>
  <si>
    <t>CHIAPAS|A01 003 DONA NELLY|20260822|20260828|CIUDAD JUAREZ|SMART|CPR01103|20 CONVENCIONAL SM5</t>
  </si>
  <si>
    <t>CHIAPAS|A01 003 DONA NELLY|20260822|20260828|CIUDAD JUAREZ|SMART|CPR01103|20 CONVENCIONAL SM5|1</t>
  </si>
  <si>
    <t>CHIAPAS|A01 003 DONA NELLY|20260822|20260826|MTY|WM|CPR01102|23 CONVENCIONAL Y 1 ORG</t>
  </si>
  <si>
    <t>CHIAPAS|A01 003 DONA NELLY|20260822|20260826|MTY|WM|CPR01102|23 CONVENCIONAL Y 1 ORG|1</t>
  </si>
  <si>
    <t>42000</t>
  </si>
  <si>
    <t>CHIAPAS|A01 003 DONA NELLY|20260822|20260826|MTY|WM|CRG07128|23 CONVENCIONAL Y 1 ORG</t>
  </si>
  <si>
    <t>CHIAPAS|A01 003 DONA NELLY|20260822|20260826|MTY|WM|CRG07128|23 CONVENCIONAL Y 1 ORG|1</t>
  </si>
  <si>
    <t>42273</t>
  </si>
  <si>
    <t>CHIAPAS|A01 003 DONA NELLY|20260822|20260827|CHALCO|WM|CPR01102|1086 CAJAS CONVENCIONAL Y 66 CAJAS BAE</t>
  </si>
  <si>
    <t>CHIAPAS|A01 003 DONA NELLY|20260822|20260827|CHALCO|WM|CPR01102|1086 CAJAS CONVENCIONAL Y 66 CAJAS BAE|1</t>
  </si>
  <si>
    <t>CHIAPAS|A01 003 DONA NELLY|20260822|20260824|CEDA|CEDA PISO|CPR01101|CEDA PISO PRODUCTORAS</t>
  </si>
  <si>
    <t>CHIAPAS|A01 003 DONA NELLY|20260822|20260824|CEDA|CEDA PISO|CPR01101|CEDA PISO PRODUCTORAS|1</t>
  </si>
  <si>
    <t>A01003-342208-4</t>
  </si>
  <si>
    <t>CHIAPAS|A01 003 DONA NELLY|20260822|20260821|CEDA|CEDA PISO|CSA04120|MISCELANEOS</t>
  </si>
  <si>
    <t>CHIAPAS|A01 003 DONA NELLY|20260822|20260821|CEDA|CEDA PISO|CSA04120|MISCELANEOS|1</t>
  </si>
  <si>
    <t>A01003-342208-3</t>
  </si>
  <si>
    <t>CHIAPAS|A01 003 DONA NELLY|20260822|20260821|CEDA|CEDA PISO|CMN05123|MISCELANEOS</t>
  </si>
  <si>
    <t>CHIAPAS|A01 003 DONA NELLY|20260822|20260821|CEDA|CEDA PISO|CMN05123|MISCELANEOS|1</t>
  </si>
  <si>
    <t>A01003-342208-5</t>
  </si>
  <si>
    <t>CHIAPAS|A01 003 DONA NELLY|20260822|20260821|CEDA|CEDA PISO|CDS04122|MISCELANEOS</t>
  </si>
  <si>
    <t>CHIAPAS|A01 003 DONA NELLY|20260822|20260821|CEDA|CEDA PISO|CDS04122|MISCELANEOS|1</t>
  </si>
  <si>
    <t>OV ND para ese SKU vs esa cantidad</t>
  </si>
  <si>
    <t>A11056-352408-1</t>
  </si>
  <si>
    <t>CHIAPAS|A11 056 SAN ISIDRO|20260824|20260828|S-MTY|SMART|CPR01103|20 CONVENCIONAL SM1</t>
  </si>
  <si>
    <t>CHIAPAS|A11 056 SAN ISIDRO|20260824|20260828|S-MTY|SMART|CPR01103|20 CONVENCIONAL SM1|1</t>
  </si>
  <si>
    <t>Programa Embarques 2026 S-35.xlsx</t>
  </si>
  <si>
    <t>A01003-352408-1</t>
  </si>
  <si>
    <t>CHIAPAS|A01 003 DONA NELLY|20260824|20260827|CHALCO|WM|CPR01102|1086 CAJAS CONVENCIONAL Y 66 CAJAS BAE</t>
  </si>
  <si>
    <t>CHIAPAS|A01 003 DONA NELLY|20260824|20260827|CHALCO|WM|CPR01102|1086 CAJAS CONVENCIONAL Y 66 CAJAS BAE|1</t>
  </si>
  <si>
    <t>CHIAPAS|A01 003 DONA NELLY|20260824|20260827|CHALCO|WM|CPR01114|1086 CAJAS CONVENCIONAL Y 66 CAJAS BAE</t>
  </si>
  <si>
    <t>CHIAPAS|A01 003 DONA NELLY|20260824|20260827|CHALCO|WM|CPR01114|1086 CAJAS CONVENCIONAL Y 66 CAJAS BAE|1</t>
  </si>
  <si>
    <t>42276</t>
  </si>
  <si>
    <t>CHIAPAS|A01 003 DONA NELLY|20260824|20260828|CHALCO|WM|CPR01114|22 CONVENCIONAL Y 96 CAJAS BAE</t>
  </si>
  <si>
    <t>CHIAPAS|A01 003 DONA NELLY|20260824|20260828|CHALCO|WM|CPR01114|22 CONVENCIONAL Y 96 CAJAS BAE|1</t>
  </si>
  <si>
    <t>CHIAPAS|A01 003 DONA NELLY|20260824|20260828|CHALCO|WM|CPR01102|22 CONVENCIONAL Y 96 CAJAS BAE</t>
  </si>
  <si>
    <t>CHIAPAS|A01 003 DONA NELLY|20260824|20260828|CHALCO|WM|CPR01102|22 CONVENCIONAL Y 96 CAJAS BAE|1</t>
  </si>
  <si>
    <t>CHIAPAS|A01 003 DONA NELLY|20260824|20260828|CEDA|CEDA PISO|CPR01101|CEDA PISO PRODUCTORAS</t>
  </si>
  <si>
    <t>CHIAPAS|A01 003 DONA NELLY|20260824|20260828|CEDA|CEDA PISO|CPR01101|CEDA PISO PRODUCTORAS|1</t>
  </si>
  <si>
    <t>A01003-352408-4</t>
  </si>
  <si>
    <t>CHIAPAS|A01 003 DONA NELLY|20260824|20260826|CEDA|CEDA PISO|CSA04120|MISCELANEOS</t>
  </si>
  <si>
    <t>CHIAPAS|A01 003 DONA NELLY|20260824|20260826|CEDA|CEDA PISO|CSA04120|MISCELANEOS|1</t>
  </si>
  <si>
    <t>A01003-352408-3</t>
  </si>
  <si>
    <t>CHIAPAS|A01 003 DONA NELLY|20260824|20260826|CEDA|CEDA PISO|CMN05123|MISCELANEOS</t>
  </si>
  <si>
    <t>CHIAPAS|A01 003 DONA NELLY|20260824|20260826|CEDA|CEDA PISO|CMN05123|MISCELANEOS|1</t>
  </si>
  <si>
    <t>A01003-352408-5</t>
  </si>
  <si>
    <t>CHIAPAS|A01 003 DONA NELLY|20260824|20260826|CEDA|CEDA PISO|CDS04122|MISCELANEOS</t>
  </si>
  <si>
    <t>CHIAPAS|A01 003 DONA NELLY|20260824|20260826|CEDA|CEDA PISO|CDS04122|MISCELANEOS|1</t>
  </si>
  <si>
    <t>A01002-352408-1</t>
  </si>
  <si>
    <t>42023</t>
  </si>
  <si>
    <t>CHIAPAS|A01 002 FORTALEZA|20260824|20260828|QRO|WM|CPR01102|23 CONVENCIONAL Y 1 ORG</t>
  </si>
  <si>
    <t>CHIAPAS|A01 002 FORTALEZA|20260824|20260828|QRO|WM|CPR01102|23 CONVENCIONAL Y 1 ORG|1</t>
  </si>
  <si>
    <t>CHIAPAS|A01 002 FORTALEZA|20260824|20260827|VSA|WM|CPR01102|19 CONVENCIONAL Y 5 ORG</t>
  </si>
  <si>
    <t>CHIAPAS|A01 002 FORTALEZA|20260824|20260827|VSA|WM|CPR01102|19 CONVENCIONAL Y 5 ORG|1</t>
  </si>
  <si>
    <t>CHIAPAS|A01 002 FORTALEZA|20260824|20260827|VSA|WM|CRG07128|19 CONVENCIONAL Y 5 ORG</t>
  </si>
  <si>
    <t>CHIAPAS|A01 002 FORTALEZA|20260824|20260827|VSA|WM|CRG07128|19 CONVENCIONAL Y 5 ORG|1</t>
  </si>
  <si>
    <t>A01002-352408-4</t>
  </si>
  <si>
    <t>CHIAPAS|A01 002 FORTALEZA|20260824|20260826|CEDA|CEDA PISO|CSA04120|MISCELANEOS</t>
  </si>
  <si>
    <t>CHIAPAS|A01 002 FORTALEZA|20260824|20260826|CEDA|CEDA PISO|CSA04120|MISCELANEOS|1</t>
  </si>
  <si>
    <t>A01002-352408-3</t>
  </si>
  <si>
    <t>CHIAPAS|A01 002 FORTALEZA|20260824|20260826|CEDA|CEDA PISO|CMN05123|MISCELANEOS</t>
  </si>
  <si>
    <t>CHIAPAS|A01 002 FORTALEZA|20260824|20260826|CEDA|CEDA PISO|CMN05123|MISCELANEOS|1</t>
  </si>
  <si>
    <t>A01002-352408-5</t>
  </si>
  <si>
    <t>CHIAPAS|A01 002 FORTALEZA|20260824|20260826|CEDA|CEDA PISO|CDS04122|MISCELANEOS</t>
  </si>
  <si>
    <t>CHIAPAS|A01 002 FORTALEZA|20260824|20260826|CEDA|CEDA PISO|CDS04122|MISCELANEOS|1</t>
  </si>
  <si>
    <t>A01004-352408-1</t>
  </si>
  <si>
    <t>41467</t>
  </si>
  <si>
    <t>CHIAPAS|A01 004 LA CEIBA|20260824|20260828|MCALLEN|CHANITOS INT|CPR01104|20 CONVENCIONAL F1-1</t>
  </si>
  <si>
    <t>CHIAPAS|A01 004 LA CEIBA|20260824|20260828|MCALLEN|CHANITOS INT|CPR01104|20 CONVENCIONAL F1-1|1</t>
  </si>
  <si>
    <t>42281</t>
  </si>
  <si>
    <t>CHIAPAS|A01 004 LA CEIBA|20260824|20260829|CHALCO|WM|CPR01114|1086 CAJAS CONVENCIONAL Y 66 CAJAS BAE</t>
  </si>
  <si>
    <t>CHIAPAS|A01 004 LA CEIBA|20260824|20260829|CHALCO|WM|CPR01114|1086 CAJAS CONVENCIONAL Y 66 CAJAS BAE|1</t>
  </si>
  <si>
    <t>CHIAPAS|A01 004 LA CEIBA|20260824|20260828|CPR01114|CEDA PISO|CPR01114|CEDA PISO PRODUCTORAS</t>
  </si>
  <si>
    <t>CHIAPAS|A01 004 LA CEIBA|20260824|20260828|CPR01114|CEDA PISO|CPR01114|CEDA PISO PRODUCTORAS|1</t>
  </si>
  <si>
    <t>CHIAPAS|A01 004 LA CEIBA|20260824|20260828|CHALCO|WM|CPR01102|22 CONVENCIONAL Y 96 CAJAS BAE</t>
  </si>
  <si>
    <t>CHIAPAS|A01 004 LA CEIBA|20260824|20260828|CHALCO|WM|CPR01102|22 CONVENCIONAL Y 96 CAJAS BAE|1</t>
  </si>
  <si>
    <t>CHIAPAS|A01 004 LA CEIBA|20260824|20260829|CHALCO|WM|CPR01102|1086 CAJAS CONVENCIONAL Y 66 CAJAS BAE</t>
  </si>
  <si>
    <t>CHIAPAS|A01 004 LA CEIBA|20260824|20260829|CHALCO|WM|CPR01102|1086 CAJAS CONVENCIONAL Y 66 CAJAS BAE|1</t>
  </si>
  <si>
    <t>CHIAPAS|A01 004 LA CEIBA|20260824|20260828|CEDA|CEDA PISO|CPR01101|CEDA PISO PRODUCTORAS</t>
  </si>
  <si>
    <t>CHIAPAS|A01 004 LA CEIBA|20260824|20260828|CEDA|CEDA PISO|CPR01101|CEDA PISO PRODUCTORAS|1</t>
  </si>
  <si>
    <t>A01004-352408-4</t>
  </si>
  <si>
    <t>CHIAPAS|A01 004 LA CEIBA|20260824|20260826|CEDA|CEDA PISO|CSA04120|MISCELANEOS</t>
  </si>
  <si>
    <t>CHIAPAS|A01 004 LA CEIBA|20260824|20260826|CEDA|CEDA PISO|CSA04120|MISCELANEOS|1</t>
  </si>
  <si>
    <t>A01004-352408-3</t>
  </si>
  <si>
    <t>CHIAPAS|A01 004 LA CEIBA|20260824|20260826|CEDA|CEDA PISO|CMN05123|MISCELANEOS</t>
  </si>
  <si>
    <t>CHIAPAS|A01 004 LA CEIBA|20260824|20260826|CEDA|CEDA PISO|CMN05123|MISCELANEOS|1</t>
  </si>
  <si>
    <t>A01004-352408-5</t>
  </si>
  <si>
    <t>CHIAPAS|A01 004 LA CEIBA|20260824|20260826|CEDA|CEDA PISO|CDS04122|MISCELANEOS</t>
  </si>
  <si>
    <t>CHIAPAS|A01 004 LA CEIBA|20260824|20260826|CEDA|CEDA PISO|CDS04122|MISCELANEOS|1</t>
  </si>
  <si>
    <t>A11045-352508-1</t>
  </si>
  <si>
    <t>CHIAPAS|A11 045 SECTOR MAZATAN|20260825|20260829|CHALCO|WM|CPR01102|1086 CAJAS CONVENCIONAL Y 66 CAJAS BAE</t>
  </si>
  <si>
    <t>CHIAPAS|A11 045 SECTOR MAZATAN|20260825|20260829|CHALCO|WM|CPR01102|1086 CAJAS CONVENCIONAL Y 66 CAJAS BAE|1</t>
  </si>
  <si>
    <t>40674</t>
  </si>
  <si>
    <t>CHIAPAS|A11 045 SECTOR MAZATAN|20260825|20260901|CIUDAD JUAREZ|SMART|CPR01103|20 CONVENCIONAL SCJ1</t>
  </si>
  <si>
    <t>CHIAPAS|A11 045 SECTOR MAZATAN|20260825|20260901|CIUDAD JUAREZ|SMART|CPR01103|20 CONVENCIONAL SCJ1|1</t>
  </si>
  <si>
    <t>CHIAPAS|A11 045 SECTOR MAZATAN|20260825|20260901|CIUDAD JUAREZ|SMART|CPR01103|17 CONVENCIONAL Y 3 PLANTAIN</t>
  </si>
  <si>
    <t>CHIAPAS|A11 045 SECTOR MAZATAN|20260825|20260901|CIUDAD JUAREZ|SMART|CPR01103|17 CONVENCIONAL Y 3 PLANTAIN|1</t>
  </si>
  <si>
    <t>A11056-352508-1</t>
  </si>
  <si>
    <t>CHIAPAS|A11 056 SAN ISIDRO|20260825|20260901|CIUDAD JUAREZ|SMART|CPR01103|17 CONVENCIONAL Y 3 PLANTAIN</t>
  </si>
  <si>
    <t>CHIAPAS|A11 056 SAN ISIDRO|20260825|20260901|CIUDAD JUAREZ|SMART|CPR01103|17 CONVENCIONAL Y 3 PLANTAIN|1</t>
  </si>
  <si>
    <t>A04084-352508-1</t>
  </si>
  <si>
    <t>41477</t>
  </si>
  <si>
    <t>CHIAPAS|A04 084 LISBOA|20260825|20260829|MCALLEN|CHANITOS INT|CPR01104|20 CONVENCIONAL F1-2</t>
  </si>
  <si>
    <t>CHIAPAS|A04 084 LISBOA|20260825|20260829|MCALLEN|CHANITOS INT|CPR01104|20 CONVENCIONAL F1-2|1</t>
  </si>
  <si>
    <t>A27073-352508-1</t>
  </si>
  <si>
    <t>CHIAPAS|A27 073 PLANTACION|20260825|20260826|CEDA|CEDA AUTOSERVICIO|CPL08141|CEDA PLANTAIN</t>
  </si>
  <si>
    <t>CHIAPAS|A27 073 PLANTACION|20260825|20260826|CEDA|CEDA AUTOSERVICIO|CPL08141|CEDA PLANTAIN|1</t>
  </si>
  <si>
    <t>CHIAPAS|A27 073 PLANTACION|20260825|20260901|CIUDAD JUAREZ|SMART|CPL08134|17 CONVENCIONAL Y 3 PLANTAIN</t>
  </si>
  <si>
    <t>CHIAPAS|A27 073 PLANTACION|20260825|20260901|CIUDAD JUAREZ|SMART|CPL08134|17 CONVENCIONAL Y 3 PLANTAIN|1</t>
  </si>
  <si>
    <t>A01003-352508-1</t>
  </si>
  <si>
    <t>41478</t>
  </si>
  <si>
    <t>CHIAPAS|A01 003 DONA NELLY|20260825|20260829|MCALLEN|CHANITOS INT|CPR01104|20 CONVENCIONAL F2-1</t>
  </si>
  <si>
    <t>CHIAPAS|A01 003 DONA NELLY|20260825|20260829|MCALLEN|CHANITOS INT|CPR01104|20 CONVENCIONAL F2-1|1</t>
  </si>
  <si>
    <t>CHIAPAS|A01 003 DONA NELLY|20260825|20260829|CHALCO|WM|CPR01102|1086 CAJAS CONVENCIONAL Y 66 CAJAS BAE</t>
  </si>
  <si>
    <t>CHIAPAS|A01 003 DONA NELLY|20260825|20260829|CHALCO|WM|CPR01102|1086 CAJAS CONVENCIONAL Y 66 CAJAS BAE|1</t>
  </si>
  <si>
    <t>CHIAPAS|A01 003 DONA NELLY|20260825|20260827|CEDA|CEDA AUTOSERVICIO|CPR01102|CEDA</t>
  </si>
  <si>
    <t>CHIAPAS|A01 003 DONA NELLY|20260825|20260827|CEDA|CEDA AUTOSERVICIO|CPR01102|CEDA|1</t>
  </si>
  <si>
    <t>CHIAPAS|A01 003 DONA NELLY|20260825|20260828|CEDA|CEDA PISO|CPR01101|CEDA PISO PRODUCTORAS</t>
  </si>
  <si>
    <t>CHIAPAS|A01 003 DONA NELLY|20260825|20260828|CEDA|CEDA PISO|CPR01101|CEDA PISO PRODUCTORAS|1</t>
  </si>
  <si>
    <t>A01003-352508-4</t>
  </si>
  <si>
    <t>CHIAPAS|A01 003 DONA NELLY|20260825|20260827|CEDA|CEDA PISO|CSA04120|MISCELANEOS</t>
  </si>
  <si>
    <t>CHIAPAS|A01 003 DONA NELLY|20260825|20260827|CEDA|CEDA PISO|CSA04120|MISCELANEOS|1</t>
  </si>
  <si>
    <t>A01003-352508-3</t>
  </si>
  <si>
    <t>CHIAPAS|A01 003 DONA NELLY|20260825|20260827|CEDA|CEDA PISO|CMN05123|MISCELANEOS</t>
  </si>
  <si>
    <t>CHIAPAS|A01 003 DONA NELLY|20260825|20260827|CEDA|CEDA PISO|CMN05123|MISCELANEOS|1</t>
  </si>
  <si>
    <t>A01003-352508-5</t>
  </si>
  <si>
    <t>CHIAPAS|A01 003 DONA NELLY|20260825|20260827|CEDA|CEDA PISO|CDS04122|MISCELANEOS</t>
  </si>
  <si>
    <t>CHIAPAS|A01 003 DONA NELLY|20260825|20260827|CEDA|CEDA PISO|CDS04122|MISCELANEOS|1</t>
  </si>
  <si>
    <t>A01002-352508-1</t>
  </si>
  <si>
    <t>CHIAPAS|A01 002 FORTALEZA|20260825|20260828|QRO|WM|CPR01102|23 CONVENCIONAL Y 1 ORG</t>
  </si>
  <si>
    <t>CHIAPAS|A01 002 FORTALEZA|20260825|20260828|QRO|WM|CPR01102|23 CONVENCIONAL Y 1 ORG|1</t>
  </si>
  <si>
    <t>CHIAPAS|A01 002 FORTALEZA|20260825|20260828|QRO|WM|CRG07128|23 CONVENCIONAL Y 1 ORG</t>
  </si>
  <si>
    <t>CHIAPAS|A01 002 FORTALEZA|20260825|20260828|QRO|WM|CRG07128|23 CONVENCIONAL Y 1 ORG|1</t>
  </si>
  <si>
    <t>41918</t>
  </si>
  <si>
    <t>CHIAPAS|A01 002 FORTALEZA|20260825|20260829|SMO|WM|CPR01102|24 CONVENCIONAL</t>
  </si>
  <si>
    <t>CHIAPAS|A01 002 FORTALEZA|20260825|20260829|SMO|WM|CPR01102|24 CONVENCIONAL|1</t>
  </si>
  <si>
    <t>41927</t>
  </si>
  <si>
    <t>CHIAPAS|A01 002 FORTALEZA|20260825|20260828|VSA|WM|CPR01102|24 CONVENCIONAL</t>
  </si>
  <si>
    <t>CHIAPAS|A01 002 FORTALEZA|20260825|20260828|VSA|WM|CPR01102|24 CONVENCIONAL|1</t>
  </si>
  <si>
    <t>CHIAPAS|A01 002 FORTALEZA|20260825|20260828|CEDA|CEDA PISO|CPR01101|CEDA PISO PRODUCTORAS</t>
  </si>
  <si>
    <t>CHIAPAS|A01 002 FORTALEZA|20260825|20260828|CEDA|CEDA PISO|CPR01101|CEDA PISO PRODUCTORAS|1</t>
  </si>
  <si>
    <t>A01002-352508-4</t>
  </si>
  <si>
    <t>CHIAPAS|A01 002 FORTALEZA|20260825|20260827|CEDA|CEDA PISO|CSA04120|MISCELANEOS</t>
  </si>
  <si>
    <t>CHIAPAS|A01 002 FORTALEZA|20260825|20260827|CEDA|CEDA PISO|CSA04120|MISCELANEOS|1</t>
  </si>
  <si>
    <t>A01002-352508-3</t>
  </si>
  <si>
    <t>CHIAPAS|A01 002 FORTALEZA|20260825|20260827|CEDA|CEDA PISO|CMN05123|MISCELANEOS</t>
  </si>
  <si>
    <t>CHIAPAS|A01 002 FORTALEZA|20260825|20260827|CEDA|CEDA PISO|CMN05123|MISCELANEOS|1</t>
  </si>
  <si>
    <t>A01002-352508-5</t>
  </si>
  <si>
    <t>CHIAPAS|A01 002 FORTALEZA|20260825|20260827|CEDA|CEDA PISO|CDS04122|MISCELANEOS</t>
  </si>
  <si>
    <t>CHIAPAS|A01 002 FORTALEZA|20260825|20260827|CEDA|CEDA PISO|CDS04122|MISCELANEOS|1</t>
  </si>
  <si>
    <t>A01001-352508-1</t>
  </si>
  <si>
    <t>42670</t>
  </si>
  <si>
    <t>CHIAPAS|A01 001 MARBELLA|20260825|20260829|JAPON|MAR|CPR03124|CP27-14 CP34-6</t>
  </si>
  <si>
    <t>CHIAPAS|A01 001 MARBELLA|20260825|20260829|JAPON|MAR|CPR03124|CP27-14 CP34-6|1</t>
  </si>
  <si>
    <t>CHIAPAS|A01 001 MARBELLA|20260825|20260829|JAPON|MAR|CPR03119|CP27-14 CP34-6</t>
  </si>
  <si>
    <t>CHIAPAS|A01 001 MARBELLA|20260825|20260829|JAPON|MAR|CPR03119|CP27-14 CP34-6|1</t>
  </si>
  <si>
    <t>CHIAPAS|A01 001 MARBELLA|20260825|20260827|CEDA|CEDA AUTOSERVICIO|CPR01102|CEDA</t>
  </si>
  <si>
    <t>CHIAPAS|A01 001 MARBELLA|20260825|20260827|CEDA|CEDA AUTOSERVICIO|CPR01102|CEDA|1</t>
  </si>
  <si>
    <t>CHIAPAS|A01 001 MARBELLA|20260825|20260828|CEDA|CEDA PISO|CPR01101|CEDA PISO PRODUCTORAS</t>
  </si>
  <si>
    <t>CHIAPAS|A01 001 MARBELLA|20260825|20260828|CEDA|CEDA PISO|CPR01101|CEDA PISO PRODUCTORAS|1</t>
  </si>
  <si>
    <t>A01001-352508-4</t>
  </si>
  <si>
    <t>CHIAPAS|A01 001 MARBELLA|20260825|20260827|CEDA|CEDA PISO|CSA04120|MISCELANEOS</t>
  </si>
  <si>
    <t>CHIAPAS|A01 001 MARBELLA|20260825|20260827|CEDA|CEDA PISO|CSA04120|MISCELANEOS|1</t>
  </si>
  <si>
    <t>A01001-352508-3</t>
  </si>
  <si>
    <t>CHIAPAS|A01 001 MARBELLA|20260825|20260827|CEDA|CEDA PISO|CMN05123|MISCELANEOS</t>
  </si>
  <si>
    <t>CHIAPAS|A01 001 MARBELLA|20260825|20260827|CEDA|CEDA PISO|CMN05123|MISCELANEOS|1</t>
  </si>
  <si>
    <t>A01001-352508-5</t>
  </si>
  <si>
    <t>CHIAPAS|A01 001 MARBELLA|20260825|20260827|CEDA|CEDA PISO|CDS04122|MISCELANEOS</t>
  </si>
  <si>
    <t>CHIAPAS|A01 001 MARBELLA|20260825|20260827|CEDA|CEDA PISO|CDS04122|MISCELANEOS|1</t>
  </si>
  <si>
    <t>A05040-352608-1</t>
  </si>
  <si>
    <t>41919</t>
  </si>
  <si>
    <t>CHIAPAS|A05 040 PLATANEROS UNIDOS 1|20260826|20260830|SMO|WM|CPR01102|24 CONVENCIONAL</t>
  </si>
  <si>
    <t>CHIAPAS|A05 040 PLATANEROS UNIDOS 1|20260826|20260830|SMO|WM|CPR01102|24 CONVENCIONAL|1</t>
  </si>
  <si>
    <t>A04084-352608-1</t>
  </si>
  <si>
    <t>42192</t>
  </si>
  <si>
    <t>CHIAPAS|A04 084 LISBOA|20260826|20260831|MCALLEN|CHANITOS INT|CPR01104|20 CONVENCIONAL F2-2</t>
  </si>
  <si>
    <t>CHIAPAS|A04 084 LISBOA|20260826|20260831|MCALLEN|CHANITOS INT|CPR01104|20 CONVENCIONAL F2-2|1</t>
  </si>
  <si>
    <t>A01003-352608-1</t>
  </si>
  <si>
    <t>41733</t>
  </si>
  <si>
    <t>CHIAPAS|A01 003 DONA NELLY|20260826|20260829|VSA|WM|CRG07128|19 CONVENCIONAL Y 5 ORG</t>
  </si>
  <si>
    <t>CHIAPAS|A01 003 DONA NELLY|20260826|20260829|VSA|WM|CRG07128|19 CONVENCIONAL Y 5 ORG|1</t>
  </si>
  <si>
    <t>41731</t>
  </si>
  <si>
    <t>CHIAPAS|A01 003 DONA NELLY|20260826|20260829|VSA|WM|CPR01102|19 CONVENCIONAL Y 5 ORG</t>
  </si>
  <si>
    <t>CHIAPAS|A01 003 DONA NELLY|20260826|20260829|VSA|WM|CPR01102|19 CONVENCIONAL Y 5 ORG|1</t>
  </si>
  <si>
    <t>42290</t>
  </si>
  <si>
    <t>CHIAPAS|A01 003 DONA NELLY|20260826|20260831|CHALCO|WM|CPR01102|1212 CAJAS CONVENCIONAL Y 84 CAJAS BAE</t>
  </si>
  <si>
    <t>CHIAPAS|A01 003 DONA NELLY|20260826|20260831|CHALCO|WM|CPR01102|1212 CAJAS CONVENCIONAL Y 84 CAJAS BAE|1</t>
  </si>
  <si>
    <t>CHIAPAS|A01 003 DONA NELLY|20260826|20260831|CHALCO|WM|CPR01114|1212 CAJAS CONVENCIONAL Y 84 CAJAS BAE</t>
  </si>
  <si>
    <t>CHIAPAS|A01 003 DONA NELLY|20260826|20260831|CHALCO|WM|CPR01114|1212 CAJAS CONVENCIONAL Y 84 CAJAS BAE|1</t>
  </si>
  <si>
    <t>CHIAPAS|A01 003 DONA NELLY|20260826|20260828|CEDA|CEDA PISO|CPR01101|CEDA PISO PRODUCTORAS</t>
  </si>
  <si>
    <t>CHIAPAS|A01 003 DONA NELLY|20260826|20260828|CEDA|CEDA PISO|CPR01101|CEDA PISO PRODUCTORAS|1</t>
  </si>
  <si>
    <t>A01003-352608-4</t>
  </si>
  <si>
    <t>CHIAPAS|A01 003 DONA NELLY|20260826|20260828|CEDA|CEDA PISO|CSA04120|MISCELANEOS</t>
  </si>
  <si>
    <t>CHIAPAS|A01 003 DONA NELLY|20260826|20260828|CEDA|CEDA PISO|CSA04120|MISCELANEOS|1</t>
  </si>
  <si>
    <t>A01003-352608-3</t>
  </si>
  <si>
    <t>CHIAPAS|A01 003 DONA NELLY|20260826|20260828|CEDA|CEDA PISO|CMN05123|MISCELANEOS</t>
  </si>
  <si>
    <t>CHIAPAS|A01 003 DONA NELLY|20260826|20260828|CEDA|CEDA PISO|CMN05123|MISCELANEOS|1</t>
  </si>
  <si>
    <t>A01003-352608-5</t>
  </si>
  <si>
    <t>CHIAPAS|A01 003 DONA NELLY|20260826|20260828|CEDA|CEDA PISO|CDS04122|MISCELANEOS</t>
  </si>
  <si>
    <t>CHIAPAS|A01 003 DONA NELLY|20260826|20260828|CEDA|CEDA PISO|CDS04122|MISCELANEOS|1</t>
  </si>
  <si>
    <t>A01002-352608-1</t>
  </si>
  <si>
    <t>CHIAPAS|A01 002 FORTALEZA|20260826|20260829|SMO|WM|CPR01102|24 CONVENCIONAL</t>
  </si>
  <si>
    <t>CHIAPAS|A01 002 FORTALEZA|20260826|20260829|SMO|WM|CPR01102|24 CONVENCIONAL|1</t>
  </si>
  <si>
    <t>CHIAPAS|A01 002 FORTALEZA|20260826|20260828|CEDA|CEDA PISO|CPR01101|CEDA PISO PRODUCTORAS</t>
  </si>
  <si>
    <t>CHIAPAS|A01 002 FORTALEZA|20260826|20260828|CEDA|CEDA PISO|CPR01101|CEDA PISO PRODUCTORAS|1</t>
  </si>
  <si>
    <t>A01002-352608-4</t>
  </si>
  <si>
    <t>CHIAPAS|A01 002 FORTALEZA|20260826|20260828|CEDA|CEDA PISO|CSA04120|MISCELANEOS</t>
  </si>
  <si>
    <t>CHIAPAS|A01 002 FORTALEZA|20260826|20260828|CEDA|CEDA PISO|CSA04120|MISCELANEOS|1</t>
  </si>
  <si>
    <t>A01002-352608-3</t>
  </si>
  <si>
    <t>CHIAPAS|A01 002 FORTALEZA|20260826|20260828|CEDA|CEDA PISO|CMN05123|MISCELANEOS</t>
  </si>
  <si>
    <t>CHIAPAS|A01 002 FORTALEZA|20260826|20260828|CEDA|CEDA PISO|CMN05123|MISCELANEOS|1</t>
  </si>
  <si>
    <t>A01002-352608-5</t>
  </si>
  <si>
    <t>CHIAPAS|A01 002 FORTALEZA|20260826|20260828|CEDA|CEDA PISO|CDS04122|MISCELANEOS</t>
  </si>
  <si>
    <t>CHIAPAS|A01 002 FORTALEZA|20260826|20260828|CEDA|CEDA PISO|CDS04122|MISCELANEOS|1</t>
  </si>
  <si>
    <t>A01001-352608-1</t>
  </si>
  <si>
    <t>42252</t>
  </si>
  <si>
    <t>CHIAPAS|A01 001 MARBELLA|20260826|20260830|MTY|WM|CPR01114|24 CONVENCIONAL CON 5 CAJAS BAE</t>
  </si>
  <si>
    <t>CHIAPAS|A01 001 MARBELLA|20260826|20260830|MTY|WM|CPR01114|24 CONVENCIONAL CON 5 CAJAS BAE|1</t>
  </si>
  <si>
    <t>CHIAPAS|A01 001 MARBELLA|20260826|20260830|MTY|WM|CPR01102|24 CONVENCIONAL CON 5 CAJAS BAE</t>
  </si>
  <si>
    <t>CHIAPAS|A01 001 MARBELLA|20260826|20260830|MTY|WM|CPR01102|24 CONVENCIONAL CON 5 CAJAS BAE|1</t>
  </si>
  <si>
    <t>CHIAPAS|A01 001 MARBELLA|20260826|20260826|CEDA|CEDA AUTOSERVICIO|CPR01102|CEDA</t>
  </si>
  <si>
    <t>CHIAPAS|A01 001 MARBELLA|20260826|20260826|CEDA|CEDA AUTOSERVICIO|CPR01102|CEDA|1</t>
  </si>
  <si>
    <t>CHIAPAS|A01 001 MARBELLA|20260826|20260826|CEDA|CEDA AUTOSERVICIO|CPL08141|CEDA PLANTAIN</t>
  </si>
  <si>
    <t>CHIAPAS|A01 001 MARBELLA|20260826|20260826|CEDA|CEDA AUTOSERVICIO|CPL08141|CEDA PLANTAIN|1</t>
  </si>
  <si>
    <t>CHIAPAS|A01 001 MARBELLA|20260826|20260828|CEDA|CEDA PISO|CPR01101|CEDA PISO PRODUCTORAS</t>
  </si>
  <si>
    <t>CHIAPAS|A01 001 MARBELLA|20260826|20260828|CEDA|CEDA PISO|CPR01101|CEDA PISO PRODUCTORAS|1</t>
  </si>
  <si>
    <t>A01001-352608-4</t>
  </si>
  <si>
    <t>CHIAPAS|A01 001 MARBELLA|20260826|20260828|CEDA|CEDA PISO|CSA04120|MISCELANEOS</t>
  </si>
  <si>
    <t>CHIAPAS|A01 001 MARBELLA|20260826|20260828|CEDA|CEDA PISO|CSA04120|MISCELANEOS|1</t>
  </si>
  <si>
    <t>A01001-352608-3</t>
  </si>
  <si>
    <t>CHIAPAS|A01 001 MARBELLA|20260826|20260828|CEDA|CEDA PISO|CMN05123|MISCELANEOS</t>
  </si>
  <si>
    <t>CHIAPAS|A01 001 MARBELLA|20260826|20260828|CEDA|CEDA PISO|CMN05123|MISCELANEOS|1</t>
  </si>
  <si>
    <t>A01001-352608-5</t>
  </si>
  <si>
    <t>CHIAPAS|A01 001 MARBELLA|20260826|20260828|CEDA|CEDA PISO|CDS04122|MISCELANEOS</t>
  </si>
  <si>
    <t>CHIAPAS|A01 001 MARBELLA|20260826|20260828|CEDA|CEDA PISO|CDS04122|MISCELANEOS|1</t>
  </si>
  <si>
    <t>A12057-352708-1</t>
  </si>
  <si>
    <t>43065</t>
  </si>
  <si>
    <t>CHIAPAS|A12 057 TIQUISATE 1|20260827|20260902|S-MTY|SMART|CPR01103|20 CONVENCIONAL SM1</t>
  </si>
  <si>
    <t>CHIAPAS|A12 057 TIQUISATE 1|20260827|20260902|S-MTY|SMART|CPR01103|20 CONVENCIONAL SM1|1</t>
  </si>
  <si>
    <t>A25022-352708-1</t>
  </si>
  <si>
    <t>CHIAPAS|A25 022 DONA MILDRED|20260827|20260902|S-MTY|SMART|CPR01103|20 CONVENCIONAL SM2</t>
  </si>
  <si>
    <t>CHIAPAS|A25 022 DONA MILDRED|20260827|20260902|S-MTY|SMART|CPR01103|20 CONVENCIONAL SM2|1</t>
  </si>
  <si>
    <t>A04084-352708-1</t>
  </si>
  <si>
    <t>42193</t>
  </si>
  <si>
    <t>CHIAPAS|A04 084 LISBOA|20260827|20260831|MCALLEN|CHANITOS INT|CPR01104|20 CONVENCIONAL F3-1</t>
  </si>
  <si>
    <t>CHIAPAS|A04 084 LISBOA|20260827|20260831|MCALLEN|CHANITOS INT|CPR01104|20 CONVENCIONAL F3-1|1</t>
  </si>
  <si>
    <t>A06043-352708-1</t>
  </si>
  <si>
    <t>42215</t>
  </si>
  <si>
    <t>CHIAPAS|A06 043 NUESTRA SENORA|20260827|20260901|MCALLEN|CHANITOS INT|CPR01104|20 CONVENCIONAL F4-1</t>
  </si>
  <si>
    <t>CHIAPAS|A06 043 NUESTRA SENORA|20260827|20260901|MCALLEN|CHANITOS INT|CPR01104|20 CONVENCIONAL F4-1|1</t>
  </si>
  <si>
    <t>A04038-352708-1</t>
  </si>
  <si>
    <t>42287</t>
  </si>
  <si>
    <t>CHIAPAS|A04 038 EL TRIUNFO NAVA|20260827|20260831|QRO|WM|CPR01102|22 CONVENCIONAL Y 2 ORG</t>
  </si>
  <si>
    <t>CHIAPAS|A04 038 EL TRIUNFO NAVA|20260827|20260831|QRO|WM|CPR01102|22 CONVENCIONAL Y 2 ORG|1</t>
  </si>
  <si>
    <t>A01004-352708-1</t>
  </si>
  <si>
    <t>42351</t>
  </si>
  <si>
    <t>CHIAPAS|A01 004 LA CEIBA|20260827|20260902|QRO|WM|CPR01102|22 CONVENCIONAL Y 2 ORG</t>
  </si>
  <si>
    <t>CHIAPAS|A01 004 LA CEIBA|20260827|20260902|QRO|WM|CPR01102|22 CONVENCIONAL Y 2 ORG|1</t>
  </si>
  <si>
    <t>CHIAPAS|A01 004 LA CEIBA|20260827|20260829|CEDA|CEDA PISO|CPR01101|CEDA PISO PRODUCTORAS</t>
  </si>
  <si>
    <t>CHIAPAS|A01 004 LA CEIBA|20260827|20260829|CEDA|CEDA PISO|CPR01101|CEDA PISO PRODUCTORAS|1</t>
  </si>
  <si>
    <t>A01004-352708-4</t>
  </si>
  <si>
    <t>CHIAPAS|A01 004 LA CEIBA|20260827|20260829|CEDA|CEDA PISO|CSA04120|MISCELANEOS</t>
  </si>
  <si>
    <t>CHIAPAS|A01 004 LA CEIBA|20260827|20260829|CEDA|CEDA PISO|CSA04120|MISCELANEOS|1</t>
  </si>
  <si>
    <t>A01004-352708-3</t>
  </si>
  <si>
    <t>CHIAPAS|A01 004 LA CEIBA|20260827|20260829|CEDA|CEDA PISO|CMN05123|MISCELANEOS</t>
  </si>
  <si>
    <t>CHIAPAS|A01 004 LA CEIBA|20260827|20260829|CEDA|CEDA PISO|CMN05123|MISCELANEOS|1</t>
  </si>
  <si>
    <t>A01004-352708-5</t>
  </si>
  <si>
    <t>CHIAPAS|A01 004 LA CEIBA|20260827|20260829|CEDA|CEDA PISO|CDS04122|MISCELANEOS</t>
  </si>
  <si>
    <t>CHIAPAS|A01 004 LA CEIBA|20260827|20260829|CEDA|CEDA PISO|CDS04122|MISCELANEOS|1</t>
  </si>
  <si>
    <t>A01002-352708-1</t>
  </si>
  <si>
    <t>CHIAPAS|A01 002 FORTALEZA|20260827|20260831|CHALCO|WM|CPR01102|1212 CAJAS CONVENCIONAL Y 84 CAJAS BAE</t>
  </si>
  <si>
    <t>CHIAPAS|A01 002 FORTALEZA|20260827|20260831|CHALCO|WM|CPR01102|1212 CAJAS CONVENCIONAL Y 84 CAJAS BAE|1</t>
  </si>
  <si>
    <t>42007</t>
  </si>
  <si>
    <t>CHIAPAS|A01 002 FORTALEZA|20260827|20260831|MTY|WM|CRG07128|22 CONVENCIONAL CON 5 CAJAS BAE Y 2 ORG</t>
  </si>
  <si>
    <t>CHIAPAS|A01 002 FORTALEZA|20260827|20260831|MTY|WM|CRG07128|22 CONVENCIONAL CON 5 CAJAS BAE Y 2 ORG|1</t>
  </si>
  <si>
    <t>CHIAPAS|A01 002 FORTALEZA|20260827|20260831|QRO|WM|CRG07128|22 CONVENCIONAL Y 2 ORG</t>
  </si>
  <si>
    <t>CHIAPAS|A01 002 FORTALEZA|20260827|20260831|QRO|WM|CRG07128|22 CONVENCIONAL Y 2 ORG|1</t>
  </si>
  <si>
    <t>43111</t>
  </si>
  <si>
    <t>CHIAPAS|A01 002 FORTALEZA|20260827|20260901|CHALCO|WM|CPR01102|21 CONVENCIONAL</t>
  </si>
  <si>
    <t>CHIAPAS|A01 002 FORTALEZA|20260827|20260901|CHALCO|WM|CPR01102|21 CONVENCIONAL|1</t>
  </si>
  <si>
    <t>42253</t>
  </si>
  <si>
    <t>CHIAPAS|A01 002 FORTALEZA|20260827|20260831|MTY|WM|CPR01114|22 CONVENCIONAL CON 5 CAJAS BAE Y 2 ORG</t>
  </si>
  <si>
    <t>CHIAPAS|A01 002 FORTALEZA|20260827|20260831|MTY|WM|CPR01114|22 CONVENCIONAL CON 5 CAJAS BAE Y 2 ORG|1</t>
  </si>
  <si>
    <t>CHIAPAS|A01 002 FORTALEZA|20260827|20260831|MTY|WM|CPR01102|22 CONVENCIONAL CON 5 CAJAS BAE Y 2 ORG</t>
  </si>
  <si>
    <t>CHIAPAS|A01 002 FORTALEZA|20260827|20260831|MTY|WM|CPR01102|22 CONVENCIONAL CON 5 CAJAS BAE Y 2 ORG|1</t>
  </si>
  <si>
    <t>CHIAPAS|A01 002 FORTALEZA|20260827|20260829|CEDA|CEDA PISO|CPR01101|CEDA PISO PRODUCTORAS</t>
  </si>
  <si>
    <t>CHIAPAS|A01 002 FORTALEZA|20260827|20260829|CEDA|CEDA PISO|CPR01101|CEDA PISO PRODUCTORAS|1</t>
  </si>
  <si>
    <t>A01002-352708-4</t>
  </si>
  <si>
    <t>CHIAPAS|A01 002 FORTALEZA|20260827|20260829|CEDA|CEDA PISO|CSA04120|MISCELANEOS</t>
  </si>
  <si>
    <t>CHIAPAS|A01 002 FORTALEZA|20260827|20260829|CEDA|CEDA PISO|CSA04120|MISCELANEOS|1</t>
  </si>
  <si>
    <t>A01002-352708-3</t>
  </si>
  <si>
    <t>CHIAPAS|A01 002 FORTALEZA|20260827|20260829|CEDA|CEDA PISO|CMN05123|MISCELANEOS</t>
  </si>
  <si>
    <t>CHIAPAS|A01 002 FORTALEZA|20260827|20260829|CEDA|CEDA PISO|CMN05123|MISCELANEOS|1</t>
  </si>
  <si>
    <t>A01002-352708-5</t>
  </si>
  <si>
    <t>CHIAPAS|A01 002 FORTALEZA|20260827|20260829|CEDA|CEDA PISO|CDS04122|MISCELANEOS</t>
  </si>
  <si>
    <t>CHIAPAS|A01 002 FORTALEZA|20260827|20260829|CEDA|CEDA PISO|CDS04122|MISCELANEOS|1</t>
  </si>
  <si>
    <t>A01001-352708-1</t>
  </si>
  <si>
    <t>CHIAPAS|A01 001 MARBELLA|20260827|20260831|MTY|WM|CPR01102|22 CONVENCIONAL CON 5 CAJAS BAE Y 2 ORG</t>
  </si>
  <si>
    <t>CHIAPAS|A01 001 MARBELLA|20260827|20260831|MTY|WM|CPR01102|22 CONVENCIONAL CON 5 CAJAS BAE Y 2 ORG|1</t>
  </si>
  <si>
    <t>CHIAPAS|A01 001 MARBELLA|20260827|20260831|QRO|WM|CPR01102|22 CONVENCIONAL Y 2 ORG</t>
  </si>
  <si>
    <t>CHIAPAS|A01 001 MARBELLA|20260827|20260831|QRO|WM|CPR01102|22 CONVENCIONAL Y 2 ORG|1</t>
  </si>
  <si>
    <t>CHIAPAS|A01 001 MARBELLA|20260827|20260829|CEDA|CEDA AUTOSERVICIO|CPR01102|CEDA</t>
  </si>
  <si>
    <t>CHIAPAS|A01 001 MARBELLA|20260827|20260829|CEDA|CEDA AUTOSERVICIO|CPR01102|CEDA|1</t>
  </si>
  <si>
    <t>CHIAPAS|A01 001 MARBELLA|20260827|20260829|CEDA|CEDA AUTOSERVICIO|CPL08141|CEDA PLANTAIN</t>
  </si>
  <si>
    <t>CHIAPAS|A01 001 MARBELLA|20260827|20260829|CEDA|CEDA AUTOSERVICIO|CPL08141|CEDA PLANTAIN|1</t>
  </si>
  <si>
    <t>A01001-352708-4</t>
  </si>
  <si>
    <t>CHIAPAS|A01 001 MARBELLA|20260827|20260829|CEDA|CEDA PISO|CSA04120|MISCELANEOS</t>
  </si>
  <si>
    <t>CHIAPAS|A01 001 MARBELLA|20260827|20260829|CEDA|CEDA PISO|CSA04120|MISCELANEOS|1</t>
  </si>
  <si>
    <t>A01001-352708-3</t>
  </si>
  <si>
    <t>CHIAPAS|A01 001 MARBELLA|20260827|20260829|CEDA|CEDA PISO|CMN05123|MISCELANEOS</t>
  </si>
  <si>
    <t>CHIAPAS|A01 001 MARBELLA|20260827|20260829|CEDA|CEDA PISO|CMN05123|MISCELANEOS|1</t>
  </si>
  <si>
    <t>A01001-352708-5</t>
  </si>
  <si>
    <t>CHIAPAS|A01 001 MARBELLA|20260827|20260829|CEDA|CEDA PISO|CDS04122|MISCELANEOS</t>
  </si>
  <si>
    <t>CHIAPAS|A01 001 MARBELLA|20260827|20260829|CEDA|CEDA PISO|CDS04122|MISCELANEOS|1</t>
  </si>
  <si>
    <t>A25022-352808-1</t>
  </si>
  <si>
    <t>40679</t>
  </si>
  <si>
    <t>CHIAPAS|A25 022 DONA MILDRED|20260828|20260904|CIUDAD JUAREZ|SMART|CPR01103|20 CONVENCIONAL SCJ2</t>
  </si>
  <si>
    <t>CHIAPAS|A25 022 DONA MILDRED|20260828|20260904|CIUDAD JUAREZ|SMART|CPR01103|20 CONVENCIONAL SCJ2|1</t>
  </si>
  <si>
    <t>A06043-352808-1</t>
  </si>
  <si>
    <t>CHIAPAS|A06 043 NUESTRA SENORA|20260828|20260901|MCALLEN|CHANITOS INT|CPR01104|20 CONVENCIONAL F4-1</t>
  </si>
  <si>
    <t>CHIAPAS|A06 043 NUESTRA SENORA|20260828|20260901|MCALLEN|CHANITOS INT|CPR01104|20 CONVENCIONAL F4-1|1</t>
  </si>
  <si>
    <t>A04084-352808-1</t>
  </si>
  <si>
    <t>42212</t>
  </si>
  <si>
    <t>CHIAPAS|A04 084 LISBOA|20260828|20260901|MCALLEN|CHANITOS INT|CPR01104|20 CONVENCIONAL F3-2</t>
  </si>
  <si>
    <t>CHIAPAS|A04 084 LISBOA|20260828|20260901|MCALLEN|CHANITOS INT|CPR01104|20 CONVENCIONAL F3-2|1</t>
  </si>
  <si>
    <t>A27073-352808-1</t>
  </si>
  <si>
    <t>42202</t>
  </si>
  <si>
    <t>CHIAPAS|A27 073 PLANTACION|20260828|20260901|MCALLEN|CHANITOS INT|CPL08133|24 PLANTAIN</t>
  </si>
  <si>
    <t>CHIAPAS|A27 073 PLANTACION|20260828|20260901|MCALLEN|CHANITOS INT|CPL08133|24 PLANTAIN|1</t>
  </si>
  <si>
    <t>A41100-352808-1</t>
  </si>
  <si>
    <t>CHIAPAS|A41 100 DONA LUPE JV|20260828|20260901|CEDA|CEDA AUTOSERVICIO|CPL08141|CEDA PLANTAIN</t>
  </si>
  <si>
    <t>CHIAPAS|A41 100 DONA LUPE JV|20260828|20260901|CEDA|CEDA AUTOSERVICIO|CPL08141|CEDA PLANTAIN|1</t>
  </si>
  <si>
    <t>A05040-352808-1</t>
  </si>
  <si>
    <t>41920</t>
  </si>
  <si>
    <t>CHIAPAS|A05 040 PLATANEROS UNIDOS 1|20260828|20260902|SMO|WM|CPR01102|24 CONVENCIONAL</t>
  </si>
  <si>
    <t>CHIAPAS|A05 040 PLATANEROS UNIDOS 1|20260828|20260902|SMO|WM|CPR01102|24 CONVENCIONAL|1</t>
  </si>
  <si>
    <t>A01003-352808-1</t>
  </si>
  <si>
    <t>CHIAPAS|A01 003 DONA NELLY|20260828|20260902|QRO|WM|CRG07128|22 CONVENCIONAL Y 2 ORG</t>
  </si>
  <si>
    <t>CHIAPAS|A01 003 DONA NELLY|20260828|20260902|QRO|WM|CRG07128|22 CONVENCIONAL Y 2 ORG|1</t>
  </si>
  <si>
    <t>42987</t>
  </si>
  <si>
    <t>CHIAPAS|A01 003 DONA NELLY|20260828|20260902|CHALCO|WM|CPR01102|23 CONVENCIONAL Y 1 BAE</t>
  </si>
  <si>
    <t>CHIAPAS|A01 003 DONA NELLY|20260828|20260902|CHALCO|WM|CPR01102|23 CONVENCIONAL Y 1 BAE|1</t>
  </si>
  <si>
    <t>CHIAPAS|A01 003 DONA NELLY|20260828|20260902|CHALCO|WM|CPR01114|23 CONVENCIONAL Y 1 BAE</t>
  </si>
  <si>
    <t>CHIAPAS|A01 003 DONA NELLY|20260828|20260902|CHALCO|WM|CPR01114|23 CONVENCIONAL Y 1 BAE|1</t>
  </si>
  <si>
    <t>CHIAPAS|A01 003 DONA NELLY|20260828|20260830|CEDA|CEDA PISO|CPR01101|CEDA PISO PRODUCTORAS</t>
  </si>
  <si>
    <t>CHIAPAS|A01 003 DONA NELLY|20260828|20260830|CEDA|CEDA PISO|CPR01101|CEDA PISO PRODUCTORAS|1</t>
  </si>
  <si>
    <t>A01003-352808-4</t>
  </si>
  <si>
    <t>CHIAPAS|A01 003 DONA NELLY|20260828|20260830|CEDA|CEDA PISO|CSA04120|MISCELANEOS</t>
  </si>
  <si>
    <t>CHIAPAS|A01 003 DONA NELLY|20260828|20260830|CEDA|CEDA PISO|CSA04120|MISCELANEOS|1</t>
  </si>
  <si>
    <t>A01003-352808-3</t>
  </si>
  <si>
    <t>CHIAPAS|A01 003 DONA NELLY|20260828|20260830|CEDA|CEDA PISO|CMN05123|MISCELANEOS</t>
  </si>
  <si>
    <t>CHIAPAS|A01 003 DONA NELLY|20260828|20260830|CEDA|CEDA PISO|CMN05123|MISCELANEOS|1</t>
  </si>
  <si>
    <t>A01003-352808-5</t>
  </si>
  <si>
    <t>CHIAPAS|A01 003 DONA NELLY|20260828|20260830|CEDA|CEDA PISO|CDS04122|MISCELANEOS</t>
  </si>
  <si>
    <t>CHIAPAS|A01 003 DONA NELLY|20260828|20260830|CEDA|CEDA PISO|CDS04122|MISCELANEOS|1</t>
  </si>
  <si>
    <t>A01002-352808-1</t>
  </si>
  <si>
    <t>41969</t>
  </si>
  <si>
    <t>CHIAPAS|A01 002 FORTALEZA|20260828|20260903|VSA|WM|CRG07128|18 CONVENCIONAL Y 6 ORGANICO</t>
  </si>
  <si>
    <t>CHIAPAS|A01 002 FORTALEZA|20260828|20260903|VSA|WM|CRG07128|18 CONVENCIONAL Y 6 ORGANICO|1</t>
  </si>
  <si>
    <t>41936</t>
  </si>
  <si>
    <t>CHIAPAS|A01 002 FORTALEZA|20260828|20260903|VSA|WM|CPR01102|18 CONVENCIONAL Y 6 ORGANICO</t>
  </si>
  <si>
    <t>CHIAPAS|A01 002 FORTALEZA|20260828|20260903|VSA|WM|CPR01102|18 CONVENCIONAL Y 6 ORGANICO|1</t>
  </si>
  <si>
    <t>CHIAPAS|A01 002 FORTALEZA|20260828|20260830|CEDA|CEDA PISO|CPR01101|CEDA PISO PRODUCTORAS</t>
  </si>
  <si>
    <t>CHIAPAS|A01 002 FORTALEZA|20260828|20260830|CEDA|CEDA PISO|CPR01101|CEDA PISO PRODUCTORAS|1</t>
  </si>
  <si>
    <t>A01002-352808-4</t>
  </si>
  <si>
    <t>CHIAPAS|A01 002 FORTALEZA|20260828|20260830|CEDA|CEDA PISO|CSA04120|MISCELANEOS</t>
  </si>
  <si>
    <t>CHIAPAS|A01 002 FORTALEZA|20260828|20260830|CEDA|CEDA PISO|CSA04120|MISCELANEOS|1</t>
  </si>
  <si>
    <t>A01002-352808-3</t>
  </si>
  <si>
    <t>CHIAPAS|A01 002 FORTALEZA|20260828|20260830|CEDA|CEDA PISO|CMN05123|MISCELANEOS</t>
  </si>
  <si>
    <t>CHIAPAS|A01 002 FORTALEZA|20260828|20260830|CEDA|CEDA PISO|CMN05123|MISCELANEOS|1</t>
  </si>
  <si>
    <t>A01002-352808-5</t>
  </si>
  <si>
    <t>CHIAPAS|A01 002 FORTALEZA|20260828|20260830|CEDA|CEDA PISO|CDS04122|MISCELANEOS</t>
  </si>
  <si>
    <t>CHIAPAS|A01 002 FORTALEZA|20260828|20260830|CEDA|CEDA PISO|CDS04122|MISCELANEOS|1</t>
  </si>
  <si>
    <t>A01001-352808-1</t>
  </si>
  <si>
    <t>CHIAPAS|A01 001 MARBELLA|20260828|20260901|CHALCO|WM|CPR01102|21 CONVENCIONAL</t>
  </si>
  <si>
    <t>CHIAPAS|A01 001 MARBELLA|20260828|20260901|CHALCO|WM|CPR01102|21 CONVENCIONAL|1</t>
  </si>
  <si>
    <t>42968</t>
  </si>
  <si>
    <t>CHIAPAS|A01 001 MARBELLA|20260828|20260901|CHALCO|WM|CPR01102|21 CONVENCIONAL|2</t>
  </si>
  <si>
    <t>CHIAPAS|A01 001 MARBELLA|20260828|20260901|CEDA|CEDA AUTOSERVICIO|CPR01102|CEDA</t>
  </si>
  <si>
    <t>CHIAPAS|A01 001 MARBELLA|20260828|20260901|CEDA|CEDA AUTOSERVICIO|CPR01102|CEDA|1</t>
  </si>
  <si>
    <t>43000</t>
  </si>
  <si>
    <t>CHIAPAS|A01 001 MARBELLA|20260828|20260903|CHALCO|WM|CPR01102|1098 CAJAS CONVENCIONAL Y 54 CAJAS BAE</t>
  </si>
  <si>
    <t>CHIAPAS|A01 001 MARBELLA|20260828|20260903|CHALCO|WM|CPR01102|1098 CAJAS CONVENCIONAL Y 54 CAJAS BAE|1</t>
  </si>
  <si>
    <t>CHIAPAS|A01 001 MARBELLA|20260828|20260830|CEDA|CEDA AUTOSERVICIO|CPR01102|CEDA</t>
  </si>
  <si>
    <t>CHIAPAS|A01 001 MARBELLA|20260828|20260830|CEDA|CEDA AUTOSERVICIO|CPR01102|CEDA|1</t>
  </si>
  <si>
    <t>CHIAPAS|A01 001 MARBELLA|20260828|20260830|CEDA|CEDA PISO|CPR01101|CEDA PISO PRODUCTORAS</t>
  </si>
  <si>
    <t>CHIAPAS|A01 001 MARBELLA|20260828|20260830|CEDA|CEDA PISO|CPR01101|CEDA PISO PRODUCTORAS|1</t>
  </si>
  <si>
    <t>A01001-352808-4</t>
  </si>
  <si>
    <t>CHIAPAS|A01 001 MARBELLA|20260828|20260830|CEDA|CEDA PISO|CSA04120|MISCELANEOS</t>
  </si>
  <si>
    <t>CHIAPAS|A01 001 MARBELLA|20260828|20260830|CEDA|CEDA PISO|CSA04120|MISCELANEOS|1</t>
  </si>
  <si>
    <t>A01001-352808-3</t>
  </si>
  <si>
    <t>CHIAPAS|A01 001 MARBELLA|20260828|20260830|CEDA|CEDA PISO|CMN05123|MISCELANEOS</t>
  </si>
  <si>
    <t>CHIAPAS|A01 001 MARBELLA|20260828|20260830|CEDA|CEDA PISO|CMN05123|MISCELANEOS|1</t>
  </si>
  <si>
    <t>A01001-352808-5</t>
  </si>
  <si>
    <t>CHIAPAS|A01 001 MARBELLA|20260828|20260830|CEDA|CEDA PISO|CDS04122|MISCELANEOS</t>
  </si>
  <si>
    <t>CHIAPAS|A01 001 MARBELLA|20260828|20260830|CEDA|CEDA PISO|CDS04122|MISCELANEOS|1</t>
  </si>
  <si>
    <t>A25022-352908-1</t>
  </si>
  <si>
    <t>CHIAPAS|A25 022 DONA MILDRED|20260829|20260904|CIUDAD JUAREZ|SMART|CPR01103|20 CONVENCIONAL SCJ3</t>
  </si>
  <si>
    <t>CHIAPAS|A25 022 DONA MILDRED|20260829|20260904|CIUDAD JUAREZ|SMART|CPR01103|20 CONVENCIONAL SCJ3|1</t>
  </si>
  <si>
    <t>A11045-352908-1</t>
  </si>
  <si>
    <t>43066</t>
  </si>
  <si>
    <t>CHIAPAS|A11 045 SECTOR MAZATAN|20260829|20260904|S-MTY|SMART|CPR01103|20 CONVENCIONAL SM3</t>
  </si>
  <si>
    <t>CHIAPAS|A11 045 SECTOR MAZATAN|20260829|20260904|S-MTY|SMART|CPR01103|20 CONVENCIONAL SM3|1</t>
  </si>
  <si>
    <t>A04039-352908-1</t>
  </si>
  <si>
    <t>CHIAPAS|A04 039 SAN JOSE MORELIA NAVA|20260829|20260904|S-MTY|SMART|CPR01103|20 CONVENCIONAL SM4</t>
  </si>
  <si>
    <t>CHIAPAS|A04 039 SAN JOSE MORELIA NAVA|20260829|20260904|S-MTY|SMART|CPR01103|20 CONVENCIONAL SM4|1</t>
  </si>
  <si>
    <t>A01003-352908-1</t>
  </si>
  <si>
    <t>42222</t>
  </si>
  <si>
    <t>CHIAPAS|A01 003 DONA NELLY|20260829|20260903|MCALLEN|CHANITOS INT|CPR01104|20 CONVENCIONAL F4-2</t>
  </si>
  <si>
    <t>CHIAPAS|A01 003 DONA NELLY|20260829|20260903|MCALLEN|CHANITOS INT|CPR01104|20 CONVENCIONAL F4-2|1</t>
  </si>
  <si>
    <t>CHIAPAS|A01 003 DONA NELLY|20260829|20260831|CEDA|CEDA AUTOSERVICIO|CPR01102|CEDA</t>
  </si>
  <si>
    <t>CHIAPAS|A01 003 DONA NELLY|20260829|20260831|CEDA|CEDA AUTOSERVICIO|CPR01102|CEDA|1</t>
  </si>
  <si>
    <t>CHIAPAS|A01 003 DONA NELLY|20260829|20260831|CEDA|CEDA PISO|CPR01101|CEDA PISO PRODUCTORAS</t>
  </si>
  <si>
    <t>CHIAPAS|A01 003 DONA NELLY|20260829|20260831|CEDA|CEDA PISO|CPR01101|CEDA PISO PRODUCTORAS|1</t>
  </si>
  <si>
    <t>CHIAPAS|A01 003 DONA NELLY|20260829|20260831|CEDA|CEDA PISO|CPR01101|CEDA PISO PRODUCTORAS|2</t>
  </si>
  <si>
    <t>A01003-352908-4</t>
  </si>
  <si>
    <t>CHIAPAS|A01 003 DONA NELLY|20260829|20260831|CEDA|CEDA PISO|CSA04120|MISCELANEOS</t>
  </si>
  <si>
    <t>CHIAPAS|A01 003 DONA NELLY|20260829|20260831|CEDA|CEDA PISO|CSA04120|MISCELANEOS|1</t>
  </si>
  <si>
    <t>A01003-352908-3</t>
  </si>
  <si>
    <t>CHIAPAS|A01 003 DONA NELLY|20260829|20260831|CEDA|CEDA PISO|CMN05123|MISCELANEOS</t>
  </si>
  <si>
    <t>CHIAPAS|A01 003 DONA NELLY|20260829|20260831|CEDA|CEDA PISO|CMN05123|MISCELANEOS|1</t>
  </si>
  <si>
    <t>A01003-352908-5</t>
  </si>
  <si>
    <t>CHIAPAS|A01 003 DONA NELLY|20260829|20260831|CEDA|CEDA PISO|CDS04122|MISCELANEOS</t>
  </si>
  <si>
    <t>CHIAPAS|A01 003 DONA NELLY|20260829|20260831|CEDA|CEDA PISO|CDS04122|MISCELANEOS|1</t>
  </si>
  <si>
    <t>A01004-352908-1</t>
  </si>
  <si>
    <t>CHIAPAS|A01 004 LA CEIBA|20260829|20260903|CHALCO|WM|CPR01102|1098 CAJAS CONVENCIONAL Y 54 CAJAS BAE</t>
  </si>
  <si>
    <t>CHIAPAS|A01 004 LA CEIBA|20260829|20260903|CHALCO|WM|CPR01102|1098 CAJAS CONVENCIONAL Y 54 CAJAS BAE|1</t>
  </si>
  <si>
    <t>CHIAPAS|A01 004 LA CEIBA|20260829|20260903|CHALCO|WM|CPR01114|1098 CAJAS CONVENCIONAL Y 54 CAJAS BAE</t>
  </si>
  <si>
    <t>CHIAPAS|A01 004 LA CEIBA|20260829|20260903|CHALCO|WM|CPR01114|1098 CAJAS CONVENCIONAL Y 54 CAJAS BAE|1</t>
  </si>
  <si>
    <t>CHIAPAS|A01 004 LA CEIBA|20260829|20260831|CEDA|CEDA AUTOSERVICIO|CPR01102|CEDA</t>
  </si>
  <si>
    <t>CHIAPAS|A01 004 LA CEIBA|20260829|20260831|CEDA|CEDA AUTOSERVICIO|CPR01102|CEDA|1</t>
  </si>
  <si>
    <t>CHIAPAS|A01 004 LA CEIBA|20260829|20260831|CEDA|CEDA PISO|CPR01101|CEDA PISO PRODUCTORAS</t>
  </si>
  <si>
    <t>CHIAPAS|A01 004 LA CEIBA|20260829|20260831|CEDA|CEDA PISO|CPR01101|CEDA PISO PRODUCTORAS|1</t>
  </si>
  <si>
    <t>A01004-352908-4</t>
  </si>
  <si>
    <t>CHIAPAS|A01 004 LA CEIBA|20260829|20260831|CEDA|CEDA PISO|CSA04120|MISCELANEOS</t>
  </si>
  <si>
    <t>CHIAPAS|A01 004 LA CEIBA|20260829|20260831|CEDA|CEDA PISO|CSA04120|MISCELANEOS|1</t>
  </si>
  <si>
    <t>A01004-352908-3</t>
  </si>
  <si>
    <t>CHIAPAS|A01 004 LA CEIBA|20260829|20260831|CEDA|CEDA PISO|CMN05123|MISCELANEOS</t>
  </si>
  <si>
    <t>CHIAPAS|A01 004 LA CEIBA|20260829|20260831|CEDA|CEDA PISO|CMN05123|MISCELANEOS|1</t>
  </si>
  <si>
    <t>A01004-352908-5</t>
  </si>
  <si>
    <t>CHIAPAS|A01 004 LA CEIBA|20260829|20260831|CEDA|CEDA PISO|CDS04122|MISCELANEOS</t>
  </si>
  <si>
    <t>CHIAPAS|A01 004 LA CEIBA|20260829|20260831|CEDA|CEDA PISO|CDS04122|MISCELANEOS|1</t>
  </si>
  <si>
    <t>A01001-363108-1</t>
  </si>
  <si>
    <t>43003</t>
  </si>
  <si>
    <t>CHIAPAS|A01 001 MARBELLA|20260831|20260904|CHALCO|WM|CPR01102|1068 CAJAS CONVENCIONAL Y 84 CAJAS BAE</t>
  </si>
  <si>
    <t>CHIAPAS|A01 001 MARBELLA|20260831|20260904|CHALCO|WM|CPR01102|1068 CAJAS CONVENCIONAL Y 84 CAJAS BAE|1</t>
  </si>
  <si>
    <t>Programa Embarques 2026 S-36.xlsx</t>
  </si>
  <si>
    <t>CHIAPAS|A01 001 MARBELLA|20260831|20260904|CHALCO|WM|CPR01114|1068 CAJAS CONVENCIONAL Y 84 CAJAS BAE</t>
  </si>
  <si>
    <t>CHIAPAS|A01 001 MARBELLA|20260831|20260904|CHALCO|WM|CPR01114|1068 CAJAS CONVENCIONAL Y 84 CAJAS BAE|1</t>
  </si>
  <si>
    <t>41922</t>
  </si>
  <si>
    <t>CHIAPAS|A01 001 MARBELLA|20260831|20260906|SMO|WM|CPR01102|24 CONVENCIONAL ADICIONAL</t>
  </si>
  <si>
    <t>CHIAPAS|A01 001 MARBELLA|20260831|20260906|SMO|WM|CPR01102|24 CONVENCIONAL ADICIONAL|1</t>
  </si>
  <si>
    <t>CHIAPAS|A01 001 MARBELLA|20260831|20260902|CEDA|CEDA PISO|CPR01101|CEDA PISO PRODUCTORAS</t>
  </si>
  <si>
    <t>CHIAPAS|A01 001 MARBELLA|20260831|20260902|CEDA|CEDA PISO|CPR01101|CEDA PISO PRODUCTORAS|1</t>
  </si>
  <si>
    <t>A01001-363108-4</t>
  </si>
  <si>
    <t>CHIAPAS|A01 001 MARBELLA|20260831|20260902|CEDA|CEDA PISO|CSA04120|CEDA</t>
  </si>
  <si>
    <t>CHIAPAS|A01 001 MARBELLA|20260831|20260902|CEDA|CEDA PISO|CSA04120|CEDA|1</t>
  </si>
  <si>
    <t>A01001-363108-3</t>
  </si>
  <si>
    <t>CHIAPAS|A01 001 MARBELLA|20260831|20260902|CEDA|CEDA PISO|CMN05123|CEDA</t>
  </si>
  <si>
    <t>CHIAPAS|A01 001 MARBELLA|20260831|20260902|CEDA|CEDA PISO|CMN05123|CEDA|1</t>
  </si>
  <si>
    <t>A01001-363108-5</t>
  </si>
  <si>
    <t>CHIAPAS|A01 001 MARBELLA|20260831|20260902|CEDA|CEDA PISO|CDS04122|CEDA</t>
  </si>
  <si>
    <t>CHIAPAS|A01 001 MARBELLA|20260831|20260902|CEDA|CEDA PISO|CDS04122|CEDA|1</t>
  </si>
  <si>
    <t>A01002-363108-1</t>
  </si>
  <si>
    <t>42355</t>
  </si>
  <si>
    <t>CHIAPAS|A01 002 FORTALEZA|20260831|20260904|QRO|WM|CPR01102|22 CONVENCIONAL Y 2 ORG</t>
  </si>
  <si>
    <t>CHIAPAS|A01 002 FORTALEZA|20260831|20260904|QRO|WM|CPR01102|22 CONVENCIONAL Y 2 ORG|1</t>
  </si>
  <si>
    <t>CHIAPAS|A01 002 FORTALEZA|20260831|20260904|QRO|WM|CRG07128|22 CONVENCIONAL Y 2 ORG</t>
  </si>
  <si>
    <t>CHIAPAS|A01 002 FORTALEZA|20260831|20260904|QRO|WM|CRG07128|22 CONVENCIONAL Y 2 ORG|1</t>
  </si>
  <si>
    <t>CHIAPAS|A01 002 FORTALEZA|20260831|20260902|CEDA|CEDA PISO|CPR01101|CEDA PISO PRODUCTORAS</t>
  </si>
  <si>
    <t>CHIAPAS|A01 002 FORTALEZA|20260831|20260902|CEDA|CEDA PISO|CPR01101|CEDA PISO PRODUCTORAS|1</t>
  </si>
  <si>
    <t>A01002-363108-4</t>
  </si>
  <si>
    <t>CHIAPAS|A01 002 FORTALEZA|20260831|20260902|CEDA|CEDA PISO|CSA04120|CEDA</t>
  </si>
  <si>
    <t>CHIAPAS|A01 002 FORTALEZA|20260831|20260902|CEDA|CEDA PISO|CSA04120|CEDA|1</t>
  </si>
  <si>
    <t>A01002-363108-3</t>
  </si>
  <si>
    <t>CHIAPAS|A01 002 FORTALEZA|20260831|20260902|CEDA|CEDA PISO|CMN05123|CEDA</t>
  </si>
  <si>
    <t>CHIAPAS|A01 002 FORTALEZA|20260831|20260902|CEDA|CEDA PISO|CMN05123|CEDA|1</t>
  </si>
  <si>
    <t>A01002-363108-5</t>
  </si>
  <si>
    <t>CHIAPAS|A01 002 FORTALEZA|20260831|20260902|CEDA|CEDA PISO|CDS04122|CEDA</t>
  </si>
  <si>
    <t>CHIAPAS|A01 002 FORTALEZA|20260831|20260902|CEDA|CEDA PISO|CDS04122|CEDA|1</t>
  </si>
  <si>
    <t>A01003-363108-1</t>
  </si>
  <si>
    <t>42223</t>
  </si>
  <si>
    <t>CHIAPAS|A01 003 DONA NELLY|20260831|20260903|MCALLEN|CHANITOS INT|CPR01104|20 CONVENCIONAL F1-2</t>
  </si>
  <si>
    <t>CHIAPAS|A01 003 DONA NELLY|20260831|20260903|MCALLEN|CHANITOS INT|CPR01104|20 CONVENCIONAL F1-2|1</t>
  </si>
  <si>
    <t>41921</t>
  </si>
  <si>
    <t>CHIAPAS|A01 003 DONA NELLY|20260831|20260905|SMO|WM|CPR01102|24 CONVENCIONAL ADICIONAL</t>
  </si>
  <si>
    <t>CHIAPAS|A01 003 DONA NELLY|20260831|20260905|SMO|WM|CPR01102|24 CONVENCIONAL ADICIONAL|1</t>
  </si>
  <si>
    <t>CHIAPAS|A01 003 DONA NELLY|20260831|20260902|CEDA|CEDA PISO|CPR01101|CEDA PISO PRODUCTORAS</t>
  </si>
  <si>
    <t>CHIAPAS|A01 003 DONA NELLY|20260831|20260902|CEDA|CEDA PISO|CPR01101|CEDA PISO PRODUCTORAS|1</t>
  </si>
  <si>
    <t>A01003-363108-4</t>
  </si>
  <si>
    <t>CHIAPAS|A01 003 DONA NELLY|20260831|20260902|CEDA|CEDA PISO|CSA04120|CEDA</t>
  </si>
  <si>
    <t>CHIAPAS|A01 003 DONA NELLY|20260831|20260902|CEDA|CEDA PISO|CSA04120|CEDA|1</t>
  </si>
  <si>
    <t>A01003-363108-3</t>
  </si>
  <si>
    <t>CHIAPAS|A01 003 DONA NELLY|20260831|20260902|CEDA|CEDA PISO|CMN05123|CEDA</t>
  </si>
  <si>
    <t>CHIAPAS|A01 003 DONA NELLY|20260831|20260902|CEDA|CEDA PISO|CMN05123|CEDA|1</t>
  </si>
  <si>
    <t>A01003-363108-5</t>
  </si>
  <si>
    <t>CHIAPAS|A01 003 DONA NELLY|20260831|20260902|CEDA|CEDA PISO|CDS04122|CEDA</t>
  </si>
  <si>
    <t>CHIAPAS|A01 003 DONA NELLY|20260831|20260902|CEDA|CEDA PISO|CDS04122|CEDA|1</t>
  </si>
  <si>
    <t>A11045-363108-1</t>
  </si>
  <si>
    <t>42397</t>
  </si>
  <si>
    <t>CHIAPAS|A11 045 SECTOR MAZATAN|20260831|20260904|MCALLEN|CHANITOS INT|CPR01104|20 CONVENCIONAL F2-1</t>
  </si>
  <si>
    <t>CHIAPAS|A11 045 SECTOR MAZATAN|20260831|20260904|MCALLEN|CHANITOS INT|CPR01104|20 CONVENCIONAL F2-1|1</t>
  </si>
  <si>
    <t>42401</t>
  </si>
  <si>
    <t>CHIAPAS|A11 045 SECTOR MAZATAN|20260831|20260904|MCALLEN|CHANITOS INT|CPR01104|20 CONVENCIONAL F2-2</t>
  </si>
  <si>
    <t>CHIAPAS|A11 045 SECTOR MAZATAN|20260831|20260904|MCALLEN|CHANITOS INT|CPR01104|20 CONVENCIONAL F2-2|1</t>
  </si>
  <si>
    <t>A11045-360109-1</t>
  </si>
  <si>
    <t>CHIAPAS|A11 045 SECTOR MAZATAN|20260901|20260904|MCALLEN|CHANITOS INT|CPR01104|20 CONVENCIONAL F2-2</t>
  </si>
  <si>
    <t>CHIAPAS|A11 045 SECTOR MAZATAN|20260901|20260904|MCALLEN|CHANITOS INT|CPR01104|20 CONVENCIONAL F2-2|1</t>
  </si>
  <si>
    <t>A01004-360109-1</t>
  </si>
  <si>
    <t>42407</t>
  </si>
  <si>
    <t>CHIAPAS|A01 004 LA CEIBA|20260901|20260905|MCALLEN|CHANITOS INT|CPR01104|20 CONVENCIONAL F4-1</t>
  </si>
  <si>
    <t>CHIAPAS|A01 004 LA CEIBA|20260901|20260905|MCALLEN|CHANITOS INT|CPR01104|20 CONVENCIONAL F4-1|1</t>
  </si>
  <si>
    <t>43006</t>
  </si>
  <si>
    <t>CHIAPAS|A01 004 LA CEIBA|20260901|20260905|CHALCO|WM|CPR01102|1086 CAJAS CONVENCIONAL Y 66 CAJAS BAE</t>
  </si>
  <si>
    <t>CHIAPAS|A01 004 LA CEIBA|20260901|20260905|CHALCO|WM|CPR01102|1086 CAJAS CONVENCIONAL Y 66 CAJAS BAE|1</t>
  </si>
  <si>
    <t>CHIAPAS|A01 004 LA CEIBA|20260901|20260903|CEDA|CEDA PISO|CPR01101|CEDA PISO PRODUCTORAS</t>
  </si>
  <si>
    <t>CHIAPAS|A01 004 LA CEIBA|20260901|20260903|CEDA|CEDA PISO|CPR01101|CEDA PISO PRODUCTORAS|1</t>
  </si>
  <si>
    <t>A01004-360109-4</t>
  </si>
  <si>
    <t>CHIAPAS|A01 004 LA CEIBA|20260901|20260903|CEDA|CEDA PISO|CSA04120|CEDA</t>
  </si>
  <si>
    <t>CHIAPAS|A01 004 LA CEIBA|20260901|20260903|CEDA|CEDA PISO|CSA04120|CEDA|1</t>
  </si>
  <si>
    <t>A01004-360109-3</t>
  </si>
  <si>
    <t>CHIAPAS|A01 004 LA CEIBA|20260901|20260903|CEDA|CEDA PISO|CMN05123|CEDA</t>
  </si>
  <si>
    <t>CHIAPAS|A01 004 LA CEIBA|20260901|20260903|CEDA|CEDA PISO|CMN05123|CEDA|1</t>
  </si>
  <si>
    <t>A01004-360109-5</t>
  </si>
  <si>
    <t>CHIAPAS|A01 004 LA CEIBA|20260901|20260903|CEDA|CEDA PISO|CDS04122|CEDA</t>
  </si>
  <si>
    <t>CHIAPAS|A01 004 LA CEIBA|20260901|20260903|CEDA|CEDA PISO|CDS04122|CEDA|1</t>
  </si>
  <si>
    <t>A01003-360109-1</t>
  </si>
  <si>
    <t>CHIAPAS|A01 003 DONA NELLY|20260901|20260905|CHALCO|WM|CPR01114|1086 CAJAS CONVENCIONAL Y 66 CAJAS BAE</t>
  </si>
  <si>
    <t>CHIAPAS|A01 003 DONA NELLY|20260901|20260905|CHALCO|WM|CPR01114|1086 CAJAS CONVENCIONAL Y 66 CAJAS BAE|1</t>
  </si>
  <si>
    <t>CHIAPAS|A01 003 DONA NELLY|20260901|20260905|CHALCO|WM|CPR01102|1086 CAJAS CONVENCIONAL Y 66 CAJAS BAE</t>
  </si>
  <si>
    <t>CHIAPAS|A01 003 DONA NELLY|20260901|20260905|CHALCO|WM|CPR01102|1086 CAJAS CONVENCIONAL Y 66 CAJAS BAE|1</t>
  </si>
  <si>
    <t>CHIAPAS|A01 003 DONA NELLY|20260901|20260905|SMO|WM|CPR01102|24 CONVENCIONAL ADICIONAL</t>
  </si>
  <si>
    <t>CHIAPAS|A01 003 DONA NELLY|20260901|20260905|SMO|WM|CPR01102|24 CONVENCIONAL ADICIONAL|1</t>
  </si>
  <si>
    <t>CHIAPAS|A01 003 DONA NELLY|20260901|20260903|CEDA|CEDA PISO|CPR01101|CEDA PISO PRODUCTORAS</t>
  </si>
  <si>
    <t>CHIAPAS|A01 003 DONA NELLY|20260901|20260903|CEDA|CEDA PISO|CPR01101|CEDA PISO PRODUCTORAS|1</t>
  </si>
  <si>
    <t>A01003-360109-4</t>
  </si>
  <si>
    <t>CHIAPAS|A01 003 DONA NELLY|20260901|20260903|CEDA|CEDA PISO|CSA04120|CEDA</t>
  </si>
  <si>
    <t>CHIAPAS|A01 003 DONA NELLY|20260901|20260903|CEDA|CEDA PISO|CSA04120|CEDA|1</t>
  </si>
  <si>
    <t>A01003-360109-3</t>
  </si>
  <si>
    <t>CHIAPAS|A01 003 DONA NELLY|20260901|20260903|CEDA|CEDA PISO|CMN05123|CEDA</t>
  </si>
  <si>
    <t>CHIAPAS|A01 003 DONA NELLY|20260901|20260903|CEDA|CEDA PISO|CMN05123|CEDA|1</t>
  </si>
  <si>
    <t>A01003-360109-5</t>
  </si>
  <si>
    <t>CHIAPAS|A01 003 DONA NELLY|20260901|20260903|CEDA|CEDA PISO|CDS04122|CEDA</t>
  </si>
  <si>
    <t>CHIAPAS|A01 003 DONA NELLY|20260901|20260903|CEDA|CEDA PISO|CDS04122|CEDA|1</t>
  </si>
  <si>
    <t>A11056-360109-1</t>
  </si>
  <si>
    <t>43241</t>
  </si>
  <si>
    <t>CHIAPAS|A11 056 SAN ISIDRO|20260901|20260908|CIUDAD JUAREZ|SMART|CPR01103|20 CONVENCIONAL SCJ1</t>
  </si>
  <si>
    <t>CHIAPAS|A11 056 SAN ISIDRO|20260901|20260908|CIUDAD JUAREZ|SMART|CPR01103|20 CONVENCIONAL SCJ1|1</t>
  </si>
  <si>
    <t>A04037-360109-1</t>
  </si>
  <si>
    <t>CHIAPAS|A04 037 JOSEFINA NAVA|20260901|20260908|CIUDAD JUAREZ|SMART|CPR01103|17 CONVENCIONAL Y 3 PLANTAIN</t>
  </si>
  <si>
    <t>CHIAPAS|A04 037 JOSEFINA NAVA|20260901|20260908|CIUDAD JUAREZ|SMART|CPR01103|17 CONVENCIONAL Y 3 PLANTAIN|1</t>
  </si>
  <si>
    <t>A27073-360109-1</t>
  </si>
  <si>
    <t>CHIAPAS|A27 073 PLANTACION|20260901|20260908|CIUDAD JUAREZ|SMART|CPL08134|17 CONVENCIONAL Y 3 PLANTAIN</t>
  </si>
  <si>
    <t>CHIAPAS|A27 073 PLANTACION|20260901|20260908|CIUDAD JUAREZ|SMART|CPL08134|17 CONVENCIONAL Y 3 PLANTAIN|1</t>
  </si>
  <si>
    <t>43073</t>
  </si>
  <si>
    <t>CHIAPAS|A27 073 PLANTACION|20260901|20260908|S-MTY|SMART|CPL08134|18 CONVENCIONAL Y 2 PLANTAIN</t>
  </si>
  <si>
    <t>CHIAPAS|A27 073 PLANTACION|20260901|20260908|S-MTY|SMART|CPL08134|18 CONVENCIONAL Y 2 PLANTAIN|1</t>
  </si>
  <si>
    <t>A01001-360109-1</t>
  </si>
  <si>
    <t>43337</t>
  </si>
  <si>
    <t>CHIAPAS|A01 001 MARBELLA|20260901|20260906|JAPON|MAR|CPR03124|CP27-17 CP34-3</t>
  </si>
  <si>
    <t>CHIAPAS|A01 001 MARBELLA|20260901|20260906|JAPON|MAR|CPR03124|CP27-17 CP34-3|1</t>
  </si>
  <si>
    <t>CHIAPAS|A01 001 MARBELLA|20260901|20260906|JAPON|MAR|CPR03119|CP27-17 CP34-3</t>
  </si>
  <si>
    <t>CHIAPAS|A01 001 MARBELLA|20260901|20260906|JAPON|MAR|CPR03119|CP27-17 CP34-3|1</t>
  </si>
  <si>
    <t>CHIAPAS|A01 001 MARBELLA|20260901|20260906|SMO|WM|CPR01102|24 CONVENCIONAL ADICIONAL</t>
  </si>
  <si>
    <t>CHIAPAS|A01 001 MARBELLA|20260901|20260906|SMO|WM|CPR01102|24 CONVENCIONAL ADICIONAL|1</t>
  </si>
  <si>
    <t>CHIAPAS|A01 001 MARBELLA|20260901|20260903|CEDA|CEDA PISO|CPR01101|CEDA PISO PRODUCTORAS</t>
  </si>
  <si>
    <t>CHIAPAS|A01 001 MARBELLA|20260901|20260903|CEDA|CEDA PISO|CPR01101|CEDA PISO PRODUCTORAS|1</t>
  </si>
  <si>
    <t>CHIAPAS|A01 001 MARBELLA|20260901|20260906|CEDA|CEDA AUTOSERVICIO|CPL08141|CEDA PLANTAIN</t>
  </si>
  <si>
    <t>CHIAPAS|A01 001 MARBELLA|20260901|20260906|CEDA|CEDA AUTOSERVICIO|CPL08141|CEDA PLANTAIN|1</t>
  </si>
  <si>
    <t>Chanitos Plantain 20Kg Granel</t>
  </si>
  <si>
    <t>CPL08135</t>
  </si>
  <si>
    <t>CHIAPAS|A01 001 MARBELLA|20260901|20260906|CEDA|CEDA PISO|CPL08135|CEDA PLANTAIN</t>
  </si>
  <si>
    <t>CHIAPAS|A01 001 MARBELLA|20260901|20260906|CEDA|CEDA PISO|CPL08135|CEDA PLANTAIN|1</t>
  </si>
  <si>
    <t>A01001-360109-4</t>
  </si>
  <si>
    <t>CHIAPAS|A01 001 MARBELLA|20260901|20260903|CEDA|CEDA PISO|CSA04120|CEDA</t>
  </si>
  <si>
    <t>CHIAPAS|A01 001 MARBELLA|20260901|20260903|CEDA|CEDA PISO|CSA04120|CEDA|1</t>
  </si>
  <si>
    <t>A01001-360109-3</t>
  </si>
  <si>
    <t>CHIAPAS|A01 001 MARBELLA|20260901|20260903|CEDA|CEDA PISO|CMN05123|CEDA</t>
  </si>
  <si>
    <t>CHIAPAS|A01 001 MARBELLA|20260901|20260903|CEDA|CEDA PISO|CMN05123|CEDA|1</t>
  </si>
  <si>
    <t>A01001-360109-5</t>
  </si>
  <si>
    <t>CHIAPAS|A01 001 MARBELLA|20260901|20260903|CEDA|CEDA PISO|CDS04122|CEDA</t>
  </si>
  <si>
    <t>CHIAPAS|A01 001 MARBELLA|20260901|20260903|CEDA|CEDA PISO|CDS04122|CEDA|1</t>
  </si>
  <si>
    <t>A04084-360109-1</t>
  </si>
  <si>
    <t>42409</t>
  </si>
  <si>
    <t>CHIAPAS|A04 084 LISBOA|20260901|20260905|MCALLEN|CHANITOS INT|CPR01104|20 CONVENCIONAL F3-1</t>
  </si>
  <si>
    <t>CHIAPAS|A04 084 LISBOA|20260901|20260905|MCALLEN|CHANITOS INT|CPR01104|20 CONVENCIONAL F3-1|1</t>
  </si>
  <si>
    <t>A12057-360209-1</t>
  </si>
  <si>
    <t>CHIAPAS|A12 057 TIQUISATE 1|20260902|20260908|S-MTY|SMART|CPR01103|18 CONVENCIONAL Y 2 PLANTAIN</t>
  </si>
  <si>
    <t>CHIAPAS|A12 057 TIQUISATE 1|20260902|20260908|S-MTY|SMART|CPR01103|18 CONVENCIONAL Y 2 PLANTAIN|1</t>
  </si>
  <si>
    <t>42981</t>
  </si>
  <si>
    <t>CHIAPAS|A12 057 TIQUISATE 1|20260902|20260905|VSA|WM|CPR01102|24 CONVENCIONAL ADICIONAL</t>
  </si>
  <si>
    <t>CHIAPAS|A12 057 TIQUISATE 1|20260902|20260905|VSA|WM|CPR01102|24 CONVENCIONAL ADICIONAL|1</t>
  </si>
  <si>
    <t>A25022-360209-1</t>
  </si>
  <si>
    <t>CHIAPAS|A25 022 DONA MILDRED|20260902|20260908|S-MTY|SMART|CPR01103|20 CONVENCIONAL SM1</t>
  </si>
  <si>
    <t>CHIAPAS|A25 022 DONA MILDRED|20260902|20260908|S-MTY|SMART|CPR01103|20 CONVENCIONAL SM1|1</t>
  </si>
  <si>
    <t>A01002-360209-1</t>
  </si>
  <si>
    <t>42411</t>
  </si>
  <si>
    <t>CHIAPAS|A01 002 FORTALEZA|20260902|20260905|MCALLEN|CHANITOS INT|CPR01104|20 CONVENCIONAL F3-2</t>
  </si>
  <si>
    <t>CHIAPAS|A01 002 FORTALEZA|20260902|20260905|MCALLEN|CHANITOS INT|CPR01104|20 CONVENCIONAL F3-2|1</t>
  </si>
  <si>
    <t>A36005-360209-1</t>
  </si>
  <si>
    <t>43531</t>
  </si>
  <si>
    <t>CHIAPAS|A36 005 LA GLORIA|20260902|20260908|SMO|WM|CPR01102|24 CONVENCIONAL ADICIONAL</t>
  </si>
  <si>
    <t>CHIAPAS|A36 005 LA GLORIA|20260902|20260908|SMO|WM|CPR01102|24 CONVENCIONAL ADICIONAL|1</t>
  </si>
  <si>
    <t>41938</t>
  </si>
  <si>
    <t>CHIAPAS|A36 005 LA GLORIA|20260902|20260906|VSA|WM|CPR01102|18 CONVENCIONAL Y 6 ORGANICO</t>
  </si>
  <si>
    <t>CHIAPAS|A36 005 LA GLORIA|20260902|20260906|VSA|WM|CPR01102|18 CONVENCIONAL Y 6 ORGANICO|1</t>
  </si>
  <si>
    <t>CHIAPAS|A36 005 LA GLORIA|20260902|20260906|SMO|WM|CPR01102|24 CONVENCIONAL ADICIONAL</t>
  </si>
  <si>
    <t>CHIAPAS|A36 005 LA GLORIA|20260902|20260906|SMO|WM|CPR01102|24 CONVENCIONAL ADICIONAL|1</t>
  </si>
  <si>
    <t>CHIAPAS|A36 005 LA GLORIA|20260902|20260905|VSA|WM|CPR01102|24 CONVENCIONAL ADICIONAL</t>
  </si>
  <si>
    <t>CHIAPAS|A36 005 LA GLORIA|20260902|20260905|VSA|WM|CPR01102|24 CONVENCIONAL ADICIONAL|1</t>
  </si>
  <si>
    <t>A01003-360209-1</t>
  </si>
  <si>
    <t>42412</t>
  </si>
  <si>
    <t>CHIAPAS|A01 003 DONA NELLY|20260902|20260905|MCALLEN|CHANITOS INT|CPR01104|20 CONVENCIONAL F4-2</t>
  </si>
  <si>
    <t>CHIAPAS|A01 003 DONA NELLY|20260902|20260905|MCALLEN|CHANITOS INT|CPR01104|20 CONVENCIONAL F4-2|1</t>
  </si>
  <si>
    <t>CHIAPAS|A01 003 DONA NELLY|20260902|20260905|SMO|WM|CPR01102|24 CONVENCIONAL ADICIONAL</t>
  </si>
  <si>
    <t>CHIAPAS|A01 003 DONA NELLY|20260902|20260905|SMO|WM|CPR01102|24 CONVENCIONAL ADICIONAL|1</t>
  </si>
  <si>
    <t>43529</t>
  </si>
  <si>
    <t>CHIAPAS|A01 003 DONA NELLY|20260902|20260906|SMO|WM|CPR01102|24 CONVENCIONAL</t>
  </si>
  <si>
    <t>CHIAPAS|A01 003 DONA NELLY|20260902|20260906|SMO|WM|CPR01102|24 CONVENCIONAL|1</t>
  </si>
  <si>
    <t>CHIAPAS|A01 003 DONA NELLY|20260902|20260904|CEDA|CEDA PISO|CPR01101|CEDA PISO PRODUCTORAS</t>
  </si>
  <si>
    <t>CHIAPAS|A01 003 DONA NELLY|20260902|20260904|CEDA|CEDA PISO|CPR01101|CEDA PISO PRODUCTORAS|1</t>
  </si>
  <si>
    <t>CHIAPAS|A01 003 DONA NELLY|20260902|20260904|CEDA|CEDA PISO|CPR01101|CEDA PISO PRODUCTORAS|2</t>
  </si>
  <si>
    <t>A01003-360209-4</t>
  </si>
  <si>
    <t>CHIAPAS|A01 003 DONA NELLY|20260902|20260904|CEDA|CEDA PISO|CSA04120|CEDA</t>
  </si>
  <si>
    <t>CHIAPAS|A01 003 DONA NELLY|20260902|20260904|CEDA|CEDA PISO|CSA04120|CEDA|1</t>
  </si>
  <si>
    <t>A01003-360209-3</t>
  </si>
  <si>
    <t>CHIAPAS|A01 003 DONA NELLY|20260902|20260904|CEDA|CEDA PISO|CMN05123|CEDA</t>
  </si>
  <si>
    <t>CHIAPAS|A01 003 DONA NELLY|20260902|20260904|CEDA|CEDA PISO|CMN05123|CEDA|1</t>
  </si>
  <si>
    <t>A01003-360209-5</t>
  </si>
  <si>
    <t>CHIAPAS|A01 003 DONA NELLY|20260902|20260904|CEDA|CEDA PISO|CDS04122|CEDA</t>
  </si>
  <si>
    <t>CHIAPAS|A01 003 DONA NELLY|20260902|20260904|CEDA|CEDA PISO|CDS04122|CEDA|1</t>
  </si>
  <si>
    <t>A04084-360209-1</t>
  </si>
  <si>
    <t>42905</t>
  </si>
  <si>
    <t>CHIAPAS|A04 084 LISBOA|20260902|20260907|MCALLEN|CHANITOS INT|CPR01104|20 CONVENCIONAL F5-1</t>
  </si>
  <si>
    <t>CHIAPAS|A04 084 LISBOA|20260902|20260907|MCALLEN|CHANITOS INT|CPR01104|20 CONVENCIONAL F5-1|1</t>
  </si>
  <si>
    <t>CHIAPAS|A01 002 FORTALEZA|20260902|20260906|SMO|WM|CPR01102|24 CONVENCIONAL ADICIONAL</t>
  </si>
  <si>
    <t>CHIAPAS|A01 002 FORTALEZA|20260902|20260906|SMO|WM|CPR01102|24 CONVENCIONAL ADICIONAL|1</t>
  </si>
  <si>
    <t>CHIAPAS|A01 002 FORTALEZA|20260902|20260904|CEDA|CEDA PISO|CPR01101|CEDA PISO PRODUCTORAS</t>
  </si>
  <si>
    <t>CHIAPAS|A01 002 FORTALEZA|20260902|20260904|CEDA|CEDA PISO|CPR01101|CEDA PISO PRODUCTORAS|1</t>
  </si>
  <si>
    <t>A01002-360209-4</t>
  </si>
  <si>
    <t>CHIAPAS|A01 002 FORTALEZA|20260902|20260904|CEDA|CEDA PISO|CSA04120|CEDA</t>
  </si>
  <si>
    <t>CHIAPAS|A01 002 FORTALEZA|20260902|20260904|CEDA|CEDA PISO|CSA04120|CEDA|1</t>
  </si>
  <si>
    <t>A01002-360209-3</t>
  </si>
  <si>
    <t>CHIAPAS|A01 002 FORTALEZA|20260902|20260904|CEDA|CEDA PISO|CMN05123|CEDA</t>
  </si>
  <si>
    <t>CHIAPAS|A01 002 FORTALEZA|20260902|20260904|CEDA|CEDA PISO|CMN05123|CEDA|1</t>
  </si>
  <si>
    <t>A01002-360209-5</t>
  </si>
  <si>
    <t>CHIAPAS|A01 002 FORTALEZA|20260902|20260904|CEDA|CEDA PISO|CDS04122|CEDA</t>
  </si>
  <si>
    <t>CHIAPAS|A01 002 FORTALEZA|20260902|20260904|CEDA|CEDA PISO|CDS04122|CEDA|1</t>
  </si>
  <si>
    <t>A01001-360209-1</t>
  </si>
  <si>
    <t>42448</t>
  </si>
  <si>
    <t>CHIAPAS|A01 001 MARBELLA|20260902|20260907|QRO|WM|CPR01102|22 CONVENCIONAL Y 2 ORG</t>
  </si>
  <si>
    <t>CHIAPAS|A01 001 MARBELLA|20260902|20260907|QRO|WM|CPR01102|22 CONVENCIONAL Y 2 ORG|1</t>
  </si>
  <si>
    <t>CHIAPAS|A01 001 MARBELLA|20260902|20260904|CEDA|CEDA AUTOSERVICIO|CPR01102|CEDA</t>
  </si>
  <si>
    <t>CHIAPAS|A01 001 MARBELLA|20260902|20260904|CEDA|CEDA AUTOSERVICIO|CPR01102|CEDA|1</t>
  </si>
  <si>
    <t>CHIAPAS|A01 001 MARBELLA|20260902|20260904|CEDA|CEDA PISO|CPR01101|CEDA PISO PRODUCTORAS</t>
  </si>
  <si>
    <t>CHIAPAS|A01 001 MARBELLA|20260902|20260904|CEDA|CEDA PISO|CPR01101|CEDA PISO PRODUCTORAS|1</t>
  </si>
  <si>
    <t>CHIAPAS|A01 001 MARBELLA|20260902|20260906|CEDA|CEDA AUTOSERVICIO|CPL08141|CEDA PLANTAIN</t>
  </si>
  <si>
    <t>CHIAPAS|A01 001 MARBELLA|20260902|20260906|CEDA|CEDA AUTOSERVICIO|CPL08141|CEDA PLANTAIN|1</t>
  </si>
  <si>
    <t>CHIAPAS|A01 001 MARBELLA|20260902|20260906|CEDA|CEDA PISO|CPL08135|CEDA PLANTAIN</t>
  </si>
  <si>
    <t>CHIAPAS|A01 001 MARBELLA|20260902|20260906|CEDA|CEDA PISO|CPL08135|CEDA PLANTAIN|1</t>
  </si>
  <si>
    <t>A01001-360209-4</t>
  </si>
  <si>
    <t>CHIAPAS|A01 001 MARBELLA|20260902|20260904|CEDA|CEDA PISO|CSA04120|CEDA</t>
  </si>
  <si>
    <t>CHIAPAS|A01 001 MARBELLA|20260902|20260904|CEDA|CEDA PISO|CSA04120|CEDA|1</t>
  </si>
  <si>
    <t>A01001-360209-3</t>
  </si>
  <si>
    <t>CHIAPAS|A01 001 MARBELLA|20260902|20260904|CEDA|CEDA PISO|CMN05123|CEDA</t>
  </si>
  <si>
    <t>CHIAPAS|A01 001 MARBELLA|20260902|20260904|CEDA|CEDA PISO|CMN05123|CEDA|1</t>
  </si>
  <si>
    <t>A01001-360209-5</t>
  </si>
  <si>
    <t>CHIAPAS|A01 001 MARBELLA|20260902|20260904|CEDA|CEDA PISO|CDS04122|CEDA</t>
  </si>
  <si>
    <t>CHIAPAS|A01 001 MARBELLA|20260902|20260904|CEDA|CEDA PISO|CDS04122|CEDA|1</t>
  </si>
  <si>
    <t>A04039-360309-1</t>
  </si>
  <si>
    <t>43007</t>
  </si>
  <si>
    <t>CHIAPAS|A04 039 SAN JOSE MORELIA NAVA|20260903|20260907|CHALCO|WM|CPR01102|23 CONVENCIONAL Y 1 BAE</t>
  </si>
  <si>
    <t>CHIAPAS|A04 039 SAN JOSE MORELIA NAVA|20260903|20260907|CHALCO|WM|CPR01102|23 CONVENCIONAL Y 1 BAE|1</t>
  </si>
  <si>
    <t>CHIAPAS|A04 039 SAN JOSE MORELIA NAVA|20260903|20260907|CHALCO|WM|CPR01114|23 CONVENCIONAL Y 1 BAE</t>
  </si>
  <si>
    <t>CHIAPAS|A04 039 SAN JOSE MORELIA NAVA|20260903|20260907|CHALCO|WM|CPR01114|23 CONVENCIONAL Y 1 BAE|1</t>
  </si>
  <si>
    <t>A06043-360309-1</t>
  </si>
  <si>
    <t>42943</t>
  </si>
  <si>
    <t>CHIAPAS|A06 043 NUESTRA SENORA|20260903|20260909|MCALLEN|CHANITOS INT|CPR01104|20 CONVENCIONAL F6-1</t>
  </si>
  <si>
    <t>CHIAPAS|A06 043 NUESTRA SENORA|20260903|20260909|MCALLEN|CHANITOS INT|CPR01104|20 CONVENCIONAL F6-1|1</t>
  </si>
  <si>
    <t>A04038-360309-1</t>
  </si>
  <si>
    <t>42826</t>
  </si>
  <si>
    <t>CHIAPAS|A04 038 EL TRIUNFO NAVA|20260903|20260909|QRO|WM|CPR01102|22 CONVENCIONAL Y 2 ORG</t>
  </si>
  <si>
    <t>CHIAPAS|A04 038 EL TRIUNFO NAVA|20260903|20260909|QRO|WM|CPR01102|22 CONVENCIONAL Y 2 ORG|1</t>
  </si>
  <si>
    <t>A01002-360309-1</t>
  </si>
  <si>
    <t>CHIAPAS|A01 002 FORTALEZA|20260903|20260907|QRO|WM|CRG07128|22 CONVENCIONAL Y 2 ORG</t>
  </si>
  <si>
    <t>CHIAPAS|A01 002 FORTALEZA|20260903|20260907|QRO|WM|CRG07128|22 CONVENCIONAL Y 2 ORG|1</t>
  </si>
  <si>
    <t>CHIAPAS|A01 002 FORTALEZA|20260903|20260906|VSA|WM|CPR01102|18 CONVENCIONAL Y 6 ORGANICO</t>
  </si>
  <si>
    <t>CHIAPAS|A01 002 FORTALEZA|20260903|20260906|VSA|WM|CPR01102|18 CONVENCIONAL Y 6 ORGANICO|1</t>
  </si>
  <si>
    <t>42442</t>
  </si>
  <si>
    <t>CHIAPAS|A01 002 FORTALEZA|20260903|20260906|VSA|WM|CRG07128|18 CONVENCIONAL Y 6 ORGANICO</t>
  </si>
  <si>
    <t>CHIAPAS|A01 002 FORTALEZA|20260903|20260906|VSA|WM|CRG07128|18 CONVENCIONAL Y 6 ORGANICO|1</t>
  </si>
  <si>
    <t>42823</t>
  </si>
  <si>
    <t>CHIAPAS|A01 002 FORTALEZA|20260903|20260909|MTY|WM|CPR01102|22 CONVENCIONAL Y 2 ORG</t>
  </si>
  <si>
    <t>CHIAPAS|A01 002 FORTALEZA|20260903|20260909|MTY|WM|CPR01102|22 CONVENCIONAL Y 2 ORG|1</t>
  </si>
  <si>
    <t>CHIAPAS|A01 002 FORTALEZA|20260903|20260905|CEDA|CEDA PISO|CPR01101|CEDA PISO PRODUCTORAS</t>
  </si>
  <si>
    <t>CHIAPAS|A01 002 FORTALEZA|20260903|20260905|CEDA|CEDA PISO|CPR01101|CEDA PISO PRODUCTORAS|1</t>
  </si>
  <si>
    <t>A01002-360309-4</t>
  </si>
  <si>
    <t>CHIAPAS|A01 002 FORTALEZA|20260903|20260905|CEDA|CEDA PISO|CSA04120|CEDA</t>
  </si>
  <si>
    <t>CHIAPAS|A01 002 FORTALEZA|20260903|20260905|CEDA|CEDA PISO|CSA04120|CEDA|1</t>
  </si>
  <si>
    <t>A01002-360309-3</t>
  </si>
  <si>
    <t>CHIAPAS|A01 002 FORTALEZA|20260903|20260905|CEDA|CEDA PISO|CMN05123|CEDA</t>
  </si>
  <si>
    <t>CHIAPAS|A01 002 FORTALEZA|20260903|20260905|CEDA|CEDA PISO|CMN05123|CEDA|1</t>
  </si>
  <si>
    <t>A01002-360309-5</t>
  </si>
  <si>
    <t>CHIAPAS|A01 002 FORTALEZA|20260903|20260905|CEDA|CEDA PISO|CDS04122|CEDA</t>
  </si>
  <si>
    <t>CHIAPAS|A01 002 FORTALEZA|20260903|20260905|CEDA|CEDA PISO|CDS04122|CEDA|1</t>
  </si>
  <si>
    <t>A01001-360309-1</t>
  </si>
  <si>
    <t>43009</t>
  </si>
  <si>
    <t>CHIAPAS|A01 001 MARBELLA|20260903|20260908|CHALCO|WM|CPR01102|23 CONVENCIONAL Y 1 BAE</t>
  </si>
  <si>
    <t>CHIAPAS|A01 001 MARBELLA|20260903|20260908|CHALCO|WM|CPR01102|23 CONVENCIONAL Y 1 BAE|1</t>
  </si>
  <si>
    <t>CHIAPAS|A01 001 MARBELLA|20260903|20260908|CHALCO|WM|CPR01114|23 CONVENCIONAL Y 1 BAE</t>
  </si>
  <si>
    <t>CHIAPAS|A01 001 MARBELLA|20260903|20260908|CHALCO|WM|CPR01114|23 CONVENCIONAL Y 1 BAE|1</t>
  </si>
  <si>
    <t>CHIAPAS|A01 001 MARBELLA|20260903|20260905|CEDA|CEDA AUTOSERVICIO|CPR01102|CEDA</t>
  </si>
  <si>
    <t>CHIAPAS|A01 001 MARBELLA|20260903|20260905|CEDA|CEDA AUTOSERVICIO|CPR01102|CEDA|1</t>
  </si>
  <si>
    <t>CHIAPAS|A01 001 MARBELLA|20260903|20260905|CEDA|CEDA PISO|CPR01101|CEDA PISO PRODUCTORAS</t>
  </si>
  <si>
    <t>CHIAPAS|A01 001 MARBELLA|20260903|20260905|CEDA|CEDA PISO|CPR01101|CEDA PISO PRODUCTORAS|1</t>
  </si>
  <si>
    <t>A01001-360309-4</t>
  </si>
  <si>
    <t>CHIAPAS|A01 001 MARBELLA|20260903|20260905|CEDA|CEDA PISO|CSA04120|CEDA</t>
  </si>
  <si>
    <t>CHIAPAS|A01 001 MARBELLA|20260903|20260905|CEDA|CEDA PISO|CSA04120|CEDA|1</t>
  </si>
  <si>
    <t>A01001-360309-3</t>
  </si>
  <si>
    <t>CHIAPAS|A01 001 MARBELLA|20260903|20260905|CEDA|CEDA PISO|CMN05123|CEDA</t>
  </si>
  <si>
    <t>CHIAPAS|A01 001 MARBELLA|20260903|20260905|CEDA|CEDA PISO|CMN05123|CEDA|1</t>
  </si>
  <si>
    <t>A01001-360309-5</t>
  </si>
  <si>
    <t>CHIAPAS|A01 001 MARBELLA|20260903|20260905|CEDA|CEDA PISO|CDS04122|CEDA</t>
  </si>
  <si>
    <t>CHIAPAS|A01 001 MARBELLA|20260903|20260905|CEDA|CEDA PISO|CDS04122|CEDA|1</t>
  </si>
  <si>
    <t>A01003-360309-1</t>
  </si>
  <si>
    <t>41941</t>
  </si>
  <si>
    <t>CHIAPAS|A01 003 DONA NELLY|20260903|20260908|VSA|WM|CPR01102|18 CONVENCIONAL Y 6 ORGANICO</t>
  </si>
  <si>
    <t>CHIAPAS|A01 003 DONA NELLY|20260903|20260908|VSA|WM|CPR01102|18 CONVENCIONAL Y 6 ORGANICO|1</t>
  </si>
  <si>
    <t>CHIAPAS|A01 003 DONA NELLY|20260903|20260906|SMO|WM|CPR01102|24 CONVENCIONAL</t>
  </si>
  <si>
    <t>CHIAPAS|A01 003 DONA NELLY|20260903|20260906|SMO|WM|CPR01102|24 CONVENCIONAL|1</t>
  </si>
  <si>
    <t>CHIAPAS|A01 003 DONA NELLY|20260903|20260905|CEDA|CEDA PISO|CPR01101|CEDA PISO PRODUCTORAS</t>
  </si>
  <si>
    <t>CHIAPAS|A01 003 DONA NELLY|20260903|20260905|CEDA|CEDA PISO|CPR01101|CEDA PISO PRODUCTORAS|1</t>
  </si>
  <si>
    <t>A01003-360309-4</t>
  </si>
  <si>
    <t>CHIAPAS|A01 003 DONA NELLY|20260903|20260905|CEDA|CEDA PISO|CSA04120|CEDA</t>
  </si>
  <si>
    <t>CHIAPAS|A01 003 DONA NELLY|20260903|20260905|CEDA|CEDA PISO|CSA04120|CEDA|1</t>
  </si>
  <si>
    <t>A01003-360309-3</t>
  </si>
  <si>
    <t>CHIAPAS|A01 003 DONA NELLY|20260903|20260905|CEDA|CEDA PISO|CMN05123|CEDA</t>
  </si>
  <si>
    <t>CHIAPAS|A01 003 DONA NELLY|20260903|20260905|CEDA|CEDA PISO|CMN05123|CEDA|1</t>
  </si>
  <si>
    <t>A01003-360309-5</t>
  </si>
  <si>
    <t>CHIAPAS|A01 003 DONA NELLY|20260903|20260905|CEDA|CEDA PISO|CDS04122|CEDA</t>
  </si>
  <si>
    <t>CHIAPAS|A01 003 DONA NELLY|20260903|20260905|CEDA|CEDA PISO|CDS04122|CEDA|1</t>
  </si>
  <si>
    <t>A04084-360309-1</t>
  </si>
  <si>
    <t>42907</t>
  </si>
  <si>
    <t>CHIAPAS|A04 084 LISBOA|20260903|20260907|MCALLEN|CHANITOS INT|CPR01104|20 CONVENCIONAL F5-2</t>
  </si>
  <si>
    <t>CHIAPAS|A04 084 LISBOA|20260903|20260907|MCALLEN|CHANITOS INT|CPR01104|20 CONVENCIONAL F5-2|1</t>
  </si>
  <si>
    <t>A06043-360409-1</t>
  </si>
  <si>
    <t>CHIAPAS|A06 043 NUESTRA SENORA|20260904|20260909|MCALLEN|CHANITOS INT|CPR01104|20 CONVENCIONAL F6-1</t>
  </si>
  <si>
    <t>CHIAPAS|A06 043 NUESTRA SENORA|20260904|20260909|MCALLEN|CHANITOS INT|CPR01104|20 CONVENCIONAL F6-1|1</t>
  </si>
  <si>
    <t>A11045-360409-1</t>
  </si>
  <si>
    <t>42946</t>
  </si>
  <si>
    <t>CHIAPAS|A11 045 SECTOR MAZATAN|20260904|20260910|MCALLEN|CHANITOS INT|CPR01104|20 CONVENCIONAL F7-2</t>
  </si>
  <si>
    <t>CHIAPAS|A11 045 SECTOR MAZATAN|20260904|20260910|MCALLEN|CHANITOS INT|CPR01104|20 CONVENCIONAL F7-2|1</t>
  </si>
  <si>
    <t>A11092-360409-1</t>
  </si>
  <si>
    <t>CHIAPAS|A11 092 COMPOSTA|20260904|20260910|MCALLEN|CHANITOS INT|CPR01104|20 CONVENCIONAL F7-2</t>
  </si>
  <si>
    <t>CHIAPAS|A11 092 COMPOSTA|20260904|20260910|MCALLEN|CHANITOS INT|CPR01104|20 CONVENCIONAL F7-2|1</t>
  </si>
  <si>
    <t>A01002-360409-1</t>
  </si>
  <si>
    <t>43117</t>
  </si>
  <si>
    <t>CHIAPAS|A01 002 FORTALEZA|20260904|20260910|CHALCO|WM|CPR01102|1098 CAJAS CONVENCIONAL Y 54 CAJAS BAE</t>
  </si>
  <si>
    <t>CHIAPAS|A01 002 FORTALEZA|20260904|20260910|CHALCO|WM|CPR01102|1098 CAJAS CONVENCIONAL Y 54 CAJAS BAE|1</t>
  </si>
  <si>
    <t>CHIAPAS|A01 002 FORTALEZA|20260904|20260909|MTY|WM|CPR01102|22 CONVENCIONAL Y 2 ORG</t>
  </si>
  <si>
    <t>CHIAPAS|A01 002 FORTALEZA|20260904|20260909|MTY|WM|CPR01102|22 CONVENCIONAL Y 2 ORG|1</t>
  </si>
  <si>
    <t>41943</t>
  </si>
  <si>
    <t>CHIAPAS|A01 002 FORTALEZA|20260904|20260910|VSA|WM|CPR01102|18 CONVENCIONAL Y 6 ORGANICO</t>
  </si>
  <si>
    <t>CHIAPAS|A01 002 FORTALEZA|20260904|20260910|VSA|WM|CPR01102|18 CONVENCIONAL Y 6 ORGANICO|1</t>
  </si>
  <si>
    <t>42799</t>
  </si>
  <si>
    <t>CHIAPAS|A01 002 FORTALEZA|20260904|20260908|VSA|WM|CRG07128|18 CONVENCIONAL Y 6 ORGANICO</t>
  </si>
  <si>
    <t>CHIAPAS|A01 002 FORTALEZA|20260904|20260908|VSA|WM|CRG07128|18 CONVENCIONAL Y 6 ORGANICO|1</t>
  </si>
  <si>
    <t>A01002-360409-4</t>
  </si>
  <si>
    <t>CHIAPAS|A01 002 FORTALEZA|20260904|20260906|CEDA|CEDA PISO|CPR01101|CEDA</t>
  </si>
  <si>
    <t>CHIAPAS|A01 002 FORTALEZA|20260904|20260906|CEDA|CEDA PISO|CPR01101|CEDA|1</t>
  </si>
  <si>
    <t>CHIAPAS|A01 002 FORTALEZA|20260904|20260906|CEDA|CEDA PISO|CSA04120|CEDA</t>
  </si>
  <si>
    <t>CHIAPAS|A01 002 FORTALEZA|20260904|20260906|CEDA|CEDA PISO|CSA04120|CEDA|1</t>
  </si>
  <si>
    <t>A01002-360409-3</t>
  </si>
  <si>
    <t>CHIAPAS|A01 002 FORTALEZA|20260904|20260906|CEDA|CEDA PISO|CMN05123|CEDA</t>
  </si>
  <si>
    <t>CHIAPAS|A01 002 FORTALEZA|20260904|20260906|CEDA|CEDA PISO|CMN05123|CEDA|1</t>
  </si>
  <si>
    <t>A01002-360409-5</t>
  </si>
  <si>
    <t>CHIAPAS|A01 002 FORTALEZA|20260904|20260906|CEDA|CEDA PISO|CDS04122|CEDA</t>
  </si>
  <si>
    <t>CHIAPAS|A01 002 FORTALEZA|20260904|20260906|CEDA|CEDA PISO|CDS04122|CEDA|1</t>
  </si>
  <si>
    <t>A01001-360409-1</t>
  </si>
  <si>
    <t>43116</t>
  </si>
  <si>
    <t>CHIAPAS|A01 001 MARBELLA|20260904|20260909|CHALCO|WM|CPR01102|23 CONVENCIONAL Y 1 BAE</t>
  </si>
  <si>
    <t>CHIAPAS|A01 001 MARBELLA|20260904|20260909|CHALCO|WM|CPR01102|23 CONVENCIONAL Y 1 BAE|1</t>
  </si>
  <si>
    <t>CHIAPAS|A01 001 MARBELLA|20260904|20260910|CHALCO|WM|CPR01102|1098 CAJAS CONVENCIONAL Y 54 CAJAS BAE</t>
  </si>
  <si>
    <t>CHIAPAS|A01 001 MARBELLA|20260904|20260910|CHALCO|WM|CPR01102|1098 CAJAS CONVENCIONAL Y 54 CAJAS BAE|1</t>
  </si>
  <si>
    <t>CHIAPAS|A01 001 MARBELLA|20260904|20260909|CHALCO|WM|CPR01114|23 CONVENCIONAL Y 1 BAE</t>
  </si>
  <si>
    <t>CHIAPAS|A01 001 MARBELLA|20260904|20260909|CHALCO|WM|CPR01114|23 CONVENCIONAL Y 1 BAE|1</t>
  </si>
  <si>
    <t>CHIAPAS|A01 001 MARBELLA|20260904|20260910|CHALCO|WM|CPR01114|1098 CAJAS CONVENCIONAL Y 54 CAJAS BAE</t>
  </si>
  <si>
    <t>CHIAPAS|A01 001 MARBELLA|20260904|20260910|CHALCO|WM|CPR01114|1098 CAJAS CONVENCIONAL Y 54 CAJAS BAE|1</t>
  </si>
  <si>
    <t>CHIAPAS|A01 001 MARBELLA|20260904|20260906|CEDA|CEDA AUTOSERVICIO|CPR01102|CEDA</t>
  </si>
  <si>
    <t>CHIAPAS|A01 001 MARBELLA|20260904|20260906|CEDA|CEDA AUTOSERVICIO|CPR01102|CEDA|1</t>
  </si>
  <si>
    <t>CHIAPAS|A01 001 MARBELLA|20260904|20260906|CEDA|CEDA PISO|CPR01101|CEDA PISO PRODUCTORAS</t>
  </si>
  <si>
    <t>CHIAPAS|A01 001 MARBELLA|20260904|20260906|CEDA|CEDA PISO|CPR01101|CEDA PISO PRODUCTORAS|1</t>
  </si>
  <si>
    <t>A01001-360409-4</t>
  </si>
  <si>
    <t>CHIAPAS|A01 001 MARBELLA|20260904|20260906|CEDA|CEDA PISO|CSA04120|CEDA</t>
  </si>
  <si>
    <t>CHIAPAS|A01 001 MARBELLA|20260904|20260906|CEDA|CEDA PISO|CSA04120|CEDA|1</t>
  </si>
  <si>
    <t>A01001-360409-3</t>
  </si>
  <si>
    <t>CHIAPAS|A01 001 MARBELLA|20260904|20260906|CEDA|CEDA PISO|CMN05123|CEDA</t>
  </si>
  <si>
    <t>CHIAPAS|A01 001 MARBELLA|20260904|20260906|CEDA|CEDA PISO|CMN05123|CEDA|1</t>
  </si>
  <si>
    <t>A01001-360409-5</t>
  </si>
  <si>
    <t>CHIAPAS|A01 001 MARBELLA|20260904|20260906|CEDA|CEDA PISO|CDS04122|CEDA</t>
  </si>
  <si>
    <t>CHIAPAS|A01 001 MARBELLA|20260904|20260906|CEDA|CEDA PISO|CDS04122|CEDA|1</t>
  </si>
  <si>
    <t>A01004-360409-1</t>
  </si>
  <si>
    <t>41923</t>
  </si>
  <si>
    <t>CHIAPAS|A01 004 LA CEIBA|20260904|20260909|SMO|WM|CPR01102|24 CONVENCIONAL</t>
  </si>
  <si>
    <t>CHIAPAS|A01 004 LA CEIBA|20260904|20260909|SMO|WM|CPR01102|24 CONVENCIONAL|1</t>
  </si>
  <si>
    <t>A01004-360409-4</t>
  </si>
  <si>
    <t>CHIAPAS|A01 004 LA CEIBA|20260904|20260906|CEDA|CEDA PISO|CPR01101|CEDA</t>
  </si>
  <si>
    <t>CHIAPAS|A01 004 LA CEIBA|20260904|20260906|CEDA|CEDA PISO|CPR01101|CEDA|1</t>
  </si>
  <si>
    <t>CHIAPAS|A01 004 LA CEIBA|20260904|20260906|CEDA|CEDA PISO|CSA04120|CEDA</t>
  </si>
  <si>
    <t>CHIAPAS|A01 004 LA CEIBA|20260904|20260906|CEDA|CEDA PISO|CSA04120|CEDA|1</t>
  </si>
  <si>
    <t>A01004-360409-3</t>
  </si>
  <si>
    <t>CHIAPAS|A01 004 LA CEIBA|20260904|20260906|CEDA|CEDA PISO|CMN05123|CEDA</t>
  </si>
  <si>
    <t>CHIAPAS|A01 004 LA CEIBA|20260904|20260906|CEDA|CEDA PISO|CMN05123|CEDA|1</t>
  </si>
  <si>
    <t>A01004-360409-5</t>
  </si>
  <si>
    <t>CHIAPAS|A01 004 LA CEIBA|20260904|20260906|CEDA|CEDA PISO|CDS04122|CEDA</t>
  </si>
  <si>
    <t>CHIAPAS|A01 004 LA CEIBA|20260904|20260906|CEDA|CEDA PISO|CDS04122|CEDA|1</t>
  </si>
  <si>
    <t>A41100-360409-1</t>
  </si>
  <si>
    <t>43268</t>
  </si>
  <si>
    <t>CHIAPAS|A41 100 DONA LUPE JV|20260904|20260912|CIUDAD JUAREZ|SMART|CPL08134|17 CONVENCIONAL Y 3 PLANTAIN</t>
  </si>
  <si>
    <t>CHIAPAS|A41 100 DONA LUPE JV|20260904|20260912|CIUDAD JUAREZ|SMART|CPL08134|17 CONVENCIONAL Y 3 PLANTAIN|1</t>
  </si>
  <si>
    <t>B04017-360409-1</t>
  </si>
  <si>
    <t>A04 017 Rancho Nuevo</t>
  </si>
  <si>
    <t>CHIAPAS|A04 017 RANCHO NUEVO|20260904|20260912|CIUDAD JUAREZ|SMART|CPR01103|20 CONVENCIONAL SCJ2</t>
  </si>
  <si>
    <t>CHIAPAS|A04 017 RANCHO NUEVO|20260904|20260912|CIUDAD JUAREZ|SMART|CPR01103|20 CONVENCIONAL SCJ2|1</t>
  </si>
  <si>
    <t>A25022-360409-1</t>
  </si>
  <si>
    <t>43077</t>
  </si>
  <si>
    <t>CHIAPAS|A25 022 DONA MILDRED|20260904|20260910|S-MTY|SMART|CPR01103|20 CONVENCIONAL SM4</t>
  </si>
  <si>
    <t>CHIAPAS|A25 022 DONA MILDRED|20260904|20260910|S-MTY|SMART|CPR01103|20 CONVENCIONAL SM4|1</t>
  </si>
  <si>
    <t>A04084-360409-1</t>
  </si>
  <si>
    <t>42942</t>
  </si>
  <si>
    <t>CHIAPAS|A04 084 LISBOA|20260904|20260909|MCALLEN|CHANITOS INT|CPR01104|20 CONVENCIONAL F6-2</t>
  </si>
  <si>
    <t>CHIAPAS|A04 084 LISBOA|20260904|20260909|MCALLEN|CHANITOS INT|CPR01104|20 CONVENCIONAL F6-2|1</t>
  </si>
  <si>
    <t>A27073-360409-1</t>
  </si>
  <si>
    <t>42927</t>
  </si>
  <si>
    <t>CHIAPAS|A27 073 PLANTACION|20260904|20260908|MCALLEN|CHANITOS INT|CPL08133|24 PLANTAIN</t>
  </si>
  <si>
    <t>CHIAPAS|A27 073 PLANTACION|20260904|20260908|MCALLEN|CHANITOS INT|CPL08133|24 PLANTAIN|1</t>
  </si>
  <si>
    <t>CHIAPAS|A41 100 DONA LUPE JV|20260904|20260906|CEDA|CEDA AUTOSERVICIO|CPL08141|CEDA PLANTAIN</t>
  </si>
  <si>
    <t>CHIAPAS|A41 100 DONA LUPE JV|20260904|20260906|CEDA|CEDA AUTOSERVICIO|CPL08141|CEDA PLANTAIN|1</t>
  </si>
  <si>
    <t>A04083-360509-1</t>
  </si>
  <si>
    <t>CHIAPAS|A04 083 SANTA MARIA|20260905|20260910|VSA|WM|CPR01102|23 CONVENCIONAL Y 1 BAE</t>
  </si>
  <si>
    <t>CHIAPAS|A04 083 SANTA MARIA|20260905|20260910|VSA|WM|CPR01102|23 CONVENCIONAL Y 1 BAE|1</t>
  </si>
  <si>
    <t>CHIAPAS|A04 083 SANTA MARIA|20260905|20260909|CHALCO|WM|CPR01102|23 CONVENCIONAL Y 1 BAE</t>
  </si>
  <si>
    <t>CHIAPAS|A04 083 SANTA MARIA|20260905|20260909|CHALCO|WM|CPR01102|23 CONVENCIONAL Y 1 BAE|1</t>
  </si>
  <si>
    <t>CHIAPAS|A04 083 SANTA MARIA|20260905|20260910|CHALCO|WM|CPR01102|1098 CAJAS CONVENCIONAL Y 54 CAJAS BAE</t>
  </si>
  <si>
    <t>CHIAPAS|A04 083 SANTA MARIA|20260905|20260910|CHALCO|WM|CPR01102|1098 CAJAS CONVENCIONAL Y 54 CAJAS BAE|1</t>
  </si>
  <si>
    <t>CHIAPAS|A04 083 SANTA MARIA|20260905|20260910|CHALCO|WM|CPR01114|1098 CAJAS CONVENCIONAL Y 54 CAJAS BAE</t>
  </si>
  <si>
    <t>CHIAPAS|A04 083 SANTA MARIA|20260905|20260910|CHALCO|WM|CPR01114|1098 CAJAS CONVENCIONAL Y 54 CAJAS BAE|1</t>
  </si>
  <si>
    <t>A04084-360509-1</t>
  </si>
  <si>
    <t>42947</t>
  </si>
  <si>
    <t>CHIAPAS|A04 084 LISBOA|20260905|20260910|MCALLEN|CHANITOS INT|CPR01104|20 CONVENCIONAL F7-1</t>
  </si>
  <si>
    <t>CHIAPAS|A04 084 LISBOA|20260905|20260910|MCALLEN|CHANITOS INT|CPR01104|20 CONVENCIONAL F7-1|1</t>
  </si>
  <si>
    <t>A01002-360509-1</t>
  </si>
  <si>
    <t>42825</t>
  </si>
  <si>
    <t>CHIAPAS|A01 002 FORTALEZA|20260905|20260909|MTY|WM|CRG07128|22 CONVENCIONAL Y 2 ORG</t>
  </si>
  <si>
    <t>CHIAPAS|A01 002 FORTALEZA|20260905|20260909|MTY|WM|CRG07128|22 CONVENCIONAL Y 2 ORG|1</t>
  </si>
  <si>
    <t>CHIAPAS|A01 002 FORTALEZA|20260905|20260909|QRO|WM|CRG07128|22 CONVENCIONAL Y 2 ORG</t>
  </si>
  <si>
    <t>CHIAPAS|A01 002 FORTALEZA|20260905|20260909|QRO|WM|CRG07128|22 CONVENCIONAL Y 2 ORG|1</t>
  </si>
  <si>
    <t>42829</t>
  </si>
  <si>
    <t>CHIAPAS|A01 002 FORTALEZA|20260905|20260910|VSA|WM|CRG07128|18 CONVENCIONAL Y 6 ORGANICO</t>
  </si>
  <si>
    <t>CHIAPAS|A01 002 FORTALEZA|20260905|20260910|VSA|WM|CRG07128|18 CONVENCIONAL Y 6 ORGANICO|1</t>
  </si>
  <si>
    <t>CHIAPAS|A01 002 FORTALEZA|20260905|20260910|VSA|WM|CPR01102|18 CONVENCIONAL Y 6 ORGANICO</t>
  </si>
  <si>
    <t>CHIAPAS|A01 002 FORTALEZA|20260905|20260910|VSA|WM|CPR01102|18 CONVENCIONAL Y 6 ORGANICO|1</t>
  </si>
  <si>
    <t>43119</t>
  </si>
  <si>
    <t>CHIAPAS|A01 002 FORTALEZA|20260905|20260912|CHALCO|WM|CPR01102|1086 CAJAS CONVENCIONAL Y 66 CAJAS BAE</t>
  </si>
  <si>
    <t>CHIAPAS|A01 002 FORTALEZA|20260905|20260912|CHALCO|WM|CPR01102|1086 CAJAS CONVENCIONAL Y 66 CAJAS BAE|1</t>
  </si>
  <si>
    <t>CHIAPAS|A01 002 FORTALEZA|20260905|20260907|CEDA|CEDA PISO|CPR01101|CEDA</t>
  </si>
  <si>
    <t>CHIAPAS|A01 002 FORTALEZA|20260905|20260907|CEDA|CEDA PISO|CPR01101|CEDA|1</t>
  </si>
  <si>
    <t>A01002-360509-4</t>
  </si>
  <si>
    <t>CHIAPAS|A01 002 FORTALEZA|20260905|20260907|CEDA|CEDA PISO|CSA04120|CEDA</t>
  </si>
  <si>
    <t>CHIAPAS|A01 002 FORTALEZA|20260905|20260907|CEDA|CEDA PISO|CSA04120|CEDA|1</t>
  </si>
  <si>
    <t>A01002-360509-3</t>
  </si>
  <si>
    <t>CHIAPAS|A01 002 FORTALEZA|20260905|20260907|CEDA|CEDA PISO|CMN05123|CEDA</t>
  </si>
  <si>
    <t>CHIAPAS|A01 002 FORTALEZA|20260905|20260907|CEDA|CEDA PISO|CMN05123|CEDA|1</t>
  </si>
  <si>
    <t>A01002-360509-5</t>
  </si>
  <si>
    <t>CHIAPAS|A01 002 FORTALEZA|20260905|20260907|CEDA|CEDA PISO|CDS04122|CEDA</t>
  </si>
  <si>
    <t>CHIAPAS|A01 002 FORTALEZA|20260905|20260907|CEDA|CEDA PISO|CDS04122|CEDA|1</t>
  </si>
  <si>
    <t>A11092-360509-1</t>
  </si>
  <si>
    <t>CHIAPAS|A11 092 COMPOSTA|20260905|20260910|S-MTY|SMART|CPR01103|20 CONVENCIONAL SM3</t>
  </si>
  <si>
    <t>CHIAPAS|A11 092 COMPOSTA|20260905|20260910|S-MTY|SMART|CPR01103|20 CONVENCIONAL SM3|1</t>
  </si>
  <si>
    <t>A01004-360509-1</t>
  </si>
  <si>
    <t>CHIAPAS|A01 004 LA CEIBA|20260905|20260912|CIUDAD JUAREZ|SMART|CPR01103|17 CONVENCIONAL Y 3 PLANTAIN</t>
  </si>
  <si>
    <t>CHIAPAS|A01 004 LA CEIBA|20260905|20260912|CIUDAD JUAREZ|SMART|CPR01103|17 CONVENCIONAL Y 3 PLANTAIN|1</t>
  </si>
  <si>
    <t>CHIAPAS|A01 004 LA CEIBA|20260905|20260912|CHALCO|WM|CPR01102|1086 CAJAS CONVENCIONAL Y 66 CAJAS BAE</t>
  </si>
  <si>
    <t>CHIAPAS|A01 004 LA CEIBA|20260905|20260912|CHALCO|WM|CPR01102|1086 CAJAS CONVENCIONAL Y 66 CAJAS BAE|1</t>
  </si>
  <si>
    <t>A01004-360509-4</t>
  </si>
  <si>
    <t>CHIAPAS|A01 004 LA CEIBA|20260905|20260907|CEDA|CEDA PISO|CPR01101|CEDA</t>
  </si>
  <si>
    <t>CHIAPAS|A01 004 LA CEIBA|20260905|20260907|CEDA|CEDA PISO|CPR01101|CEDA|1</t>
  </si>
  <si>
    <t>CHIAPAS|A01 004 LA CEIBA|20260905|20260907|CEDA|CEDA PISO|CSA04120|CEDA</t>
  </si>
  <si>
    <t>CHIAPAS|A01 004 LA CEIBA|20260905|20260907|CEDA|CEDA PISO|CSA04120|CEDA|1</t>
  </si>
  <si>
    <t>A01004-360509-3</t>
  </si>
  <si>
    <t>CHIAPAS|A01 004 LA CEIBA|20260905|20260907|CEDA|CEDA PISO|CMN05123|CEDA</t>
  </si>
  <si>
    <t>CHIAPAS|A01 004 LA CEIBA|20260905|20260907|CEDA|CEDA PISO|CMN05123|CEDA|1</t>
  </si>
  <si>
    <t>A01004-360509-5</t>
  </si>
  <si>
    <t>CHIAPAS|A01 004 LA CEIBA|20260905|20260907|CEDA|CEDA PISO|CDS04122|CEDA</t>
  </si>
  <si>
    <t>CHIAPAS|A01 004 LA CEIBA|20260905|20260907|CEDA|CEDA PISO|CDS04122|CEDA|1</t>
  </si>
  <si>
    <t>A11045-370709-1</t>
  </si>
  <si>
    <t>42949</t>
  </si>
  <si>
    <t>CHIAPAS|A11 045 SECTOR MAZATAN|20260907|20260911|MCALLEN|CHANITOS INT|CPR01104|20 CONVENCIONAL F1-1</t>
  </si>
  <si>
    <t>CHIAPAS|A11 045 SECTOR MAZATAN|20260907|20260911|MCALLEN|CHANITOS INT|CPR01104|20 CONVENCIONAL F1-1|1</t>
  </si>
  <si>
    <t>Programa Embarques 2026 S-37.xlsx</t>
  </si>
  <si>
    <t>42951</t>
  </si>
  <si>
    <t>CHIAPAS|A11 045 SECTOR MAZATAN|20260907|20260911|MCALLEN|CHANITOS INT|CPR01104|20 CONVENCIONAL F1-2</t>
  </si>
  <si>
    <t>CHIAPAS|A11 045 SECTOR MAZATAN|20260907|20260911|MCALLEN|CHANITOS INT|CPR01104|20 CONVENCIONAL F1-2|1</t>
  </si>
  <si>
    <t>A01002-370709-1</t>
  </si>
  <si>
    <t>CHIAPAS|A01 002 FORTALEZA|20260907|20260910|MCALLEN|CHANITOS INT|CPR01104|20 CONVENCIONAL F7-1</t>
  </si>
  <si>
    <t>CHIAPAS|A01 002 FORTALEZA|20260907|20260910|MCALLEN|CHANITOS INT|CPR01104|20 CONVENCIONAL F7-1|1</t>
  </si>
  <si>
    <t>CHIAPAS|A01 002 FORTALEZA|20260907|20260910|VSA|WM|CRG07128|18 CONVENCIONAL Y 6 ORGANICO</t>
  </si>
  <si>
    <t>CHIAPAS|A01 002 FORTALEZA|20260907|20260910|VSA|WM|CRG07128|18 CONVENCIONAL Y 6 ORGANICO|1</t>
  </si>
  <si>
    <t>CHIAPAS|A01 002 FORTALEZA|20260907|20260912|CHALCO|WM|CPR01114|1086 CAJAS CONVENCIONAL Y 66 CAJAS BAE</t>
  </si>
  <si>
    <t>CHIAPAS|A01 002 FORTALEZA|20260907|20260912|CHALCO|WM|CPR01114|1086 CAJAS CONVENCIONAL Y 66 CAJAS BAE|1</t>
  </si>
  <si>
    <t>CHIAPAS|A01 002 FORTALEZA|20260907|20260912|CHALCO|WM|CPR01102|1086 CAJAS CONVENCIONAL Y 66 CAJAS BAE</t>
  </si>
  <si>
    <t>CHIAPAS|A01 002 FORTALEZA|20260907|20260912|CHALCO|WM|CPR01102|1086 CAJAS CONVENCIONAL Y 66 CAJAS BAE|1</t>
  </si>
  <si>
    <t>42837</t>
  </si>
  <si>
    <t>CHIAPAS|A01 002 FORTALEZA|20260907|20260911|QRO|WM|CPR01102|22 CONVENCIONAL Y 2 ORG</t>
  </si>
  <si>
    <t>CHIAPAS|A01 002 FORTALEZA|20260907|20260911|QRO|WM|CPR01102|22 CONVENCIONAL Y 2 ORG|1</t>
  </si>
  <si>
    <t>CHIAPAS|A01 002 FORTALEZA|20260907|20260911|QRO|WM|CRG07128|22 CONVENCIONAL Y 2 ORG</t>
  </si>
  <si>
    <t>CHIAPAS|A01 002 FORTALEZA|20260907|20260911|QRO|WM|CRG07128|22 CONVENCIONAL Y 2 ORG|1</t>
  </si>
  <si>
    <t>41945</t>
  </si>
  <si>
    <t>CHIAPAS|A01 002 FORTALEZA|20260907|20260912|VSA|WM|CPR01102|18 CONVENCIONAL Y 6 ORGANICO</t>
  </si>
  <si>
    <t>CHIAPAS|A01 002 FORTALEZA|20260907|20260912|VSA|WM|CPR01102|18 CONVENCIONAL Y 6 ORGANICO|1</t>
  </si>
  <si>
    <t>CHIAPAS|A01 002 FORTALEZA|20260907|20260911|CEDA|CEDA PISO|CPR01101|CEDA PISO PRODUCTORAS</t>
  </si>
  <si>
    <t>CHIAPAS|A01 002 FORTALEZA|20260907|20260911|CEDA|CEDA PISO|CPR01101|CEDA PISO PRODUCTORAS|1</t>
  </si>
  <si>
    <t>A01002-370709-4</t>
  </si>
  <si>
    <t>CHIAPAS|A01 002 FORTALEZA|20260907|20260911|CEDA|CEDA PISO|CSA04120|CEDA PISO PRODUCTORAS</t>
  </si>
  <si>
    <t>CHIAPAS|A01 002 FORTALEZA|20260907|20260911|CEDA|CEDA PISO|CSA04120|CEDA PISO PRODUCTORAS|1</t>
  </si>
  <si>
    <t>A01002-370709-3</t>
  </si>
  <si>
    <t>CHIAPAS|A01 002 FORTALEZA|20260907|20260911|CEDA|CEDA PISO|CMN05123|CEDA PISO PRODUCTORAS</t>
  </si>
  <si>
    <t>CHIAPAS|A01 002 FORTALEZA|20260907|20260911|CEDA|CEDA PISO|CMN05123|CEDA PISO PRODUCTORAS|1</t>
  </si>
  <si>
    <t>A01002-370709-5</t>
  </si>
  <si>
    <t>CHIAPAS|A01 002 FORTALEZA|20260907|20260911|CEDA|CEDA PISO|CDS04122|CEDA PISO PRODUCTORAS</t>
  </si>
  <si>
    <t>CHIAPAS|A01 002 FORTALEZA|20260907|20260911|CEDA|CEDA PISO|CDS04122|CEDA PISO PRODUCTORAS|1</t>
  </si>
  <si>
    <t>A01001-370709-1</t>
  </si>
  <si>
    <t>43118</t>
  </si>
  <si>
    <t>CHIAPAS|A01 001 MARBELLA|20260907|20260911|CHALCO|WM|CPR01114|1068 CAJAS CONVENCIONAL Y 84 CAJAS BAE</t>
  </si>
  <si>
    <t>CHIAPAS|A01 001 MARBELLA|20260907|20260911|CHALCO|WM|CPR01114|1068 CAJAS CONVENCIONAL Y 84 CAJAS BAE|1</t>
  </si>
  <si>
    <t>CHIAPAS|A01 001 MARBELLA|20260907|20260911|CHALCO|WM|CPR01102|1068 CAJAS CONVENCIONAL Y 84 CAJAS BAE</t>
  </si>
  <si>
    <t>CHIAPAS|A01 001 MARBELLA|20260907|20260911|CHALCO|WM|CPR01102|1068 CAJAS CONVENCIONAL Y 84 CAJAS BAE|1</t>
  </si>
  <si>
    <t>CHIAPAS|A01 001 MARBELLA|20260907|20260912|VSA|WM|CPR01102|18 CONVENCIONAL Y 6 ORGANICO</t>
  </si>
  <si>
    <t>CHIAPAS|A01 001 MARBELLA|20260907|20260912|VSA|WM|CPR01102|18 CONVENCIONAL Y 6 ORGANICO|1</t>
  </si>
  <si>
    <t>CHIAPAS|A01 001 MARBELLA|20260907|20260911|CEDA|CEDA PISO|CPR01101|CEDA PISO PRODUCTORAS</t>
  </si>
  <si>
    <t>CHIAPAS|A01 001 MARBELLA|20260907|20260911|CEDA|CEDA PISO|CPR01101|CEDA PISO PRODUCTORAS|1</t>
  </si>
  <si>
    <t>A01001-370709-4</t>
  </si>
  <si>
    <t>CHIAPAS|A01 001 MARBELLA|20260907|20260911|CEDA|CEDA PISO|CSA04120|CEDA PISO PRODUCTORAS</t>
  </si>
  <si>
    <t>CHIAPAS|A01 001 MARBELLA|20260907|20260911|CEDA|CEDA PISO|CSA04120|CEDA PISO PRODUCTORAS|1</t>
  </si>
  <si>
    <t>A01001-370709-3</t>
  </si>
  <si>
    <t>CHIAPAS|A01 001 MARBELLA|20260907|20260911|CEDA|CEDA PISO|CMN05123|CEDA PISO PRODUCTORAS</t>
  </si>
  <si>
    <t>CHIAPAS|A01 001 MARBELLA|20260907|20260911|CEDA|CEDA PISO|CMN05123|CEDA PISO PRODUCTORAS|1</t>
  </si>
  <si>
    <t>A01001-370709-5</t>
  </si>
  <si>
    <t>CHIAPAS|A01 001 MARBELLA|20260907|20260911|CEDA|CEDA PISO|CDS04122|CEDA PISO PRODUCTORAS</t>
  </si>
  <si>
    <t>CHIAPAS|A01 001 MARBELLA|20260907|20260911|CEDA|CEDA PISO|CDS04122|CEDA PISO PRODUCTORAS|1</t>
  </si>
  <si>
    <t>A01003-370709-1</t>
  </si>
  <si>
    <t>CHIAPAS|A01 003 DONA NELLY|20260907|20260911|QRO|WM|CPR01102|22 CONVENCIONAL Y 2 ORG</t>
  </si>
  <si>
    <t>CHIAPAS|A01 003 DONA NELLY|20260907|20260911|QRO|WM|CPR01102|22 CONVENCIONAL Y 2 ORG|1</t>
  </si>
  <si>
    <t>42952</t>
  </si>
  <si>
    <t>CHIAPAS|A01 003 DONA NELLY|20260907|20260912|MCALLEN|CHANITOS INT|CPR01104|20 CONVENCIONAL F2-2</t>
  </si>
  <si>
    <t>CHIAPAS|A01 003 DONA NELLY|20260907|20260912|MCALLEN|CHANITOS INT|CPR01104|20 CONVENCIONAL F2-2|1</t>
  </si>
  <si>
    <t>CHIAPAS|A01 003 DONA NELLY|20260907|20260911|CEDA|CEDA PISO|CPR01101|CEDA PISO PRODUCTORAS</t>
  </si>
  <si>
    <t>CHIAPAS|A01 003 DONA NELLY|20260907|20260911|CEDA|CEDA PISO|CPR01101|CEDA PISO PRODUCTORAS|1</t>
  </si>
  <si>
    <t>CHIAPAS|A01 003 DONA NELLY|20260907|20260911|CEDA|CEDA PISO|CPR01101|CEDA PISO PRODUCTORAS|2</t>
  </si>
  <si>
    <t>A01003-370709-4</t>
  </si>
  <si>
    <t>CHIAPAS|A01 003 DONA NELLY|20260907|20260911|CEDA|CEDA PISO|CSA04120|CEDA PISO PRODUCTORAS</t>
  </si>
  <si>
    <t>CHIAPAS|A01 003 DONA NELLY|20260907|20260911|CEDA|CEDA PISO|CSA04120|CEDA PISO PRODUCTORAS|1</t>
  </si>
  <si>
    <t>CHIAPAS|A01 003 DONA NELLY|20260907|20260911|CEDA|CEDA PISO|CSA04120|CEDA PISO PRODUCTORAS|2</t>
  </si>
  <si>
    <t>A01003-370709-3</t>
  </si>
  <si>
    <t>CHIAPAS|A01 003 DONA NELLY|20260907|20260911|CEDA|CEDA PISO|CMN05123|CEDA PISO PRODUCTORAS</t>
  </si>
  <si>
    <t>CHIAPAS|A01 003 DONA NELLY|20260907|20260911|CEDA|CEDA PISO|CMN05123|CEDA PISO PRODUCTORAS|1</t>
  </si>
  <si>
    <t>CHIAPAS|A01 003 DONA NELLY|20260907|20260911|CEDA|CEDA PISO|CMN05123|CEDA PISO PRODUCTORAS|2</t>
  </si>
  <si>
    <t>A01003-370709-5</t>
  </si>
  <si>
    <t>CHIAPAS|A01 003 DONA NELLY|20260907|20260911|CEDA|CEDA PISO|CDS04122|CEDA PISO PRODUCTORAS</t>
  </si>
  <si>
    <t>CHIAPAS|A01 003 DONA NELLY|20260907|20260911|CEDA|CEDA PISO|CDS04122|CEDA PISO PRODUCTORAS|1</t>
  </si>
  <si>
    <t>A11045-370809-1</t>
  </si>
  <si>
    <t>CHIAPAS|A11 045 SECTOR MAZATAN|20260908|20260911|MCALLEN|CHANITOS INT|CPR01104|20 CONVENCIONAL F1-2</t>
  </si>
  <si>
    <t>CHIAPAS|A11 045 SECTOR MAZATAN|20260908|20260911|MCALLEN|CHANITOS INT|CPR01104|20 CONVENCIONAL F1-2|1</t>
  </si>
  <si>
    <t>41925</t>
  </si>
  <si>
    <t>CHIAPAS|A11 045 SECTOR MAZATAN|20260908|20260913|SMO|WM|CPR01102|24 CONVENCIONAL</t>
  </si>
  <si>
    <t>CHIAPAS|A11 045 SECTOR MAZATAN|20260908|20260913|SMO|WM|CPR01102|24 CONVENCIONAL|1</t>
  </si>
  <si>
    <t>A04084-370809-1</t>
  </si>
  <si>
    <t>42953</t>
  </si>
  <si>
    <t>CHIAPAS|A04 084 LISBOA|20260908|20260912|MCALLEN|CHANITOS INT|CPR01104|20 CONVENCIONAL F2-1</t>
  </si>
  <si>
    <t>CHIAPAS|A04 084 LISBOA|20260908|20260912|MCALLEN|CHANITOS INT|CPR01104|20 CONVENCIONAL F2-1|1</t>
  </si>
  <si>
    <t>A04039-370809-1</t>
  </si>
  <si>
    <t>43704</t>
  </si>
  <si>
    <t>CHIAPAS|A04 039 SAN JOSE MORELIA NAVA|20260908|20260914|MCALLEN|CHANITOS INT|CPR01104|20 CONVENCIONAL F3-2</t>
  </si>
  <si>
    <t>CHIAPAS|A04 039 SAN JOSE MORELIA NAVA|20260908|20260914|MCALLEN|CHANITOS INT|CPR01104|20 CONVENCIONAL F3-2|1</t>
  </si>
  <si>
    <t>43489</t>
  </si>
  <si>
    <t>CHIAPAS|A04 039 SAN JOSE MORELIA NAVA|20260908|20260916|S-MTY|SMART|CPR01103|20 CONVENCIONAL SM1</t>
  </si>
  <si>
    <t>CHIAPAS|A04 039 SAN JOSE MORELIA NAVA|20260908|20260916|S-MTY|SMART|CPR01103|20 CONVENCIONAL SM1|1</t>
  </si>
  <si>
    <t>A01001-370809-1</t>
  </si>
  <si>
    <t>43897</t>
  </si>
  <si>
    <t>CHIAPAS|A01 001 MARBELLA|20260908|20260913|JAPON|MAR|CPR03124|CP27-15 CP34-5</t>
  </si>
  <si>
    <t>CHIAPAS|A01 001 MARBELLA|20260908|20260913|JAPON|MAR|CPR03124|CP27-15 CP34-5|1</t>
  </si>
  <si>
    <t>CHIAPAS|A01 001 MARBELLA|20260908|20260913|JAPON|MAR|CPR03119|CP27-15 CP34-5</t>
  </si>
  <si>
    <t>CHIAPAS|A01 001 MARBELLA|20260908|20260913|JAPON|MAR|CPR03119|CP27-15 CP34-5|1</t>
  </si>
  <si>
    <t>CHIAPAS|A01 001 MARBELLA|20260908|20260912|VSA|WM|CPR01102|18 CONVENCIONAL Y 6 ORGANICO</t>
  </si>
  <si>
    <t>CHIAPAS|A01 001 MARBELLA|20260908|20260912|VSA|WM|CPR01102|18 CONVENCIONAL Y 6 ORGANICO|1</t>
  </si>
  <si>
    <t>CHIAPAS|A01 001 MARBELLA|20260908|20260910|CEDA|CEDA PISO|CPR01101|CEDA PISO PRODUCTORAS</t>
  </si>
  <si>
    <t>CHIAPAS|A01 001 MARBELLA|20260908|20260910|CEDA|CEDA PISO|CPR01101|CEDA PISO PRODUCTORAS|1</t>
  </si>
  <si>
    <t>A01001-370809-4</t>
  </si>
  <si>
    <t>CHIAPAS|A01 001 MARBELLA|20260908|20260910|CEDA|CEDA PISO|CSA04120|CEDA PISO PRODUCTORAS</t>
  </si>
  <si>
    <t>CHIAPAS|A01 001 MARBELLA|20260908|20260910|CEDA|CEDA PISO|CSA04120|CEDA PISO PRODUCTORAS|1</t>
  </si>
  <si>
    <t>A01001-370809-3</t>
  </si>
  <si>
    <t>CHIAPAS|A01 001 MARBELLA|20260908|20260910|CEDA|CEDA PISO|CMN05123|CEDA PISO PRODUCTORAS</t>
  </si>
  <si>
    <t>CHIAPAS|A01 001 MARBELLA|20260908|20260910|CEDA|CEDA PISO|CMN05123|CEDA PISO PRODUCTORAS|1</t>
  </si>
  <si>
    <t>A01001-370809-5</t>
  </si>
  <si>
    <t>CHIAPAS|A01 001 MARBELLA|20260908|20260910|CEDA|CEDA PISO|CDS04122|CEDA PISO PRODUCTORAS</t>
  </si>
  <si>
    <t>CHIAPAS|A01 001 MARBELLA|20260908|20260910|CEDA|CEDA PISO|CDS04122|CEDA PISO PRODUCTORAS|1</t>
  </si>
  <si>
    <t>A41100-370809-1</t>
  </si>
  <si>
    <t>CHIAPAS|A41 100 DONA LUPE JV|20260908|20260915|CEDA|CEDA AUTOSERVICIO|CPL08141|CEDA PLANTAIN</t>
  </si>
  <si>
    <t>CHIAPAS|A41 100 DONA LUPE JV|20260908|20260915|CEDA|CEDA AUTOSERVICIO|CPL08141|CEDA PLANTAIN|1</t>
  </si>
  <si>
    <t>CHIAPAS|A41 100 DONA LUPE JV|20260908|20260913|CEDA|CEDA AUTOSERVICIO|CPL08141|CEDA PLANTAIN</t>
  </si>
  <si>
    <t>CHIAPAS|A41 100 DONA LUPE JV|20260908|20260913|CEDA|CEDA AUTOSERVICIO|CPL08141|CEDA PLANTAIN|1</t>
  </si>
  <si>
    <t>A01003-370809-1</t>
  </si>
  <si>
    <t>CHIAPAS|A01 003 DONA NELLY|20260908|20260911|QRO|WM|CPR01102|22 CONVENCIONAL Y 2 ORG</t>
  </si>
  <si>
    <t>CHIAPAS|A01 003 DONA NELLY|20260908|20260911|QRO|WM|CPR01102|22 CONVENCIONAL Y 2 ORG|1</t>
  </si>
  <si>
    <t>CHIAPAS|A01 003 DONA NELLY|20260908|20260914|MTY|WM|CPR01102|22 CONVENCIONAL CON 5 CAJAS BAE Y 2 ORG</t>
  </si>
  <si>
    <t>CHIAPAS|A01 003 DONA NELLY|20260908|20260914|MTY|WM|CPR01102|22 CONVENCIONAL CON 5 CAJAS BAE Y 2 ORG|1</t>
  </si>
  <si>
    <t>42983</t>
  </si>
  <si>
    <t>CHIAPAS|A01 003 DONA NELLY|20260908|20260914|VSA|WM|CPR01102|24 CONVENCIONAL ADICIONAL</t>
  </si>
  <si>
    <t>CHIAPAS|A01 003 DONA NELLY|20260908|20260914|VSA|WM|CPR01102|24 CONVENCIONAL ADICIONAL|1</t>
  </si>
  <si>
    <t>41924</t>
  </si>
  <si>
    <t>CHIAPAS|A01 003 DONA NELLY|20260908|20260912|SMO|WM|CPR01102|24 CONVENCIONAL ADICIONAL</t>
  </si>
  <si>
    <t>CHIAPAS|A01 003 DONA NELLY|20260908|20260912|SMO|WM|CPR01102|24 CONVENCIONAL ADICIONAL|1</t>
  </si>
  <si>
    <t>CHIAPAS|A01 003 DONA NELLY|20260908|20260914|VSA|WM|CPR01102|24 CONVENCIONAL ADICIONAL|2</t>
  </si>
  <si>
    <t>CHIAPAS|A01 003 DONA NELLY|20260908|20260910|CEDA|CEDA PISO|CPR01101|CEDA PISO PRODUCTORAS</t>
  </si>
  <si>
    <t>CHIAPAS|A01 003 DONA NELLY|20260908|20260910|CEDA|CEDA PISO|CPR01101|CEDA PISO PRODUCTORAS|1</t>
  </si>
  <si>
    <t>A01003-370809-4</t>
  </si>
  <si>
    <t>CHIAPAS|A01 003 DONA NELLY|20260908|20260910|CEDA|CEDA PISO|CSA04120|CEDA PISO PRODUCTORAS</t>
  </si>
  <si>
    <t>CHIAPAS|A01 003 DONA NELLY|20260908|20260910|CEDA|CEDA PISO|CSA04120|CEDA PISO PRODUCTORAS|1</t>
  </si>
  <si>
    <t>A01003-370809-3</t>
  </si>
  <si>
    <t>CHIAPAS|A01 003 DONA NELLY|20260908|20260910|CEDA|CEDA PISO|CMN05123|CEDA PISO PRODUCTORAS</t>
  </si>
  <si>
    <t>CHIAPAS|A01 003 DONA NELLY|20260908|20260910|CEDA|CEDA PISO|CMN05123|CEDA PISO PRODUCTORAS|1</t>
  </si>
  <si>
    <t>A01003-370809-5</t>
  </si>
  <si>
    <t>CHIAPAS|A01 003 DONA NELLY|20260908|20260910|CEDA|CEDA PISO|CDS04122|CEDA PISO PRODUCTORAS</t>
  </si>
  <si>
    <t>CHIAPAS|A01 003 DONA NELLY|20260908|20260910|CEDA|CEDA PISO|CDS04122|CEDA PISO PRODUCTORAS|1</t>
  </si>
  <si>
    <t>A01002-370809-1</t>
  </si>
  <si>
    <t>CHIAPAS|A01 002 FORTALEZA|20260908|20260912|VSA|WM|CPR01102|18 CONVENCIONAL Y 6 ORGANICO</t>
  </si>
  <si>
    <t>CHIAPAS|A01 002 FORTALEZA|20260908|20260912|VSA|WM|CPR01102|18 CONVENCIONAL Y 6 ORGANICO|1</t>
  </si>
  <si>
    <t>42840</t>
  </si>
  <si>
    <t>CHIAPAS|A01 002 FORTALEZA|20260908|20260912|VSA|WM|CRG07128|18 CONVENCIONAL Y 6 ORGANICO</t>
  </si>
  <si>
    <t>CHIAPAS|A01 002 FORTALEZA|20260908|20260912|VSA|WM|CRG07128|18 CONVENCIONAL Y 6 ORGANICO|1</t>
  </si>
  <si>
    <t>CHIAPAS|A01 002 FORTALEZA|20260908|20260912|SMO|WM|CPR01102|24 CONVENCIONAL ADICIONAL</t>
  </si>
  <si>
    <t>CHIAPAS|A01 002 FORTALEZA|20260908|20260912|SMO|WM|CPR01102|24 CONVENCIONAL ADICIONAL|1</t>
  </si>
  <si>
    <t>CHIAPAS|A01 002 FORTALEZA|20260908|20260910|CEDA|CEDA PISO|CPR01101|CEDA PISO PRODUCTORAS</t>
  </si>
  <si>
    <t>CHIAPAS|A01 002 FORTALEZA|20260908|20260910|CEDA|CEDA PISO|CPR01101|CEDA PISO PRODUCTORAS|1</t>
  </si>
  <si>
    <t>A01002-370809-4</t>
  </si>
  <si>
    <t>CHIAPAS|A01 002 FORTALEZA|20260908|20260910|CEDA|CEDA PISO|CSA04120|CEDA PISO PRODUCTORAS</t>
  </si>
  <si>
    <t>CHIAPAS|A01 002 FORTALEZA|20260908|20260910|CEDA|CEDA PISO|CSA04120|CEDA PISO PRODUCTORAS|1</t>
  </si>
  <si>
    <t>A01002-370809-3</t>
  </si>
  <si>
    <t>CHIAPAS|A01 002 FORTALEZA|20260908|20260910|CEDA|CEDA PISO|CMN05123|CEDA PISO PRODUCTORAS</t>
  </si>
  <si>
    <t>CHIAPAS|A01 002 FORTALEZA|20260908|20260910|CEDA|CEDA PISO|CMN05123|CEDA PISO PRODUCTORAS|1</t>
  </si>
  <si>
    <t>A01002-370809-5</t>
  </si>
  <si>
    <t>CHIAPAS|A01 002 FORTALEZA|20260908|20260910|CEDA|CEDA PISO|CDS04122|CEDA PISO PRODUCTORAS</t>
  </si>
  <si>
    <t>CHIAPAS|A01 002 FORTALEZA|20260908|20260910|CEDA|CEDA PISO|CDS04122|CEDA PISO PRODUCTORAS|1</t>
  </si>
  <si>
    <t>A11045-370909-1</t>
  </si>
  <si>
    <t>CHIAPAS|A11 045 SECTOR MAZATAN|20260909|20260913|SMO|WM|CPR01102|24 CONVENCIONAL</t>
  </si>
  <si>
    <t>CHIAPAS|A11 045 SECTOR MAZATAN|20260909|20260913|SMO|WM|CPR01102|24 CONVENCIONAL|1</t>
  </si>
  <si>
    <t>A04084-370909-1</t>
  </si>
  <si>
    <t>CHIAPAS|A04 084 LISBOA|20260909|20260916|MCALLEN|CHANITOS INT|CPR01104|20 CONVENCIONAL F5-1</t>
  </si>
  <si>
    <t>CHIAPAS|A04 084 LISBOA|20260909|20260916|MCALLEN|CHANITOS INT|CPR01104|20 CONVENCIONAL F5-1|1</t>
  </si>
  <si>
    <t>A04039-370909-1</t>
  </si>
  <si>
    <t>CHIAPAS|A04 039 SAN JOSE MORELIA NAVA|20260909|20260916|S-MTY|SMART|CPR01103|20 CONVENCIONAL SM1</t>
  </si>
  <si>
    <t>CHIAPAS|A04 039 SAN JOSE MORELIA NAVA|20260909|20260916|S-MTY|SMART|CPR01103|20 CONVENCIONAL SM1|1</t>
  </si>
  <si>
    <t>44481</t>
  </si>
  <si>
    <t>CHIAPAS|A04 039 SAN JOSE MORELIA NAVA|20260909|20260914|S-MTY|SMART|CPR01103|24 CONVENCIONAL ADICIONAL</t>
  </si>
  <si>
    <t>CHIAPAS|A04 039 SAN JOSE MORELIA NAVA|20260909|20260914|S-MTY|SMART|CPR01103|24 CONVENCIONAL ADICIONAL|1</t>
  </si>
  <si>
    <t>CHIAPAS|A04 039 SAN JOSE MORELIA NAVA|20260909|20260914|S-MTY|SMART|CPR01103|24 CONVENCIONAL ADICIONAL|2</t>
  </si>
  <si>
    <t>CHIAPAS|A01 002 FORTALEZA|20260908|20260914|VSA|WM|CPR01102|24 CONVENCIONAL ADICIONAL</t>
  </si>
  <si>
    <t>CHIAPAS|A01 002 FORTALEZA|20260908|20260914|VSA|WM|CPR01102|24 CONVENCIONAL ADICIONAL|1</t>
  </si>
  <si>
    <t>A01002-370909-1</t>
  </si>
  <si>
    <t>43473</t>
  </si>
  <si>
    <t>CHIAPAS|A01 002 FORTALEZA|20260909|20260914|QRO|WM|CRG07128|22 CONVENCIONAL Y 2 ORG</t>
  </si>
  <si>
    <t>CHIAPAS|A01 002 FORTALEZA|20260909|20260914|QRO|WM|CRG07128|22 CONVENCIONAL Y 2 ORG|1</t>
  </si>
  <si>
    <t>44248</t>
  </si>
  <si>
    <t>CHIAPAS|A01 002 FORTALEZA|20260909|20260914|SMO|WM|CPR01102|24 CONVENCIONAL ADICIONAL</t>
  </si>
  <si>
    <t>CHIAPAS|A01 002 FORTALEZA|20260909|20260914|SMO|WM|CPR01102|24 CONVENCIONAL ADICIONAL|1</t>
  </si>
  <si>
    <t>42147</t>
  </si>
  <si>
    <t>CHIAPAS|A01 002 FORTALEZA|20260909|20260914|VSA|WM|CRG07128|18 CONVENCIONAL Y 6 ORGANICO</t>
  </si>
  <si>
    <t>CHIAPAS|A01 002 FORTALEZA|20260909|20260914|VSA|WM|CRG07128|18 CONVENCIONAL Y 6 ORGANICO|1</t>
  </si>
  <si>
    <t>CHIAPAS|A01 002 FORTALEZA|20260909|20260911|CEDA|CEDA PISO|CPR01101|CEDA PISO PRODUCTORAS</t>
  </si>
  <si>
    <t>CHIAPAS|A01 002 FORTALEZA|20260909|20260911|CEDA|CEDA PISO|CPR01101|CEDA PISO PRODUCTORAS|1</t>
  </si>
  <si>
    <t>A01002-370909-4</t>
  </si>
  <si>
    <t>CHIAPAS|A01 002 FORTALEZA|20260909|20260911|CEDA|CEDA PISO|CSA04120|CEDA PISO PRODUCTORAS</t>
  </si>
  <si>
    <t>CHIAPAS|A01 002 FORTALEZA|20260909|20260911|CEDA|CEDA PISO|CSA04120|CEDA PISO PRODUCTORAS|1</t>
  </si>
  <si>
    <t>A01002-370909-3</t>
  </si>
  <si>
    <t>CHIAPAS|A01 002 FORTALEZA|20260909|20260911|CEDA|CEDA PISO|CMN05123|CEDA PISO PRODUCTORAS</t>
  </si>
  <si>
    <t>CHIAPAS|A01 002 FORTALEZA|20260909|20260911|CEDA|CEDA PISO|CMN05123|CEDA PISO PRODUCTORAS|1</t>
  </si>
  <si>
    <t>A01002-370909-5</t>
  </si>
  <si>
    <t>CHIAPAS|A01 002 FORTALEZA|20260909|20260911|CEDA|CEDA PISO|CDS04122|CEDA PISO PRODUCTORAS</t>
  </si>
  <si>
    <t>CHIAPAS|A01 002 FORTALEZA|20260909|20260911|CEDA|CEDA PISO|CDS04122|CEDA PISO PRODUCTORAS|1</t>
  </si>
  <si>
    <t>A01004-370909-1</t>
  </si>
  <si>
    <t>CHIAPAS|A01 004 LA CEIBA|20260909|20260914|SMO|WM|CPR01102|24 CONVENCIONAL ADICIONAL</t>
  </si>
  <si>
    <t>CHIAPAS|A01 004 LA CEIBA|20260909|20260914|SMO|WM|CPR01102|24 CONVENCIONAL ADICIONAL|1</t>
  </si>
  <si>
    <t>41948</t>
  </si>
  <si>
    <t>CHIAPAS|A01 004 LA CEIBA|20260909|20260914|VSA|WM|CPR01102|18 CONVENCIONAL Y 6 ORGANICO</t>
  </si>
  <si>
    <t>CHIAPAS|A01 004 LA CEIBA|20260909|20260914|VSA|WM|CPR01102|18 CONVENCIONAL Y 6 ORGANICO|1</t>
  </si>
  <si>
    <t>CHIAPAS|A01 004 LA CEIBA|20260909|20260911|CEDA|CEDA PISO|CPR01101|CEDA PISO PRODUCTORAS</t>
  </si>
  <si>
    <t>CHIAPAS|A01 004 LA CEIBA|20260909|20260911|CEDA|CEDA PISO|CPR01101|CEDA PISO PRODUCTORAS|1</t>
  </si>
  <si>
    <t>A01004-370909-4</t>
  </si>
  <si>
    <t>CHIAPAS|A01 004 LA CEIBA|20260909|20260911|CEDA|CEDA PISO|CSA04120|CEDA PISO PRODUCTORAS</t>
  </si>
  <si>
    <t>CHIAPAS|A01 004 LA CEIBA|20260909|20260911|CEDA|CEDA PISO|CSA04120|CEDA PISO PRODUCTORAS|1</t>
  </si>
  <si>
    <t>A01004-370909-3</t>
  </si>
  <si>
    <t>CHIAPAS|A01 004 LA CEIBA|20260909|20260911|CEDA|CEDA PISO|CMN05123|CEDA PISO PRODUCTORAS</t>
  </si>
  <si>
    <t>CHIAPAS|A01 004 LA CEIBA|20260909|20260911|CEDA|CEDA PISO|CMN05123|CEDA PISO PRODUCTORAS|1</t>
  </si>
  <si>
    <t>A01004-370909-5</t>
  </si>
  <si>
    <t>CHIAPAS|A01 004 LA CEIBA|20260909|20260911|CEDA|CEDA PISO|CDS04122|CEDA PISO PRODUCTORAS</t>
  </si>
  <si>
    <t>CHIAPAS|A01 004 LA CEIBA|20260909|20260911|CEDA|CEDA PISO|CDS04122|CEDA PISO PRODUCTORAS|1</t>
  </si>
  <si>
    <t>A01001-370909-1</t>
  </si>
  <si>
    <t>43120</t>
  </si>
  <si>
    <t>CHIAPAS|A01 001 MARBELLA|20260909|20260914|CHALCO|WM|CPR01102|23 CONVENCIONAL Y 1 BAE</t>
  </si>
  <si>
    <t>CHIAPAS|A01 001 MARBELLA|20260909|20260914|CHALCO|WM|CPR01102|23 CONVENCIONAL Y 1 BAE|1</t>
  </si>
  <si>
    <t>CHIAPAS|A01 001 MARBELLA|20260909|20260914|CHALCO|WM|CPR01114|23 CONVENCIONAL Y 1 BAE</t>
  </si>
  <si>
    <t>CHIAPAS|A01 001 MARBELLA|20260909|20260914|CHALCO|WM|CPR01114|23 CONVENCIONAL Y 1 BAE|1</t>
  </si>
  <si>
    <t>CHIAPAS|A01 001 MARBELLA|20260909|20260911|CEDA|CEDA AUTOSERVICIO|CPL08141|CEDA</t>
  </si>
  <si>
    <t>CHIAPAS|A01 001 MARBELLA|20260909|20260911|CEDA|CEDA AUTOSERVICIO|CPL08141|CEDA|1</t>
  </si>
  <si>
    <t>CHIAPAS|A01 001 MARBELLA|20260909|20260911|CEDA|CEDA PISO|CPL08135|CEDA PISO PRODUCTORAS</t>
  </si>
  <si>
    <t>CHIAPAS|A01 001 MARBELLA|20260909|20260911|CEDA|CEDA PISO|CPL08135|CEDA PISO PRODUCTORAS|1</t>
  </si>
  <si>
    <t>CHIAPAS|A01 001 MARBELLA|20260909|20260911|CEDA|CEDA PISO|CPR01101|CEDA PISO PRODUCTORAS</t>
  </si>
  <si>
    <t>CHIAPAS|A01 001 MARBELLA|20260909|20260911|CEDA|CEDA PISO|CPR01101|CEDA PISO PRODUCTORAS|1</t>
  </si>
  <si>
    <t>A01001-370909-4</t>
  </si>
  <si>
    <t>CHIAPAS|A01 001 MARBELLA|20260909|20260911|CEDA|CEDA PISO|CSA04120|CEDA PISO PRODUCTORAS</t>
  </si>
  <si>
    <t>CHIAPAS|A01 001 MARBELLA|20260909|20260911|CEDA|CEDA PISO|CSA04120|CEDA PISO PRODUCTORAS|1</t>
  </si>
  <si>
    <t>A01001-370909-3</t>
  </si>
  <si>
    <t>CHIAPAS|A01 001 MARBELLA|20260909|20260911|CEDA|CEDA PISO|CMN05123|CEDA PISO PRODUCTORAS</t>
  </si>
  <si>
    <t>CHIAPAS|A01 001 MARBELLA|20260909|20260911|CEDA|CEDA PISO|CMN05123|CEDA PISO PRODUCTORAS|1</t>
  </si>
  <si>
    <t>A01001-370909-5</t>
  </si>
  <si>
    <t>CHIAPAS|A01 001 MARBELLA|20260909|20260911|CEDA|CEDA PISO|CDS04122|CEDA PISO PRODUCTORAS</t>
  </si>
  <si>
    <t>CHIAPAS|A01 001 MARBELLA|20260909|20260911|CEDA|CEDA PISO|CDS04122|CEDA PISO PRODUCTORAS|1</t>
  </si>
  <si>
    <t>A04084-371009-1</t>
  </si>
  <si>
    <t>43714</t>
  </si>
  <si>
    <t>CHIAPAS|A04 084 LISBOA|20260910|20260915|MCALLEN|CHANITOS INT|CPR01104|20 CONVENCIONAL F4-1</t>
  </si>
  <si>
    <t>CHIAPAS|A04 084 LISBOA|20260910|20260915|MCALLEN|CHANITOS INT|CPR01104|20 CONVENCIONAL F4-1|1</t>
  </si>
  <si>
    <t>A04039-371009-1</t>
  </si>
  <si>
    <t>43710</t>
  </si>
  <si>
    <t>CHIAPAS|A04 039 SAN JOSE MORELIA NAVA|20260910|20260915|MCALLEN|CHANITOS INT|CPR01104|20 CONVENCIONAL F4-2</t>
  </si>
  <si>
    <t>CHIAPAS|A04 039 SAN JOSE MORELIA NAVA|20260910|20260915|MCALLEN|CHANITOS INT|CPR01104|20 CONVENCIONAL F4-2|1</t>
  </si>
  <si>
    <t>A04037-371009-1</t>
  </si>
  <si>
    <t>CHIAPAS|A04 037 JOSEFINA NAVA|20260910|20260914|QRO|WM|CPR01102|22 CONVENCIONAL Y 2 ORG</t>
  </si>
  <si>
    <t>CHIAPAS|A04 037 JOSEFINA NAVA|20260910|20260914|QRO|WM|CPR01102|22 CONVENCIONAL Y 2 ORG|1</t>
  </si>
  <si>
    <t>A06043-371009-1</t>
  </si>
  <si>
    <t>CHIAPAS|A06 043 NUESTRA SENORA|20260910|20260914|MCALLEN|CHANITOS INT|CPR01104|20 CONVENCIONAL F3-1</t>
  </si>
  <si>
    <t>CHIAPAS|A06 043 NUESTRA SENORA|20260910|20260914|MCALLEN|CHANITOS INT|CPR01104|20 CONVENCIONAL F3-1|1</t>
  </si>
  <si>
    <t>A01003-371009-1</t>
  </si>
  <si>
    <t>CHIAPAS|A01 003 DONA NELLY|20260910|20260916|S-MTY|SMART|CPR01103|20 CONVENCIONAL SM1</t>
  </si>
  <si>
    <t>CHIAPAS|A01 003 DONA NELLY|20260910|20260916|S-MTY|SMART|CPR01103|20 CONVENCIONAL SM1|1</t>
  </si>
  <si>
    <t>CHIAPAS|A01 003 DONA NELLY|20260910|20260916|S-MTY|SMART|CPR01103|20 CONVENCIONAL SM2</t>
  </si>
  <si>
    <t>CHIAPAS|A01 003 DONA NELLY|20260910|20260916|S-MTY|SMART|CPR01103|20 CONVENCIONAL SM2|1</t>
  </si>
  <si>
    <t>CHIAPAS|A01 003 DONA NELLY|20260910|20260914|VSA|WM|CPR01102|24 CONVENCIONAL ADICIONAL</t>
  </si>
  <si>
    <t>CHIAPAS|A01 003 DONA NELLY|20260910|20260914|VSA|WM|CPR01102|24 CONVENCIONAL ADICIONAL|1</t>
  </si>
  <si>
    <t>CHIAPAS|A01 003 DONA NELLY|20260910|20260912|CEDA|CEDA PISO|CPR01101|CEDA PISO PRODUCTORAS</t>
  </si>
  <si>
    <t>CHIAPAS|A01 003 DONA NELLY|20260910|20260912|CEDA|CEDA PISO|CPR01101|CEDA PISO PRODUCTORAS|1</t>
  </si>
  <si>
    <t>A01003-371009-4</t>
  </si>
  <si>
    <t>CHIAPAS|A01 003 DONA NELLY|20260910|20260912|CEDA|CEDA PISO|CSA04120|CEDA PISO PRODUCTORAS</t>
  </si>
  <si>
    <t>CHIAPAS|A01 003 DONA NELLY|20260910|20260912|CEDA|CEDA PISO|CSA04120|CEDA PISO PRODUCTORAS|1</t>
  </si>
  <si>
    <t>A01003-371009-3</t>
  </si>
  <si>
    <t>CHIAPAS|A01 003 DONA NELLY|20260910|20260912|CEDA|CEDA PISO|CMN05123|CEDA PISO PRODUCTORAS</t>
  </si>
  <si>
    <t>CHIAPAS|A01 003 DONA NELLY|20260910|20260912|CEDA|CEDA PISO|CMN05123|CEDA PISO PRODUCTORAS|1</t>
  </si>
  <si>
    <t>A01003-371009-5</t>
  </si>
  <si>
    <t>CHIAPAS|A01 003 DONA NELLY|20260910|20260912|CEDA|CEDA PISO|CDS04122|CEDA PISO PRODUCTORAS</t>
  </si>
  <si>
    <t>CHIAPAS|A01 003 DONA NELLY|20260910|20260912|CEDA|CEDA PISO|CDS04122|CEDA PISO PRODUCTORAS|1</t>
  </si>
  <si>
    <t>A01001-371009-1</t>
  </si>
  <si>
    <t>43121</t>
  </si>
  <si>
    <t>CHIAPAS|A01 001 MARBELLA|20260910|20260915|CHALCO|WM|CPR01102|23 CONVENCIONAL Y 1 BAE</t>
  </si>
  <si>
    <t>CHIAPAS|A01 001 MARBELLA|20260910|20260915|CHALCO|WM|CPR01102|23 CONVENCIONAL Y 1 BAE|1</t>
  </si>
  <si>
    <t>CHIAPAS|A01 001 MARBELLA|20260910|20260912|CEDA|CEDA PISO|CPR01101|CEDA PISO PRODUCTORAS</t>
  </si>
  <si>
    <t>CHIAPAS|A01 001 MARBELLA|20260910|20260912|CEDA|CEDA PISO|CPR01101|CEDA PISO PRODUCTORAS|1</t>
  </si>
  <si>
    <t>A01001-371009-4</t>
  </si>
  <si>
    <t>CHIAPAS|A01 001 MARBELLA|20260910|20260912|CEDA|CEDA PISO|CSA04120|CEDA PISO PRODUCTORAS</t>
  </si>
  <si>
    <t>CHIAPAS|A01 001 MARBELLA|20260910|20260912|CEDA|CEDA PISO|CSA04120|CEDA PISO PRODUCTORAS|1</t>
  </si>
  <si>
    <t>A01001-371009-3</t>
  </si>
  <si>
    <t>CHIAPAS|A01 001 MARBELLA|20260910|20260912|CEDA|CEDA PISO|CMN05123|CEDA PISO PRODUCTORAS</t>
  </si>
  <si>
    <t>CHIAPAS|A01 001 MARBELLA|20260910|20260912|CEDA|CEDA PISO|CMN05123|CEDA PISO PRODUCTORAS|1</t>
  </si>
  <si>
    <t>A01001-371009-5</t>
  </si>
  <si>
    <t>CHIAPAS|A01 001 MARBELLA|20260910|20260912|CEDA|CEDA PISO|CDS04122|CEDA PISO PRODUCTORAS</t>
  </si>
  <si>
    <t>CHIAPAS|A01 001 MARBELLA|20260910|20260912|CEDA|CEDA PISO|CDS04122|CEDA PISO PRODUCTORAS|1</t>
  </si>
  <si>
    <t>A01002-371009-1</t>
  </si>
  <si>
    <t>CHIAPAS|A01 002 FORTALEZA|20260910|20260915|CHALCO|WM|CPR01114|23 CONVENCIONAL Y 1 BAE</t>
  </si>
  <si>
    <t>CHIAPAS|A01 002 FORTALEZA|20260910|20260915|CHALCO|WM|CPR01114|23 CONVENCIONAL Y 1 BAE|1</t>
  </si>
  <si>
    <t>CHIAPAS|A01 002 FORTALEZA|20260910|20260914|VSA|WM|CRG07128|18 CONVENCIONAL Y 6 ORGANICO</t>
  </si>
  <si>
    <t>CHIAPAS|A01 002 FORTALEZA|20260910|20260914|VSA|WM|CRG07128|18 CONVENCIONAL Y 6 ORGANICO|1</t>
  </si>
  <si>
    <t>43125</t>
  </si>
  <si>
    <t>CHIAPAS|A01 002 FORTALEZA|20260910|20260914|MTY|WM|CPR01114|22 CONVENCIONAL CON 5 CAJAS BAE Y 2 ORG</t>
  </si>
  <si>
    <t>CHIAPAS|A01 002 FORTALEZA|20260910|20260914|MTY|WM|CPR01114|22 CONVENCIONAL CON 5 CAJAS BAE Y 2 ORG|1</t>
  </si>
  <si>
    <t>43802</t>
  </si>
  <si>
    <t>CHIAPAS|A01 002 FORTALEZA|20260910|20260918|S-MTY|SMART|CPR01103|20 CONVENCIONAL SM3</t>
  </si>
  <si>
    <t>CHIAPAS|A01 002 FORTALEZA|20260910|20260918|S-MTY|SMART|CPR01103|20 CONVENCIONAL SM3|1</t>
  </si>
  <si>
    <t>CHIAPAS|A01 002 FORTALEZA|20260910|20260914|MTY|WM|CPR01102|22 CONVENCIONAL CON 5 CAJAS BAE Y 2 ORG</t>
  </si>
  <si>
    <t>CHIAPAS|A01 002 FORTALEZA|20260910|20260914|MTY|WM|CPR01102|22 CONVENCIONAL CON 5 CAJAS BAE Y 2 ORG|1</t>
  </si>
  <si>
    <t>43127</t>
  </si>
  <si>
    <t>CHIAPAS|A01 002 FORTALEZA|20260910|20260914|MTY|WM|CRG07128|22 CONVENCIONAL CON 5 CAJAS BAE Y 2 ORG</t>
  </si>
  <si>
    <t>CHIAPAS|A01 002 FORTALEZA|20260910|20260914|MTY|WM|CRG07128|22 CONVENCIONAL CON 5 CAJAS BAE Y 2 ORG|1</t>
  </si>
  <si>
    <t>CHIAPAS|A01 002 FORTALEZA|20260910|20260914|SMO|WM|CPR01102|24 CONVENCIONAL ADICIONAL</t>
  </si>
  <si>
    <t>CHIAPAS|A01 002 FORTALEZA|20260910|20260914|SMO|WM|CPR01102|24 CONVENCIONAL ADICIONAL|1</t>
  </si>
  <si>
    <t>41926</t>
  </si>
  <si>
    <t>CHIAPAS|A01 002 FORTALEZA|20260910|20260916|SMO|WM|CPR01102|24 CONVENCIONAL</t>
  </si>
  <si>
    <t>CHIAPAS|A01 002 FORTALEZA|20260910|20260916|SMO|WM|CPR01102|24 CONVENCIONAL|1</t>
  </si>
  <si>
    <t>CHIAPAS|A01 002 FORTALEZA|20260910|20260912|CEDA|CEDA PISO|CPR01101|CEDA PISO PRODUCTORAS</t>
  </si>
  <si>
    <t>CHIAPAS|A01 002 FORTALEZA|20260910|20260912|CEDA|CEDA PISO|CPR01101|CEDA PISO PRODUCTORAS|1</t>
  </si>
  <si>
    <t>A01002-371009-4</t>
  </si>
  <si>
    <t>CHIAPAS|A01 002 FORTALEZA|20260910|20260912|CEDA|CEDA PISO|CSA04120|CEDA PISO PRODUCTORAS</t>
  </si>
  <si>
    <t>CHIAPAS|A01 002 FORTALEZA|20260910|20260912|CEDA|CEDA PISO|CSA04120|CEDA PISO PRODUCTORAS|1</t>
  </si>
  <si>
    <t>A01002-371009-3</t>
  </si>
  <si>
    <t>CHIAPAS|A01 002 FORTALEZA|20260910|20260912|CEDA|CEDA PISO|CMN05123|CEDA PISO PRODUCTORAS</t>
  </si>
  <si>
    <t>CHIAPAS|A01 002 FORTALEZA|20260910|20260912|CEDA|CEDA PISO|CMN05123|CEDA PISO PRODUCTORAS|1</t>
  </si>
  <si>
    <t>A01002-371009-5</t>
  </si>
  <si>
    <t>CHIAPAS|A01 002 FORTALEZA|20260910|20260912|CEDA|CEDA PISO|CDS04122|CEDA PISO PRODUCTORAS</t>
  </si>
  <si>
    <t>CHIAPAS|A01 002 FORTALEZA|20260910|20260912|CEDA|CEDA PISO|CDS04122|CEDA PISO PRODUCTORAS|1</t>
  </si>
  <si>
    <t>A04084-371109-1</t>
  </si>
  <si>
    <t>CHIAPAS|A04 084 LISBOA|20260911|20260915|MCALLEN|CHANITOS INT|CPR01104|20 CONVENCIONAL F4-1</t>
  </si>
  <si>
    <t>CHIAPAS|A04 084 LISBOA|20260911|20260915|MCALLEN|CHANITOS INT|CPR01104|20 CONVENCIONAL F4-1|1</t>
  </si>
  <si>
    <t>A06043-371109-1</t>
  </si>
  <si>
    <t>CHIAPAS|A06 043 NUESTRA SENORA|20260911|20260914|MCALLEN|CHANITOS INT|CPR01104|20 CONVENCIONAL F3-1</t>
  </si>
  <si>
    <t>CHIAPAS|A06 043 NUESTRA SENORA|20260911|20260914|MCALLEN|CHANITOS INT|CPR01104|20 CONVENCIONAL F3-1|1</t>
  </si>
  <si>
    <t>A27073-371109-1</t>
  </si>
  <si>
    <t>43721</t>
  </si>
  <si>
    <t>CHIAPAS|A27 073 PLANTACION|20260911|20260915|MCALLEN|CHANITOS INT|CPL08133|24 PLANTAIN</t>
  </si>
  <si>
    <t>CHIAPAS|A27 073 PLANTACION|20260911|20260915|MCALLEN|CHANITOS INT|CPL08133|24 PLANTAIN|1</t>
  </si>
  <si>
    <t>A05040-371109-1</t>
  </si>
  <si>
    <t>43723</t>
  </si>
  <si>
    <t>CHIAPAS|A05 040 PLATANEROS UNIDOS 1|20260911|20260916|MCALLEN|CHANITOS INT|CPR01104|20 CONVENCIONAL F5-2</t>
  </si>
  <si>
    <t>CHIAPAS|A05 040 PLATANEROS UNIDOS 1|20260911|20260916|MCALLEN|CHANITOS INT|CPR01104|20 CONVENCIONAL F5-2|1</t>
  </si>
  <si>
    <t>A01003-371109-1</t>
  </si>
  <si>
    <t>CHIAPAS|A01 003 DONA NELLY|20260911|20260916|SMO|WM|CPR01102|24 CONVENCIONAL</t>
  </si>
  <si>
    <t>CHIAPAS|A01 003 DONA NELLY|20260911|20260916|SMO|WM|CPR01102|24 CONVENCIONAL|1</t>
  </si>
  <si>
    <t>CHIAPAS|A01 003 DONA NELLY|20260911|20260918|S-MTY|SMART|CPR01103|20 CONVENCIONAL SM3</t>
  </si>
  <si>
    <t>CHIAPAS|A01 003 DONA NELLY|20260911|20260918|S-MTY|SMART|CPR01103|20 CONVENCIONAL SM3|1</t>
  </si>
  <si>
    <t>CHIAPAS|A01 003 DONA NELLY|20260911|20260914|VSA|WM|CPR01102|24 CONVENCIONAL ADICIONAL</t>
  </si>
  <si>
    <t>CHIAPAS|A01 003 DONA NELLY|20260911|20260914|VSA|WM|CPR01102|24 CONVENCIONAL ADICIONAL|1</t>
  </si>
  <si>
    <t>CHIAPAS|A01 003 DONA NELLY|20260911|20260918|CEDA|CEDA AUTOSERVICIO|CPR01102|CEDA</t>
  </si>
  <si>
    <t>CHIAPAS|A01 003 DONA NELLY|20260911|20260918|CEDA|CEDA AUTOSERVICIO|CPR01102|CEDA|1</t>
  </si>
  <si>
    <t>CHIAPAS|A01 003 DONA NELLY|20260911|20260918|CEDA|CEDA AUTOSERVICIO|CPR01102|CEDA|2</t>
  </si>
  <si>
    <t>CHIAPAS|A01 003 DONA NELLY|20260911|20260913|CEDA|CEDA PISO|CPR01101|CEDA PISO PRODUCTORAS</t>
  </si>
  <si>
    <t>CHIAPAS|A01 003 DONA NELLY|20260911|20260913|CEDA|CEDA PISO|CPR01101|CEDA PISO PRODUCTORAS|1</t>
  </si>
  <si>
    <t>A01003-371109-4</t>
  </si>
  <si>
    <t>CHIAPAS|A01 003 DONA NELLY|20260911|20260913|CEDA|CEDA PISO|CSA04120|CEDA PISO PRODUCTORAS</t>
  </si>
  <si>
    <t>CHIAPAS|A01 003 DONA NELLY|20260911|20260913|CEDA|CEDA PISO|CSA04120|CEDA PISO PRODUCTORAS|1</t>
  </si>
  <si>
    <t>A01003-371109-3</t>
  </si>
  <si>
    <t>CHIAPAS|A01 003 DONA NELLY|20260911|20260913|CEDA|CEDA PISO|CMN05123|CEDA PISO PRODUCTORAS</t>
  </si>
  <si>
    <t>CHIAPAS|A01 003 DONA NELLY|20260911|20260913|CEDA|CEDA PISO|CMN05123|CEDA PISO PRODUCTORAS|1</t>
  </si>
  <si>
    <t>A01003-371109-5</t>
  </si>
  <si>
    <t>CHIAPAS|A01 003 DONA NELLY|20260911|20260913|CEDA|CEDA PISO|CDS04122|CEDA PISO PRODUCTORAS</t>
  </si>
  <si>
    <t>CHIAPAS|A01 003 DONA NELLY|20260911|20260913|CEDA|CEDA PISO|CDS04122|CEDA PISO PRODUCTORAS|1</t>
  </si>
  <si>
    <t>A01001-371109-1</t>
  </si>
  <si>
    <t>CHIAPAS|A01 001 MARBELLA|20260911|20260916|SMO|WM|CPR01102|24 CONVENCIONAL</t>
  </si>
  <si>
    <t>CHIAPAS|A01 001 MARBELLA|20260911|20260916|SMO|WM|CPR01102|24 CONVENCIONAL|1</t>
  </si>
  <si>
    <t>44664</t>
  </si>
  <si>
    <t>CHIAPAS|A01 001 MARBELLA|20260911|20260916|CHALCO|WM|CPR01102|24 CONVENCIONAL</t>
  </si>
  <si>
    <t>CHIAPAS|A01 001 MARBELLA|20260911|20260916|CHALCO|WM|CPR01102|24 CONVENCIONAL|1</t>
  </si>
  <si>
    <t>CHIAPAS|A01 001 MARBELLA|20260911|20260913|CEDA|CEDA PISO|CPR01101|CEDA PISO PRODUCTORAS</t>
  </si>
  <si>
    <t>CHIAPAS|A01 001 MARBELLA|20260911|20260913|CEDA|CEDA PISO|CPR01101|CEDA PISO PRODUCTORAS|1</t>
  </si>
  <si>
    <t>A01001-371109-4</t>
  </si>
  <si>
    <t>CHIAPAS|A01 001 MARBELLA|20260911|20260913|CEDA|CEDA PISO|CSA04120|CEDA PISO PRODUCTORAS</t>
  </si>
  <si>
    <t>CHIAPAS|A01 001 MARBELLA|20260911|20260913|CEDA|CEDA PISO|CSA04120|CEDA PISO PRODUCTORAS|1</t>
  </si>
  <si>
    <t>A01001-371109-3</t>
  </si>
  <si>
    <t>CHIAPAS|A01 001 MARBELLA|20260911|20260913|CEDA|CEDA PISO|CMN05123|CEDA PISO PRODUCTORAS</t>
  </si>
  <si>
    <t>CHIAPAS|A01 001 MARBELLA|20260911|20260913|CEDA|CEDA PISO|CMN05123|CEDA PISO PRODUCTORAS|1</t>
  </si>
  <si>
    <t>A01001-371109-5</t>
  </si>
  <si>
    <t>CHIAPAS|A01 001 MARBELLA|20260911|20260913|CEDA|CEDA PISO|CDS04122|CEDA PISO PRODUCTORAS</t>
  </si>
  <si>
    <t>CHIAPAS|A01 001 MARBELLA|20260911|20260913|CEDA|CEDA PISO|CDS04122|CEDA PISO PRODUCTORAS|1</t>
  </si>
  <si>
    <t>A01002-371109-1</t>
  </si>
  <si>
    <t>CHIAPAS|A01 002 FORTALEZA|20260911|20260916|SMO|WM|CPR01102|24 CONVENCIONAL</t>
  </si>
  <si>
    <t>CHIAPAS|A01 002 FORTALEZA|20260911|20260916|SMO|WM|CPR01102|24 CONVENCIONAL|1</t>
  </si>
  <si>
    <t>43486</t>
  </si>
  <si>
    <t>CHIAPAS|A01 002 FORTALEZA|20260911|20260916|QRO|WM|CPR01102|22 CONVENCIONAL Y 2 ORG</t>
  </si>
  <si>
    <t>CHIAPAS|A01 002 FORTALEZA|20260911|20260916|QRO|WM|CPR01102|22 CONVENCIONAL Y 2 ORG|1</t>
  </si>
  <si>
    <t>CHIAPAS|A01 002 FORTALEZA|20260911|20260916|QRO|WM|CRG07128|22 CONVENCIONAL Y 2 ORG</t>
  </si>
  <si>
    <t>CHIAPAS|A01 002 FORTALEZA|20260911|20260916|QRO|WM|CRG07128|22 CONVENCIONAL Y 2 ORG|1</t>
  </si>
  <si>
    <t>CHIAPAS|A01 002 FORTALEZA|20260911|20260918|QRO|WM|CPR01102|23 CONVENCIONAL Y 1 ORG</t>
  </si>
  <si>
    <t>CHIAPAS|A01 002 FORTALEZA|20260911|20260918|QRO|WM|CPR01102|23 CONVENCIONAL Y 1 ORG|1</t>
  </si>
  <si>
    <t>CHIAPAS|A01 002 FORTALEZA|20260911|20260913|CEDA|CEDA PISO|CPR01101|CEDA PISO PRODUCTORAS</t>
  </si>
  <si>
    <t>CHIAPAS|A01 002 FORTALEZA|20260911|20260913|CEDA|CEDA PISO|CPR01101|CEDA PISO PRODUCTORAS|1</t>
  </si>
  <si>
    <t>A01002-371109-4</t>
  </si>
  <si>
    <t>CHIAPAS|A01 002 FORTALEZA|20260911|20260913|CEDA|CEDA PISO|CSA04120|CEDA PISO PRODUCTORAS</t>
  </si>
  <si>
    <t>CHIAPAS|A01 002 FORTALEZA|20260911|20260913|CEDA|CEDA PISO|CSA04120|CEDA PISO PRODUCTORAS|1</t>
  </si>
  <si>
    <t>A01002-371109-3</t>
  </si>
  <si>
    <t>CHIAPAS|A01 002 FORTALEZA|20260911|20260913|CEDA|CEDA PISO|CMN05123|CEDA PISO PRODUCTORAS</t>
  </si>
  <si>
    <t>CHIAPAS|A01 002 FORTALEZA|20260911|20260913|CEDA|CEDA PISO|CMN05123|CEDA PISO PRODUCTORAS|1</t>
  </si>
  <si>
    <t>A01002-371109-5</t>
  </si>
  <si>
    <t>CHIAPAS|A01 002 FORTALEZA|20260911|20260913|CEDA|CEDA PISO|CDS04122|CEDA PISO PRODUCTORAS</t>
  </si>
  <si>
    <t>CHIAPAS|A01 002 FORTALEZA|20260911|20260913|CEDA|CEDA PISO|CDS04122|CEDA PISO PRODUCTORAS|1</t>
  </si>
  <si>
    <t>CHIAPAS|A27 073 PLANTACION|20260911|20260915|MCALLEN|CHANITOS INT|CPL08133|24 PLANTAIN|2</t>
  </si>
  <si>
    <t>A04037-371209-1</t>
  </si>
  <si>
    <t>43728</t>
  </si>
  <si>
    <t>CHIAPAS|A04 037 JOSEFINA NAVA|20260912|20260917|MCALLEN|CHANITOS INT|CPR01104|20 CONVENCIONAL F6-1</t>
  </si>
  <si>
    <t>CHIAPAS|A04 037 JOSEFINA NAVA|20260912|20260917|MCALLEN|CHANITOS INT|CPR01104|20 CONVENCIONAL F6-1|1</t>
  </si>
  <si>
    <t>A04039-371209-1</t>
  </si>
  <si>
    <t>CHIAPAS|A04 039 SAN JOSE MORELIA NAVA|20260912|20260917|MCALLEN|CHANITOS INT|CPR01104|20 CONVENCIONAL F6-1</t>
  </si>
  <si>
    <t>CHIAPAS|A04 039 SAN JOSE MORELIA NAVA|20260912|20260917|MCALLEN|CHANITOS INT|CPR01104|20 CONVENCIONAL F6-1|1</t>
  </si>
  <si>
    <t>A04083-371209-1</t>
  </si>
  <si>
    <t>43730</t>
  </si>
  <si>
    <t>CHIAPAS|A04 083 SANTA MARIA|20260912|20260917|MCALLEN|CHANITOS INT|CPR01104|20 CONVENCIONAL F6-2</t>
  </si>
  <si>
    <t>CHIAPAS|A04 083 SANTA MARIA|20260912|20260917|MCALLEN|CHANITOS INT|CPR01104|20 CONVENCIONAL F6-2|1</t>
  </si>
  <si>
    <t>A11045-371209-1</t>
  </si>
  <si>
    <t>43733</t>
  </si>
  <si>
    <t>CHIAPAS|A11 045 SECTOR MAZATAN|20260912|20260918|MCALLEN|CHANITOS INT|CPR01104|20 CONVENCIONAL F7-1</t>
  </si>
  <si>
    <t>CHIAPAS|A11 045 SECTOR MAZATAN|20260912|20260918|MCALLEN|CHANITOS INT|CPR01104|20 CONVENCIONAL F7-1|1</t>
  </si>
  <si>
    <t>A11087-371209-1</t>
  </si>
  <si>
    <t>CHIAPAS|A11 087 19 DE ABRIL|20260912|20260918|S-MTY|SMART|CPR01103|20 CONVENCIONAL SM4</t>
  </si>
  <si>
    <t>CHIAPAS|A11 087 19 DE ABRIL|20260912|20260918|S-MTY|SMART|CPR01103|20 CONVENCIONAL SM4|1</t>
  </si>
  <si>
    <t>A41100-371209-1</t>
  </si>
  <si>
    <t>CHIAPAS|A41 100 DONA LUPE JV|20260912|20260915|CEDA|CEDA AUTOSERVICIO|CPL08141|CEDA PLANTAIN</t>
  </si>
  <si>
    <t>CHIAPAS|A41 100 DONA LUPE JV|20260912|20260915|CEDA|CEDA AUTOSERVICIO|CPL08141|CEDA PLANTAIN|1</t>
  </si>
  <si>
    <t>A01001-371209-1</t>
  </si>
  <si>
    <t>CHIAPAS|A01 001 MARBELLA|20260912|20260917|CHALCO|WM|CPR01102|22 CONVENCIONAL Y 96 CAJAS BAE</t>
  </si>
  <si>
    <t>CHIAPAS|A01 001 MARBELLA|20260912|20260917|CHALCO|WM|CPR01102|22 CONVENCIONAL Y 96 CAJAS BAE|1</t>
  </si>
  <si>
    <t>CHIAPAS|A01 001 MARBELLA|20260912|20260917|CHALCO|WM|CPR01114|22 CONVENCIONAL Y 96 CAJAS BAE</t>
  </si>
  <si>
    <t>CHIAPAS|A01 001 MARBELLA|20260912|20260917|CHALCO|WM|CPR01114|22 CONVENCIONAL Y 96 CAJAS BAE|1</t>
  </si>
  <si>
    <t>CHIAPAS|A01 001 MARBELLA|20260912|20260914|CEDA|CEDA PISO|CPR01101|CEDA PISO PRODUCTORAS</t>
  </si>
  <si>
    <t>CHIAPAS|A01 001 MARBELLA|20260912|20260914|CEDA|CEDA PISO|CPR01101|CEDA PISO PRODUCTORAS|1</t>
  </si>
  <si>
    <t>A01001-371209-4</t>
  </si>
  <si>
    <t>CHIAPAS|A01 001 MARBELLA|20260912|20260914|CEDA|CEDA PISO|CSA04120|CEDA PISO PRODUCTORAS</t>
  </si>
  <si>
    <t>CHIAPAS|A01 001 MARBELLA|20260912|20260914|CEDA|CEDA PISO|CSA04120|CEDA PISO PRODUCTORAS|1</t>
  </si>
  <si>
    <t>A01001-371209-3</t>
  </si>
  <si>
    <t>CHIAPAS|A01 001 MARBELLA|20260912|20260914|CEDA|CEDA PISO|CMN05123|CEDA PISO PRODUCTORAS</t>
  </si>
  <si>
    <t>CHIAPAS|A01 001 MARBELLA|20260912|20260914|CEDA|CEDA PISO|CMN05123|CEDA PISO PRODUCTORAS|1</t>
  </si>
  <si>
    <t>A01001-371209-5</t>
  </si>
  <si>
    <t>CHIAPAS|A01 001 MARBELLA|20260912|20260914|CEDA|CEDA PISO|CDS04122|CEDA PISO PRODUCTORAS</t>
  </si>
  <si>
    <t>CHIAPAS|A01 001 MARBELLA|20260912|20260914|CEDA|CEDA PISO|CDS04122|CEDA PISO PRODUCTORAS|1</t>
  </si>
  <si>
    <t>A01004-371209-1</t>
  </si>
  <si>
    <t>43734</t>
  </si>
  <si>
    <t>CHIAPAS|A01 004 LA CEIBA|20260912|20260918|MCALLEN|CHANITOS INT|CPR01104|20 CONVENCIONAL F7-1</t>
  </si>
  <si>
    <t>CHIAPAS|A01 004 LA CEIBA|20260912|20260918|MCALLEN|CHANITOS INT|CPR01104|20 CONVENCIONAL F7-1|1</t>
  </si>
  <si>
    <t>CHIAPAS|A01 004 LA CEIBA|20260912|20260914|CEDA|CEDA PISO|CPR01101|CEDA PISO PRODUCTORAS</t>
  </si>
  <si>
    <t>CHIAPAS|A01 004 LA CEIBA|20260912|20260914|CEDA|CEDA PISO|CPR01101|CEDA PISO PRODUCTORAS|1</t>
  </si>
  <si>
    <t>A01004-371209-4</t>
  </si>
  <si>
    <t>CHIAPAS|A01 004 LA CEIBA|20260912|20260914|CEDA|CEDA PISO|CSA04120|CEDA PISO PRODUCTORAS</t>
  </si>
  <si>
    <t>CHIAPAS|A01 004 LA CEIBA|20260912|20260914|CEDA|CEDA PISO|CSA04120|CEDA PISO PRODUCTORAS|1</t>
  </si>
  <si>
    <t>A01004-371209-3</t>
  </si>
  <si>
    <t>CHIAPAS|A01 004 LA CEIBA|20260912|20260914|CEDA|CEDA PISO|CMN05123|CEDA PISO PRODUCTORAS</t>
  </si>
  <si>
    <t>CHIAPAS|A01 004 LA CEIBA|20260912|20260914|CEDA|CEDA PISO|CMN05123|CEDA PISO PRODUCTORAS|1</t>
  </si>
  <si>
    <t>A01004-371209-5</t>
  </si>
  <si>
    <t>CHIAPAS|A01 004 LA CEIBA|20260912|20260914|CEDA|CEDA PISO|CDS04122|CEDA PISO PRODUCTORAS</t>
  </si>
  <si>
    <t>CHIAPAS|A01 004 LA CEIBA|20260912|20260914|CEDA|CEDA PISO|CDS04122|CEDA PISO PRODUCTORAS|1</t>
  </si>
  <si>
    <t>A01002-371209-1</t>
  </si>
  <si>
    <t>43052</t>
  </si>
  <si>
    <t>CHIAPAS|A01 002 FORTALEZA|20260912|20260917|VSA|WM|CRG07128|18 CONVENCIONAL Y 6 ORGANICO</t>
  </si>
  <si>
    <t>CHIAPAS|A01 002 FORTALEZA|20260912|20260917|VSA|WM|CRG07128|18 CONVENCIONAL Y 6 ORGANICO|1</t>
  </si>
  <si>
    <t>41949</t>
  </si>
  <si>
    <t>CHIAPAS|A01 002 FORTALEZA|20260912|20260917|VSA|WM|CPR01102|18 CONVENCIONAL Y 6 ORGANICO</t>
  </si>
  <si>
    <t>CHIAPAS|A01 002 FORTALEZA|20260912|20260917|VSA|WM|CPR01102|18 CONVENCIONAL Y 6 ORGANICO|1</t>
  </si>
  <si>
    <t>CHIAPAS|A01 002 FORTALEZA|20260912|20260918|QRO|WM|CPR01102|23 CONVENCIONAL Y 1 ORG</t>
  </si>
  <si>
    <t>CHIAPAS|A01 002 FORTALEZA|20260912|20260918|QRO|WM|CPR01102|23 CONVENCIONAL Y 1 ORG|1</t>
  </si>
  <si>
    <t>CHIAPAS|A01 002 FORTALEZA|20260912|20260914|CEDA|CEDA PISO|CPR01101|CEDA PISO PRODUCTORAS</t>
  </si>
  <si>
    <t>CHIAPAS|A01 002 FORTALEZA|20260912|20260914|CEDA|CEDA PISO|CPR01101|CEDA PISO PRODUCTORAS|1</t>
  </si>
  <si>
    <t>A01002-371209-4</t>
  </si>
  <si>
    <t>CHIAPAS|A01 002 FORTALEZA|20260912|20260914|CEDA|CEDA PISO|CSA04120|CEDA PISO PRODUCTORAS</t>
  </si>
  <si>
    <t>CHIAPAS|A01 002 FORTALEZA|20260912|20260914|CEDA|CEDA PISO|CSA04120|CEDA PISO PRODUCTORAS|1</t>
  </si>
  <si>
    <t>A01002-371209-3</t>
  </si>
  <si>
    <t>CHIAPAS|A01 002 FORTALEZA|20260912|20260914|CEDA|CEDA PISO|CMN05123|CEDA PISO PRODUCTORAS</t>
  </si>
  <si>
    <t>CHIAPAS|A01 002 FORTALEZA|20260912|20260914|CEDA|CEDA PISO|CMN05123|CEDA PISO PRODUCTORAS|1</t>
  </si>
  <si>
    <t>A01002-371209-5</t>
  </si>
  <si>
    <t>CHIAPAS|A01 002 FORTALEZA|20260912|20260914|CEDA|CEDA PISO|CDS04122|CEDA PISO PRODUCTORAS</t>
  </si>
  <si>
    <t>CHIAPAS|A01 002 FORTALEZA|20260912|20260914|CEDA|CEDA PISO|CDS04122|CEDA PISO PRODUCTORAS|1</t>
  </si>
  <si>
    <t>43790</t>
  </si>
  <si>
    <t>CHIAPAS|A01 002 FORTALEZA|20260914|20260918|QRO|WM|CPR01102|23 CONVENCIONAL Y 1 ORG</t>
  </si>
  <si>
    <t>CHIAPAS|A01 002 FORTALEZA|20260914|20260918|QRO|WM|CPR01102|23 CONVENCIONAL Y 1 ORG|1</t>
  </si>
  <si>
    <t>Programa Embarques 2026 S-38.xlsx</t>
  </si>
  <si>
    <t>CHIAPAS|A01 002 FORTALEZA|20260914|20260918|QRO|WM|CRG07128|23 CONVENCIONAL Y 1 ORG</t>
  </si>
  <si>
    <t>CHIAPAS|A01 002 FORTALEZA|20260914|20260918|QRO|WM|CRG07128|23 CONVENCIONAL Y 1 ORG|1</t>
  </si>
  <si>
    <t>44332</t>
  </si>
  <si>
    <t>CHIAPAS|A01 002 FORTALEZA|20260914|20260919|SMO|WM|CPR01102|24 CONVENCIONAL</t>
  </si>
  <si>
    <t>CHIAPAS|A01 002 FORTALEZA|20260914|20260919|SMO|WM|CPR01102|24 CONVENCIONAL|1</t>
  </si>
  <si>
    <t>41950</t>
  </si>
  <si>
    <t>CHIAPAS|A01 002 FORTALEZA|20260914|20260919|VSA|WM|CPR01102|18 CONVENCIONAL Y 6 ORGANICO</t>
  </si>
  <si>
    <t>CHIAPAS|A01 002 FORTALEZA|20260914|20260919|VSA|WM|CPR01102|18 CONVENCIONAL Y 6 ORGANICO|1</t>
  </si>
  <si>
    <t>CHIAPAS|A01 002 FORTALEZA|20260914|20260916|CEDA|CEDA PISO|CPR01101|CEDA PISO PRODUCTORAS</t>
  </si>
  <si>
    <t>CHIAPAS|A01 002 FORTALEZA|20260914|20260916|CEDA|CEDA PISO|CPR01101|CEDA PISO PRODUCTORAS|1</t>
  </si>
  <si>
    <t>CHIAPAS|A01 002 FORTALEZA|20260914|20260916|CEDA|CEDA PISO|CSA04120|CEDA PISO PRODUCTORAS</t>
  </si>
  <si>
    <t>CHIAPAS|A01 002 FORTALEZA|20260914|20260916|CEDA|CEDA PISO|CSA04120|CEDA PISO PRODUCTORAS|1</t>
  </si>
  <si>
    <t>CHIAPAS|A01 002 FORTALEZA|20260914|20260916|CEDA|CEDA PISO|CMN05123|CEDA PISO PRODUCTORAS</t>
  </si>
  <si>
    <t>CHIAPAS|A01 002 FORTALEZA|20260914|20260916|CEDA|CEDA PISO|CMN05123|CEDA PISO PRODUCTORAS|1</t>
  </si>
  <si>
    <t>CHIAPAS|A01 002 FORTALEZA|20260914|20260916|CEDA|CEDA PISO|CDS04122|CEDA PISO PRODUCTORAS</t>
  </si>
  <si>
    <t>CHIAPAS|A01 002 FORTALEZA|20260914|20260916|CEDA|CEDA PISO|CDS04122|CEDA PISO PRODUCTORAS|1</t>
  </si>
  <si>
    <t>44667</t>
  </si>
  <si>
    <t>CHIAPAS|A01 001 MARBELLA|20260914|20260919|CHALCO|WM|CPR01102|23 CONVENCIONAL Y 1 BAE</t>
  </si>
  <si>
    <t>CHIAPAS|A01 001 MARBELLA|20260914|20260919|CHALCO|WM|CPR01102|23 CONVENCIONAL Y 1 BAE|1</t>
  </si>
  <si>
    <t>CHIAPAS|A01 001 MARBELLA|20260914|20260919|CHALCO|WM|CPR01114|23 CONVENCIONAL Y 1 BAE</t>
  </si>
  <si>
    <t>CHIAPAS|A01 001 MARBELLA|20260914|20260919|CHALCO|WM|CPR01114|23 CONVENCIONAL Y 1 BAE|1</t>
  </si>
  <si>
    <t>CHIAPAS|A01 001 MARBELLA|20260914|20260919|VSA|WM|CPR01102|18 CONVENCIONAL Y 6 ORGANICO</t>
  </si>
  <si>
    <t>CHIAPAS|A01 001 MARBELLA|20260914|20260919|VSA|WM|CPR01102|18 CONVENCIONAL Y 6 ORGANICO|1</t>
  </si>
  <si>
    <t>CHIAPAS|A01 001 MARBELLA|20260914|20260916|CEDA|CEDA PISO|CPR01101|CEDA PISO PRODUCTORAS</t>
  </si>
  <si>
    <t>CHIAPAS|A01 001 MARBELLA|20260914|20260916|CEDA|CEDA PISO|CPR01101|CEDA PISO PRODUCTORAS|1</t>
  </si>
  <si>
    <t>CHIAPAS|A01 001 MARBELLA|20260914|20260916|CEDA|CEDA PISO|CSA04120|CEDA PISO PRODUCTORAS</t>
  </si>
  <si>
    <t>CHIAPAS|A01 001 MARBELLA|20260914|20260916|CEDA|CEDA PISO|CSA04120|CEDA PISO PRODUCTORAS|1</t>
  </si>
  <si>
    <t>CHIAPAS|A01 001 MARBELLA|20260914|20260916|CEDA|CEDA PISO|CMN05123|CEDA PISO PRODUCTORAS</t>
  </si>
  <si>
    <t>CHIAPAS|A01 001 MARBELLA|20260914|20260916|CEDA|CEDA PISO|CMN05123|CEDA PISO PRODUCTORAS|1</t>
  </si>
  <si>
    <t>CHIAPAS|A01 001 MARBELLA|20260914|20260916|CEDA|CEDA PISO|CDS04122|CEDA PISO PRODUCTORAS</t>
  </si>
  <si>
    <t>CHIAPAS|A01 001 MARBELLA|20260914|20260916|CEDA|CEDA PISO|CDS04122|CEDA PISO PRODUCTORAS|1</t>
  </si>
  <si>
    <t>43800</t>
  </si>
  <si>
    <t>CHIAPAS|A01 003 DONA NELLY|20260914|20260918|MTY|WM|CPR01102|23 CONVENCIONAL CON 5 CAJAS BAE Y 1 ORG</t>
  </si>
  <si>
    <t>CHIAPAS|A01 003 DONA NELLY|20260914|20260918|MTY|WM|CPR01102|23 CONVENCIONAL CON 5 CAJAS BAE Y 1 ORG|1</t>
  </si>
  <si>
    <t>CHIAPAS|A01 003 DONA NELLY|20260914|20260918|MTY|WM|CPR01114|23 CONVENCIONAL CON 5 CAJAS BAE Y 1 ORG</t>
  </si>
  <si>
    <t>CHIAPAS|A01 003 DONA NELLY|20260914|20260918|MTY|WM|CPR01114|23 CONVENCIONAL CON 5 CAJAS BAE Y 1 ORG|1</t>
  </si>
  <si>
    <t>43801</t>
  </si>
  <si>
    <t>CHIAPAS|A01 003 DONA NELLY|20260914|20260918|MTY|WM|CRG07128|23 CONVENCIONAL CON 5 CAJAS BAE Y 1 ORG</t>
  </si>
  <si>
    <t>CHIAPAS|A01 003 DONA NELLY|20260914|20260918|MTY|WM|CRG07128|23 CONVENCIONAL CON 5 CAJAS BAE Y 1 ORG|1</t>
  </si>
  <si>
    <t>CHIAPAS|A01 003 DONA NELLY|20260914|20260919|SMO|WM|CPR01102|24 CONVENCIONAL</t>
  </si>
  <si>
    <t>CHIAPAS|A01 003 DONA NELLY|20260914|20260919|SMO|WM|CPR01102|24 CONVENCIONAL|1</t>
  </si>
  <si>
    <t>CHIAPAS|A01 003 DONA NELLY|20260914|20260916|CEDA|CEDA PISO|CPR01101|CEDA PISO PRODUCTORAS</t>
  </si>
  <si>
    <t>CHIAPAS|A01 003 DONA NELLY|20260914|20260916|CEDA|CEDA PISO|CPR01101|CEDA PISO PRODUCTORAS|1</t>
  </si>
  <si>
    <t>CHIAPAS|A01 003 DONA NELLY|20260914|20260916|CEDA|CEDA PISO|CSA04120|CEDA PISO PRODUCTORAS</t>
  </si>
  <si>
    <t>CHIAPAS|A01 003 DONA NELLY|20260914|20260916|CEDA|CEDA PISO|CSA04120|CEDA PISO PRODUCTORAS|1</t>
  </si>
  <si>
    <t>CHIAPAS|A01 003 DONA NELLY|20260914|20260916|CEDA|CEDA PISO|CMN05123|CEDA PISO PRODUCTORAS</t>
  </si>
  <si>
    <t>CHIAPAS|A01 003 DONA NELLY|20260914|20260916|CEDA|CEDA PISO|CMN05123|CEDA PISO PRODUCTORAS|1</t>
  </si>
  <si>
    <t>CHIAPAS|A01 003 DONA NELLY|20260914|20260916|CEDA|CEDA PISO|CDS04122|CEDA PISO PRODUCTORAS</t>
  </si>
  <si>
    <t>CHIAPAS|A01 003 DONA NELLY|20260914|20260916|CEDA|CEDA PISO|CDS04122|CEDA PISO PRODUCTORAS|1</t>
  </si>
  <si>
    <t>44413</t>
  </si>
  <si>
    <t>CHIAPAS|A11 045 SECTOR MAZATAN|20260914|20260919|MCALLEN|CHANITOS INT|CPR01104|20 CONVENCIONAL F1-1</t>
  </si>
  <si>
    <t>CHIAPAS|A11 045 SECTOR MAZATAN|20260914|20260919|MCALLEN|CHANITOS INT|CPR01104|20 CONVENCIONAL F1-1|1</t>
  </si>
  <si>
    <t>CHIAPAS|A11 056 SAN ISIDRO|20260914|20260919|MCALLEN|CHANITOS INT|CPR01104|20 CONVENCIONAL F1-1</t>
  </si>
  <si>
    <t>CHIAPAS|A11 056 SAN ISIDRO|20260914|20260919|MCALLEN|CHANITOS INT|CPR01104|20 CONVENCIONAL F1-1|1</t>
  </si>
  <si>
    <t>44414</t>
  </si>
  <si>
    <t>CHIAPAS|A11 056 SAN ISIDRO|20260914|20260919|MCALLEN|CHANITOS INT|CPR01104|20 CONVENCIONAL F1-2</t>
  </si>
  <si>
    <t>CHIAPAS|A11 056 SAN ISIDRO|20260914|20260919|MCALLEN|CHANITOS INT|CPR01104|20 CONVENCIONAL F1-2|1</t>
  </si>
  <si>
    <t>CHIAPAS|A11 045 SECTOR MAZATAN|20260915|20260919|MCALLEN|CHANITOS INT|CPR01104|20 CONVENCIONAL F1-2</t>
  </si>
  <si>
    <t>CHIAPAS|A11 045 SECTOR MAZATAN|20260915|20260919|MCALLEN|CHANITOS INT|CPR01104|20 CONVENCIONAL F1-2|1</t>
  </si>
  <si>
    <t>44415</t>
  </si>
  <si>
    <t>CHIAPAS|A04 084 LISBOA|20260915|20260921|MCALLEN|CHANITOS INT|CPR01104|20 CONVENCIONAL F2-2</t>
  </si>
  <si>
    <t>CHIAPAS|A04 084 LISBOA|20260915|20260921|MCALLEN|CHANITOS INT|CPR01104|20 CONVENCIONAL F2-2|1</t>
  </si>
  <si>
    <t>43270</t>
  </si>
  <si>
    <t>CHIAPAS|A41 100 DONA LUPE JV|20260915|20260922|CIUDAD JUAREZ|SMART|CPL08134|17 CONVENCIONAL Y 3 PLANTAIN</t>
  </si>
  <si>
    <t>CHIAPAS|A41 100 DONA LUPE JV|20260915|20260922|CIUDAD JUAREZ|SMART|CPL08134|17 CONVENCIONAL Y 3 PLANTAIN|1</t>
  </si>
  <si>
    <t>44663</t>
  </si>
  <si>
    <t>CHIAPAS|A01 001 MARBELLA|20260915|20260919|JAPON|MAR|CPR03119|CP27-15 CP34-5</t>
  </si>
  <si>
    <t>CHIAPAS|A01 001 MARBELLA|20260915|20260919|JAPON|MAR|CPR03119|CP27-15 CP34-5|1</t>
  </si>
  <si>
    <t>CHIAPAS|A01 001 MARBELLA|20260915|20260919|JAPON|MAR|CPR03124|CP27-15 CP34-5</t>
  </si>
  <si>
    <t>CHIAPAS|A01 001 MARBELLA|20260915|20260919|JAPON|MAR|CPR03124|CP27-15 CP34-5|1</t>
  </si>
  <si>
    <t>44334</t>
  </si>
  <si>
    <t>CHIAPAS|A01 001 MARBELLA|20260915|20260921|SMO|WM|CPR01102|24 CONVENCIONAL</t>
  </si>
  <si>
    <t>CHIAPAS|A01 001 MARBELLA|20260915|20260921|SMO|WM|CPR01102|24 CONVENCIONAL|1</t>
  </si>
  <si>
    <t>44333</t>
  </si>
  <si>
    <t>CHIAPAS|A01 001 MARBELLA|20260915|20260920|SMO|WM|CPR01102|24 CONVENCIONAL</t>
  </si>
  <si>
    <t>CHIAPAS|A01 001 MARBELLA|20260915|20260920|SMO|WM|CPR01102|24 CONVENCIONAL|1</t>
  </si>
  <si>
    <t>CHIAPAS|A01 001 MARBELLA|20260915|20260917|CEDA|CEDA PISO|CPR01101|CEDA PISO PRODUCTORAS</t>
  </si>
  <si>
    <t>CHIAPAS|A01 001 MARBELLA|20260915|20260917|CEDA|CEDA PISO|CPR01101|CEDA PISO PRODUCTORAS|1</t>
  </si>
  <si>
    <t>CHIAPAS|A01 001 MARBELLA|20260915|20260917|CEDA|CEDA PISO|CSA04120|CEDA PISO PRODUCTORAS</t>
  </si>
  <si>
    <t>CHIAPAS|A01 001 MARBELLA|20260915|20260917|CEDA|CEDA PISO|CSA04120|CEDA PISO PRODUCTORAS|1</t>
  </si>
  <si>
    <t>CHIAPAS|A01 001 MARBELLA|20260915|20260917|CEDA|CEDA PISO|CMN05123|CEDA PISO PRODUCTORAS</t>
  </si>
  <si>
    <t>CHIAPAS|A01 001 MARBELLA|20260915|20260917|CEDA|CEDA PISO|CMN05123|CEDA PISO PRODUCTORAS|1</t>
  </si>
  <si>
    <t>CHIAPAS|A01 001 MARBELLA|20260915|20260917|CEDA|CEDA PISO|CDS04122|CEDA PISO PRODUCTORAS</t>
  </si>
  <si>
    <t>CHIAPAS|A01 001 MARBELLA|20260915|20260917|CEDA|CEDA PISO|CDS04122|CEDA PISO PRODUCTORAS|1</t>
  </si>
  <si>
    <t>CHIAPAS|A01 003 DONA NELLY|20260915|20260922|CIUDAD JUAREZ|SMART|CPR01103|17 CONVENCIONAL Y 3 PLANTAIN</t>
  </si>
  <si>
    <t>CHIAPAS|A01 003 DONA NELLY|20260915|20260922|CIUDAD JUAREZ|SMART|CPR01103|17 CONVENCIONAL Y 3 PLANTAIN|1</t>
  </si>
  <si>
    <t>CHIAPAS|A01 003 DONA NELLY|20260915|20260919|SMO|WM|CPR01102|24 CONVENCIONAL</t>
  </si>
  <si>
    <t>CHIAPAS|A01 003 DONA NELLY|20260915|20260919|SMO|WM|CPR01102|24 CONVENCIONAL|1</t>
  </si>
  <si>
    <t>CHIAPAS|A01 003 DONA NELLY|20260915|20260917|CEDA|CEDA PISO|CPR01101|CEDA PISO PRODUCTORAS</t>
  </si>
  <si>
    <t>CHIAPAS|A01 003 DONA NELLY|20260915|20260917|CEDA|CEDA PISO|CPR01101|CEDA PISO PRODUCTORAS|1</t>
  </si>
  <si>
    <t>CHIAPAS|A01 003 DONA NELLY|20260915|20260917|CEDA|CEDA PISO|CSA04120|CEDA PISO PRODUCTORAS</t>
  </si>
  <si>
    <t>CHIAPAS|A01 003 DONA NELLY|20260915|20260917|CEDA|CEDA PISO|CSA04120|CEDA PISO PRODUCTORAS|1</t>
  </si>
  <si>
    <t>CHIAPAS|A01 003 DONA NELLY|20260915|20260917|CEDA|CEDA PISO|CMN05123|CEDA PISO PRODUCTORAS</t>
  </si>
  <si>
    <t>CHIAPAS|A01 003 DONA NELLY|20260915|20260917|CEDA|CEDA PISO|CMN05123|CEDA PISO PRODUCTORAS|1</t>
  </si>
  <si>
    <t>CHIAPAS|A01 003 DONA NELLY|20260915|20260917|CEDA|CEDA PISO|CDS04122|CEDA PISO PRODUCTORAS</t>
  </si>
  <si>
    <t>CHIAPAS|A01 003 DONA NELLY|20260915|20260917|CEDA|CEDA PISO|CDS04122|CEDA PISO PRODUCTORAS|1</t>
  </si>
  <si>
    <t>43115</t>
  </si>
  <si>
    <t>CHIAPAS|A01 002 FORTALEZA|20260915|20260919|VSA|WM|CRG07128|18 CONVENCIONAL Y 6 ORGANICO</t>
  </si>
  <si>
    <t>CHIAPAS|A01 002 FORTALEZA|20260915|20260919|VSA|WM|CRG07128|18 CONVENCIONAL Y 6 ORGANICO|1</t>
  </si>
  <si>
    <t>CHIAPAS|A01 002 FORTALEZA|20260915|20260919|VSA|WM|CPR01102|18 CONVENCIONAL Y 6 ORGANICO</t>
  </si>
  <si>
    <t>CHIAPAS|A01 002 FORTALEZA|20260915|20260919|VSA|WM|CPR01102|18 CONVENCIONAL Y 6 ORGANICO|1</t>
  </si>
  <si>
    <t>CHIAPAS|A01 002 FORTALEZA|20260915|20260920|SMO|WM|CPR01102|24 CONVENCIONAL</t>
  </si>
  <si>
    <t>CHIAPAS|A01 002 FORTALEZA|20260915|20260920|SMO|WM|CPR01102|24 CONVENCIONAL|1</t>
  </si>
  <si>
    <t>CHIAPAS|A01 002 FORTALEZA|20260915|20260920|SMO|WM|CPR01102|24 CONVENCIONAL|2</t>
  </si>
  <si>
    <t>44902</t>
  </si>
  <si>
    <t>CHIAPAS|A01 002 FORTALEZA|20260915|20260921|QRO|WM|CPR01102|22 CONVENCIONAL Y 2 ORG</t>
  </si>
  <si>
    <t>CHIAPAS|A01 002 FORTALEZA|20260915|20260921|QRO|WM|CPR01102|22 CONVENCIONAL Y 2 ORG|1</t>
  </si>
  <si>
    <t>CHIAPAS|A01 002 FORTALEZA|20260915|20260917|CEDA|CEDA PISO|CPR01101|CEDA PISO PRODUCTORAS</t>
  </si>
  <si>
    <t>CHIAPAS|A01 002 FORTALEZA|20260915|20260917|CEDA|CEDA PISO|CPR01101|CEDA PISO PRODUCTORAS|1</t>
  </si>
  <si>
    <t>CHIAPAS|A01 002 FORTALEZA|20260915|20260917|CEDA|CEDA PISO|CSA04120|CEDA PISO PRODUCTORAS</t>
  </si>
  <si>
    <t>CHIAPAS|A01 002 FORTALEZA|20260915|20260917|CEDA|CEDA PISO|CSA04120|CEDA PISO PRODUCTORAS|1</t>
  </si>
  <si>
    <t>CHIAPAS|A01 002 FORTALEZA|20260915|20260917|CEDA|CEDA PISO|CMN05123|CEDA PISO PRODUCTORAS</t>
  </si>
  <si>
    <t>CHIAPAS|A01 002 FORTALEZA|20260915|20260917|CEDA|CEDA PISO|CMN05123|CEDA PISO PRODUCTORAS|1</t>
  </si>
  <si>
    <t>CHIAPAS|A01 002 FORTALEZA|20260915|20260917|CEDA|CEDA PISO|CDS04122|CEDA PISO PRODUCTORAS</t>
  </si>
  <si>
    <t>CHIAPAS|A01 002 FORTALEZA|20260915|20260917|CEDA|CEDA PISO|CDS04122|CEDA PISO PRODUCTORAS|1</t>
  </si>
  <si>
    <t>43804</t>
  </si>
  <si>
    <t>CHIAPAS|A04 039 SAN JOSE MORELIA NAVA|20260916|20260923|S-MTY|SMART|CPR01103|20 CONVENCIONAL SM1</t>
  </si>
  <si>
    <t>CHIAPAS|A04 039 SAN JOSE MORELIA NAVA|20260916|20260923|S-MTY|SMART|CPR01103|20 CONVENCIONAL SM1|1</t>
  </si>
  <si>
    <t>CHIAPAS|A04 084 LISBOA|20260916|20260921|MCALLEN|CHANITOS INT|CPR01104|20 CONVENCIONAL F2-2</t>
  </si>
  <si>
    <t>CHIAPAS|A04 084 LISBOA|20260916|20260921|MCALLEN|CHANITOS INT|CPR01104|20 CONVENCIONAL F2-2|1</t>
  </si>
  <si>
    <t>CHIAPAS|A04 084 LISBOA|20260916|20260921|SMO|WM|CPR01102|24 CONVENCIONAL</t>
  </si>
  <si>
    <t>CHIAPAS|A04 084 LISBOA|20260916|20260921|SMO|WM|CPR01102|24 CONVENCIONAL|1</t>
  </si>
  <si>
    <t>CHIAPAS|A41 100 DONA LUPE JV|20260917|20260919|CEDA|CEDA AUTOSERVICIO|CPL08141|CEDA PLANTAIN</t>
  </si>
  <si>
    <t>CHIAPAS|A41 100 DONA LUPE JV|20260917|20260919|CEDA|CEDA AUTOSERVICIO|CPL08141|CEDA PLANTAIN|1</t>
  </si>
  <si>
    <t>44420</t>
  </si>
  <si>
    <t>CHIAPAS|A06 043 NUESTRA SENORA|20260917|20260924|MCALLEN|CHANITOS INT|CPR01104|20 CONVENCIONAL F4-1</t>
  </si>
  <si>
    <t>CHIAPAS|A06 043 NUESTRA SENORA|20260917|20260924|MCALLEN|CHANITOS INT|CPR01104|20 CONVENCIONAL F4-1|1</t>
  </si>
  <si>
    <t>CHIAPAS|A04 039 SAN JOSE MORELIA NAVA|20260917|20260923|S-MTY|SMART|CPR01103|20 CONVENCIONAL SM1</t>
  </si>
  <si>
    <t>CHIAPAS|A04 039 SAN JOSE MORELIA NAVA|20260917|20260923|S-MTY|SMART|CPR01103|20 CONVENCIONAL SM1|1</t>
  </si>
  <si>
    <t>CHIAPAS|A04 039 SAN JOSE MORELIA NAVA|20260917|20260923|S-MTY|SMART|CPR01103|20 CONVENCIONAL SM2</t>
  </si>
  <si>
    <t>CHIAPAS|A04 039 SAN JOSE MORELIA NAVA|20260917|20260923|S-MTY|SMART|CPR01103|20 CONVENCIONAL SM2|1</t>
  </si>
  <si>
    <t>CHIAPAS|A04 084 LISBOA|20260917|20260921|SMO|WM|CPR01102|24 CONVENCIONAL</t>
  </si>
  <si>
    <t>CHIAPAS|A04 084 LISBOA|20260917|20260921|SMO|WM|CPR01102|24 CONVENCIONAL|1</t>
  </si>
  <si>
    <t>45248</t>
  </si>
  <si>
    <t>CHIAPAS|A04 039 SAN JOSE MORELIA NAVA|20260918|20260924|SMO|WM|CPR01102|24 CONVENCIONAL</t>
  </si>
  <si>
    <t>CHIAPAS|A04 039 SAN JOSE MORELIA NAVA|20260918|20260924|SMO|WM|CPR01102|24 CONVENCIONAL|1</t>
  </si>
  <si>
    <t>44416</t>
  </si>
  <si>
    <t>CHIAPAS|A04 084 LISBOA|20260917|20260921|MCALLEN|CHANITOS INT|CPR01104|20 CONVENCIONAL F2-1</t>
  </si>
  <si>
    <t>CHIAPAS|A04 084 LISBOA|20260917|20260921|MCALLEN|CHANITOS INT|CPR01104|20 CONVENCIONAL F2-1|1</t>
  </si>
  <si>
    <t>CHIAPAS|A01 002 FORTALEZA|20260917|20260921|QRO|WM|CPR01102|22 CONVENCIONAL Y 2 ORG</t>
  </si>
  <si>
    <t>CHIAPAS|A01 002 FORTALEZA|20260917|20260921|QRO|WM|CPR01102|22 CONVENCIONAL Y 2 ORG|1</t>
  </si>
  <si>
    <t>CHIAPAS|A01 002 FORTALEZA|20260917|20260921|QRO|WM|CRG07128|22 CONVENCIONAL Y 2 ORG</t>
  </si>
  <si>
    <t>CHIAPAS|A01 002 FORTALEZA|20260917|20260921|QRO|WM|CRG07128|22 CONVENCIONAL Y 2 ORG|1</t>
  </si>
  <si>
    <t>43791</t>
  </si>
  <si>
    <t>CHIAPAS|A01 002 FORTALEZA|20260917|20260921|VSA|WM|CRG07128|18 CONVENCIONAL Y 6 ORGANICO</t>
  </si>
  <si>
    <t>CHIAPAS|A01 002 FORTALEZA|20260917|20260921|VSA|WM|CRG07128|18 CONVENCIONAL Y 6 ORGANICO|1</t>
  </si>
  <si>
    <t>CHIAPAS|A01 002 FORTALEZA|20260917|20260921|SMO|WM|CPR01102|24 CONVENCIONAL</t>
  </si>
  <si>
    <t>CHIAPAS|A01 002 FORTALEZA|20260917|20260921|SMO|WM|CPR01102|24 CONVENCIONAL|1</t>
  </si>
  <si>
    <t>44905</t>
  </si>
  <si>
    <t>CHIAPAS|A01 002 FORTALEZA|20260917|20260923|QRO|WM|CPR01102|22 CONVENCIONAL Y 2 ORG</t>
  </si>
  <si>
    <t>CHIAPAS|A01 002 FORTALEZA|20260917|20260923|QRO|WM|CPR01102|22 CONVENCIONAL Y 2 ORG|1</t>
  </si>
  <si>
    <t>CHIAPAS|A01 002 FORTALEZA|20260917|20260919|CEDA|CEDA PISO|CPR01101|CEDA PISO PRODUCTORAS</t>
  </si>
  <si>
    <t>CHIAPAS|A01 002 FORTALEZA|20260917|20260919|CEDA|CEDA PISO|CPR01101|CEDA PISO PRODUCTORAS|1</t>
  </si>
  <si>
    <t>CHIAPAS|A01 002 FORTALEZA|20260917|20260919|CEDA|CEDA PISO|CSA04120|CEDA PISO PRODUCTORAS</t>
  </si>
  <si>
    <t>CHIAPAS|A01 002 FORTALEZA|20260917|20260919|CEDA|CEDA PISO|CSA04120|CEDA PISO PRODUCTORAS|1</t>
  </si>
  <si>
    <t>CHIAPAS|A01 002 FORTALEZA|20260917|20260919|CEDA|CEDA PISO|CMN05123|CEDA PISO PRODUCTORAS</t>
  </si>
  <si>
    <t>CHIAPAS|A01 002 FORTALEZA|20260917|20260919|CEDA|CEDA PISO|CMN05123|CEDA PISO PRODUCTORAS|1</t>
  </si>
  <si>
    <t>CHIAPAS|A01 002 FORTALEZA|20260917|20260919|CEDA|CEDA PISO|CDS04122|CEDA PISO PRODUCTORAS</t>
  </si>
  <si>
    <t>CHIAPAS|A01 002 FORTALEZA|20260917|20260919|CEDA|CEDA PISO|CDS04122|CEDA PISO PRODUCTORAS|1</t>
  </si>
  <si>
    <t>44668</t>
  </si>
  <si>
    <t>CHIAPAS|A01 001 MARBELLA|20260917|20260921|CHALCO|WM|CPR01102|23 CONVENCIONAL Y 1 BAE</t>
  </si>
  <si>
    <t>CHIAPAS|A01 001 MARBELLA|20260917|20260921|CHALCO|WM|CPR01102|23 CONVENCIONAL Y 1 BAE|1</t>
  </si>
  <si>
    <t>CHIAPAS|A01 001 MARBELLA|20260917|20260921|CHALCO|WM|CPR01114|23 CONVENCIONAL Y 1 BAE</t>
  </si>
  <si>
    <t>CHIAPAS|A01 001 MARBELLA|20260917|20260921|CHALCO|WM|CPR01114|23 CONVENCIONAL Y 1 BAE|1</t>
  </si>
  <si>
    <t>CHIAPAS|A01 001 MARBELLA|20260917|20260922|CEDA|CEDA AUTOSERVICIO|CPR01102|CEDA PISO PRODUCTORAS</t>
  </si>
  <si>
    <t>CHIAPAS|A01 001 MARBELLA|20260917|20260922|CEDA|CEDA AUTOSERVICIO|CPR01102|CEDA PISO PRODUCTORAS|1</t>
  </si>
  <si>
    <t>CHIAPAS|A01 001 MARBELLA|20260917|20260919|CEDA|CEDA PISO|CPR01101|CEDA PISO PRODUCTORAS</t>
  </si>
  <si>
    <t>CHIAPAS|A01 001 MARBELLA|20260917|20260919|CEDA|CEDA PISO|CPR01101|CEDA PISO PRODUCTORAS|1</t>
  </si>
  <si>
    <t>CHIAPAS|A01 001 MARBELLA|20260917|20260919|CEDA|CEDA PISO|CSA04120|CEDA PISO PRODUCTORAS</t>
  </si>
  <si>
    <t>CHIAPAS|A01 001 MARBELLA|20260917|20260919|CEDA|CEDA PISO|CSA04120|CEDA PISO PRODUCTORAS|1</t>
  </si>
  <si>
    <t>CHIAPAS|A01 001 MARBELLA|20260917|20260919|CEDA|CEDA PISO|CMN05123|CEDA PISO PRODUCTORAS</t>
  </si>
  <si>
    <t>CHIAPAS|A01 001 MARBELLA|20260917|20260919|CEDA|CEDA PISO|CMN05123|CEDA PISO PRODUCTORAS|1</t>
  </si>
  <si>
    <t>CHIAPAS|A01 001 MARBELLA|20260917|20260919|CEDA|CEDA PISO|CDS04122|CEDA PISO PRODUCTORAS</t>
  </si>
  <si>
    <t>CHIAPAS|A01 001 MARBELLA|20260917|20260919|CEDA|CEDA PISO|CDS04122|CEDA PISO PRODUCTORAS|1</t>
  </si>
  <si>
    <t>41951</t>
  </si>
  <si>
    <t>CHIAPAS|A01 003 DONA NELLY|20260917|20260921|VSA|WM|CPR01102|18 CONVENCIONAL Y 6 ORGANICO</t>
  </si>
  <si>
    <t>CHIAPAS|A01 003 DONA NELLY|20260917|20260921|VSA|WM|CPR01102|18 CONVENCIONAL Y 6 ORGANICO|1</t>
  </si>
  <si>
    <t>CHIAPAS|A01 003 DONA NELLY|20260917|20260922|CIUDAD JUAREZ|SMART|CPR01103|20 CONVENCIONAL SCJ1</t>
  </si>
  <si>
    <t>CHIAPAS|A01 003 DONA NELLY|20260917|20260922|CIUDAD JUAREZ|SMART|CPR01103|20 CONVENCIONAL SCJ1|1</t>
  </si>
  <si>
    <t>CHIAPAS|A01 003 DONA NELLY|20260917|20260919|CEDA|CEDA PISO|CPR01101|CEDA PISO PRODUCTORAS</t>
  </si>
  <si>
    <t>CHIAPAS|A01 003 DONA NELLY|20260917|20260919|CEDA|CEDA PISO|CPR01101|CEDA PISO PRODUCTORAS|1</t>
  </si>
  <si>
    <t>CHIAPAS|A01 003 DONA NELLY|20260917|20260919|CEDA|CEDA PISO|CSA04120|CEDA PISO PRODUCTORAS</t>
  </si>
  <si>
    <t>CHIAPAS|A01 003 DONA NELLY|20260917|20260919|CEDA|CEDA PISO|CSA04120|CEDA PISO PRODUCTORAS|1</t>
  </si>
  <si>
    <t>CHIAPAS|A01 003 DONA NELLY|20260917|20260919|CEDA|CEDA PISO|CMN05123|CEDA PISO PRODUCTORAS</t>
  </si>
  <si>
    <t>CHIAPAS|A01 003 DONA NELLY|20260917|20260919|CEDA|CEDA PISO|CMN05123|CEDA PISO PRODUCTORAS|1</t>
  </si>
  <si>
    <t>CHIAPAS|A01 003 DONA NELLY|20260917|20260919|CEDA|CEDA PISO|CDS04122|CEDA PISO PRODUCTORAS</t>
  </si>
  <si>
    <t>CHIAPAS|A01 003 DONA NELLY|20260917|20260919|CEDA|CEDA PISO|CDS04122|CEDA PISO PRODUCTORAS|1</t>
  </si>
  <si>
    <t>CHIAPAS|A06 043 NUESTRA SENORA|20260918|20260924|MCALLEN|CHANITOS INT|CPR01104|20 CONVENCIONAL F4-1</t>
  </si>
  <si>
    <t>CHIAPAS|A06 043 NUESTRA SENORA|20260918|20260924|MCALLEN|CHANITOS INT|CPR01104|20 CONVENCIONAL F4-1|1</t>
  </si>
  <si>
    <t>CHIAPAS|A04 084 LISBOA|20260918|20260921|MCALLEN|CHANITOS INT|CPR01104|20 CONVENCIONAL F2-1</t>
  </si>
  <si>
    <t>CHIAPAS|A04 084 LISBOA|20260918|20260921|MCALLEN|CHANITOS INT|CPR01104|20 CONVENCIONAL F2-1|1</t>
  </si>
  <si>
    <t>CHIAPAS|A01 001 MARBELLA|20260918|20260921|VSA|WM|CPR01102|18 CONVENCIONAL Y 6 ORGANICO</t>
  </si>
  <si>
    <t>CHIAPAS|A01 001 MARBELLA|20260918|20260921|VSA|WM|CPR01102|18 CONVENCIONAL Y 6 ORGANICO|1</t>
  </si>
  <si>
    <t>41952</t>
  </si>
  <si>
    <t>CHIAPAS|A01 001 MARBELLA|20260918|20260924|VSA|WM|CPR01102|19 CONVENCIONAL Y 5 ORG</t>
  </si>
  <si>
    <t>CHIAPAS|A01 001 MARBELLA|20260918|20260924|VSA|WM|CPR01102|19 CONVENCIONAL Y 5 ORG|1</t>
  </si>
  <si>
    <t>CHIAPAS|A01 001 MARBELLA|20260918|20260924|SMO|WM|CPR01102|24 CONVENCIONAL</t>
  </si>
  <si>
    <t>CHIAPAS|A01 001 MARBELLA|20260918|20260924|SMO|WM|CPR01102|24 CONVENCIONAL|1</t>
  </si>
  <si>
    <t>CHIAPAS|A01 001 MARBELLA|20260918|20260920|CEDA|CEDA AUTOSERVICIO|CPR01102|CEDA PISO PRODUCTORAS</t>
  </si>
  <si>
    <t>CHIAPAS|A01 001 MARBELLA|20260918|20260920|CEDA|CEDA AUTOSERVICIO|CPR01102|CEDA PISO PRODUCTORAS|1</t>
  </si>
  <si>
    <t>CHIAPAS|A01 001 MARBELLA|20260918|20260920|CEDA|CEDA AUTOSERVICIO|CPR01102|CEDA PISO PRODUCTORAS|2</t>
  </si>
  <si>
    <t>CHIAPAS|A01 001 MARBELLA|20260918|20260920|CEDA|CEDA PISO|CPR01101|CEDA PISO PRODUCTORAS</t>
  </si>
  <si>
    <t>CHIAPAS|A01 001 MARBELLA|20260918|20260920|CEDA|CEDA PISO|CPR01101|CEDA PISO PRODUCTORAS|1</t>
  </si>
  <si>
    <t>CHIAPAS|A01 001 MARBELLA|20260918|20260920|CEDA|CEDA PISO|CSA04120|CEDA PISO PRODUCTORAS</t>
  </si>
  <si>
    <t>CHIAPAS|A01 001 MARBELLA|20260918|20260920|CEDA|CEDA PISO|CSA04120|CEDA PISO PRODUCTORAS|1</t>
  </si>
  <si>
    <t>CHIAPAS|A01 001 MARBELLA|20260918|20260920|CEDA|CEDA PISO|CMN05123|CEDA PISO PRODUCTORAS</t>
  </si>
  <si>
    <t>CHIAPAS|A01 001 MARBELLA|20260918|20260920|CEDA|CEDA PISO|CMN05123|CEDA PISO PRODUCTORAS|1</t>
  </si>
  <si>
    <t>CHIAPAS|A01 001 MARBELLA|20260918|20260920|CEDA|CEDA PISO|CDS04122|CEDA PISO PRODUCTORAS</t>
  </si>
  <si>
    <t>CHIAPAS|A01 001 MARBELLA|20260918|20260920|CEDA|CEDA PISO|CDS04122|CEDA PISO PRODUCTORAS|1</t>
  </si>
  <si>
    <t>CHIAPAS|A01 002 FORTALEZA|20260918|20260923|QRO|WM|CRG07128|22 CONVENCIONAL Y 2 ORG</t>
  </si>
  <si>
    <t>CHIAPAS|A01 002 FORTALEZA|20260918|20260923|QRO|WM|CRG07128|22 CONVENCIONAL Y 2 ORG|1</t>
  </si>
  <si>
    <t>CHIAPAS|A01 002 FORTALEZA|20260918|20260923|QRO|WM|CPR01102|22 CONVENCIONAL Y 2 ORG</t>
  </si>
  <si>
    <t>CHIAPAS|A01 002 FORTALEZA|20260918|20260923|QRO|WM|CPR01102|22 CONVENCIONAL Y 2 ORG|1</t>
  </si>
  <si>
    <t>43792</t>
  </si>
  <si>
    <t>CHIAPAS|A01 002 FORTALEZA|20260918|20260924|VSA|WM|CRG07128|19 CONVENCIONAL Y 5 ORG</t>
  </si>
  <si>
    <t>CHIAPAS|A01 002 FORTALEZA|20260918|20260924|VSA|WM|CRG07128|19 CONVENCIONAL Y 5 ORG|1</t>
  </si>
  <si>
    <t>CHIAPAS|A01 002 FORTALEZA|20260918|20260924|SMO|WM|CPR01102|24 CONVENCIONAL</t>
  </si>
  <si>
    <t>CHIAPAS|A01 002 FORTALEZA|20260918|20260924|SMO|WM|CPR01102|24 CONVENCIONAL|1</t>
  </si>
  <si>
    <t>CHIAPAS|A01 002 FORTALEZA|20260918|20260920|CEDA|CEDA PISO|CPR01101|CEDA PISO PRODUCTORAS</t>
  </si>
  <si>
    <t>CHIAPAS|A01 002 FORTALEZA|20260918|20260920|CEDA|CEDA PISO|CPR01101|CEDA PISO PRODUCTORAS|1</t>
  </si>
  <si>
    <t>CHIAPAS|A01 002 FORTALEZA|20260918|20260920|CEDA|CEDA PISO|CSA04120|CEDA PISO PRODUCTORAS</t>
  </si>
  <si>
    <t>CHIAPAS|A01 002 FORTALEZA|20260918|20260920|CEDA|CEDA PISO|CSA04120|CEDA PISO PRODUCTORAS|1</t>
  </si>
  <si>
    <t>CHIAPAS|A01 002 FORTALEZA|20260918|20260920|CEDA|CEDA PISO|CMN05123|CEDA PISO PRODUCTORAS</t>
  </si>
  <si>
    <t>CHIAPAS|A01 002 FORTALEZA|20260918|20260920|CEDA|CEDA PISO|CMN05123|CEDA PISO PRODUCTORAS|1</t>
  </si>
  <si>
    <t>CHIAPAS|A01 002 FORTALEZA|20260918|20260920|CEDA|CEDA PISO|CDS04122|CEDA PISO PRODUCTORAS</t>
  </si>
  <si>
    <t>CHIAPAS|A01 002 FORTALEZA|20260918|20260920|CEDA|CEDA PISO|CDS04122|CEDA PISO PRODUCTORAS|1</t>
  </si>
  <si>
    <t>44417</t>
  </si>
  <si>
    <t>CHIAPAS|A01 004 LA CEIBA|20260918|20260923|MCALLEN|CHANITOS INT|CPR01104|20 CONVENCIONAL F3-2</t>
  </si>
  <si>
    <t>CHIAPAS|A01 004 LA CEIBA|20260918|20260923|MCALLEN|CHANITOS INT|CPR01104|20 CONVENCIONAL F3-2|1</t>
  </si>
  <si>
    <t>CHIAPAS|A01 004 LA CEIBA|20260918|20260923|CEDA|CEDA AUTOSERVICIO|CPR01102|CEDA PISO PRODUCTORAS</t>
  </si>
  <si>
    <t>CHIAPAS|A01 004 LA CEIBA|20260918|20260923|CEDA|CEDA AUTOSERVICIO|CPR01102|CEDA PISO PRODUCTORAS|1</t>
  </si>
  <si>
    <t>CHIAPAS|A01 004 LA CEIBA|20260918|20260920|CEDA|CEDA PISO|CPR01101|CEDA PISO PRODUCTORAS</t>
  </si>
  <si>
    <t>CHIAPAS|A01 004 LA CEIBA|20260918|20260920|CEDA|CEDA PISO|CPR01101|CEDA PISO PRODUCTORAS|1</t>
  </si>
  <si>
    <t>CHIAPAS|A01 004 LA CEIBA|20260918|20260920|CEDA|CEDA PISO|CSA04120|CEDA PISO PRODUCTORAS</t>
  </si>
  <si>
    <t>CHIAPAS|A01 004 LA CEIBA|20260918|20260920|CEDA|CEDA PISO|CSA04120|CEDA PISO PRODUCTORAS|1</t>
  </si>
  <si>
    <t>CHIAPAS|A01 004 LA CEIBA|20260918|20260920|CEDA|CEDA PISO|CMN05123|CEDA PISO PRODUCTORAS</t>
  </si>
  <si>
    <t>CHIAPAS|A01 004 LA CEIBA|20260918|20260920|CEDA|CEDA PISO|CMN05123|CEDA PISO PRODUCTORAS|1</t>
  </si>
  <si>
    <t>CHIAPAS|A01 004 LA CEIBA|20260918|20260920|CEDA|CEDA PISO|CDS04122|CEDA PISO PRODUCTORAS</t>
  </si>
  <si>
    <t>CHIAPAS|A01 004 LA CEIBA|20260918|20260920|CEDA|CEDA PISO|CDS04122|CEDA PISO PRODUCTORAS|1</t>
  </si>
  <si>
    <t>44335</t>
  </si>
  <si>
    <t>CHIAPAS|A04 039 SAN JOSE MORELIA NAVA|20260918|20260922|SMO|WM|CPR01102|24 CONVENCIONAL</t>
  </si>
  <si>
    <t>CHIAPAS|A04 039 SAN JOSE MORELIA NAVA|20260918|20260922|SMO|WM|CPR01102|24 CONVENCIONAL|1</t>
  </si>
  <si>
    <t>43805</t>
  </si>
  <si>
    <t>CHIAPAS|A04 039 SAN JOSE MORELIA NAVA|20260918|20260925|S-MTY|SMART|CPR01103|20 CONVENCIONAL SM4</t>
  </si>
  <si>
    <t>CHIAPAS|A04 039 SAN JOSE MORELIA NAVA|20260918|20260925|S-MTY|SMART|CPR01103|20 CONVENCIONAL SM4|1</t>
  </si>
  <si>
    <t>44425</t>
  </si>
  <si>
    <t>CHIAPAS|A27 073 PLANTACION|20260918|20260922|MCALLEN|CHANITOS INT|CPL08133|24 PLANTAIN</t>
  </si>
  <si>
    <t>CHIAPAS|A27 073 PLANTACION|20260918|20260922|MCALLEN|CHANITOS INT|CPL08133|24 PLANTAIN|1</t>
  </si>
  <si>
    <t>CHIAPAS|A41 100 DONA LUPE JV|20260918|20260922|MCALLEN|CHANITOS INT|CPL08133|24 PLANTAIN</t>
  </si>
  <si>
    <t>CHIAPAS|A41 100 DONA LUPE JV|20260918|20260922|MCALLEN|CHANITOS INT|CPL08133|24 PLANTAIN|1</t>
  </si>
  <si>
    <t>CHIAPAS|A01 002 FORTALEZA|20260919|20260924|VSA|WM|CPR01102|19 CONVENCIONAL Y 5 ORG</t>
  </si>
  <si>
    <t>CHIAPAS|A01 002 FORTALEZA|20260919|20260924|VSA|WM|CPR01102|19 CONVENCIONAL Y 5 ORG|1</t>
  </si>
  <si>
    <t>45275</t>
  </si>
  <si>
    <t>CHIAPAS|A01 002 FORTALEZA|20260919|20260923|CHALCO|WM|CPR01102|1098 CAJAS CONVENCIONAL Y 54 CAJAS BAE</t>
  </si>
  <si>
    <t>CHIAPAS|A01 002 FORTALEZA|20260919|20260923|CHALCO|WM|CPR01102|1098 CAJAS CONVENCIONAL Y 54 CAJAS BAE|1</t>
  </si>
  <si>
    <t>CHIAPAS|A01 002 FORTALEZA|20260919|20260923|CHALCO|WM|CPR01114|1098 CAJAS CONVENCIONAL Y 54 CAJAS BAE</t>
  </si>
  <si>
    <t>CHIAPAS|A01 002 FORTALEZA|20260919|20260923|CHALCO|WM|CPR01114|1098 CAJAS CONVENCIONAL Y 54 CAJAS BAE|1</t>
  </si>
  <si>
    <t>CHIAPAS|A01 002 FORTALEZA|20260919|20260924|SMO|WM|CPR01102|24 CONVENCIONAL</t>
  </si>
  <si>
    <t>CHIAPAS|A01 002 FORTALEZA|20260919|20260924|SMO|WM|CPR01102|24 CONVENCIONAL|1</t>
  </si>
  <si>
    <t>CHIAPAS|A01 002 FORTALEZA|20260919|20260921|CEDA|CEDA PISO|CPR01101|CEDA PISO PRODUCTORAS</t>
  </si>
  <si>
    <t>CHIAPAS|A01 002 FORTALEZA|20260919|20260921|CEDA|CEDA PISO|CPR01101|CEDA PISO PRODUCTORAS|1</t>
  </si>
  <si>
    <t>CHIAPAS|A01 002 FORTALEZA|20260919|20260921|CEDA|CEDA PISO|CSA04120|CEDA PISO PRODUCTORAS</t>
  </si>
  <si>
    <t>CHIAPAS|A01 002 FORTALEZA|20260919|20260921|CEDA|CEDA PISO|CSA04120|CEDA PISO PRODUCTORAS|1</t>
  </si>
  <si>
    <t>CHIAPAS|A01 002 FORTALEZA|20260919|20260921|CEDA|CEDA PISO|CMN05123|CEDA PISO PRODUCTORAS</t>
  </si>
  <si>
    <t>CHIAPAS|A01 002 FORTALEZA|20260919|20260921|CEDA|CEDA PISO|CMN05123|CEDA PISO PRODUCTORAS|1</t>
  </si>
  <si>
    <t>CHIAPAS|A01 002 FORTALEZA|20260919|20260921|CEDA|CEDA PISO|CDS04122|CEDA PISO PRODUCTORAS</t>
  </si>
  <si>
    <t>CHIAPAS|A01 002 FORTALEZA|20260919|20260921|CEDA|CEDA PISO|CDS04122|CEDA PISO PRODUCTORAS|1</t>
  </si>
  <si>
    <t>CHIAPAS|A01 003 DONA NELLY|20260919|20260925|S-MTY|SMART|CPR01103|20 CONVENCIONAL SM4</t>
  </si>
  <si>
    <t>CHIAPAS|A01 003 DONA NELLY|20260919|20260925|S-MTY|SMART|CPR01103|20 CONVENCIONAL SM4|1</t>
  </si>
  <si>
    <t>CHIAPAS|A01 003 DONA NELLY|20260919|20260923|CHALCO|WM|CPR01102|1098 CAJAS CONVENCIONAL Y 54 CAJAS BAE</t>
  </si>
  <si>
    <t>CHIAPAS|A01 003 DONA NELLY|20260919|20260923|CHALCO|WM|CPR01102|1098 CAJAS CONVENCIONAL Y 54 CAJAS BAE|1</t>
  </si>
  <si>
    <t>CHIAPAS|A01 003 DONA NELLY|20260919|20260924|SMO|WM|CPR01102|24 CONVENCIONAL</t>
  </si>
  <si>
    <t>CHIAPAS|A01 003 DONA NELLY|20260919|20260924|SMO|WM|CPR01102|24 CONVENCIONAL|1</t>
  </si>
  <si>
    <t>CHIAPAS|A01 003 DONA NELLY|20260919|20260921|CEDA|CEDA PISO|CPR01101|CEDA PISO PRODUCTORAS</t>
  </si>
  <si>
    <t>CHIAPAS|A01 003 DONA NELLY|20260919|20260921|CEDA|CEDA PISO|CPR01101|CEDA PISO PRODUCTORAS|1</t>
  </si>
  <si>
    <t>CHIAPAS|A01 003 DONA NELLY|20260919|20260921|CEDA|CEDA PISO|CSA04120|CEDA PISO PRODUCTORAS</t>
  </si>
  <si>
    <t>CHIAPAS|A01 003 DONA NELLY|20260919|20260921|CEDA|CEDA PISO|CSA04120|CEDA PISO PRODUCTORAS|1</t>
  </si>
  <si>
    <t>CHIAPAS|A01 003 DONA NELLY|20260919|20260921|CEDA|CEDA PISO|CMN05123|CEDA PISO PRODUCTORAS</t>
  </si>
  <si>
    <t>CHIAPAS|A01 003 DONA NELLY|20260919|20260921|CEDA|CEDA PISO|CMN05123|CEDA PISO PRODUCTORAS|1</t>
  </si>
  <si>
    <t>CHIAPAS|A01 003 DONA NELLY|20260919|20260921|CEDA|CEDA PISO|CDS04122|CEDA PISO PRODUCTORAS</t>
  </si>
  <si>
    <t>CHIAPAS|A01 003 DONA NELLY|20260919|20260921|CEDA|CEDA PISO|CDS04122|CEDA PISO PRODUCTORAS|1</t>
  </si>
  <si>
    <t>44419</t>
  </si>
  <si>
    <t>CHIAPAS|A01 001 MARBELLA|20260919|20260924|MCALLEN|CHANITOS INT|CPR01104|20 CONVENCIONAL F4-2</t>
  </si>
  <si>
    <t>CHIAPAS|A01 001 MARBELLA|20260919|20260924|MCALLEN|CHANITOS INT|CPR01104|20 CONVENCIONAL F4-2|1</t>
  </si>
  <si>
    <t>CHIAPAS|A01 001 MARBELLA|20260919|20260924|CEDA|CEDA AUTOSERVICIO|CPR01102|CEDA</t>
  </si>
  <si>
    <t>CHIAPAS|A01 001 MARBELLA|20260919|20260924|CEDA|CEDA AUTOSERVICIO|CPR01102|CEDA|1</t>
  </si>
  <si>
    <t>CHIAPAS|A01 001 MARBELLA|20260919|20260921|CEDA|CEDA PISO|CPR01101|CEDA PISO PRODUCTORAS</t>
  </si>
  <si>
    <t>CHIAPAS|A01 001 MARBELLA|20260919|20260921|CEDA|CEDA PISO|CPR01101|CEDA PISO PRODUCTORAS|1</t>
  </si>
  <si>
    <t>CHIAPAS|A01 001 MARBELLA|20260919|20260921|CEDA|CEDA PISO|CSA04120|CEDA PISO PRODUCTORAS</t>
  </si>
  <si>
    <t>CHIAPAS|A01 001 MARBELLA|20260919|20260921|CEDA|CEDA PISO|CSA04120|CEDA PISO PRODUCTORAS|1</t>
  </si>
  <si>
    <t>CHIAPAS|A01 001 MARBELLA|20260919|20260921|CEDA|CEDA PISO|CMN05123|CEDA PISO PRODUCTORAS</t>
  </si>
  <si>
    <t>CHIAPAS|A01 001 MARBELLA|20260919|20260921|CEDA|CEDA PISO|CMN05123|CEDA PISO PRODUCTORAS|1</t>
  </si>
  <si>
    <t>CHIAPAS|A01 001 MARBELLA|20260919|20260921|CEDA|CEDA PISO|CDS04122|CEDA PISO PRODUCTORAS</t>
  </si>
  <si>
    <t>CHIAPAS|A01 001 MARBELLA|20260919|20260921|CEDA|CEDA PISO|CDS04122|CEDA PISO PRODUCTORAS|1</t>
  </si>
  <si>
    <t>CHIAPAS|A04 039 SAN JOSE MORELIA NAVA|20260919|20260925|S-MTY|SMART|CPR01103|20 CONVENCIONAL SM4</t>
  </si>
  <si>
    <t>CHIAPAS|A04 039 SAN JOSE MORELIA NAVA|20260919|20260925|S-MTY|SMART|CPR01103|20 CONVENCIONAL SM4|1</t>
  </si>
  <si>
    <t>CHIAPAS|A04 039 SAN JOSE MORELIA NAVA|20260919|20260925|S-MTY|SMART|CPR01103|20 CONVENCIONAL SM3</t>
  </si>
  <si>
    <t>CHIAPAS|A04 039 SAN JOSE MORELIA NAVA|20260919|20260925|S-MTY|SMART|CPR01103|20 CONVENCIONAL SM3|1</t>
  </si>
  <si>
    <t>44418</t>
  </si>
  <si>
    <t>CHIAPAS|A04 083 SANTA MARIA|20260919|20260923|MCALLEN|CHANITOS INT|CPR01104|20 CONVENCIONAL F3-1</t>
  </si>
  <si>
    <t>CHIAPAS|A04 083 SANTA MARIA|20260919|20260923|MCALLEN|CHANITOS INT|CPR01104|20 CONVENCIONAL F3-1|1</t>
  </si>
  <si>
    <t>A04084-392109-1</t>
  </si>
  <si>
    <t>44552</t>
  </si>
  <si>
    <t>CHIAPAS|A04 084 LISBOA|20260921|20260925|MCALLEN|CHANITOS INT|CPR01104|20 CONVENCIONAL F1-1</t>
  </si>
  <si>
    <t>CHIAPAS|A04 084 LISBOA|20260921|20260925|MCALLEN|CHANITOS INT|CPR01104|20 CONVENCIONAL F1-1|1</t>
  </si>
  <si>
    <t>Programa Embarques 2026 S-39.xlsx</t>
  </si>
  <si>
    <t>44556</t>
  </si>
  <si>
    <t>A01001-392109-1</t>
  </si>
  <si>
    <t>44907</t>
  </si>
  <si>
    <t>CHIAPAS|A01 001 MARBELLA|20260921|20260925|QRO|WM|CPR01102|23 CONVENCIONAL Y 1 ORG</t>
  </si>
  <si>
    <t>CHIAPAS|A01 001 MARBELLA|20260921|20260925|QRO|WM|CPR01102|23 CONVENCIONAL Y 1 ORG|1</t>
  </si>
  <si>
    <t>CHIAPAS|A01 001 MARBELLA|20260921|20260923|CEDA|CEDA AUTOSERVICIO|CPR01102|CEDA</t>
  </si>
  <si>
    <t>CHIAPAS|A01 001 MARBELLA|20260921|20260923|CEDA|CEDA AUTOSERVICIO|CPR01102|CEDA|1</t>
  </si>
  <si>
    <t>CHIAPAS|A01 001 MARBELLA|20260921|20260923|CEDA|CEDA PISO|CPR01101|CEDA PISO PRODUCTORAS</t>
  </si>
  <si>
    <t>CHIAPAS|A01 001 MARBELLA|20260921|20260923|CEDA|CEDA PISO|CPR01101|CEDA PISO PRODUCTORAS|1</t>
  </si>
  <si>
    <t>A01001-392109-4</t>
  </si>
  <si>
    <t>CHIAPAS|A01 001 MARBELLA|20260921|20260923|CEDA|CEDA PISO|CSA04120|CEDA PISO PRODUCTORAS</t>
  </si>
  <si>
    <t>CHIAPAS|A01 001 MARBELLA|20260921|20260923|CEDA|CEDA PISO|CSA04120|CEDA PISO PRODUCTORAS|1</t>
  </si>
  <si>
    <t>A01001-392109-3</t>
  </si>
  <si>
    <t>CHIAPAS|A01 001 MARBELLA|20260921|20260923|CEDA|CEDA PISO|CMN05123|CEDA PISO PRODUCTORAS</t>
  </si>
  <si>
    <t>CHIAPAS|A01 001 MARBELLA|20260921|20260923|CEDA|CEDA PISO|CMN05123|CEDA PISO PRODUCTORAS|1</t>
  </si>
  <si>
    <t>CHIAPAS|A01 001 MARBELLA|20260921|20260923|CEDA|CEDA PISO|CDS04122|CEDA PISO PRODUCTORAS</t>
  </si>
  <si>
    <t>CHIAPAS|A01 001 MARBELLA|20260921|20260923|CEDA|CEDA PISO|CDS04122|CEDA PISO PRODUCTORAS|1</t>
  </si>
  <si>
    <t>A01002-392109-1</t>
  </si>
  <si>
    <t>CHIAPAS|A01 002 FORTALEZA|20260921|20260924|SMO|WM|CPR01102|24 CONVENCIONAL</t>
  </si>
  <si>
    <t>CHIAPAS|A01 002 FORTALEZA|20260921|20260924|SMO|WM|CPR01102|24 CONVENCIONAL|1</t>
  </si>
  <si>
    <t>44337</t>
  </si>
  <si>
    <t>CHIAPAS|A01 002 FORTALEZA|20260921|20260926|SMO|WM|CPR01102|24 CONVENCIONAL</t>
  </si>
  <si>
    <t>CHIAPAS|A01 002 FORTALEZA|20260921|20260926|SMO|WM|CPR01102|24 CONVENCIONAL|1</t>
  </si>
  <si>
    <t>CHIAPAS|A01 002 FORTALEZA|20260921|20260925|QRO|WM|CRG07128|23 CONVENCIONAL Y 1 ORG</t>
  </si>
  <si>
    <t>CHIAPAS|A01 002 FORTALEZA|20260921|20260925|QRO|WM|CRG07128|23 CONVENCIONAL Y 1 ORG|1</t>
  </si>
  <si>
    <t>45214</t>
  </si>
  <si>
    <t>CHIAPAS|A01 002 FORTALEZA|20260921|20260925|MTY|WM|CRG07128|23 CONVENCIONAL CON 5 CAJAS BAE Y 1 ORG</t>
  </si>
  <si>
    <t>CHIAPAS|A01 002 FORTALEZA|20260921|20260925|MTY|WM|CRG07128|23 CONVENCIONAL CON 5 CAJAS BAE Y 1 ORG|1</t>
  </si>
  <si>
    <t>45213</t>
  </si>
  <si>
    <t>CHIAPAS|A01 002 FORTALEZA|20260921|20260925|MTY|WM|CPR01114|23 CONVENCIONAL CON 5 CAJAS BAE Y 1 ORG</t>
  </si>
  <si>
    <t>CHIAPAS|A01 002 FORTALEZA|20260921|20260925|MTY|WM|CPR01114|23 CONVENCIONAL CON 5 CAJAS BAE Y 1 ORG|1</t>
  </si>
  <si>
    <t>CHIAPAS|A01 002 FORTALEZA|20260921|20260925|MTY|WM|CPR01102|23 CONVENCIONAL CON 5 CAJAS BAE Y 1 ORG</t>
  </si>
  <si>
    <t>CHIAPAS|A01 002 FORTALEZA|20260921|20260925|MTY|WM|CPR01102|23 CONVENCIONAL CON 5 CAJAS BAE Y 1 ORG|1</t>
  </si>
  <si>
    <t>CHIAPAS|A01 002 FORTALEZA|20260921|20260923|CEDA|CEDA AUTOSERVICIO|CPR01102|CEDA</t>
  </si>
  <si>
    <t>CHIAPAS|A01 002 FORTALEZA|20260921|20260923|CEDA|CEDA AUTOSERVICIO|CPR01102|CEDA|1</t>
  </si>
  <si>
    <t>CHIAPAS|A01 002 FORTALEZA|20260921|20260923|CEDA|CEDA PISO|CPR01101|CEDA PISO PRODUCTORAS</t>
  </si>
  <si>
    <t>CHIAPAS|A01 002 FORTALEZA|20260921|20260923|CEDA|CEDA PISO|CPR01101|CEDA PISO PRODUCTORAS|1</t>
  </si>
  <si>
    <t>A01002-392109-4</t>
  </si>
  <si>
    <t>CHIAPAS|A01 002 FORTALEZA|20260921|20260923|CEDA|CEDA PISO|CSA04120|CEDA PISO PRODUCTORAS</t>
  </si>
  <si>
    <t>CHIAPAS|A01 002 FORTALEZA|20260921|20260923|CEDA|CEDA PISO|CSA04120|CEDA PISO PRODUCTORAS|1</t>
  </si>
  <si>
    <t>A01002-392109-3</t>
  </si>
  <si>
    <t>CHIAPAS|A01 002 FORTALEZA|20260921|20260923|CEDA|CEDA PISO|CMN05123|CEDA PISO PRODUCTORAS</t>
  </si>
  <si>
    <t>CHIAPAS|A01 002 FORTALEZA|20260921|20260923|CEDA|CEDA PISO|CMN05123|CEDA PISO PRODUCTORAS|1</t>
  </si>
  <si>
    <t>A01002-392109-5</t>
  </si>
  <si>
    <t>CHIAPAS|A01 002 FORTALEZA|20260921|20260923|CEDA|CEDA PISO|CDS04122|CEDA PISO PRODUCTORAS</t>
  </si>
  <si>
    <t>CHIAPAS|A01 002 FORTALEZA|20260921|20260923|CEDA|CEDA PISO|CDS04122|CEDA PISO PRODUCTORAS|1</t>
  </si>
  <si>
    <t>A01004-392109-1</t>
  </si>
  <si>
    <t>CHIAPAS|A01 004 LA CEIBA|20260921|20260925|S-MTY|SMART|CPR01103|20 CONVENCIONAL SM3</t>
  </si>
  <si>
    <t>CHIAPAS|A01 004 LA CEIBA|20260921|20260925|S-MTY|SMART|CPR01103|20 CONVENCIONAL SM3|1</t>
  </si>
  <si>
    <t>CHIAPAS|A01 004 LA CEIBA|20260921|20260925|MTY|WM|CPR01102|23 CONVENCIONAL CON 5 CAJAS BAE Y 1 ORG</t>
  </si>
  <si>
    <t>CHIAPAS|A01 004 LA CEIBA|20260921|20260925|MTY|WM|CPR01102|23 CONVENCIONAL CON 5 CAJAS BAE Y 1 ORG|1</t>
  </si>
  <si>
    <t>CHIAPAS|A01 004 LA CEIBA|20260921|20260923|CEDA|CEDA PISO|CPR01101|CEDA PISO PRODUCTORAS</t>
  </si>
  <si>
    <t>CHIAPAS|A01 004 LA CEIBA|20260921|20260923|CEDA|CEDA PISO|CPR01101|CEDA PISO PRODUCTORAS|1</t>
  </si>
  <si>
    <t>A01004-392109-4</t>
  </si>
  <si>
    <t>CHIAPAS|A01 004 LA CEIBA|20260921|20260923|CEDA|CEDA PISO|CSA04120|CEDA PISO PRODUCTORAS</t>
  </si>
  <si>
    <t>CHIAPAS|A01 004 LA CEIBA|20260921|20260923|CEDA|CEDA PISO|CSA04120|CEDA PISO PRODUCTORAS|1</t>
  </si>
  <si>
    <t>A01004-392109-3</t>
  </si>
  <si>
    <t>CHIAPAS|A01 004 LA CEIBA|20260921|20260923|CEDA|CEDA PISO|CMN05123|CEDA PISO PRODUCTORAS</t>
  </si>
  <si>
    <t>CHIAPAS|A01 004 LA CEIBA|20260921|20260923|CEDA|CEDA PISO|CMN05123|CEDA PISO PRODUCTORAS|1</t>
  </si>
  <si>
    <t>A01004-392109-5</t>
  </si>
  <si>
    <t>CHIAPAS|A01 004 LA CEIBA|20260921|20260923|CEDA|CEDA PISO|CDS04122|CEDA PISO PRODUCTORAS</t>
  </si>
  <si>
    <t>CHIAPAS|A01 004 LA CEIBA|20260921|20260923|CEDA|CEDA PISO|CDS04122|CEDA PISO PRODUCTORAS|1</t>
  </si>
  <si>
    <t>A01003-392209-1</t>
  </si>
  <si>
    <t>44551</t>
  </si>
  <si>
    <t>CHIAPAS|A01 003 DONA NELLY|20260922|20260925|MCALLEN|CHANITOS INT|CPR01104|20 CONVENCIONAL F1-2</t>
  </si>
  <si>
    <t>CHIAPAS|A01 003 DONA NELLY|20260922|20260925|MCALLEN|CHANITOS INT|CPR01104|20 CONVENCIONAL F1-2|1</t>
  </si>
  <si>
    <t>CHIAPAS|A01 003 DONA NELLY|20260922|20260926|SMO|WM|CPR01102|24 CONVENCIONAL</t>
  </si>
  <si>
    <t>CHIAPAS|A01 003 DONA NELLY|20260922|20260926|SMO|WM|CPR01102|24 CONVENCIONAL|1</t>
  </si>
  <si>
    <t>CHIAPAS|A01 003 DONA NELLY|20260922|20260926|CEDA|CEDA AUTOSERVICIO|CPR01102|CEDA</t>
  </si>
  <si>
    <t>CHIAPAS|A01 003 DONA NELLY|20260922|20260926|CEDA|CEDA AUTOSERVICIO|CPR01102|CEDA|1</t>
  </si>
  <si>
    <t>CHIAPAS|A01 003 DONA NELLY|20260922|20260923|CEDA|CEDA PISO|CPR01101|CEDA PISO PRODUCTORAS</t>
  </si>
  <si>
    <t>CHIAPAS|A01 003 DONA NELLY|20260922|20260923|CEDA|CEDA PISO|CPR01101|CEDA PISO PRODUCTORAS|1</t>
  </si>
  <si>
    <t>A01003-392209-4</t>
  </si>
  <si>
    <t>CHIAPAS|A01 003 DONA NELLY|20260922|20260924|CEDA|CEDA PISO|CSA04120|CEDA PISO PRODUCTORAS</t>
  </si>
  <si>
    <t>CHIAPAS|A01 003 DONA NELLY|20260922|20260924|CEDA|CEDA PISO|CSA04120|CEDA PISO PRODUCTORAS|1</t>
  </si>
  <si>
    <t>A01003-392209-3</t>
  </si>
  <si>
    <t>CHIAPAS|A01 003 DONA NELLY|20260922|20260924|CEDA|CEDA PISO|CMN05123|CEDA PISO PRODUCTORAS</t>
  </si>
  <si>
    <t>CHIAPAS|A01 003 DONA NELLY|20260922|20260924|CEDA|CEDA PISO|CMN05123|CEDA PISO PRODUCTORAS|1</t>
  </si>
  <si>
    <t>A01003-392209-5</t>
  </si>
  <si>
    <t>CHIAPAS|A01 003 DONA NELLY|20260922|20260924|CEDA|CEDA PISO|CDS04122|CEDA PISO PRODUCTORAS</t>
  </si>
  <si>
    <t>CHIAPAS|A01 003 DONA NELLY|20260922|20260924|CEDA|CEDA PISO|CDS04122|CEDA PISO PRODUCTORAS|1</t>
  </si>
  <si>
    <t>A01002-392209-1</t>
  </si>
  <si>
    <t>CHIAPAS|A01 002 FORTALEZA|20260922|20260926|SMO|WM|CPR01102|24 CONVENCIONAL</t>
  </si>
  <si>
    <t>CHIAPAS|A01 002 FORTALEZA|20260922|20260926|SMO|WM|CPR01102|24 CONVENCIONAL|1</t>
  </si>
  <si>
    <t>41953</t>
  </si>
  <si>
    <t>CHIAPAS|A01 002 FORTALEZA|20260922|20260926|VSA|WM|CPR01102|19 CONVENCIONAL Y 5 ORG</t>
  </si>
  <si>
    <t>CHIAPAS|A01 002 FORTALEZA|20260922|20260926|VSA|WM|CPR01102|19 CONVENCIONAL Y 5 ORG|1</t>
  </si>
  <si>
    <t>43793</t>
  </si>
  <si>
    <t>CHIAPAS|A01 002 FORTALEZA|20260922|20260926|VSA|WM|CRG07128|19 CONVENCIONAL Y 5 ORG</t>
  </si>
  <si>
    <t>CHIAPAS|A01 002 FORTALEZA|20260922|20260926|VSA|WM|CRG07128|19 CONVENCIONAL Y 5 ORG|1</t>
  </si>
  <si>
    <t>A01002-392209-4</t>
  </si>
  <si>
    <t>CHIAPAS|A01 002 FORTALEZA|20260922|20260924|CEDA|CEDA PISO|CSA04120|CEDA PISO PRODUCTORAS</t>
  </si>
  <si>
    <t>CHIAPAS|A01 002 FORTALEZA|20260922|20260924|CEDA|CEDA PISO|CSA04120|CEDA PISO PRODUCTORAS|1</t>
  </si>
  <si>
    <t>A01002-392209-3</t>
  </si>
  <si>
    <t>CHIAPAS|A01 002 FORTALEZA|20260922|20260924|CEDA|CEDA PISO|CMN05123|CEDA PISO PRODUCTORAS</t>
  </si>
  <si>
    <t>CHIAPAS|A01 002 FORTALEZA|20260922|20260924|CEDA|CEDA PISO|CMN05123|CEDA PISO PRODUCTORAS|1</t>
  </si>
  <si>
    <t>A01002-392209-5</t>
  </si>
  <si>
    <t>CHIAPAS|A01 002 FORTALEZA|20260922|20260924|CEDA|CEDA PISO|CDS04122|CEDA PISO PRODUCTORAS</t>
  </si>
  <si>
    <t>CHIAPAS|A01 002 FORTALEZA|20260922|20260924|CEDA|CEDA PISO|CDS04122|CEDA PISO PRODUCTORAS|1</t>
  </si>
  <si>
    <t>A01001-392209-1</t>
  </si>
  <si>
    <t>45358</t>
  </si>
  <si>
    <t>CHIAPAS|A01 001 MARBELLA|20260922|20260925|JAPON|MAR|CPR03119|CP27-14 CP34-6</t>
  </si>
  <si>
    <t>CHIAPAS|A01 001 MARBELLA|20260922|20260925|JAPON|MAR|CPR03119|CP27-14 CP34-6|1</t>
  </si>
  <si>
    <t>CHIAPAS|A01 001 MARBELLA|20260922|20260925|JAPON|MAR|CPR03124|CP27-14 CP34-6</t>
  </si>
  <si>
    <t>CHIAPAS|A01 001 MARBELLA|20260922|20260925|JAPON|MAR|CPR03124|CP27-14 CP34-6|1</t>
  </si>
  <si>
    <t>CHIAPAS|A01 001 MARBELLA|20260922|20260927|VSA|WM|CPR01102|24 CONVENCIONAL</t>
  </si>
  <si>
    <t>CHIAPAS|A01 001 MARBELLA|20260922|20260927|VSA|WM|CPR01102|24 CONVENCIONAL|1</t>
  </si>
  <si>
    <t>CHIAPAS|A01 001 MARBELLA|20260922|20260923|CEDA|CEDA AUTOSERVICIO|CPR01102|CEDA</t>
  </si>
  <si>
    <t>CHIAPAS|A01 001 MARBELLA|20260922|20260923|CEDA|CEDA AUTOSERVICIO|CPR01102|CEDA|1</t>
  </si>
  <si>
    <t>CHIAPAS|A01 001 MARBELLA|20260922|20260923|CEDA|CEDA PISO|CPR01101|CEDA PISO PRODUCTORAS</t>
  </si>
  <si>
    <t>CHIAPAS|A01 001 MARBELLA|20260922|20260923|CEDA|CEDA PISO|CPR01101|CEDA PISO PRODUCTORAS|1</t>
  </si>
  <si>
    <t>A01001-392209-4</t>
  </si>
  <si>
    <t>CHIAPAS|A01 001 MARBELLA|20260922|20260924|CEDA|CEDA PISO|CSA04120|CEDA PISO PRODUCTORAS</t>
  </si>
  <si>
    <t>CHIAPAS|A01 001 MARBELLA|20260922|20260924|CEDA|CEDA PISO|CSA04120|CEDA PISO PRODUCTORAS|1</t>
  </si>
  <si>
    <t>A01001-392209-3</t>
  </si>
  <si>
    <t>CHIAPAS|A01 001 MARBELLA|20260922|20260924|CEDA|CEDA PISO|CMN05123|CEDA PISO PRODUCTORAS</t>
  </si>
  <si>
    <t>CHIAPAS|A01 001 MARBELLA|20260922|20260924|CEDA|CEDA PISO|CMN05123|CEDA PISO PRODUCTORAS|1</t>
  </si>
  <si>
    <t>A01001-392209-5</t>
  </si>
  <si>
    <t>CHIAPAS|A01 001 MARBELLA|20260922|20260924|CEDA|CEDA PISO|CDS04122|CEDA PISO PRODUCTORAS</t>
  </si>
  <si>
    <t>CHIAPAS|A01 001 MARBELLA|20260922|20260924|CEDA|CEDA PISO|CDS04122|CEDA PISO PRODUCTORAS|1</t>
  </si>
  <si>
    <t>A11045-392209-1</t>
  </si>
  <si>
    <t>45643</t>
  </si>
  <si>
    <t>CHIAPAS|A11 045 SECTOR MAZATAN|20260922|20260926|S-MTY|SMART|CPR01103|20 CONVENCIONAL SM1</t>
  </si>
  <si>
    <t>CHIAPAS|A11 045 SECTOR MAZATAN|20260922|20260926|S-MTY|SMART|CPR01103|20 CONVENCIONAL SM1|1</t>
  </si>
  <si>
    <t>43806</t>
  </si>
  <si>
    <t>A15063-392209-1</t>
  </si>
  <si>
    <t>A15 063 Zaragoza</t>
  </si>
  <si>
    <t>CHIAPAS|A15 063 ZARAGOZA|20260922|20260928|S-MTY|SMART|CPL08134|18 CONVENCIONAL Y 2 PLANTAIN</t>
  </si>
  <si>
    <t>CHIAPAS|A15 063 ZARAGOZA|20260922|20260928|S-MTY|SMART|CPL08134|18 CONVENCIONAL Y 2 PLANTAIN|1</t>
  </si>
  <si>
    <t>43271</t>
  </si>
  <si>
    <t>CHIAPAS|A15 063 ZARAGOZA|20260922|20260929|CIUDAD JUAREZ|SMART|CPL08134|17 CONVENCIONAL Y 3 PLANTAIN</t>
  </si>
  <si>
    <t>CHIAPAS|A15 063 ZARAGOZA|20260922|20260929|CIUDAD JUAREZ|SMART|CPL08134|17 CONVENCIONAL Y 3 PLANTAIN|1</t>
  </si>
  <si>
    <t>A04084-392209-1</t>
  </si>
  <si>
    <t>CHIAPAS|A04 084 LISBOA|20260922|20260926|MCALLEN|CHANITOS INT|CPR01104|20 CONVENCIONAL F3-1</t>
  </si>
  <si>
    <t>CHIAPAS|A04 084 LISBOA|20260922|20260926|MCALLEN|CHANITOS INT|CPR01104|20 CONVENCIONAL F3-1|1</t>
  </si>
  <si>
    <t>CHIAPAS|A04 084 LISBOA|20260922|20260929|MCALLEN|CHANITOS INT|CPR01104|20 CONVENCIONAL F4-1</t>
  </si>
  <si>
    <t>CHIAPAS|A04 084 LISBOA|20260922|20260929|MCALLEN|CHANITOS INT|CPR01104|20 CONVENCIONAL F4-1|1</t>
  </si>
  <si>
    <t>A04039-392209-1</t>
  </si>
  <si>
    <t>CHIAPAS|A04 039 SAN JOSE MORELIA NAVA|20260922|20260926|S-MTY|SMART|CPR01103|20 CONVENCIONAL SM2</t>
  </si>
  <si>
    <t>CHIAPAS|A04 039 SAN JOSE MORELIA NAVA|20260922|20260926|S-MTY|SMART|CPR01103|20 CONVENCIONAL SM2|1</t>
  </si>
  <si>
    <t>A04038-392309-1</t>
  </si>
  <si>
    <t>44554</t>
  </si>
  <si>
    <t>CHIAPAS|A04 038 EL TRIUNFO NAVA|20260923|20260926|MCALLEN|CHANITOS INT|CPR01104|20 CONVENCIONAL F3-2</t>
  </si>
  <si>
    <t>CHIAPAS|A04 038 EL TRIUNFO NAVA|20260923|20260926|MCALLEN|CHANITOS INT|CPR01104|20 CONVENCIONAL F3-2|1</t>
  </si>
  <si>
    <t>A04084-392309-1</t>
  </si>
  <si>
    <t>45031</t>
  </si>
  <si>
    <t>CHIAPAS|A04 084 LISBOA|20260923|20260929|MCALLEN|CHANITOS INT|CPR01104|20 CONVENCIONAL F4-1</t>
  </si>
  <si>
    <t>CHIAPAS|A04 084 LISBOA|20260923|20260929|MCALLEN|CHANITOS INT|CPR01104|20 CONVENCIONAL F4-1|1</t>
  </si>
  <si>
    <t>A11087-392309-1</t>
  </si>
  <si>
    <t>A11045-392309-1</t>
  </si>
  <si>
    <t>CHIAPAS|A11 045 SECTOR MAZATAN|20260923|20260928|S-MTY|SMART|CPR01103|18 CONVENCIONAL Y 2 PLANTAIN</t>
  </si>
  <si>
    <t>CHIAPAS|A11 045 SECTOR MAZATAN|20260923|20260928|S-MTY|SMART|CPR01103|18 CONVENCIONAL Y 2 PLANTAIN|1</t>
  </si>
  <si>
    <t>A15063-392309-1</t>
  </si>
  <si>
    <t>A01003-392309-1</t>
  </si>
  <si>
    <t>CHIAPAS|A01 003 DONA NELLY|20260923|20260929|CIUDAD JUAREZ|SMART|CPR01103|17 CONVENCIONAL Y 3 PLANTAIN</t>
  </si>
  <si>
    <t>CHIAPAS|A01 003 DONA NELLY|20260923|20260929|CIUDAD JUAREZ|SMART|CPR01103|17 CONVENCIONAL Y 3 PLANTAIN|1</t>
  </si>
  <si>
    <t>A04039-392309-1</t>
  </si>
  <si>
    <t>45098</t>
  </si>
  <si>
    <t>CHIAPAS|A01 003 DONA NELLY|20260923|20260928|SMO|WM|CPR01102|24 CONVENCIONAL</t>
  </si>
  <si>
    <t>CHIAPAS|A01 003 DONA NELLY|20260923|20260928|SMO|WM|CPR01102|24 CONVENCIONAL|1</t>
  </si>
  <si>
    <t>A01002-392309-1</t>
  </si>
  <si>
    <t>45094</t>
  </si>
  <si>
    <t>45277</t>
  </si>
  <si>
    <t>CHIAPAS|A01 002 FORTALEZA|20260923|20260928|CHALCO|WM|CPR01102|1074 CAJAS CONVENCIONAL Y 78 CAJAS BAE</t>
  </si>
  <si>
    <t>CHIAPAS|A01 002 FORTALEZA|20260923|20260928|CHALCO|WM|CPR01102|1074 CAJAS CONVENCIONAL Y 78 CAJAS BAE|1</t>
  </si>
  <si>
    <t>CHIAPAS|A01 002 FORTALEZA|20260923|20260928|CHALCO|WM|CPR01114|1074 CAJAS CONVENCIONAL Y 78 CAJAS BAE</t>
  </si>
  <si>
    <t>CHIAPAS|A01 002 FORTALEZA|20260923|20260928|CHALCO|WM|CPR01114|1074 CAJAS CONVENCIONAL Y 78 CAJAS BAE|1</t>
  </si>
  <si>
    <t>A01001-392309-1</t>
  </si>
  <si>
    <t>45089</t>
  </si>
  <si>
    <t>CHIAPAS|A01 001 MARBELLA|20260923|20260927|VSA|WM|CPR01102|24 CONVENCIONAL</t>
  </si>
  <si>
    <t>CHIAPAS|A01 001 MARBELLA|20260923|20260927|VSA|WM|CPR01102|24 CONVENCIONAL|1</t>
  </si>
  <si>
    <t>A01001-392409-1</t>
  </si>
  <si>
    <t>45202</t>
  </si>
  <si>
    <t>CHIAPAS|A01 001 MARBELLA|20260924|20260928|QRO|WM|CPR01102|22 CONVENCIONAL Y 2 ORG</t>
  </si>
  <si>
    <t>CHIAPAS|A01 001 MARBELLA|20260924|20260928|QRO|WM|CPR01102|22 CONVENCIONAL Y 2 ORG|1</t>
  </si>
  <si>
    <t>A01002-392409-1</t>
  </si>
  <si>
    <t>CHIAPAS|A01 002 FORTALEZA|20260924|20260928|CHALCO|WM|CPR01102|1074 CAJAS CONVENCIONAL Y 78 CAJAS BAE</t>
  </si>
  <si>
    <t>CHIAPAS|A01 002 FORTALEZA|20260924|20260928|CHALCO|WM|CPR01102|1074 CAJAS CONVENCIONAL Y 78 CAJAS BAE|1</t>
  </si>
  <si>
    <t>CHIAPAS|A01 002 FORTALEZA|20260924|20260928|QRO|WM|CRG07128|22 CONVENCIONAL Y 2 ORG</t>
  </si>
  <si>
    <t>CHIAPAS|A01 002 FORTALEZA|20260924|20260928|QRO|WM|CRG07128|22 CONVENCIONAL Y 2 ORG|1</t>
  </si>
  <si>
    <t>43794</t>
  </si>
  <si>
    <t>CHIAPAS|A01 002 FORTALEZA|20260924|20260928|VSA|WM|CRG07128|18 CONVENCIONAL Y 6 ORGANICO</t>
  </si>
  <si>
    <t>CHIAPAS|A01 002 FORTALEZA|20260924|20260928|VSA|WM|CRG07128|18 CONVENCIONAL Y 6 ORGANICO|1</t>
  </si>
  <si>
    <t>41954</t>
  </si>
  <si>
    <t>CHIAPAS|A01 002 FORTALEZA|20260924|20260928|VSA|WM|CPR01102|18 CONVENCIONAL Y 6 ORGANICO</t>
  </si>
  <si>
    <t>CHIAPAS|A01 002 FORTALEZA|20260924|20260928|VSA|WM|CPR01102|18 CONVENCIONAL Y 6 ORGANICO|1</t>
  </si>
  <si>
    <t>A01003-392409-1</t>
  </si>
  <si>
    <t>CHIAPAS|A01 003 DONA NELLY|20260924|20260928|SMO|WM|CPR01102|24 CONVENCIONAL</t>
  </si>
  <si>
    <t>CHIAPAS|A01 003 DONA NELLY|20260924|20260928|SMO|WM|CPR01102|24 CONVENCIONAL|1</t>
  </si>
  <si>
    <t>45030</t>
  </si>
  <si>
    <t>CHIAPAS|A01 003 DONA NELLY|20260924|20260929|MCALLEN|CHANITOS INT|CPR01104|20 CONVENCIONAL F4-2</t>
  </si>
  <si>
    <t>CHIAPAS|A01 003 DONA NELLY|20260924|20260929|MCALLEN|CHANITOS INT|CPR01104|20 CONVENCIONAL F4-2|1</t>
  </si>
  <si>
    <t>A06043-392409-1</t>
  </si>
  <si>
    <t>A04039-392409-1</t>
  </si>
  <si>
    <t>45612</t>
  </si>
  <si>
    <t>CHIAPAS|A04 039 SAN JOSE MORELIA NAVA|20260924|20260930|S-MTY|SMART|CPR01103|20 CONVENCIONAL SM4</t>
  </si>
  <si>
    <t>CHIAPAS|A04 039 SAN JOSE MORELIA NAVA|20260924|20260930|S-MTY|SMART|CPR01103|20 CONVENCIONAL SM4|1</t>
  </si>
  <si>
    <t>A04084-392409-1</t>
  </si>
  <si>
    <t>CHIAPAS|A04 084 LISBOA|20260924|20260930|MCALLEN|CHANITOS INT|CPR01104|20 CONVENCIONAL F5-1</t>
  </si>
  <si>
    <t>CHIAPAS|A04 084 LISBOA|20260924|20260930|MCALLEN|CHANITOS INT|CPR01104|20 CONVENCIONAL F5-1|1</t>
  </si>
  <si>
    <t>A41100-392409-1</t>
  </si>
  <si>
    <t>CHIAPAS|A41 100 DONA LUPE JV|20260924|20260927|CEDA|CEDA AUTOSERVICIO|CPL08134|CEDA PLANTAIN</t>
  </si>
  <si>
    <t>CHIAPAS|A41 100 DONA LUPE JV|20260924|20260927|CEDA|CEDA AUTOSERVICIO|CPL08134|CEDA PLANTAIN|1</t>
  </si>
  <si>
    <t>A04039-392509-1</t>
  </si>
  <si>
    <t>A27073-392509-1</t>
  </si>
  <si>
    <t>CHIAPAS|A27 073 PLANTACION|20260925|20260929|MCALLEN|CHANITOS INT|CPL08133|20 PLANTAIN</t>
  </si>
  <si>
    <t>CHIAPAS|A27 073 PLANTACION|20260925|20260929|MCALLEN|CHANITOS INT|CPL08133|20 PLANTAIN|1</t>
  </si>
  <si>
    <t>A06043-392509-1</t>
  </si>
  <si>
    <t>A01002-392509-1</t>
  </si>
  <si>
    <t>45203</t>
  </si>
  <si>
    <t>CHIAPAS|A01 002 FORTALEZA|20260925|20260930|QRO|WM|CPR01102|22 CONVENCIONAL Y 2 ORG</t>
  </si>
  <si>
    <t>CHIAPAS|A01 002 FORTALEZA|20260925|20260930|QRO|WM|CPR01102|22 CONVENCIONAL Y 2 ORG|1</t>
  </si>
  <si>
    <t>CHIAPAS|A01 002 FORTALEZA|20260925|20260930|QRO|WM|CRG07128|22 CONVENCIONAL Y 2 ORG</t>
  </si>
  <si>
    <t>CHIAPAS|A01 002 FORTALEZA|20260925|20260930|QRO|WM|CRG07128|22 CONVENCIONAL Y 2 ORG|1</t>
  </si>
  <si>
    <t>CHIAPAS|A01 002 FORTALEZA|20260925|20260928|VSA|WM|CPR01102|18 CONVENCIONAL Y 6 ORGANICO</t>
  </si>
  <si>
    <t>CHIAPAS|A01 002 FORTALEZA|20260925|20260928|VSA|WM|CPR01102|18 CONVENCIONAL Y 6 ORGANICO|1</t>
  </si>
  <si>
    <t>A01001-392609-1</t>
  </si>
  <si>
    <t>A01002-392609-1</t>
  </si>
  <si>
    <t>45034</t>
  </si>
  <si>
    <t>45032</t>
  </si>
  <si>
    <t>CHIAPAS|A01 002 FORTALEZA|20260921|20260923|CEDA|CEDA PISO|CMN05123|CEDA PISO PRODUCTORAS|2</t>
  </si>
  <si>
    <t>CHIAPAS|A01 002 FORTALEZA|20260922|20260926|SMO|WM|CPR01102|24 CONVENCIONAL|2</t>
  </si>
  <si>
    <t>CHIAPAS|A15 063 ZARAGOZA|20260922|20260923|CEDA|CEDA AUTOSERVICIO|CPL08141|CEDA PLANTAIN</t>
  </si>
  <si>
    <t>CHIAPAS|A15 063 ZARAGOZA|20260922|20260923|CEDA|CEDA AUTOSERVICIO|CPL08141|CEDA PLANTAIN|1</t>
  </si>
  <si>
    <t>CHIAPAS|A15 063 ZARAGOZA|20260923|20260923|CEDA|CEDA AUTOSERVICIO|CPL08141|CEDA PLANTAIN</t>
  </si>
  <si>
    <t>CHIAPAS|A15 063 ZARAGOZA|20260923|20260923|CEDA|CEDA AUTOSERVICIO|CPL08141|CEDA PLANTAIN|1</t>
  </si>
  <si>
    <t>CHIAPAS|A01 003 DONA NELLY|20260923|20260927|CEDA|CEDA PISO|CPR01101|CEDA PISO PRODUCTORAS</t>
  </si>
  <si>
    <t>CHIAPAS|A01 003 DONA NELLY|20260923|20260927|CEDA|CEDA PISO|CPR01101|CEDA PISO PRODUCTORAS|1</t>
  </si>
  <si>
    <t>CHIAPAS|A01 002 FORTALEZA|20260923|20260926|SMO|WM|CPR01102|24 CONVENCIONAL</t>
  </si>
  <si>
    <t>CHIAPAS|A01 002 FORTALEZA|20260923|20260926|SMO|WM|CPR01102|24 CONVENCIONAL|1</t>
  </si>
  <si>
    <t>CHIAPAS|A01 002 FORTALEZA|20260923|20260927|CEDA|CEDA AUTOSERVICIO|CPR01102|CEDA</t>
  </si>
  <si>
    <t>CHIAPAS|A01 002 FORTALEZA|20260923|20260927|CEDA|CEDA AUTOSERVICIO|CPR01102|CEDA|1</t>
  </si>
  <si>
    <t>CHIAPAS|A01 002 FORTALEZA|20260923|20260927|CEDA|CEDA PISO|CPR01101|CEDA PISO PRODUCTORAS</t>
  </si>
  <si>
    <t>CHIAPAS|A01 002 FORTALEZA|20260923|20260927|CEDA|CEDA PISO|CPR01101|CEDA PISO PRODUCTORAS|1</t>
  </si>
  <si>
    <t>CHIAPAS|A01 001 MARBELLA|20260923|20260927|CEDA|CEDA AUTOSERVICIO|CPR01102|CEDA</t>
  </si>
  <si>
    <t>CHIAPAS|A01 001 MARBELLA|20260923|20260927|CEDA|CEDA AUTOSERVICIO|CPR01102|CEDA|1</t>
  </si>
  <si>
    <t>CHIAPAS|A01 001 MARBELLA|20260923|20260927|CEDA|CEDA PISO|CPR01101|CEDA PISO PRODUCTORAS</t>
  </si>
  <si>
    <t>CHIAPAS|A01 001 MARBELLA|20260923|20260927|CEDA|CEDA PISO|CPR01101|CEDA PISO PRODUCTORAS|1</t>
  </si>
  <si>
    <t>CHIAPAS|A01 001 MARBELLA|20260924|20260928|CEDA|CEDA AUTOSERVICIO|CPR01102|CEDA</t>
  </si>
  <si>
    <t>CHIAPAS|A01 001 MARBELLA|20260924|20260928|CEDA|CEDA AUTOSERVICIO|CPR01102|CEDA|1</t>
  </si>
  <si>
    <t>CHIAPAS|A01 003 DONA NELLY|20260924|20260928|CEDA|CEDA AUTOSERVICIO|CPR01102|CEDA</t>
  </si>
  <si>
    <t>CHIAPAS|A01 003 DONA NELLY|20260924|20260928|CEDA|CEDA AUTOSERVICIO|CPR01102|CEDA|1</t>
  </si>
  <si>
    <t>A01001-392509-1</t>
  </si>
  <si>
    <t>CHIAPAS|A01 001 MARBELLA|20260925|20260929|SMO|WM|CPR01102|24 CONVENCIONAL ADICIONAL</t>
  </si>
  <si>
    <t>CHIAPAS|A01 001 MARBELLA|20260925|20260929|SMO|WM|CPR01102|24 CONVENCIONAL ADICIONAL|1</t>
  </si>
  <si>
    <t>CHIAPAS|A01 001 MARBELLA|20260924|20260928|CEDA|CEDA PISO|CPR01101|CEDA PISO PRODUCTORAS</t>
  </si>
  <si>
    <t>CHIAPAS|A01 001 MARBELLA|20260924|20260928|CEDA|CEDA PISO|CPR01101|CEDA PISO PRODUCTORAS|1</t>
  </si>
  <si>
    <t>CHIAPAS|A01 002 FORTALEZA|20260924|20260928|CEDA|CEDA PISO|CPR01101|CEDA PISO PRODUCTORAS</t>
  </si>
  <si>
    <t>CHIAPAS|A01 002 FORTALEZA|20260924|20260928|CEDA|CEDA PISO|CPR01101|CEDA PISO PRODUCTORAS|1</t>
  </si>
  <si>
    <t>CHIAPAS|A01 003 DONA NELLY|20260924|20260928|CEDA|CEDA PISO|CPR01101|CEDA PISO PRODUCTORAS</t>
  </si>
  <si>
    <t>CHIAPAS|A01 003 DONA NELLY|20260924|20260928|CEDA|CEDA PISO|CPR01101|CEDA PISO PRODUCTORAS|1</t>
  </si>
  <si>
    <t>46037</t>
  </si>
  <si>
    <t>A01004-392509-1</t>
  </si>
  <si>
    <t>45280</t>
  </si>
  <si>
    <t>A01003-392609-1</t>
  </si>
  <si>
    <t>43272</t>
  </si>
  <si>
    <t>A12057-392609-1</t>
  </si>
  <si>
    <t>A35082-392609-1</t>
  </si>
  <si>
    <t>CHIAPAS|A35 082 EMPAQUE DE MACHO EJ LIBERTAD|20260926|20261003|CIUDAD JUAREZ|SMART|CPL08134|</t>
  </si>
  <si>
    <t>CHIAPAS|A35 082 EMPAQUE DE MACHO EJ LIBERTAD|20260926|20261003|CIUDAD JUAREZ|SMART|CPL08134||1</t>
  </si>
  <si>
    <t>43807</t>
  </si>
  <si>
    <t>CHIAPAS|A04 084 LISBOA|20260921|20260925|MCALLEN|CHANITOS INT|CPR01104|20 CONVENCIONAL F1-1|2</t>
  </si>
  <si>
    <t>CHIAPAS|A01 004 LA CEIBA|20260921|20260925|MCALLEN|CHANITOS INT|CPR01104|20 CONVENCIONAL F1-2</t>
  </si>
  <si>
    <t>CHIAPAS|A01 004 LA CEIBA|20260921|20260925|MCALLEN|CHANITOS INT|CPR01104|20 CONVENCIONAL F1-2|1</t>
  </si>
  <si>
    <t>CHIAPAS|A01 003 DONA NELLY|20260922|20260926|MCALLEN|CHANITOS INT|CPR01104|20 CONVENCIONAL F3-1</t>
  </si>
  <si>
    <t>CHIAPAS|A01 003 DONA NELLY|20260922|20260926|MCALLEN|CHANITOS INT|CPR01104|20 CONVENCIONAL F3-1|1</t>
  </si>
  <si>
    <t>CHIAPAS|A11 045 SECTOR MAZATAN|20260922|20260929|CIUDAD JUAREZ|SMART|CPR01103|17 CONVENCIONAL Y 3 PLANTAIN</t>
  </si>
  <si>
    <t>CHIAPAS|A11 045 SECTOR MAZATAN|20260922|20260929|CIUDAD JUAREZ|SMART|CPR01103|17 CONVENCIONAL Y 3 PLANTAIN|1</t>
  </si>
  <si>
    <t>CHIAPAS|A04 084 LISBOA|20260922|20260925|MCALLEN|CHANITOS INT|CPR01104|20 CONVENCIONAL F1-1</t>
  </si>
  <si>
    <t>CHIAPAS|A04 084 LISBOA|20260922|20260925|MCALLEN|CHANITOS INT|CPR01104|20 CONVENCIONAL F1-1|1</t>
  </si>
  <si>
    <t>CHIAPAS|A04 039 SAN JOSE MORELIA NAVA|20260922|20260928|S-MTY|SMART|CPR01103|18 CONVENCIONAL Y 2 PLANTAIN</t>
  </si>
  <si>
    <t>CHIAPAS|A04 039 SAN JOSE MORELIA NAVA|20260922|20260928|S-MTY|SMART|CPR01103|18 CONVENCIONAL Y 2 PLANTAIN|1</t>
  </si>
  <si>
    <t>CHIAPAS|A04 084 LISBOA|20260923|20260930|MCALLEN|CHANITOS INT|CPR01104|20 CONVENCIONAL F5-1</t>
  </si>
  <si>
    <t>CHIAPAS|A04 084 LISBOA|20260923|20260930|MCALLEN|CHANITOS INT|CPR01104|20 CONVENCIONAL F5-1|1</t>
  </si>
  <si>
    <t>CHIAPAS|A11 087 19 DE ABRIL|20260923|20260929|CIUDAD JUAREZ|SMART|CPR01103|17 CONVENCIONAL Y 3 PLANTAIN</t>
  </si>
  <si>
    <t>CHIAPAS|A11 087 19 DE ABRIL|20260923|20260929|CIUDAD JUAREZ|SMART|CPR01103|17 CONVENCIONAL Y 3 PLANTAIN|1</t>
  </si>
  <si>
    <t>CHIAPAS|A04 039 SAN JOSE MORELIA NAVA|20260923|20260928|S-MTY|SMART|CPR01103|18 CONVENCIONAL Y 2 PLANTAIN</t>
  </si>
  <si>
    <t>CHIAPAS|A04 039 SAN JOSE MORELIA NAVA|20260923|20260928|S-MTY|SMART|CPR01103|18 CONVENCIONAL Y 2 PLANTAIN|1</t>
  </si>
  <si>
    <t>CHIAPAS|A04 039 SAN JOSE MORELIA NAVA|20260923|20260928|S-MTY|SMART|CPR01103|20 CONVENCIONAL SM3</t>
  </si>
  <si>
    <t>CHIAPAS|A04 039 SAN JOSE MORELIA NAVA|20260923|20260928|S-MTY|SMART|CPR01103|20 CONVENCIONAL SM3|1</t>
  </si>
  <si>
    <t>CHIAPAS|A04 039 SAN JOSE MORELIA NAVA|20260923|20260930|S-MTY|SMART|CPR01103|20 CONVENCIONAL SM4</t>
  </si>
  <si>
    <t>CHIAPAS|A04 039 SAN JOSE MORELIA NAVA|20260923|20260930|S-MTY|SMART|CPR01103|20 CONVENCIONAL SM4|1</t>
  </si>
  <si>
    <t>CHIAPAS|A01 003 DONA NELLY|20260923|20260929|CIUDAD JUAREZ|SMART|CPR01103|20 CONVENCIONAL SCJ1</t>
  </si>
  <si>
    <t>CHIAPAS|A01 003 DONA NELLY|20260923|20260929|CIUDAD JUAREZ|SMART|CPR01103|20 CONVENCIONAL SCJ1|1</t>
  </si>
  <si>
    <t>CHIAPAS|A06 043 NUESTRA SENORA|20260924|20260929|MCALLEN|CHANITOS INT|CPR01104|20 CONVENCIONAL F4-1</t>
  </si>
  <si>
    <t>CHIAPAS|A06 043 NUESTRA SENORA|20260924|20260929|MCALLEN|CHANITOS INT|CPR01104|20 CONVENCIONAL F4-1|1</t>
  </si>
  <si>
    <t>CHIAPAS|A04 039 SAN JOSE MORELIA NAVA|20260924|20260930|S-MTY|SMART|CPR01103|20 CONVENCIONAL SM5</t>
  </si>
  <si>
    <t>CHIAPAS|A04 039 SAN JOSE MORELIA NAVA|20260924|20260930|S-MTY|SMART|CPR01103|20 CONVENCIONAL SM5|1</t>
  </si>
  <si>
    <t>CHIAPAS|A04 039 SAN JOSE MORELIA NAVA|20260925|20260930|S-MTY|SMART|CPR01103|20 CONVENCIONAL SM5</t>
  </si>
  <si>
    <t>CHIAPAS|A04 039 SAN JOSE MORELIA NAVA|20260925|20260930|S-MTY|SMART|CPR01103|20 CONVENCIONAL SM5|1</t>
  </si>
  <si>
    <t>CHIAPAS|A01 001 MARBELLA|20260925|20260928|CEDA|CEDA PISO|CPR01101|CEDA PISO PRODUCTORAS</t>
  </si>
  <si>
    <t>CHIAPAS|A01 001 MARBELLA|20260925|20260928|CEDA|CEDA PISO|CPR01101|CEDA PISO PRODUCTORAS|1</t>
  </si>
  <si>
    <t>CHIAPAS|A01 004 LA CEIBA|20260925|20261001|CHALCO|WM|CPR01102|1092 CAJAS CONV Y 60CAJAS BAE</t>
  </si>
  <si>
    <t>CHIAPAS|A01 004 LA CEIBA|20260925|20261001|CHALCO|WM|CPR01102|1092 CAJAS CONV Y 60CAJAS BAE|1</t>
  </si>
  <si>
    <t>CHIAPAS|A01 004 LA CEIBA|20260925|20260928|CEDA|CEDA PISO|CPR01101|CEDA PISO PRODUCTORAS</t>
  </si>
  <si>
    <t>CHIAPAS|A01 004 LA CEIBA|20260925|20260928|CEDA|CEDA PISO|CPR01101|CEDA PISO PRODUCTORAS|1</t>
  </si>
  <si>
    <t>CHIAPAS|A01 002 FORTALEZA|20260925|20260928|CEDA|CEDA PISO|CPR01101|CEDA PISO PRODUCTORAS</t>
  </si>
  <si>
    <t>CHIAPAS|A01 002 FORTALEZA|20260925|20260928|CEDA|CEDA PISO|CPR01101|CEDA PISO PRODUCTORAS|1</t>
  </si>
  <si>
    <t>CHIAPAS|A01 003 DONA NELLY|20260926|20261001|CHALCO|WM|CPR01102|1092 CAJAS CONV Y 60CAJAS BAE</t>
  </si>
  <si>
    <t>CHIAPAS|A01 003 DONA NELLY|20260926|20261001|CHALCO|WM|CPR01102|1092 CAJAS CONV Y 60CAJAS BAE|1</t>
  </si>
  <si>
    <t>CHIAPAS|A01 003 DONA NELLY|20260926|20261002|CIUDAD JUAREZ|SMART|CPR01103|20 CONVENCIONAL SCJ2</t>
  </si>
  <si>
    <t>CHIAPAS|A01 003 DONA NELLY|20260926|20261002|CIUDAD JUAREZ|SMART|CPR01103|20 CONVENCIONAL SCJ2|1</t>
  </si>
  <si>
    <t>CHIAPAS|A01 002 FORTALEZA|20260926|20260930|QRO|WM|CPR01102|22 CONVENCIONAL Y 2 ORG</t>
  </si>
  <si>
    <t>CHIAPAS|A01 002 FORTALEZA|20260926|20260930|QRO|WM|CPR01102|22 CONVENCIONAL Y 2 ORG|1</t>
  </si>
  <si>
    <t>CHIAPAS|A01 002 FORTALEZA|20260926|20261002|CIUDAD JUAREZ|SMART|CPR01103|20 CONVENCIONAL SCJ3</t>
  </si>
  <si>
    <t>CHIAPAS|A01 002 FORTALEZA|20260926|20261002|CIUDAD JUAREZ|SMART|CPR01103|20 CONVENCIONAL SCJ3|1</t>
  </si>
  <si>
    <t>CHIAPAS|A01 002 FORTALEZA|20260926|20261001|CHALCO|WM|CPR01102|1092 CAJAS CONV Y 60CAJAS BAE</t>
  </si>
  <si>
    <t>CHIAPAS|A01 002 FORTALEZA|20260926|20261001|CHALCO|WM|CPR01102|1092 CAJAS CONV Y 60CAJAS BAE|1</t>
  </si>
  <si>
    <t>A04083-392609-</t>
  </si>
  <si>
    <t>CHIAPAS|A04 083 SANTA MARIA|20260926|20261001|S-MTY|SMART|CPR01103|20 CONVENCIONAL SM6</t>
  </si>
  <si>
    <t>CHIAPAS|A04 083 SANTA MARIA|20260926|20261001|S-MTY|SMART|CPR01103|20 CONVENCIONAL SM6|1</t>
  </si>
  <si>
    <t>CHIAPAS|A12 057 TIQUISATE 1|20260926|20261001|S-MTY|SMART|CPR01103|20 CONVENCIONAL SM7</t>
  </si>
  <si>
    <t>CHIAPAS|A12 057 TIQUISATE 1|20260926|20261001|S-MTY|SMART|CPR01103|20 CONVENCIONAL SM7|1</t>
  </si>
  <si>
    <t>A04083-402809-1</t>
  </si>
  <si>
    <t>Programa Embarques 2026 S-40.xlsx</t>
  </si>
  <si>
    <t>A04084-402809-1</t>
  </si>
  <si>
    <t>A01003-402809-1</t>
  </si>
  <si>
    <t>A01002-402809-1</t>
  </si>
  <si>
    <t>A01003-402909-1</t>
  </si>
  <si>
    <t>A01002-402909-1</t>
  </si>
  <si>
    <t>A04084-402909-1</t>
  </si>
  <si>
    <t>A01001-402909-1</t>
  </si>
  <si>
    <t>A12057-402909-1</t>
  </si>
  <si>
    <t>A04084-403009-1</t>
  </si>
  <si>
    <t>A01002-403009-1</t>
  </si>
  <si>
    <t>A01002-400110-1</t>
  </si>
  <si>
    <t>A01002-400310-1</t>
  </si>
  <si>
    <t>A35082-402809-1</t>
  </si>
  <si>
    <t>A01001-402809-1</t>
  </si>
  <si>
    <t>A04039-403009-1</t>
  </si>
  <si>
    <t>A01001-403009-1</t>
  </si>
  <si>
    <t>A41100-400110-1</t>
  </si>
  <si>
    <t>A04039-400110-1</t>
  </si>
  <si>
    <t>A04084-400210-1</t>
  </si>
  <si>
    <t>A27073-400210-1</t>
  </si>
  <si>
    <t>A01002-400210-1</t>
  </si>
  <si>
    <t>A01001-400310-1</t>
  </si>
  <si>
    <t>CHIAPAS|A01 003 DONA NELLY|20260928|20261001|VSA|WM|CPR01102|19 CONVENCIONAL Y 5 ORG</t>
  </si>
  <si>
    <t>CHIAPAS|A01 003 DONA NELLY|20260928|20261001|VSA|WM|CPR01102|19 CONVENCIONAL Y 5 ORG|1</t>
  </si>
  <si>
    <t>CHIAPAS|A35 082 EMPAQUE DE MACHO EJ LIBERTAD|20260928|20261003|CIUDAD JUAREZ|SMART|CPL08134|17 CONVENCIONAL Y 3 PLANTAIN</t>
  </si>
  <si>
    <t>CHIAPAS|A35 082 EMPAQUE DE MACHO EJ LIBERTAD|20260928|20261003|CIUDAD JUAREZ|SMART|CPL08134|17 CONVENCIONAL Y 3 PLANTAIN|1</t>
  </si>
  <si>
    <t>CHIAPAS|A35 082 EMPAQUE DE MACHO EJ LIBERTAD|20260928|20261001|CEDA|CEDA AUTOSERVICIO|CPL08141|CEDA PLANTAIN</t>
  </si>
  <si>
    <t>CHIAPAS|A35 082 EMPAQUE DE MACHO EJ LIBERTAD|20260928|20261001|CEDA|CEDA AUTOSERVICIO|CPL08141|CEDA PLANTAIN|1</t>
  </si>
  <si>
    <t>CHIAPAS|A01 002 FORTALEZA|20260928|20261003|CIUDAD JUAREZ|SMART|CPR01103|17 CONVENCIONAL Y 3 PLANTAIN</t>
  </si>
  <si>
    <t>CHIAPAS|A01 002 FORTALEZA|20260928|20261003|CIUDAD JUAREZ|SMART|CPR01103|17 CONVENCIONAL Y 3 PLANTAIN|1</t>
  </si>
  <si>
    <t>CHIAPAS|A01 002 FORTALEZA|20260928|20261001|CHALCO|WM|CPR01102|1092 CAJAS CONV Y 60CAJAS BAE</t>
  </si>
  <si>
    <t>CHIAPAS|A01 002 FORTALEZA|20260928|20261001|CHALCO|WM|CPR01102|1092 CAJAS CONV Y 60CAJAS BAE|1</t>
  </si>
  <si>
    <t>CHIAPAS|A01 002 FORTALEZA|20260928|20261001|CHALCO|WM|CPR01114|1092 CAJAS CONV Y 60CAJAS BAE</t>
  </si>
  <si>
    <t>CHIAPAS|A01 002 FORTALEZA|20260928|20261001|CHALCO|WM|CPR01114|1092 CAJAS CONV Y 60CAJAS BAE|1</t>
  </si>
  <si>
    <t>CHIAPAS|A01 003 DONA NELLY|20260929|20261001|VSA|WM|CPR01102|19 CONVENCIONAL Y 5 ORG</t>
  </si>
  <si>
    <t>CHIAPAS|A01 003 DONA NELLY|20260929|20261001|VSA|WM|CPR01102|19 CONVENCIONAL Y 5 ORG|1</t>
  </si>
  <si>
    <t>CHIAPAS|A01 003 DONA NELLY|20260929|20261001|CEDA|CEDA AUTOSERVICIO|CPR01102|CEDA</t>
  </si>
  <si>
    <t>CHIAPAS|A01 003 DONA NELLY|20260929|20261001|CEDA|CEDA AUTOSERVICIO|CPR01102|CEDA|1</t>
  </si>
  <si>
    <t>CHIAPAS|A01 002 FORTALEZA|20260929|20261001|VSA|WM|CRG07128|19 CONVENCIONAL Y 5 ORG</t>
  </si>
  <si>
    <t>CHIAPAS|A01 002 FORTALEZA|20260929|20261001|VSA|WM|CRG07128|19 CONVENCIONAL Y 5 ORG|1</t>
  </si>
  <si>
    <t>CHIAPAS|A01 002 FORTALEZA|20260929|20261001|CEDA|CEDA AUTOSERVICIO|CPR01102|CEDA</t>
  </si>
  <si>
    <t>CHIAPAS|A01 002 FORTALEZA|20260929|20261001|CEDA|CEDA AUTOSERVICIO|CPR01102|CEDA|1</t>
  </si>
  <si>
    <t>CHIAPAS|A01 001 MARBELLA|20260929|20261003|JAPON|MAR|CPR03119|CP27-14 CP34-6</t>
  </si>
  <si>
    <t>CHIAPAS|A01 001 MARBELLA|20260929|20261003|JAPON|MAR|CPR03119|CP27-14 CP34-6|1</t>
  </si>
  <si>
    <t>CHIAPAS|A01 001 MARBELLA|20260929|20261003|JAPON|MAR|CPR03124|CP27-14 CP34-6</t>
  </si>
  <si>
    <t>CHIAPAS|A01 001 MARBELLA|20260929|20261003|JAPON|MAR|CPR03124|CP27-14 CP34-6|1</t>
  </si>
  <si>
    <t>CHIAPAS|A04 084 LISBOA|20260930|20261003|VSA|WM|CPR01102|19 CONVENCIONAL Y 5 ORG</t>
  </si>
  <si>
    <t>CHIAPAS|A04 084 LISBOA|20260930|20261003|VSA|WM|CPR01102|19 CONVENCIONAL Y 5 ORG|1</t>
  </si>
  <si>
    <t>CHIAPAS|A01 001 MARBELLA|20260930|20261003|VSA|WM|CPR01102|19 CONVENCIONAL Y 5 ORG</t>
  </si>
  <si>
    <t>CHIAPAS|A01 001 MARBELLA|20260930|20261003|VSA|WM|CPR01102|19 CONVENCIONAL Y 5 ORG|1</t>
  </si>
  <si>
    <t>CHIAPAS|A01 002 FORTALEZA|20260930|20261003|VSA|WM|CRG07128|19 CONVENCIONAL Y 5 ORG</t>
  </si>
  <si>
    <t>CHIAPAS|A01 002 FORTALEZA|20260930|20261003|VSA|WM|CRG07128|19 CONVENCIONAL Y 5 ORG|1</t>
  </si>
  <si>
    <t>CHIAPAS|A41 100 DONA LUPE JV|20261001|20261003|CEDA|CEDA AUTOSERVICIO|CPL08141|CEDA PLANTAIN</t>
  </si>
  <si>
    <t>CHIAPAS|A41 100 DONA LUPE JV|20261001|20261003|CEDA|CEDA AUTOSERVICIO|CPL08141|CEDA PLANTAIN|1</t>
  </si>
  <si>
    <t>CHIAPAS|A01 002 FORTALEZA|20261001|20261005|QRO|WM|CRG07128|22 CONVENCIONAL Y 2 ORG</t>
  </si>
  <si>
    <t>CHIAPAS|A01 002 FORTALEZA|20261001|20261005|QRO|WM|CRG07128|22 CONVENCIONAL Y 2 ORG|1</t>
  </si>
  <si>
    <t>CHIAPAS|A01 002 FORTALEZA|20261001|20261005|VSA|WM|CRG07128|18 CONVENCIONAL Y 6 ORGANICO</t>
  </si>
  <si>
    <t>CHIAPAS|A01 002 FORTALEZA|20261001|20261005|VSA|WM|CRG07128|18 CONVENCIONAL Y 6 ORGANICO|1</t>
  </si>
  <si>
    <t>CHIAPAS|A27 073 PLANTACION|20261002|20261006|MCALLEN|CHANITOS INT|CPL08133|20 PLANTAIN</t>
  </si>
  <si>
    <t>CHIAPAS|A27 073 PLANTACION|20261002|20261006|MCALLEN|CHANITOS INT|CPL08133|20 PLANTAIN|1</t>
  </si>
  <si>
    <t>CHIAPAS|A01 002 FORTALEZA|20261003|20261008|VSA|WM|CPR01102|19 CONVENCIONAL Y 5 ORG</t>
  </si>
  <si>
    <t>CHIAPAS|A01 002 FORTALEZA|20261003|20261008|VSA|WM|CPR01102|19 CONVENCIONAL Y 5 ORG|1</t>
  </si>
  <si>
    <t>CHIAPAS|A01 002 FORTALEZA|20261003|20261008|VSA|WM|CRG07128|19 CONVENCIONAL Y 5 ORG</t>
  </si>
  <si>
    <t>CHIAPAS|A01 002 FORTALEZA|20261003|20261008|VSA|WM|CRG07128|19 CONVENCIONAL Y 5 ORG|1</t>
  </si>
  <si>
    <t>CHIAPAS|A01 002 FORTALEZA|20261003|20261007|QRO|WM|CRG07128|22 CONVENCIONAL Y 2 ORG</t>
  </si>
  <si>
    <t>CHIAPAS|A01 002 FORTALEZA|20261003|20261007|QRO|WM|CRG07128|22 CONVENCIONAL Y 2 ORG|1</t>
  </si>
  <si>
    <t>CHIAPAS|A04 039 SAN JOSE MORELIA NAVA|20260923|20260930|S-MTY|SMART|CPR01103|20 CONVENCIONAL SM4|2</t>
  </si>
  <si>
    <t>CHIAPAS|A04 039 SAN JOSE MORELIA NAVA|20260924|20260930|S-MTY|SMART|CPR01103|20 CONVENCIONAL SM4|2</t>
  </si>
  <si>
    <t>CHIAPAS|A01 001 MARBELLA|20260926|20261001|CEDA|CEDA PISO|CPR01101|CEDA PISO PRODUCTORAS</t>
  </si>
  <si>
    <t>CHIAPAS|A01 001 MARBELLA|20260926|20261001|CEDA|CEDA PISO|CPR01101|CEDA PISO PRODUCTORAS|1</t>
  </si>
  <si>
    <t>CHIAPAS|A01 003 DONA NELLY|20260926|20260930|S-MTY|SMART|CPR01103|20 CONVENCIONAL SM5</t>
  </si>
  <si>
    <t>CHIAPAS|A01 003 DONA NELLY|20260926|20260930|S-MTY|SMART|CPR01103|20 CONVENCIONAL SM5|1</t>
  </si>
  <si>
    <t>CHIAPAS|A01 003 DONA NELLY|20260926|20261001|CEDA|CEDA PISO|CPR01101|CEDA PISO PRODUCTORAS</t>
  </si>
  <si>
    <t>CHIAPAS|A01 003 DONA NELLY|20260926|20261001|CEDA|CEDA PISO|CPR01101|CEDA PISO PRODUCTORAS|1</t>
  </si>
  <si>
    <t>CHIAPAS|A01 002 FORTALEZA|20260926|20261001|CEDA|CEDA AUTOSERVICIO|CPR01102|CEDA</t>
  </si>
  <si>
    <t>CHIAPAS|A01 002 FORTALEZA|20260926|20261001|CEDA|CEDA AUTOSERVICIO|CPR01102|CEDA|1</t>
  </si>
  <si>
    <t>CHIAPAS|A01 002 FORTALEZA|20260926|20261001|CEDA|CEDA PISO|CPR01101|CEDA PISO PRODUCTORAS</t>
  </si>
  <si>
    <t>CHIAPAS|A01 002 FORTALEZA|20260926|20261001|CEDA|CEDA PISO|CPR01101|CEDA PISO PRODUCTORAS|1</t>
  </si>
  <si>
    <t>CHIAPAS|A12 057 TIQUISATE 1|20260926|20261002|CIUDAD JUAREZ|SMART|CPR01103|20 CONVENCIONAL SCJ2</t>
  </si>
  <si>
    <t>CHIAPAS|A12 057 TIQUISATE 1|20260926|20261002|CIUDAD JUAREZ|SMART|CPR01103|20 CONVENCIONAL SCJ2|1</t>
  </si>
  <si>
    <t>A11045-402809-1</t>
  </si>
  <si>
    <t>CHIAPAS|A11 045 SECTOR MAZATAN|20260928|20261001|MCALLEN|CHANITOS INT|CPR01104|20 CONVENCIONAL F1-1</t>
  </si>
  <si>
    <t>CHIAPAS|A11 045 SECTOR MAZATAN|20260928|20261001|MCALLEN|CHANITOS INT|CPR01104|20 CONVENCIONAL F1-1|1</t>
  </si>
  <si>
    <t>A11056-402809-1</t>
  </si>
  <si>
    <t>CHIAPAS|A11 056 SAN ISIDRO|20260928|20261002|MCALLEN|CHANITOS INT|CPR01104|20 CONVENCIONAL F1-2</t>
  </si>
  <si>
    <t>CHIAPAS|A11 056 SAN ISIDRO|20260928|20261002|MCALLEN|CHANITOS INT|CPR01104|20 CONVENCIONAL F1-2|1</t>
  </si>
  <si>
    <t>43273</t>
  </si>
  <si>
    <t>CHIAPAS|A01 003 DONA NELLY|20260928|20261001|S-MTY|SMART|CPR01103|20 CONVENCIONAL SM1</t>
  </si>
  <si>
    <t>CHIAPAS|A01 003 DONA NELLY|20260928|20261001|S-MTY|SMART|CPR01103|20 CONVENCIONAL SM1|1</t>
  </si>
  <si>
    <t>41955</t>
  </si>
  <si>
    <t>CHIAPAS|A01 001 MARBELLA|20260928|20261001|CEDA|CEDA AUTOSERVICIO|CPR01102|CEDA</t>
  </si>
  <si>
    <t>CHIAPAS|A01 001 MARBELLA|20260928|20261001|CEDA|CEDA AUTOSERVICIO|CPR01102|CEDA|1</t>
  </si>
  <si>
    <t>CHIAPAS|A01 002 FORTALEZA|20260928|20261001|CEDA|CEDA AUTOSERVICIO|CPR01102|CEDA</t>
  </si>
  <si>
    <t>CHIAPAS|A01 002 FORTALEZA|20260928|20261001|CEDA|CEDA AUTOSERVICIO|CPR01102|CEDA|1</t>
  </si>
  <si>
    <t>A35082-402909-1</t>
  </si>
  <si>
    <t>CHIAPAS|A35 082 EMPAQUE DE MACHO EJ LIBERTAD|20260929|20261001|CEDA|CEDA AUTOSERVICIO|CPL08141|CEDA PLANTAIN</t>
  </si>
  <si>
    <t>CHIAPAS|A35 082 EMPAQUE DE MACHO EJ LIBERTAD|20260929|20261001|CEDA|CEDA AUTOSERVICIO|CPL08141|CEDA PLANTAIN|1</t>
  </si>
  <si>
    <t>A11045-402909-1</t>
  </si>
  <si>
    <t>CHIAPAS|A11 045 SECTOR MAZATAN|20260929|20261002|MCALLEN|CHANITOS INT|CPR01104|20 CONVENCIONAL F1-2</t>
  </si>
  <si>
    <t>CHIAPAS|A11 045 SECTOR MAZATAN|20260929|20261002|MCALLEN|CHANITOS INT|CPR01104|20 CONVENCIONAL F1-2|1</t>
  </si>
  <si>
    <t>43795</t>
  </si>
  <si>
    <t>46052</t>
  </si>
  <si>
    <t>CHIAPAS|A04 039 SAN JOSE MORELIA NAVA|20260930|20261005|CIUDAD JUAREZ|SMART|CPR01103|24 CONVENCIONAL</t>
  </si>
  <si>
    <t>CHIAPAS|A04 039 SAN JOSE MORELIA NAVA|20260930|20261005|CIUDAD JUAREZ|SMART|CPR01103|24 CONVENCIONAL|1</t>
  </si>
  <si>
    <t>41956</t>
  </si>
  <si>
    <t>A36090-403009-1</t>
  </si>
  <si>
    <t>46040</t>
  </si>
  <si>
    <t>CHIAPAS|A36 090 HEAVY|20260930|20261007|CIUDAD JUAREZ|SMART|CPR01103|20 CONVENCIONAL SCJ1</t>
  </si>
  <si>
    <t>CHIAPAS|A36 090 HEAVY|20260930|20261007|CIUDAD JUAREZ|SMART|CPR01103|20 CONVENCIONAL SCJ1|1</t>
  </si>
  <si>
    <t>A01004-403009-1</t>
  </si>
  <si>
    <t>A04038-403009-1</t>
  </si>
  <si>
    <t>CHIAPAS|A04 038 EL TRIUNFO NAVA|20260930|20261004|VSA|WM|CPR01102|24 CONVENCIONAL</t>
  </si>
  <si>
    <t>CHIAPAS|A04 038 EL TRIUNFO NAVA|20260930|20261004|VSA|WM|CPR01102|24 CONVENCIONAL|1</t>
  </si>
  <si>
    <t>43796</t>
  </si>
  <si>
    <t>A04038-400110-1</t>
  </si>
  <si>
    <t>CHIAPAS|A04 038 EL TRIUNFO NAVA|20261001|20261004|VSA|WM|CPR01102|24 CONVENCIONAL</t>
  </si>
  <si>
    <t>CHIAPAS|A04 038 EL TRIUNFO NAVA|20261001|20261004|VSA|WM|CPR01102|24 CONVENCIONAL|1</t>
  </si>
  <si>
    <t>A36090-400110-1</t>
  </si>
  <si>
    <t>CHIAPAS|A01 002 FORTALEZA|20261001|20261005|CHALCO|WM|CPR01102|22 CONVENCIONAL Y 96 CAJAS BAE</t>
  </si>
  <si>
    <t>CHIAPAS|A01 002 FORTALEZA|20261001|20261005|CHALCO|WM|CPR01102|22 CONVENCIONAL Y 96 CAJAS BAE|1</t>
  </si>
  <si>
    <t>A01001-400110-1</t>
  </si>
  <si>
    <t>45906</t>
  </si>
  <si>
    <t>45769</t>
  </si>
  <si>
    <t>43797</t>
  </si>
  <si>
    <t>A04038-400210-1</t>
  </si>
  <si>
    <t>CHIAPAS|A04 038 EL TRIUNFO NAVA|20261002|20261005|VSA|WM|CPR01102|18 CONVENCIONAL Y 6 ORGANICO</t>
  </si>
  <si>
    <t>CHIAPAS|A04 038 EL TRIUNFO NAVA|20261002|20261005|VSA|WM|CPR01102|18 CONVENCIONAL Y 6 ORGANICO|1</t>
  </si>
  <si>
    <t>A04039-400210-1</t>
  </si>
  <si>
    <t>45912</t>
  </si>
  <si>
    <t>CHIAPAS|A04 039 SAN JOSE MORELIA NAVA|20261002|20261007|QRO|WM|CPR01102|22 CONVENCIONAL Y 2 ORG</t>
  </si>
  <si>
    <t>CHIAPAS|A04 039 SAN JOSE MORELIA NAVA|20261002|20261007|QRO|WM|CPR01102|22 CONVENCIONAL Y 2 ORG|1</t>
  </si>
  <si>
    <t>A01004-400210-1</t>
  </si>
  <si>
    <t>45762</t>
  </si>
  <si>
    <t>41958</t>
  </si>
  <si>
    <t>43798</t>
  </si>
  <si>
    <t>A04039-400310-1</t>
  </si>
  <si>
    <t>CHIAPAS|A04 039 SAN JOSE MORELIA NAVA|20261003|20261007|QRO|WM|CPR01102|22 CONVENCIONAL Y 2 ORG</t>
  </si>
  <si>
    <t>CHIAPAS|A04 039 SAN JOSE MORELIA NAVA|20261003|20261007|QRO|WM|CPR01102|22 CONVENCIONAL Y 2 ORG|1</t>
  </si>
  <si>
    <t>45920</t>
  </si>
  <si>
    <t>CHIAPAS|A04 039 SAN JOSE MORELIA NAVA|20261003|20261007|CHALCO|WM|CPR01102|1098 CAJAS CONVENCIONAL Y 54 CAJAS BAE</t>
  </si>
  <si>
    <t>CHIAPAS|A04 039 SAN JOSE MORELIA NAVA|20261003|20261007|CHALCO|WM|CPR01102|1098 CAJAS CONVENCIONAL Y 54 CAJAS BAE|1</t>
  </si>
  <si>
    <t>CHIAPAS|A06 043 NUESTRA SENORA|20260924|20261001|MCALLEN|CHANITOS INT|CPR01104|20 CONVENCIONAL F5-2</t>
  </si>
  <si>
    <t>CHIAPAS|A06 043 NUESTRA SENORA|20260924|20261001|MCALLEN|CHANITOS INT|CPR01104|20 CONVENCIONAL F5-2|1</t>
  </si>
  <si>
    <t>44426</t>
  </si>
  <si>
    <t>CHIAPAS|A06 043 NUESTRA SENORA|20260925|20261001|MCALLEN|CHANITOS INT|CPR01104|20 CONVENCIONAL F5-2</t>
  </si>
  <si>
    <t>CHIAPAS|A06 043 NUESTRA SENORA|20260925|20261001|MCALLEN|CHANITOS INT|CPR01104|20 CONVENCIONAL F5-2|1</t>
  </si>
  <si>
    <t>CHIAPAS|A01 003 DONA NELLY|20260929|20261001|CEDA|CEDA PISO|CPR01101|CEDA PISO PRODUCTORAS</t>
  </si>
  <si>
    <t>CHIAPAS|A01 003 DONA NELLY|20260929|20261001|CEDA|CEDA PISO|CPR01101|CEDA PISO PRODUCTORAS|1</t>
  </si>
  <si>
    <t>CHIAPAS|A01 002 FORTALEZA|20260929|20261001|CEDA|CEDA PISO|CPR01101|CEDA PISO PRODUCTORAS</t>
  </si>
  <si>
    <t>CHIAPAS|A01 002 FORTALEZA|20260929|20261001|CEDA|CEDA PISO|CPR01101|CEDA PISO PRODUCTORAS|1</t>
  </si>
  <si>
    <t>CHIAPAS|A01 001 MARBELLA|20260929|20261001|CEDA|CEDA PISO|CPR01101|CEDA PISO PRODUCTORAS</t>
  </si>
  <si>
    <t>CHIAPAS|A01 001 MARBELLA|20260929|20261001|CEDA|CEDA PISO|CPR01101|CEDA PISO PRODUCTORAS|1</t>
  </si>
  <si>
    <t>CHIAPAS|A12 057 TIQUISATE 1|20260929|20261007|CIUDAD JUAREZ|SMART|CPR01103|20 CONVENCIONAL SCJ1</t>
  </si>
  <si>
    <t>CHIAPAS|A12 057 TIQUISATE 1|20260929|20261007|CIUDAD JUAREZ|SMART|CPR01103|20 CONVENCIONAL SCJ1|1</t>
  </si>
  <si>
    <t>45091</t>
  </si>
  <si>
    <t>CHIAPAS|A01 002 FORTALEZA|20260930|20261005|CHALCO|WM|CPR01114|22 CONVENCIONAL Y 96 CAJAS BAE</t>
  </si>
  <si>
    <t>CHIAPAS|A01 002 FORTALEZA|20260930|20261005|CHALCO|WM|CPR01114|22 CONVENCIONAL Y 96 CAJAS BAE|1</t>
  </si>
  <si>
    <t>CHIAPAS|A01 002 FORTALEZA|20260930|20261005|QRO|WM|CPR01102|22 CONVENCIONAL Y 2 ORG</t>
  </si>
  <si>
    <t>CHIAPAS|A01 002 FORTALEZA|20260930|20261005|QRO|WM|CPR01102|22 CONVENCIONAL Y 2 ORG|1</t>
  </si>
  <si>
    <t>A25067-400110-1</t>
  </si>
  <si>
    <t>CHIAPAS|A25 067 EL CUERUDO GT|20261001|20261006|MCALLEN|CHANITOS INT|CPR01104|20 CONVENCIONAL F5-1</t>
  </si>
  <si>
    <t>CHIAPAS|A25 067 EL CUERUDO GT|20261001|20261006|MCALLEN|CHANITOS INT|CPR01104|20 CONVENCIONAL F5-1|1</t>
  </si>
  <si>
    <t>A06043-400110-1</t>
  </si>
  <si>
    <t>A12057-400110-1</t>
  </si>
  <si>
    <t>CHIAPAS|A36 090 HEAVY|20261001|20261007|MCALLEN|CHANITOS INT|CPR01104|20 CONVENCIONAL F6-1</t>
  </si>
  <si>
    <t>CHIAPAS|A36 090 HEAVY|20261001|20261007|MCALLEN|CHANITOS INT|CPR01104|20 CONVENCIONAL F6-1|1</t>
  </si>
  <si>
    <t>A01003-400110-1</t>
  </si>
  <si>
    <t>CHIAPAS|A01 003 DONA NELLY|20261001|20261006|SMO|WM|CPR01102|24 CONVENCIONAL</t>
  </si>
  <si>
    <t>CHIAPAS|A01 003 DONA NELLY|20261001|20261006|SMO|WM|CPR01102|24 CONVENCIONAL|1</t>
  </si>
  <si>
    <t>CHIAPAS|A01 003 DONA NELLY|20261001|20261003|CEDA|CEDA AUTOSERVICIO|CPR01102|CEDA</t>
  </si>
  <si>
    <t>CHIAPAS|A01 003 DONA NELLY|20261001|20261003|CEDA|CEDA AUTOSERVICIO|CPR01102|CEDA|1</t>
  </si>
  <si>
    <t>41957</t>
  </si>
  <si>
    <t>A25022-400210-1</t>
  </si>
  <si>
    <t>CHIAPAS|A25 022 DONA MILDRED|20261002|20261009|CIUDAD JUAREZ|SMART|CPR01103|</t>
  </si>
  <si>
    <t>CHIAPAS|A25 022 DONA MILDRED|20261002|20261009|CIUDAD JUAREZ|SMART|CPR01103||1</t>
  </si>
  <si>
    <t>A06043-400210-1</t>
  </si>
  <si>
    <t>A01001-400210-1</t>
  </si>
  <si>
    <t>CHIAPAS|A01 001 MARBELLA|20261002|20261008|SMO|WM|CPR01102|24 CONVENCIONAL</t>
  </si>
  <si>
    <t>CHIAPAS|A01 001 MARBELLA|20261002|20261008|SMO|WM|CPR01102|24 CONVENCIONAL|1</t>
  </si>
  <si>
    <t>CHIAPAS|A01 002 FORTALEZA|20261002|20261008|SMO|WM|CPR01102|24 CONVENCIONAL</t>
  </si>
  <si>
    <t>CHIAPAS|A01 002 FORTALEZA|20261002|20261008|SMO|WM|CPR01102|24 CONVENCIONAL|1</t>
  </si>
  <si>
    <t>A01003-400310-1</t>
  </si>
  <si>
    <t>CHIAPAS|A01 003 DONA NELLY|20261003|20261009|CIUDAD JUAREZ|SMART|CPR01103|</t>
  </si>
  <si>
    <t>CHIAPAS|A01 003 DONA NELLY|20261003|20261009|CIUDAD JUAREZ|SMART|CPR01103||1</t>
  </si>
  <si>
    <t>CHIAPAS|A01 001 MARBELLA|20261003|20261007|CHALCO|WM|CPR01102|1098 CAJAS CONVENCIONAL Y 54 CAJAS BAE</t>
  </si>
  <si>
    <t>CHIAPAS|A01 001 MARBELLA|20261003|20261007|CHALCO|WM|CPR01102|1098 CAJAS CONVENCIONAL Y 54 CAJAS BAE|1</t>
  </si>
  <si>
    <t>CHIAPAS|A01 001 MARBELLA|20261003|20261007|CHALCO|WM|CPR01114|1098 CAJAS CONVENCIONAL Y 54 CAJAS BAE</t>
  </si>
  <si>
    <t>CHIAPAS|A01 001 MARBELLA|20261003|20261007|CHALCO|WM|CPR01114|1098 CAJAS CONVENCIONAL Y 54 CAJAS BAE|1</t>
  </si>
  <si>
    <t>CHIAPAS|A04 039 SAN JOSE MORELIA NAVA|20260925|20260930|S-MTY|SMART|CPR01103|20 CONVENCIONAL SM5|2</t>
  </si>
  <si>
    <t>Pedido/OV existe con fecha 02/10/2026 pero en el prog de empaque la fecha es 01/10/2026</t>
  </si>
  <si>
    <t>CHIAPAS|A01 004 LA CEIBA|20260925|20261001|SMO|WM|CPR01102|24 CONVENCIONAL ADICIONAL</t>
  </si>
  <si>
    <t>CHIAPAS|A01 004 LA CEIBA|20260925|20261001|SMO|WM|CPR01102|24 CONVENCIONAL ADICIONAL|1</t>
  </si>
  <si>
    <t>CHIAPAS|A01 001 MARBELLA|20260926|20261001|SMO|WM|CPR01102|1098 CAJAS CONVENCIONAL Y 54 CAJAS BAE</t>
  </si>
  <si>
    <t>CHIAPAS|A01 001 MARBELLA|20260926|20261001|SMO|WM|CPR01102|1098 CAJAS CONVENCIONAL Y 54 CAJAS BAE|1</t>
  </si>
  <si>
    <t>Pedido/OV con SKU CPR01102 pero en prog CPR01114</t>
  </si>
  <si>
    <t>CHIAPAS|A01 001 MARBELLA|20260926|20261001|SMO|WM|CPR01114|1098 CAJAS CONVENCIONAL Y 54 CAJAS BAE</t>
  </si>
  <si>
    <t>CHIAPAS|A01 001 MARBELLA|20260926|20261001|SMO|WM|CPR01114|1098 CAJAS CONVENCIONAL Y 54 CAJAS BAE|1</t>
  </si>
  <si>
    <t>CHIAPAS|A04 083 SANTA MARIA|20260928|20261003|CIUDAD JUAREZ|SMART|CPR01103|20 CONVENCIONAL SCJ1</t>
  </si>
  <si>
    <t>CHIAPAS|A04 083 SANTA MARIA|20260928|20261003|CIUDAD JUAREZ|SMART|CPR01103|20 CONVENCIONAL SCJ1|1</t>
  </si>
  <si>
    <t>45740</t>
  </si>
  <si>
    <t>45036</t>
  </si>
  <si>
    <t>CHIAPAS|A01 003 DONA NELLY|20260928|20261001|S-MTY|SMART|CPR01103|20 CONVENCIONAL SM1|2</t>
  </si>
  <si>
    <t>45738</t>
  </si>
  <si>
    <t>45742</t>
  </si>
  <si>
    <t>45744</t>
  </si>
  <si>
    <t>CHIAPAS|A01 002 FORTALEZA|20260930|20261002|CEDA|CEDA AUTOSERVICIO|CPR01102|CEDA</t>
  </si>
  <si>
    <t>CHIAPAS|A01 002 FORTALEZA|20260930|20261002|CEDA|CEDA AUTOSERVICIO|CPR01102|CEDA|1</t>
  </si>
  <si>
    <t>CHIAPAS|A01 002 FORTALEZA|20260930|20261002|CEDA|CEDA PISO|CPR01101|CEDA PISO PRODUCTORAS</t>
  </si>
  <si>
    <t>CHIAPAS|A01 002 FORTALEZA|20260930|20261002|CEDA|CEDA PISO|CPR01101|CEDA PISO PRODUCTORAS|1</t>
  </si>
  <si>
    <t>45743</t>
  </si>
  <si>
    <t>45747</t>
  </si>
  <si>
    <t>46255</t>
  </si>
  <si>
    <t>45746</t>
  </si>
  <si>
    <t>45773</t>
  </si>
  <si>
    <t>CHIAPAS|A01 001 MARBELLA|20261001|20261005|CEDA|CEDA AUTOSERVICIO|CPR01102|CEDA</t>
  </si>
  <si>
    <t>CHIAPAS|A01 001 MARBELLA|20261001|20261005|CEDA|CEDA AUTOSERVICIO|CPR01102|CEDA|1</t>
  </si>
  <si>
    <t>CHIAPAS|A01 002 FORTALEZA|20261001|20261008|CHALCO|WM|CPR01102|1092 CAJAS CONV Y 60CAJAS BAE</t>
  </si>
  <si>
    <t>CHIAPAS|A01 002 FORTALEZA|20261001|20261008|CHALCO|WM|CPR01102|1092 CAJAS CONV Y 60CAJAS BAE|1</t>
  </si>
  <si>
    <t>45922</t>
  </si>
  <si>
    <t>45748</t>
  </si>
  <si>
    <t>CHIAPAS|A01 002 FORTALEZA|20261002|20261008|CHALCO|WM|CPR01114|1092 CAJAS CONV Y 60CAJAS BAE</t>
  </si>
  <si>
    <t>CHIAPAS|A01 002 FORTALEZA|20261002|20261008|CHALCO|WM|CPR01114|1092 CAJAS CONV Y 60CAJAS BAE|1</t>
  </si>
  <si>
    <t>CHIAPAS|A01 002 FORTALEZA|20261002|20261008|CHALCO|WM|CPR01102|1092 CAJAS CONV Y 60CAJAS BAE</t>
  </si>
  <si>
    <t>CHIAPAS|A01 002 FORTALEZA|20261002|20261008|CHALCO|WM|CPR01102|1092 CAJAS CONV Y 60CAJAS BAE|1</t>
  </si>
  <si>
    <t>45750</t>
  </si>
  <si>
    <t>PRE0001</t>
  </si>
  <si>
    <t>CHIAPAS|A01 001 MARBELLA|20260928|20261001|CHIQUITA|CHIQUITA|PRE0001|CHIQUITA</t>
  </si>
  <si>
    <t>CHIAPAS|A01 001 MARBELLA|20260928|20261001|CHIQUITA|CHIQUITA|PRE0001|CHIQUITA|1</t>
  </si>
  <si>
    <t>CHIAPAS|A01 002 FORTALEZA|20260928|20261005|S-MTY|SMART|CPR01103|20 CONVENCIONAL SM1</t>
  </si>
  <si>
    <t>CHIAPAS|A01 002 FORTALEZA|20260928|20261005|S-MTY|SMART|CPR01103|20 CONVENCIONAL SM1|1</t>
  </si>
  <si>
    <t>CHIAPAS|A01 002 FORTALEZA|20260929|20261001|CHIQUITA|CHIQUITA|PRE0001|CHIQUITA</t>
  </si>
  <si>
    <t>CHIAPAS|A01 002 FORTALEZA|20260929|20261001|CHIQUITA|CHIQUITA|PRE0001|CHIQUITA|1</t>
  </si>
  <si>
    <t>A05041-402909-1</t>
  </si>
  <si>
    <t>CHIAPAS|A04 039 SAN JOSE MORELIA NAVA|20260930|20261005|S-MTY|SMART|CPR01103|</t>
  </si>
  <si>
    <t>CHIAPAS|A04 039 SAN JOSE MORELIA NAVA|20260930|20261005|S-MTY|SMART|CPR01103||1</t>
  </si>
  <si>
    <t>A12057-403009-1</t>
  </si>
  <si>
    <t>CHIAPAS|A12 057 TIQUISATE 1|20260930|20261007|S-MTY|SMART|CPR01103|</t>
  </si>
  <si>
    <t>CHIAPAS|A12 057 TIQUISATE 1|20260930|20261007|S-MTY|SMART|CPR01103||1</t>
  </si>
  <si>
    <t>CHIAPAS|A04 084 LISBOA|20260930|20261005|MCALLEN|CHANITOS INT|CPR01104|20 CONVENCIONAL F4-1</t>
  </si>
  <si>
    <t>CHIAPAS|A04 084 LISBOA|20260930|20261005|MCALLEN|CHANITOS INT|CPR01104|20 CONVENCIONAL F4-1|1</t>
  </si>
  <si>
    <t>CHIAPAS|A01 004 LA CEIBA|20260930|20261001|CHIQUITA|CHIQUITA|PRE0001|CHIQUITA</t>
  </si>
  <si>
    <t>CHIAPAS|A01 004 LA CEIBA|20260930|20261001|CHIQUITA|CHIQUITA|PRE0001|CHIQUITA|1</t>
  </si>
  <si>
    <t>CHIAPAS|A01 004 LA CEIBA|20260930|20261003|CEDA|CEDA AUTOSERVICIO|CPR01102|CEDA</t>
  </si>
  <si>
    <t>CHIAPAS|A01 004 LA CEIBA|20260930|20261003|CEDA|CEDA AUTOSERVICIO|CPR01102|CEDA|1</t>
  </si>
  <si>
    <t>CHIAPAS|A01 004 LA CEIBA|20260930|20261003|CEDA|CEDA PISO|CPR01101|CEDA PISO PRODUCTORAS</t>
  </si>
  <si>
    <t>CHIAPAS|A01 004 LA CEIBA|20260930|20261003|CEDA|CEDA PISO|CPR01101|CEDA PISO PRODUCTORAS|1</t>
  </si>
  <si>
    <t>CHIAPAS|A01 001 MARBELLA|20260930|20261003|CEDA|CEDA PISO|CPR01101|CEDA PISO PRODUCTORAS</t>
  </si>
  <si>
    <t>CHIAPAS|A01 001 MARBELLA|20260930|20261003|CEDA|CEDA PISO|CPR01101|CEDA PISO PRODUCTORAS|1</t>
  </si>
  <si>
    <t>CHIAPAS|A12 057 TIQUISATE 1|20261001|20261007|S-MTY|SMART|CPR01103|</t>
  </si>
  <si>
    <t>CHIAPAS|A12 057 TIQUISATE 1|20261001|20261007|S-MTY|SMART|CPR01103||1</t>
  </si>
  <si>
    <t>CHIAPAS|A04 039 SAN JOSE MORELIA NAVA|20261001|20261007|S-MTY|SMART|CPR01103|</t>
  </si>
  <si>
    <t>CHIAPAS|A04 039 SAN JOSE MORELIA NAVA|20261001|20261007|S-MTY|SMART|CPR01103||1</t>
  </si>
  <si>
    <t>CHIAPAS|A36 090 HEAVY|20261001|20261007|S-MTY|SMART|CPR01103|</t>
  </si>
  <si>
    <t>CHIAPAS|A36 090 HEAVY|20261001|20261007|S-MTY|SMART|CPR01103||1</t>
  </si>
  <si>
    <t>CHIAPAS|A04 038 EL TRIUNFO NAVA|20261001|20261008|CHALCO|WM|CPR01102|1092 CAJAS CONV Y 60CAJAS BAE</t>
  </si>
  <si>
    <t>CHIAPAS|A04 038 EL TRIUNFO NAVA|20261001|20261008|CHALCO|WM|CPR01102|1092 CAJAS CONV Y 60CAJAS BAE|1</t>
  </si>
  <si>
    <t>CHIAPAS|A01 003 DONA NELLY|20261001|20261003|CEDA|CEDA PISO|CPR01101|CEDA PISO PRODUCTORAS</t>
  </si>
  <si>
    <t>CHIAPAS|A01 003 DONA NELLY|20261001|20261003|CEDA|CEDA PISO|CPR01101|CEDA PISO PRODUCTORAS|1</t>
  </si>
  <si>
    <t>CHIAPAS|A01 001 MARBELLA|20261001|20261001|CHIQUITA|CHIQUITA|PRE0001|CHIQUITA</t>
  </si>
  <si>
    <t>CHIAPAS|A01 001 MARBELLA|20261001|20261001|CHIQUITA|CHIQUITA|PRE0001|CHIQUITA|1</t>
  </si>
  <si>
    <t>CHIAPAS|A01 001 MARBELLA|20261001|20261005|CEDA|CEDA PISO|CPR01101|CEDA PISO PRODUCTORAS</t>
  </si>
  <si>
    <t>CHIAPAS|A01 001 MARBELLA|20261001|20261005|CEDA|CEDA PISO|CPR01101|CEDA PISO PRODUCTORAS|1</t>
  </si>
  <si>
    <t>CHIAPAS|A01 002 FORTALEZA|20261001|20261005|CHALCO|WM|CPR01102|22 CONVENCIONAL Y 96 CAJAS BAE|2</t>
  </si>
  <si>
    <t>CHIAPAS|A01 002 FORTALEZA|20261001|20261005|CEDA|CEDA PISO|CPR01101|CEDA PISO PRODUCTORAS</t>
  </si>
  <si>
    <t>CHIAPAS|A01 002 FORTALEZA|20261001|20261005|CEDA|CEDA PISO|CPR01101|CEDA PISO PRODUCTORAS|1</t>
  </si>
  <si>
    <t>A05042-400210-1</t>
  </si>
  <si>
    <t>CHIAPAS|A05 042 EL CONDE|20261002|20261007|S-MTY|SMART|CPR01103|</t>
  </si>
  <si>
    <t>CHIAPAS|A05 042 EL CONDE|20261002|20261007|S-MTY|SMART|CPR01103||1</t>
  </si>
  <si>
    <t>CHIAPAS|A05 042 EL CONDE|20261002|20261007|S-MTY|SMART|CPR01103||2</t>
  </si>
  <si>
    <t>CHIAPAS|A01 001 MARBELLA|20261002|20261007|CHALCO|WM|CPR01102|1098 CAJAS CONVENCIONAL Y 54 CAJAS BAE</t>
  </si>
  <si>
    <t>CHIAPAS|A01 001 MARBELLA|20261002|20261007|CHALCO|WM|CPR01102|1098 CAJAS CONVENCIONAL Y 54 CAJAS BAE|1</t>
  </si>
  <si>
    <t>CHIAPAS|A01 004 LA CEIBA|20261002|20261002|CHIQUITA|CHIQUITA|PRE0001|CHIQUITA</t>
  </si>
  <si>
    <t>CHIAPAS|A01 004 LA CEIBA|20261002|20261002|CHIQUITA|CHIQUITA|PRE0001|CHIQUITA|1</t>
  </si>
  <si>
    <t>CHIAPAS|A01 002 FORTALEZA|20261002|20261007|S-MTY|SMART|CPR01103|</t>
  </si>
  <si>
    <t>CHIAPAS|A01 002 FORTALEZA|20261002|20261007|S-MTY|SMART|CPR01103||1</t>
  </si>
  <si>
    <t>CHIAPAS|A01 002 FORTALEZA|20261002|20261004|CEDA|CEDA AUTOSERVICIO|CPR01102|CEDA</t>
  </si>
  <si>
    <t>CHIAPAS|A01 002 FORTALEZA|20261002|20261004|CEDA|CEDA AUTOSERVICIO|CPR01102|CEDA|1</t>
  </si>
  <si>
    <t>CHIAPAS|A01 001 MARBELLA|20261003|20261008|VSA|WM|CPR01102|19 CONVENCIONAL Y 5 ORG</t>
  </si>
  <si>
    <t>CHIAPAS|A01 001 MARBELLA|20261003|20261008|VSA|WM|CPR01102|19 CONVENCIONAL Y 5 ORG|1</t>
  </si>
  <si>
    <t>CHIAPAS|A01 001 MARBELLA|20261003|20261007|CEDA|CEDA AUTOSERVICIO|CPR01102|CEDA</t>
  </si>
  <si>
    <t>CHIAPAS|A01 001 MARBELLA|20261003|20261007|CEDA|CEDA AUTOSERVICIO|CPR01102|CEDA|1</t>
  </si>
  <si>
    <t>CHIAPAS|A01 003 DONA NELLY|20261003|20261008|SMO|WM|CPR01102|24 CONVENCIONAL</t>
  </si>
  <si>
    <t>CHIAPAS|A01 003 DONA NELLY|20261003|20261008|SMO|WM|CPR01102|24 CONVENCIONAL|1</t>
  </si>
  <si>
    <t>CHIAPAS|A01 002 FORTALEZA|20261003|20261008|SMO|WM|CPR01102|24 CONVENCIONAL</t>
  </si>
  <si>
    <t>CHIAPAS|A01 002 FORTALEZA|20261003|20261008|SMO|WM|CPR01102|24 CONVENCIONAL|1</t>
  </si>
  <si>
    <t>CHIAPAS|A11 045 SECTOR MAZATAN|20260928|20261002|MCALLEN|CHANITOS INT|CPR01104|20 CONVENCIONAL F1-2</t>
  </si>
  <si>
    <t>CHIAPAS|A11 045 SECTOR MAZATAN|20260928|20261002|MCALLEN|CHANITOS INT|CPR01104|20 CONVENCIONAL F1-2|1</t>
  </si>
  <si>
    <t>45037</t>
  </si>
  <si>
    <t>CHIAPAS|A04 084 LISBOA|20260928|20261002|MCALLEN|CHANITOS INT|CPR01104|20 CONVENCIONAL F2-1</t>
  </si>
  <si>
    <t>CHIAPAS|A04 084 LISBOA|20260928|20261002|MCALLEN|CHANITOS INT|CPR01104|20 CONVENCIONAL F2-1|1</t>
  </si>
  <si>
    <t>CHIAPAS|A04 084 LISBOA|20260928|20261005|MCALLEN|CHANITOS INT|CPR01104|20 CONVENCIONAL F3-2</t>
  </si>
  <si>
    <t>CHIAPAS|A04 084 LISBOA|20260928|20261005|MCALLEN|CHANITOS INT|CPR01104|20 CONVENCIONAL F3-2|1</t>
  </si>
  <si>
    <t>CHIAPAS|A01 003 DONA NELLY|20260928|20260930|CEDA|CEDA PISO|CPR01101|CEDA PISO PRODUCTORAS</t>
  </si>
  <si>
    <t>CHIAPAS|A01 003 DONA NELLY|20260928|20260930|CEDA|CEDA PISO|CPR01101|CEDA PISO PRODUCTORAS|1</t>
  </si>
  <si>
    <t>Sin OV compatible con fecha, cliente, CEDIS, SKU, zona y cantidad</t>
  </si>
  <si>
    <t>CHIAPAS|A01 001 MARBELLA|20260928|20260930|CEDA|CEDA PISO|CPR01101|CEDA PISO PRODUCTORAS</t>
  </si>
  <si>
    <t>CHIAPAS|A01 001 MARBELLA|20260928|20260930|CEDA|CEDA PISO|CPR01101|CEDA PISO PRODUCTORAS|1</t>
  </si>
  <si>
    <t>CHIAPAS|A01 002 FORTALEZA|20260928|20260930|CEDA|CEDA PISO|CPR01101|CEDA PISO PRODUCTORAS</t>
  </si>
  <si>
    <t>CHIAPAS|A01 002 FORTALEZA|20260928|20260930|CEDA|CEDA PISO|CPR01101|CEDA PISO PRODUCTORAS|1</t>
  </si>
  <si>
    <t>CHIAPAS|A11 045 SECTOR MAZATAN|20260929|20261002|MCALLEN|CHANITOS INT|CPR01104|20 CONVENCIONAL F2-1</t>
  </si>
  <si>
    <t>CHIAPAS|A11 045 SECTOR MAZATAN|20260929|20261002|MCALLEN|CHANITOS INT|CPR01104|20 CONVENCIONAL F2-1|1</t>
  </si>
  <si>
    <t>CHIAPAS|A11 045 SECTOR MAZATAN|20260929|20261002|MCALLEN|CHANITOS INT|CPR01104|20 CONVENCIONAL F2-1|2</t>
  </si>
  <si>
    <t>CHIAPAS|A01 003 DONA NELLY|20260929|20261003|MCALLEN|CHANITOS INT|CPR01104|20 CONVENCIONAL F2-2</t>
  </si>
  <si>
    <t>CHIAPAS|A01 003 DONA NELLY|20260929|20261003|MCALLEN|CHANITOS INT|CPR01104|20 CONVENCIONAL F2-2|1</t>
  </si>
  <si>
    <t>45739</t>
  </si>
  <si>
    <t>CHIAPAS|A05 041 PLATANEROS UNIDOS 2 COTAN O MICROS|20260929|20261003|MCALLEN|CHANITOS INT|CPR01104|20 CONVENCIONAL F3-1</t>
  </si>
  <si>
    <t>CHIAPAS|A05 041 PLATANEROS UNIDOS 2 COTAN O MICROS|20260929|20261003|MCALLEN|CHANITOS INT|CPR01104|20 CONVENCIONAL F3-1|1</t>
  </si>
  <si>
    <t>CHIAPAS|A04 084 LISBOA|20260929|20261005|MCALLEN|CHANITOS INT|CPR01104|20 CONVENCIONAL F3-2</t>
  </si>
  <si>
    <t>CHIAPAS|A04 084 LISBOA|20260929|20261005|MCALLEN|CHANITOS INT|CPR01104|20 CONVENCIONAL F3-2|1</t>
  </si>
  <si>
    <t>CHIAPAS|A12 057 TIQUISATE 1|20260929|20261005|S-MTY|SMART|CPR01103|20 CONVENCIONAL SM1</t>
  </si>
  <si>
    <t>CHIAPAS|A12 057 TIQUISATE 1|20260929|20261005|S-MTY|SMART|CPR01103|20 CONVENCIONAL SM1|1</t>
  </si>
  <si>
    <t>CHIAPAS|A12 057 TIQUISATE 1|20260930|20261007|CIUDAD JUAREZ|SMART|CPR01103|</t>
  </si>
  <si>
    <t>CHIAPAS|A12 057 TIQUISATE 1|20260930|20261007|CIUDAD JUAREZ|SMART|CPR01103||1</t>
  </si>
  <si>
    <t>46256</t>
  </si>
  <si>
    <t>CHIAPAS|A04 084 LISBOA|20260930|20261005|MCALLEN|CHANITOS INT|CPR01104|20 CONVENCIONAL F3-2</t>
  </si>
  <si>
    <t>CHIAPAS|A04 084 LISBOA|20260930|20261005|MCALLEN|CHANITOS INT|CPR01104|20 CONVENCIONAL F3-2|1</t>
  </si>
  <si>
    <t>CHIAPAS|A36 090 HEAVY|20260930|20261007|MCALLEN|CHANITOS INT|CPR01104|20 CONVENCIONAL F5-2</t>
  </si>
  <si>
    <t>CHIAPAS|A36 090 HEAVY|20260930|20261007|MCALLEN|CHANITOS INT|CPR01104|20 CONVENCIONAL F5-2|1</t>
  </si>
  <si>
    <t>CHIAPAS|A04 039 SAN JOSE MORELIA NAVA|20260930|20261006|MCALLEN|CHANITOS INT|CPR01104|20 CONVENCIONAL F4-2</t>
  </si>
  <si>
    <t>CHIAPAS|A04 039 SAN JOSE MORELIA NAVA|20260930|20261006|MCALLEN|CHANITOS INT|CPR01104|20 CONVENCIONAL F4-2|1</t>
  </si>
  <si>
    <t>CHIAPAS|A01 001 MARBELLA|20260930|20261005|MCALLEN|CHANITOS INT|CPR01104|20 CONVENCIONAL F4-1</t>
  </si>
  <si>
    <t>CHIAPAS|A01 001 MARBELLA|20260930|20261005|MCALLEN|CHANITOS INT|CPR01104|20 CONVENCIONAL F4-1|1</t>
  </si>
  <si>
    <t>CHIAPAS|A41 100 DONA LUPE JV|20261001|20261003|CEDA|CEDA AUTOSERVICIO|CPL08134|CEDA PLANTAIN</t>
  </si>
  <si>
    <t>CHIAPAS|A41 100 DONA LUPE JV|20261001|20261003|CEDA|CEDA AUTOSERVICIO|CPL08134|CEDA PLANTAIN|1</t>
  </si>
  <si>
    <t>CHIAPAS|A06 043 NUESTRA SENORA|20261001|20261007|MCALLEN|CHANITOS INT|CPR01104|20 CONVENCIONAL F5-2</t>
  </si>
  <si>
    <t>CHIAPAS|A06 043 NUESTRA SENORA|20261001|20261007|MCALLEN|CHANITOS INT|CPR01104|20 CONVENCIONAL F5-2|1</t>
  </si>
  <si>
    <t>CHIAPAS|A04 039 SAN JOSE MORELIA NAVA|20261001|20261006|MCALLEN|CHANITOS INT|CPR01104|20 CONVENCIONAL F4-2</t>
  </si>
  <si>
    <t>CHIAPAS|A04 039 SAN JOSE MORELIA NAVA|20261001|20261006|MCALLEN|CHANITOS INT|CPR01104|20 CONVENCIONAL F4-2|1</t>
  </si>
  <si>
    <t>CHIAPAS|A12 057 TIQUISATE 1|20261001|20261007|CIUDAD JUAREZ|SMART|CPR01103|</t>
  </si>
  <si>
    <t>CHIAPAS|A12 057 TIQUISATE 1|20261001|20261007|CIUDAD JUAREZ|SMART|CPR01103||1</t>
  </si>
  <si>
    <t>46821</t>
  </si>
  <si>
    <t>45929</t>
  </si>
  <si>
    <t>46822</t>
  </si>
  <si>
    <t>CHIAPAS|A06 043 NUESTRA SENORA|20261002|20261007|MCALLEN|CHANITOS INT|CPR01104|20 CONVENCIONAL F6-1</t>
  </si>
  <si>
    <t>CHIAPAS|A06 043 NUESTRA SENORA|20261002|20261007|MCALLEN|CHANITOS INT|CPR01104|20 CONVENCIONAL F6-1|1</t>
  </si>
  <si>
    <t>CHIAPAS|A04 084 LISBOA|20261002|20261008|MCALLEN|CHANITOS INT|CPR01104|20 CONVENCIONAL F6-2</t>
  </si>
  <si>
    <t>CHIAPAS|A04 084 LISBOA|20261002|20261008|MCALLEN|CHANITOS INT|CPR01104|20 CONVENCIONAL F6-2|1</t>
  </si>
  <si>
    <t>CHIAPAS|A01 001 MARBELLA|20261002|20261008|MCALLEN|CHANITOS INT|CPR01104|20 CONVENCIONAL F7-1</t>
  </si>
  <si>
    <t>CHIAPAS|A01 001 MARBELLA|20261002|20261008|MCALLEN|CHANITOS INT|CPR01104|20 CONVENCIONAL F7-1|1</t>
  </si>
  <si>
    <t>CHIAPAS|A01 001 MARBELLA|20261002|20261008|CEDA|CEDA PISO|CPR01101|CEDA PISO PRODUCTORAS</t>
  </si>
  <si>
    <t>CHIAPAS|A01 001 MARBELLA|20261002|20261008|CEDA|CEDA PISO|CPR01101|CEDA PISO PRODUCTORAS|1</t>
  </si>
  <si>
    <t>CHIAPAS|A01 004 LA CEIBA|20261002|20261008|CEDA|CEDA AUTOSERVICIO|CPR01102|CEDA</t>
  </si>
  <si>
    <t>CHIAPAS|A01 004 LA CEIBA|20261002|20261008|CEDA|CEDA AUTOSERVICIO|CPR01102|CEDA|1</t>
  </si>
  <si>
    <t>CHIAPAS|A01 004 LA CEIBA|20261002|20261008|CEDA|CEDA PISO|CPR01101|CEDA PISO PRODUCTORAS</t>
  </si>
  <si>
    <t>CHIAPAS|A01 004 LA CEIBA|20261002|20261008|CEDA|CEDA PISO|CPR01101|CEDA PISO PRODUCTORAS|1</t>
  </si>
  <si>
    <t>CHIAPAS|A01 002 FORTALEZA|20261002|20261004|CEDA|CEDA PISO|CPR01101|CEDA PISO PRODUCTORAS</t>
  </si>
  <si>
    <t>CHIAPAS|A01 002 FORTALEZA|20261002|20261004|CEDA|CEDA PISO|CPR01101|CEDA PISO PRODUCTORAS|1</t>
  </si>
  <si>
    <t>CHIAPAS|A01 001 MARBELLA|20261003|20261008|MCALLEN|CHANITOS INT|CPR01104|20 CONVENCIONAL F7-1</t>
  </si>
  <si>
    <t>CHIAPAS|A01 001 MARBELLA|20261003|20261008|MCALLEN|CHANITOS INT|CPR01104|20 CONVENCIONAL F7-1|1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</si>
</sst>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d\ dd/mm/yy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9"/>
      <color rgb="FF002060"/>
      <name val="Aptos Narrow"/>
      <family val="2"/>
      <scheme val="minor"/>
    </font>
    <font>
      <sz val="7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  <font>
      <sz val="7"/>
      <color rgb="FF1F1F1F"/>
      <name val="Arial"/>
      <family val="2"/>
    </font>
    <font>
      <sz val="9"/>
      <name val="Arial"/>
      <family val="2"/>
    </font>
    <font>
      <sz val="11"/>
      <color rgb="FF1F1F1F"/>
      <name val="Aptos Narrow"/>
      <family val="2"/>
      <scheme val="minor"/>
    </font>
    <font>
      <sz val="9"/>
      <color rgb="FFFF0000"/>
      <name val="Aptos Narrow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  <font>
      <sz val="14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A3EB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thick">
        <color rgb="FFEE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92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164" fontId="2" fillId="3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20" fontId="0" fillId="0" borderId="0" xfId="0" applyNumberFormat="1"/>
    <xf numFmtId="0" fontId="0" fillId="6" borderId="2" xfId="0" applyFill="1" applyBorder="1"/>
    <xf numFmtId="0" fontId="0" fillId="0" borderId="2" xfId="0" applyBorder="1"/>
    <xf numFmtId="20" fontId="0" fillId="0" borderId="2" xfId="0" applyNumberFormat="1" applyBorder="1"/>
    <xf numFmtId="0" fontId="0" fillId="0" borderId="2" xfId="0" applyBorder="1" applyAlignment="1">
      <alignment horizontal="center"/>
    </xf>
    <xf numFmtId="0" fontId="2" fillId="8" borderId="0" xfId="0" applyFont="1" applyFill="1"/>
    <xf numFmtId="0" fontId="0" fillId="9" borderId="0" xfId="0" applyFill="1"/>
    <xf numFmtId="0" fontId="0" fillId="0" borderId="3" xfId="0" applyBorder="1"/>
    <xf numFmtId="0" fontId="5" fillId="7" borderId="0" xfId="0" applyFont="1" applyFill="1" applyAlignment="1">
      <alignment horizontal="left" vertical="center"/>
    </xf>
    <xf numFmtId="0" fontId="0" fillId="10" borderId="0" xfId="0" applyFill="1"/>
    <xf numFmtId="0" fontId="0" fillId="7" borderId="0" xfId="0" applyFill="1"/>
    <xf numFmtId="0" fontId="0" fillId="5" borderId="0" xfId="0" applyFill="1"/>
    <xf numFmtId="0" fontId="5" fillId="0" borderId="0" xfId="0" applyFont="1" applyAlignment="1">
      <alignment horizontal="left"/>
    </xf>
    <xf numFmtId="0" fontId="5" fillId="0" borderId="4" xfId="0" applyFont="1" applyBorder="1" applyAlignment="1">
      <alignment horizontal="left" vertical="center"/>
    </xf>
    <xf numFmtId="0" fontId="2" fillId="11" borderId="0" xfId="0" applyFont="1" applyFill="1" applyAlignment="1">
      <alignment horizontal="center"/>
    </xf>
    <xf numFmtId="0" fontId="7" fillId="11" borderId="0" xfId="0" applyFont="1" applyFill="1" applyAlignment="1">
      <alignment horizontal="left"/>
    </xf>
    <xf numFmtId="0" fontId="2" fillId="11" borderId="0" xfId="0" applyFont="1" applyFill="1" applyAlignment="1">
      <alignment horizontal="left" wrapText="1"/>
    </xf>
    <xf numFmtId="0" fontId="2" fillId="11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0" fontId="0" fillId="7" borderId="0" xfId="0" applyFill="1" applyAlignment="1">
      <alignment horizontal="left"/>
    </xf>
    <xf numFmtId="0" fontId="6" fillId="0" borderId="0" xfId="2" applyAlignment="1">
      <alignment horizontal="left" vertical="center"/>
    </xf>
    <xf numFmtId="0" fontId="0" fillId="9" borderId="0" xfId="0" applyFill="1" applyAlignment="1">
      <alignment horizontal="left"/>
    </xf>
    <xf numFmtId="0" fontId="8" fillId="9" borderId="0" xfId="0" applyFont="1" applyFill="1" applyAlignment="1">
      <alignment horizontal="left" vertical="center"/>
    </xf>
    <xf numFmtId="0" fontId="4" fillId="9" borderId="0" xfId="0" applyFont="1" applyFill="1" applyAlignment="1">
      <alignment horizontal="left" vertical="center"/>
    </xf>
    <xf numFmtId="0" fontId="6" fillId="0" borderId="0" xfId="2" applyBorder="1" applyAlignment="1">
      <alignment horizontal="left" vertical="center"/>
    </xf>
    <xf numFmtId="0" fontId="10" fillId="0" borderId="0" xfId="0" applyFont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6" fillId="0" borderId="3" xfId="2" applyBorder="1" applyAlignment="1">
      <alignment horizontal="left" vertical="center"/>
    </xf>
    <xf numFmtId="164" fontId="0" fillId="0" borderId="0" xfId="1" applyNumberFormat="1" applyFont="1" applyAlignment="1">
      <alignment horizontal="left"/>
    </xf>
    <xf numFmtId="0" fontId="0" fillId="0" borderId="0" xfId="0" quotePrefix="1" applyAlignment="1">
      <alignment horizontal="left"/>
    </xf>
    <xf numFmtId="0" fontId="11" fillId="0" borderId="0" xfId="0" applyFont="1"/>
    <xf numFmtId="0" fontId="0" fillId="7" borderId="0" xfId="0" quotePrefix="1" applyFill="1" applyAlignment="1">
      <alignment horizontal="left"/>
    </xf>
    <xf numFmtId="0" fontId="8" fillId="7" borderId="0" xfId="0" applyFont="1" applyFill="1" applyAlignment="1">
      <alignment horizontal="left" vertical="center"/>
    </xf>
    <xf numFmtId="0" fontId="0" fillId="10" borderId="0" xfId="0" applyFill="1" applyAlignment="1">
      <alignment horizontal="left"/>
    </xf>
    <xf numFmtId="0" fontId="8" fillId="10" borderId="0" xfId="0" applyFont="1" applyFill="1" applyAlignment="1">
      <alignment horizontal="left" vertical="center"/>
    </xf>
    <xf numFmtId="0" fontId="4" fillId="10" borderId="0" xfId="0" applyFont="1" applyFill="1" applyAlignment="1">
      <alignment horizontal="left" vertical="center"/>
    </xf>
    <xf numFmtId="0" fontId="6" fillId="0" borderId="0" xfId="2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3" fillId="0" borderId="0" xfId="0" applyFont="1" applyAlignment="1">
      <alignment horizontal="left"/>
    </xf>
    <xf numFmtId="0" fontId="12" fillId="0" borderId="0" xfId="0" applyFont="1" applyAlignment="1">
      <alignment horizontal="left" wrapText="1"/>
    </xf>
    <xf numFmtId="0" fontId="4" fillId="3" borderId="0" xfId="0" applyFont="1" applyFill="1" applyAlignment="1">
      <alignment horizontal="left" vertical="center"/>
    </xf>
    <xf numFmtId="0" fontId="5" fillId="13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13" fillId="0" borderId="0" xfId="0" applyFont="1"/>
    <xf numFmtId="0" fontId="8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5" fillId="9" borderId="0" xfId="0" applyFont="1" applyFill="1" applyAlignment="1">
      <alignment horizontal="left"/>
    </xf>
    <xf numFmtId="0" fontId="6" fillId="9" borderId="0" xfId="2" applyFill="1" applyAlignment="1">
      <alignment horizontal="left" vertical="center"/>
    </xf>
    <xf numFmtId="0" fontId="8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8" fillId="0" borderId="0" xfId="0" applyFont="1" applyAlignment="1">
      <alignment horizontal="left" wrapText="1"/>
    </xf>
    <xf numFmtId="0" fontId="5" fillId="7" borderId="0" xfId="0" applyFont="1" applyFill="1" applyAlignment="1">
      <alignment horizontal="left"/>
    </xf>
    <xf numFmtId="0" fontId="4" fillId="14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0" fontId="14" fillId="7" borderId="0" xfId="0" applyFont="1" applyFill="1" applyAlignment="1">
      <alignment horizontal="left" vertical="center"/>
    </xf>
    <xf numFmtId="0" fontId="6" fillId="7" borderId="0" xfId="2" applyFill="1" applyAlignment="1">
      <alignment horizontal="left" vertical="center"/>
    </xf>
    <xf numFmtId="0" fontId="16" fillId="0" borderId="2" xfId="0" applyFont="1" applyBorder="1" applyAlignment="1">
      <alignment horizontal="center"/>
    </xf>
    <xf numFmtId="0" fontId="8" fillId="7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wrapText="1"/>
    </xf>
    <xf numFmtId="0" fontId="15" fillId="0" borderId="0" xfId="0" applyFont="1" applyAlignment="1">
      <alignment horizontal="left" wrapText="1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2" applyBorder="1" applyAlignment="1">
      <alignment horizontal="left"/>
    </xf>
    <xf numFmtId="0" fontId="6" fillId="0" borderId="0" xfId="2" applyAlignment="1">
      <alignment horizontal="left"/>
    </xf>
    <xf numFmtId="0" fontId="4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3" fontId="3" fillId="15" borderId="0" xfId="0" applyNumberFormat="1" applyFont="1" applyFill="1" applyAlignment="1">
      <alignment horizontal="center" vertical="center"/>
    </xf>
    <xf numFmtId="165" fontId="3" fillId="16" borderId="0" xfId="0" applyNumberFormat="1" applyFont="1" applyFill="1" applyAlignment="1">
      <alignment horizontal="center" vertical="center"/>
    </xf>
    <xf numFmtId="165" fontId="3" fillId="5" borderId="0" xfId="0" applyNumberFormat="1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14" fontId="0" fillId="0" borderId="0" xfId="0" applyNumberFormat="1"/>
    <xf numFmtId="43" fontId="0" fillId="0" borderId="0" xfId="1" applyFont="1"/>
    <xf numFmtId="0" fontId="0" fillId="0" borderId="0" xfId="0" applyNumberFormat="1"/>
  </cellXfs>
  <cellStyles count="3">
    <cellStyle name="Hipervínculo" xfId="2" builtinId="8"/>
    <cellStyle name="Millares" xfId="1" builtinId="3"/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D3D04D21-4398-45CA-94CF-BAAFA44258EF}" autoFormatId="16" applyNumberFormats="0" applyBorderFormats="0" applyFontFormats="0" applyPatternFormats="0" applyAlignmentFormats="0" applyWidthHeightFormats="0">
  <queryTableRefresh nextId="15">
    <queryTableFields count="14">
      <queryTableField id="1" name="Descripción" tableColumnId="1"/>
      <queryTableField id="2" name="SKU" tableColumnId="2"/>
      <queryTableField id="3" name="Lote" tableColumnId="3"/>
      <queryTableField id="4" name="Finca" tableColumnId="4"/>
      <queryTableField id="5" name="Destino" tableColumnId="5"/>
      <queryTableField id="6" name="Cantidad" tableColumnId="6"/>
      <queryTableField id="7" name="Pallets" tableColumnId="7"/>
      <queryTableField id="8" name="Fecha de proceso" tableColumnId="8"/>
      <queryTableField id="9" name="FECHA CITA" tableColumnId="9"/>
      <queryTableField id="10" name="OV OM" tableColumnId="10"/>
      <queryTableField id="11" name="Llave_Base_Consulta" tableColumnId="11"/>
      <queryTableField id="12" name="Ocurrencia_Consulta" tableColumnId="12"/>
      <queryTableField id="13" name="Llave_Embarque_Consulta" tableColumnId="13"/>
      <queryTableField id="14" name="Archivo_Orige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90090C-2E49-4C44-BDA9-F6E9A26B679C}" name="Consulta1" displayName="Consulta1" ref="A1:N4343" tableType="queryTable" totalsRowShown="0">
  <autoFilter ref="A1:N4343" xr:uid="{0090090C-2E49-4C44-BDA9-F6E9A26B679C}"/>
  <tableColumns count="14">
    <tableColumn id="1" xr3:uid="{573211DF-D79B-4DC3-955B-BC5044D40968}" uniqueName="1" name="Descripción" queryTableFieldId="1" dataDxfId="10"/>
    <tableColumn id="2" xr3:uid="{627BAAB7-F089-4E75-893F-A49E7396C4C0}" uniqueName="2" name="SKU" queryTableFieldId="2" dataDxfId="9"/>
    <tableColumn id="3" xr3:uid="{5B422603-C2AB-4023-8033-96A8B38A3A14}" uniqueName="3" name="Lote" queryTableFieldId="3" dataDxfId="8"/>
    <tableColumn id="4" xr3:uid="{C57D9F86-99EB-47B2-B52C-E73E551A52B1}" uniqueName="4" name="Finca" queryTableFieldId="4" dataDxfId="7"/>
    <tableColumn id="5" xr3:uid="{596F6FFB-7070-44BC-86C7-3BB1F52C8D18}" uniqueName="5" name="Destino" queryTableFieldId="5" dataDxfId="6"/>
    <tableColumn id="6" xr3:uid="{9A887862-ECA6-451D-8C55-8BDE25A87031}" uniqueName="6" name="Cantidad" queryTableFieldId="6"/>
    <tableColumn id="7" xr3:uid="{EF641E86-2956-4988-B2B0-548029D78776}" uniqueName="7" name="Pallets" queryTableFieldId="7"/>
    <tableColumn id="8" xr3:uid="{B4F5A299-07A9-4CB5-BB44-F5904B59A5F0}" uniqueName="8" name="Fecha de proceso" queryTableFieldId="8" dataDxfId="5"/>
    <tableColumn id="9" xr3:uid="{16F17CAF-7830-4731-9110-7F8AAF8CE4EA}" uniqueName="9" name="FECHA CITA" queryTableFieldId="9" dataDxfId="4"/>
    <tableColumn id="10" xr3:uid="{35111373-83DF-4A78-976B-909039E8D959}" uniqueName="10" name="OV OM" queryTableFieldId="10" dataDxfId="3"/>
    <tableColumn id="11" xr3:uid="{D2C4E823-35EC-44DE-AD65-F3174B5B03FE}" uniqueName="11" name="Llave_Base_Consulta" queryTableFieldId="11" dataDxfId="2"/>
    <tableColumn id="12" xr3:uid="{2423958D-5C82-434B-B749-B8438E36AE0E}" uniqueName="12" name="Ocurrencia_Consulta" queryTableFieldId="12"/>
    <tableColumn id="13" xr3:uid="{4A8FA1C2-4107-49B0-820A-E310DEAA0877}" uniqueName="13" name="Llave_Embarque_Consulta" queryTableFieldId="13" dataDxfId="1"/>
    <tableColumn id="14" xr3:uid="{722DBB40-652B-4A96-8448-3AECE4106F1C}" uniqueName="14" name="Archivo_Origen" queryTableFieldId="1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ps.app.goo.gl/4sHPwmnAxxLbsqtQ6" TargetMode="External"/><Relationship Id="rId21" Type="http://schemas.openxmlformats.org/officeDocument/2006/relationships/hyperlink" Target="https://goo.gl/maps/ZfYCbsRGBJhm13mr6" TargetMode="External"/><Relationship Id="rId42" Type="http://schemas.openxmlformats.org/officeDocument/2006/relationships/hyperlink" Target="https://goo.gl/maps/PTjiNga8TkWKQ5ANA" TargetMode="External"/><Relationship Id="rId47" Type="http://schemas.openxmlformats.org/officeDocument/2006/relationships/hyperlink" Target="https://goo.gl/maps/QqHfzP5USaXt4oFm6" TargetMode="External"/><Relationship Id="rId63" Type="http://schemas.openxmlformats.org/officeDocument/2006/relationships/hyperlink" Target="https://goo.gl/maps/bqehwq2po61ugXeJA" TargetMode="External"/><Relationship Id="rId68" Type="http://schemas.openxmlformats.org/officeDocument/2006/relationships/hyperlink" Target="https://maps.app.goo.gl/UWoTXNrLhnG4FYEc6" TargetMode="External"/><Relationship Id="rId84" Type="http://schemas.openxmlformats.org/officeDocument/2006/relationships/hyperlink" Target="https://maps.app.goo.gl/DDMePiTmPAKABt1A7" TargetMode="External"/><Relationship Id="rId89" Type="http://schemas.openxmlformats.org/officeDocument/2006/relationships/hyperlink" Target="https://maps.app.goo.gl/LtdLmn58WSHGP2LM9" TargetMode="External"/><Relationship Id="rId112" Type="http://schemas.openxmlformats.org/officeDocument/2006/relationships/hyperlink" Target="https://maps.app.goo.gl/rZRh7UwzskXU4r2L6" TargetMode="External"/><Relationship Id="rId16" Type="http://schemas.openxmlformats.org/officeDocument/2006/relationships/hyperlink" Target="https://goo.gl/maps/8zH9SEAJF3Bp1PAz9" TargetMode="External"/><Relationship Id="rId107" Type="http://schemas.openxmlformats.org/officeDocument/2006/relationships/hyperlink" Target="https://maps.app.goo.gl/EQR4UG9PCH85DrfU7" TargetMode="External"/><Relationship Id="rId11" Type="http://schemas.openxmlformats.org/officeDocument/2006/relationships/hyperlink" Target="https://goo.gl/maps/xTd632Tk6bUJDZDv5" TargetMode="External"/><Relationship Id="rId32" Type="http://schemas.openxmlformats.org/officeDocument/2006/relationships/hyperlink" Target="https://goo.gl/maps/j2iMYbYmkfqLxxYo9" TargetMode="External"/><Relationship Id="rId37" Type="http://schemas.openxmlformats.org/officeDocument/2006/relationships/hyperlink" Target="https://goo.gl/maps/gGd8TGPRhwRBEgwD7" TargetMode="External"/><Relationship Id="rId53" Type="http://schemas.openxmlformats.org/officeDocument/2006/relationships/hyperlink" Target="https://goo.gl/maps/JXCSzYAeFFVLY2eHA" TargetMode="External"/><Relationship Id="rId58" Type="http://schemas.openxmlformats.org/officeDocument/2006/relationships/hyperlink" Target="https://goo.gl/maps/4aw6M19uK4XBNera9" TargetMode="External"/><Relationship Id="rId74" Type="http://schemas.openxmlformats.org/officeDocument/2006/relationships/hyperlink" Target="https://goo.gl/maps/CvFaYPvnLH9yyzhQ9" TargetMode="External"/><Relationship Id="rId79" Type="http://schemas.openxmlformats.org/officeDocument/2006/relationships/hyperlink" Target="https://goo.gl/maps/pAQAncpMWYxAaPEk9" TargetMode="External"/><Relationship Id="rId102" Type="http://schemas.openxmlformats.org/officeDocument/2006/relationships/hyperlink" Target="https://maps.app.goo.gl/mrVBFwNMwr7MCfko6" TargetMode="External"/><Relationship Id="rId123" Type="http://schemas.openxmlformats.org/officeDocument/2006/relationships/hyperlink" Target="https://maps.app.goo.gl/qxZsy9j3rKLx6DhVA" TargetMode="External"/><Relationship Id="rId128" Type="http://schemas.openxmlformats.org/officeDocument/2006/relationships/hyperlink" Target="https://maps.app.goo.gl/MBFz6arwPm2vjgxh9" TargetMode="External"/><Relationship Id="rId5" Type="http://schemas.openxmlformats.org/officeDocument/2006/relationships/hyperlink" Target="https://goo.gl/maps/FRyoYUTxMLVmWMFq8" TargetMode="External"/><Relationship Id="rId90" Type="http://schemas.openxmlformats.org/officeDocument/2006/relationships/hyperlink" Target="https://maps.app.goo.gl/66hiErXAhFC4DmZSA" TargetMode="External"/><Relationship Id="rId95" Type="http://schemas.openxmlformats.org/officeDocument/2006/relationships/hyperlink" Target="https://maps.app.goo.gl/wRou1iKEnd5szNcX7" TargetMode="External"/><Relationship Id="rId22" Type="http://schemas.openxmlformats.org/officeDocument/2006/relationships/hyperlink" Target="https://goo.gl/maps/pAjrPJ5ehDdu2VLT9" TargetMode="External"/><Relationship Id="rId27" Type="http://schemas.openxmlformats.org/officeDocument/2006/relationships/hyperlink" Target="https://goo.gl/maps/hrrPGiy3fJjXt1BWA" TargetMode="External"/><Relationship Id="rId43" Type="http://schemas.openxmlformats.org/officeDocument/2006/relationships/hyperlink" Target="https://goo.gl/maps/BPNhgU1iNC3toZbN7" TargetMode="External"/><Relationship Id="rId48" Type="http://schemas.openxmlformats.org/officeDocument/2006/relationships/hyperlink" Target="https://goo.gl/maps/1UXRFoCcWiB3qDty8" TargetMode="External"/><Relationship Id="rId64" Type="http://schemas.openxmlformats.org/officeDocument/2006/relationships/hyperlink" Target="https://goo.gl/maps/tK1iT4gHmAHp8ESx7" TargetMode="External"/><Relationship Id="rId69" Type="http://schemas.openxmlformats.org/officeDocument/2006/relationships/hyperlink" Target="https://goo.gl/maps/yAqyFintzuZNYTKf7" TargetMode="External"/><Relationship Id="rId113" Type="http://schemas.openxmlformats.org/officeDocument/2006/relationships/hyperlink" Target="https://maps.app.goo.gl/g2wjXioJnKH4KAXM6" TargetMode="External"/><Relationship Id="rId118" Type="http://schemas.openxmlformats.org/officeDocument/2006/relationships/hyperlink" Target="https://maps.app.goo.gl/YPt6U3gQ83ok9U5DA" TargetMode="External"/><Relationship Id="rId80" Type="http://schemas.openxmlformats.org/officeDocument/2006/relationships/hyperlink" Target="https://goo.gl/maps/sPHyMe9dxbB5bJow6" TargetMode="External"/><Relationship Id="rId85" Type="http://schemas.openxmlformats.org/officeDocument/2006/relationships/hyperlink" Target="https://maps.app.goo.gl/jwxZpck87Acfhp6NA" TargetMode="External"/><Relationship Id="rId12" Type="http://schemas.openxmlformats.org/officeDocument/2006/relationships/hyperlink" Target="https://goo.gl/maps/8MhTkiqK1NEpgPz99" TargetMode="External"/><Relationship Id="rId17" Type="http://schemas.openxmlformats.org/officeDocument/2006/relationships/hyperlink" Target="https://goo.gl/maps/yi7LfEdxyPyjDeMY6" TargetMode="External"/><Relationship Id="rId33" Type="http://schemas.openxmlformats.org/officeDocument/2006/relationships/hyperlink" Target="https://goo.gl/maps/F7kNcEaYeHMMGVqv8" TargetMode="External"/><Relationship Id="rId38" Type="http://schemas.openxmlformats.org/officeDocument/2006/relationships/hyperlink" Target="https://goo.gl/maps/8ZGRFn9VVuGoAd78A" TargetMode="External"/><Relationship Id="rId59" Type="http://schemas.openxmlformats.org/officeDocument/2006/relationships/hyperlink" Target="https://goo.gl/maps/PphkbMkuv1AH61iV6" TargetMode="External"/><Relationship Id="rId103" Type="http://schemas.openxmlformats.org/officeDocument/2006/relationships/hyperlink" Target="https://maps.app.goo.gl/HMGXmTfGZ3hDxjU18" TargetMode="External"/><Relationship Id="rId108" Type="http://schemas.openxmlformats.org/officeDocument/2006/relationships/hyperlink" Target="https://maps.app.goo.gl/7GqV6JDt95whSo3w9" TargetMode="External"/><Relationship Id="rId124" Type="http://schemas.openxmlformats.org/officeDocument/2006/relationships/hyperlink" Target="https://goo.gl/maps/EiZpKvJ1U3NsayM38" TargetMode="External"/><Relationship Id="rId129" Type="http://schemas.openxmlformats.org/officeDocument/2006/relationships/hyperlink" Target="https://maps.app.goo.gl/8YNDFJ9u9dHPF2wi9" TargetMode="External"/><Relationship Id="rId54" Type="http://schemas.openxmlformats.org/officeDocument/2006/relationships/hyperlink" Target="https://goo.gl/maps/FWXvwAXKFChMWTW36" TargetMode="External"/><Relationship Id="rId70" Type="http://schemas.openxmlformats.org/officeDocument/2006/relationships/hyperlink" Target="https://goo.gl/maps/V1Uj3rKBvFuLJaMg6" TargetMode="External"/><Relationship Id="rId75" Type="http://schemas.openxmlformats.org/officeDocument/2006/relationships/hyperlink" Target="https://goo.gl/maps/5bLUadGBYuhUfZxi7" TargetMode="External"/><Relationship Id="rId91" Type="http://schemas.openxmlformats.org/officeDocument/2006/relationships/hyperlink" Target="https://maps.app.goo.gl/WjhYVctXRA2aTtRV9" TargetMode="External"/><Relationship Id="rId96" Type="http://schemas.openxmlformats.org/officeDocument/2006/relationships/hyperlink" Target="https://maps.app.goo.gl/CkbP2X1j66XUKANX6" TargetMode="External"/><Relationship Id="rId1" Type="http://schemas.openxmlformats.org/officeDocument/2006/relationships/hyperlink" Target="https://goo.gl/maps/XvfzqdkZQYTYc8RP8" TargetMode="External"/><Relationship Id="rId6" Type="http://schemas.openxmlformats.org/officeDocument/2006/relationships/hyperlink" Target="https://goo.gl/maps/fnW8DDkT3wNtEXeSA" TargetMode="External"/><Relationship Id="rId23" Type="http://schemas.openxmlformats.org/officeDocument/2006/relationships/hyperlink" Target="https://goo.gl/maps/dFEGsT47n5G8w6DD8" TargetMode="External"/><Relationship Id="rId28" Type="http://schemas.openxmlformats.org/officeDocument/2006/relationships/hyperlink" Target="https://goo.gl/maps/3T8XwxYkNNWHompB7" TargetMode="External"/><Relationship Id="rId49" Type="http://schemas.openxmlformats.org/officeDocument/2006/relationships/hyperlink" Target="https://goo.gl/maps/3BYEvDeX7Ng6yb1f8" TargetMode="External"/><Relationship Id="rId114" Type="http://schemas.openxmlformats.org/officeDocument/2006/relationships/hyperlink" Target="https://maps.app.goo.gl/P3zfosMR8iM2Yuma8" TargetMode="External"/><Relationship Id="rId119" Type="http://schemas.openxmlformats.org/officeDocument/2006/relationships/hyperlink" Target="https://maps.app.goo.gl/sagEuodLPjT7C7eXA" TargetMode="External"/><Relationship Id="rId44" Type="http://schemas.openxmlformats.org/officeDocument/2006/relationships/hyperlink" Target="https://goo.gl/maps/5PxHAbGx6Mt1j4Bv6" TargetMode="External"/><Relationship Id="rId60" Type="http://schemas.openxmlformats.org/officeDocument/2006/relationships/hyperlink" Target="https://goo.gl/maps/VjxcwdTTfPQVtKEN8" TargetMode="External"/><Relationship Id="rId65" Type="http://schemas.openxmlformats.org/officeDocument/2006/relationships/hyperlink" Target="https://maps.app.goo.gl/D1kHYtV3Q9vsxafm9" TargetMode="External"/><Relationship Id="rId81" Type="http://schemas.openxmlformats.org/officeDocument/2006/relationships/hyperlink" Target="https://maps.app.goo.gl/SBduqo9VawswQFQx9" TargetMode="External"/><Relationship Id="rId86" Type="http://schemas.openxmlformats.org/officeDocument/2006/relationships/hyperlink" Target="https://maps.app.goo.gl/yYJic2wsNynHJGap8" TargetMode="External"/><Relationship Id="rId130" Type="http://schemas.openxmlformats.org/officeDocument/2006/relationships/hyperlink" Target="https://maps.app.goo.gl/Hwt3oaNpJZXpN8S2A" TargetMode="External"/><Relationship Id="rId13" Type="http://schemas.openxmlformats.org/officeDocument/2006/relationships/hyperlink" Target="https://goo.gl/maps/bGEqBQJrqS7YnCb36" TargetMode="External"/><Relationship Id="rId18" Type="http://schemas.openxmlformats.org/officeDocument/2006/relationships/hyperlink" Target="https://goo.gl/maps/c6DAUZDSSvCqA4YA8" TargetMode="External"/><Relationship Id="rId39" Type="http://schemas.openxmlformats.org/officeDocument/2006/relationships/hyperlink" Target="https://goo.gl/maps/SVDQksmscgMpDhxX8" TargetMode="External"/><Relationship Id="rId109" Type="http://schemas.openxmlformats.org/officeDocument/2006/relationships/hyperlink" Target="https://maps.app.goo.gl/DugyetdoUVir9N1c6" TargetMode="External"/><Relationship Id="rId34" Type="http://schemas.openxmlformats.org/officeDocument/2006/relationships/hyperlink" Target="https://goo.gl/maps/AWKSJXMoE5vkK5TF6" TargetMode="External"/><Relationship Id="rId50" Type="http://schemas.openxmlformats.org/officeDocument/2006/relationships/hyperlink" Target="https://goo.gl/maps/VqyewcdFagBqvL6U8" TargetMode="External"/><Relationship Id="rId55" Type="http://schemas.openxmlformats.org/officeDocument/2006/relationships/hyperlink" Target="https://goo.gl/maps/qGeGDXzmmymVyzLP9" TargetMode="External"/><Relationship Id="rId76" Type="http://schemas.openxmlformats.org/officeDocument/2006/relationships/hyperlink" Target="https://goo.gl/maps/AQmrmSd9bJVZ62YT7" TargetMode="External"/><Relationship Id="rId97" Type="http://schemas.openxmlformats.org/officeDocument/2006/relationships/hyperlink" Target="https://maps.app.goo.gl/v6VHmkLDBuHrWjR3A" TargetMode="External"/><Relationship Id="rId104" Type="http://schemas.openxmlformats.org/officeDocument/2006/relationships/hyperlink" Target="https://maps.app.goo.gl/tRJopNV8bTDm8xHt7" TargetMode="External"/><Relationship Id="rId120" Type="http://schemas.openxmlformats.org/officeDocument/2006/relationships/hyperlink" Target="https://maps.app.goo.gl/NrZTL2yQnwqXGBXN9" TargetMode="External"/><Relationship Id="rId125" Type="http://schemas.openxmlformats.org/officeDocument/2006/relationships/hyperlink" Target="https://maps.app.goo.gl/MqH55Zx5WPoifSoY7" TargetMode="External"/><Relationship Id="rId7" Type="http://schemas.openxmlformats.org/officeDocument/2006/relationships/hyperlink" Target="https://goo.gl/maps/7LqY8eAYQsbqvYb56" TargetMode="External"/><Relationship Id="rId71" Type="http://schemas.openxmlformats.org/officeDocument/2006/relationships/hyperlink" Target="https://maps.app.goo.gl/JNVKY9PRxmSrYqKp7" TargetMode="External"/><Relationship Id="rId92" Type="http://schemas.openxmlformats.org/officeDocument/2006/relationships/hyperlink" Target="https://maps.app.goo.gl/yqNsW66zfotNMCLF7" TargetMode="External"/><Relationship Id="rId2" Type="http://schemas.openxmlformats.org/officeDocument/2006/relationships/hyperlink" Target="https://goo.gl/maps/m7xMRRD56wuNJTsN6" TargetMode="External"/><Relationship Id="rId29" Type="http://schemas.openxmlformats.org/officeDocument/2006/relationships/hyperlink" Target="https://goo.gl/maps/J4EkMP2KVDzF64AfA" TargetMode="External"/><Relationship Id="rId24" Type="http://schemas.openxmlformats.org/officeDocument/2006/relationships/hyperlink" Target="https://goo.gl/maps/8EnHPurb8KSbWAGF9" TargetMode="External"/><Relationship Id="rId40" Type="http://schemas.openxmlformats.org/officeDocument/2006/relationships/hyperlink" Target="https://maps.app.goo.gl/yyVyQFw9kYe3kd349" TargetMode="External"/><Relationship Id="rId45" Type="http://schemas.openxmlformats.org/officeDocument/2006/relationships/hyperlink" Target="https://goo.gl/maps/x3TxYup3gcXf7TP4A" TargetMode="External"/><Relationship Id="rId66" Type="http://schemas.openxmlformats.org/officeDocument/2006/relationships/hyperlink" Target="https://goo.gl/maps/7F5RPs3umWHR2Rc1A" TargetMode="External"/><Relationship Id="rId87" Type="http://schemas.openxmlformats.org/officeDocument/2006/relationships/hyperlink" Target="https://maps.app.goo.gl/9kULdY8QS5sc8Dw27" TargetMode="External"/><Relationship Id="rId110" Type="http://schemas.openxmlformats.org/officeDocument/2006/relationships/hyperlink" Target="https://maps.app.goo.gl/rUVzYMWTZb7oXpKE9" TargetMode="External"/><Relationship Id="rId115" Type="http://schemas.openxmlformats.org/officeDocument/2006/relationships/hyperlink" Target="https://maps.app.goo.gl/dbUuhe32n8iPJhFd9" TargetMode="External"/><Relationship Id="rId131" Type="http://schemas.openxmlformats.org/officeDocument/2006/relationships/hyperlink" Target="https://goo.gl/maps/C1cgsvYkCYKNJPny6" TargetMode="External"/><Relationship Id="rId61" Type="http://schemas.openxmlformats.org/officeDocument/2006/relationships/hyperlink" Target="https://goo.gl/maps/eRVzs5rm2RN8QXhp8" TargetMode="External"/><Relationship Id="rId82" Type="http://schemas.openxmlformats.org/officeDocument/2006/relationships/hyperlink" Target="https://maps.app.goo.gl/9b4zrWbqJjTofZay7" TargetMode="External"/><Relationship Id="rId19" Type="http://schemas.openxmlformats.org/officeDocument/2006/relationships/hyperlink" Target="https://goo.gl/maps/npMLCwRWHRrnXCZ76" TargetMode="External"/><Relationship Id="rId14" Type="http://schemas.openxmlformats.org/officeDocument/2006/relationships/hyperlink" Target="https://goo.gl/maps/JTQpMgz28A4yuzbTA" TargetMode="External"/><Relationship Id="rId30" Type="http://schemas.openxmlformats.org/officeDocument/2006/relationships/hyperlink" Target="https://goo.gl/maps/bFQhTdj4k4rnRjQr9" TargetMode="External"/><Relationship Id="rId35" Type="http://schemas.openxmlformats.org/officeDocument/2006/relationships/hyperlink" Target="https://goo.gl/maps/PCtXDhAWkCfYehYY9" TargetMode="External"/><Relationship Id="rId56" Type="http://schemas.openxmlformats.org/officeDocument/2006/relationships/hyperlink" Target="https://goo.gl/maps/k3e7xCWrpgYf7pWWA" TargetMode="External"/><Relationship Id="rId77" Type="http://schemas.openxmlformats.org/officeDocument/2006/relationships/hyperlink" Target="https://goo.gl/maps/hGCLGWXRwWTdVC2N8" TargetMode="External"/><Relationship Id="rId100" Type="http://schemas.openxmlformats.org/officeDocument/2006/relationships/hyperlink" Target="https://maps.app.goo.gl/kJ4bjKpLJ18V1PzTA" TargetMode="External"/><Relationship Id="rId105" Type="http://schemas.openxmlformats.org/officeDocument/2006/relationships/hyperlink" Target="https://maps.app.goo.gl/N4VD3Sn8c5nttxDX7" TargetMode="External"/><Relationship Id="rId126" Type="http://schemas.openxmlformats.org/officeDocument/2006/relationships/hyperlink" Target="https://maps.app.goo.gl/deuMz3zyNzfu6Liz6" TargetMode="External"/><Relationship Id="rId8" Type="http://schemas.openxmlformats.org/officeDocument/2006/relationships/hyperlink" Target="https://goo.gl/maps/VqyewcdFagBqvL6U8" TargetMode="External"/><Relationship Id="rId51" Type="http://schemas.openxmlformats.org/officeDocument/2006/relationships/hyperlink" Target="https://goo.gl/maps/zY8bnSWgQ9DCLUdu6" TargetMode="External"/><Relationship Id="rId72" Type="http://schemas.openxmlformats.org/officeDocument/2006/relationships/hyperlink" Target="https://maps.app.goo.gl/JNVKY9PRxmSrYqKp7" TargetMode="External"/><Relationship Id="rId93" Type="http://schemas.openxmlformats.org/officeDocument/2006/relationships/hyperlink" Target="https://maps.app.goo.gl/JKRS8Ps5oLKywRdm7" TargetMode="External"/><Relationship Id="rId98" Type="http://schemas.openxmlformats.org/officeDocument/2006/relationships/hyperlink" Target="https://maps.app.goo.gl/v3d8sSBtmN1mpxNr7" TargetMode="External"/><Relationship Id="rId121" Type="http://schemas.openxmlformats.org/officeDocument/2006/relationships/hyperlink" Target="https://goo.gl/maps/xP9ksPjbetFdCPwAA" TargetMode="External"/><Relationship Id="rId3" Type="http://schemas.openxmlformats.org/officeDocument/2006/relationships/hyperlink" Target="https://goo.gl/maps/C1cgsvYkCYKNJPny6" TargetMode="External"/><Relationship Id="rId25" Type="http://schemas.openxmlformats.org/officeDocument/2006/relationships/hyperlink" Target="https://goo.gl/maps/VHgACYdFbVXFQVJG9" TargetMode="External"/><Relationship Id="rId46" Type="http://schemas.openxmlformats.org/officeDocument/2006/relationships/hyperlink" Target="https://goo.gl/maps/kegNtUJZ95coAo5FA" TargetMode="External"/><Relationship Id="rId67" Type="http://schemas.openxmlformats.org/officeDocument/2006/relationships/hyperlink" Target="https://goo.gl/maps/bxcUK2v7UuGm7v9z7" TargetMode="External"/><Relationship Id="rId116" Type="http://schemas.openxmlformats.org/officeDocument/2006/relationships/hyperlink" Target="https://maps.app.goo.gl/55tvsdMp4dMUfQRr9" TargetMode="External"/><Relationship Id="rId20" Type="http://schemas.openxmlformats.org/officeDocument/2006/relationships/hyperlink" Target="https://goo.gl/maps/8nHEzgxoTb9X5sZY7" TargetMode="External"/><Relationship Id="rId41" Type="http://schemas.openxmlformats.org/officeDocument/2006/relationships/hyperlink" Target="https://goo.gl/maps/TUsTqi3ZsyyV9n3V7" TargetMode="External"/><Relationship Id="rId62" Type="http://schemas.openxmlformats.org/officeDocument/2006/relationships/hyperlink" Target="https://goo.gl/maps/UD9VxJeq7R3LSwZj7" TargetMode="External"/><Relationship Id="rId83" Type="http://schemas.openxmlformats.org/officeDocument/2006/relationships/hyperlink" Target="https://maps.app.goo.gl/6rHCxfoLzz9mrycr6" TargetMode="External"/><Relationship Id="rId88" Type="http://schemas.openxmlformats.org/officeDocument/2006/relationships/hyperlink" Target="https://maps.app.goo.gl/rHCi5ctJfZhHxRHv7" TargetMode="External"/><Relationship Id="rId111" Type="http://schemas.openxmlformats.org/officeDocument/2006/relationships/hyperlink" Target="https://maps.app.goo.gl/drbWFsspF6cdf2Er6" TargetMode="External"/><Relationship Id="rId132" Type="http://schemas.openxmlformats.org/officeDocument/2006/relationships/hyperlink" Target="https://goo.gl/maps/fnW8DDkT3wNtEXeSA" TargetMode="External"/><Relationship Id="rId15" Type="http://schemas.openxmlformats.org/officeDocument/2006/relationships/hyperlink" Target="https://goo.gl/maps/tSzooT2k31FpuMFv6" TargetMode="External"/><Relationship Id="rId36" Type="http://schemas.openxmlformats.org/officeDocument/2006/relationships/hyperlink" Target="https://goo.gl/maps/KtztzUgWgS8bmNGD8" TargetMode="External"/><Relationship Id="rId57" Type="http://schemas.openxmlformats.org/officeDocument/2006/relationships/hyperlink" Target="https://maps.app.goo.gl/uVwU5PurVPx9kVHw5" TargetMode="External"/><Relationship Id="rId106" Type="http://schemas.openxmlformats.org/officeDocument/2006/relationships/hyperlink" Target="https://maps.app.goo.gl/qw2H9PcMDwgW6EBC9" TargetMode="External"/><Relationship Id="rId127" Type="http://schemas.openxmlformats.org/officeDocument/2006/relationships/hyperlink" Target="https://maps.app.goo.gl/ZQQr8XsfjL8AMHkR9" TargetMode="External"/><Relationship Id="rId10" Type="http://schemas.openxmlformats.org/officeDocument/2006/relationships/hyperlink" Target="https://goo.gl/maps/AAM9qnwxs3bxE34W7" TargetMode="External"/><Relationship Id="rId31" Type="http://schemas.openxmlformats.org/officeDocument/2006/relationships/hyperlink" Target="https://maps.app.goo.gl/shQUvUBQ71mZEDyE9" TargetMode="External"/><Relationship Id="rId52" Type="http://schemas.openxmlformats.org/officeDocument/2006/relationships/hyperlink" Target="https://goo.gl/maps/9A1a3JxJRJ7VCkCK6" TargetMode="External"/><Relationship Id="rId73" Type="http://schemas.openxmlformats.org/officeDocument/2006/relationships/hyperlink" Target="https://maps.app.goo.gl/JNVKY9PRxmSrYqKp7" TargetMode="External"/><Relationship Id="rId78" Type="http://schemas.openxmlformats.org/officeDocument/2006/relationships/hyperlink" Target="https://goo.gl/maps/H1xZ5eqPzgevEoQg6" TargetMode="External"/><Relationship Id="rId94" Type="http://schemas.openxmlformats.org/officeDocument/2006/relationships/hyperlink" Target="https://maps.app.goo.gl/WgvwxscymYCBR5SZ6" TargetMode="External"/><Relationship Id="rId99" Type="http://schemas.openxmlformats.org/officeDocument/2006/relationships/hyperlink" Target="https://maps.app.goo.gl/cQ4GNfkeZnKZkGSw6" TargetMode="External"/><Relationship Id="rId101" Type="http://schemas.openxmlformats.org/officeDocument/2006/relationships/hyperlink" Target="https://maps.app.goo.gl/yTsgn2dAR1EFV1vA9" TargetMode="External"/><Relationship Id="rId122" Type="http://schemas.openxmlformats.org/officeDocument/2006/relationships/hyperlink" Target="https://maps.app.goo.gl/ib8xC2HXDgLKQAeo9" TargetMode="External"/><Relationship Id="rId4" Type="http://schemas.openxmlformats.org/officeDocument/2006/relationships/hyperlink" Target="https://goo.gl/maps/gNwRwT3qCacQ9pMt8" TargetMode="External"/><Relationship Id="rId9" Type="http://schemas.openxmlformats.org/officeDocument/2006/relationships/hyperlink" Target="https://goo.gl/maps/spB851tWFMFw8oFV6" TargetMode="External"/><Relationship Id="rId26" Type="http://schemas.openxmlformats.org/officeDocument/2006/relationships/hyperlink" Target="https://goo.gl/maps/JfFxbh8cgjZ8Xvjq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43C4E-D0C1-4399-9277-8C3BA29014B7}">
  <dimension ref="A1:R1700"/>
  <sheetViews>
    <sheetView tabSelected="1" topLeftCell="J1" zoomScale="90" zoomScaleNormal="90" workbookViewId="0">
      <pane ySplit="1" topLeftCell="A242" activePane="bottomLeft" state="frozen"/>
      <selection pane="bottomLeft" activeCell="W251" sqref="W251"/>
    </sheetView>
  </sheetViews>
  <sheetFormatPr baseColWidth="10" defaultColWidth="11.42578125" defaultRowHeight="15" x14ac:dyDescent="0.25"/>
  <cols>
    <col min="1" max="1" width="35.5703125" style="6" customWidth="1"/>
    <col min="2" max="2" width="9.5703125" bestFit="1" customWidth="1"/>
    <col min="3" max="3" width="15.5703125" bestFit="1" customWidth="1"/>
    <col min="4" max="4" width="28.28515625" bestFit="1" customWidth="1"/>
    <col min="9" max="9" width="21.85546875" bestFit="1" customWidth="1"/>
    <col min="13" max="13" width="19.5703125" bestFit="1" customWidth="1"/>
    <col min="15" max="15" width="27.28515625" customWidth="1"/>
    <col min="16" max="16" width="11.85546875" customWidth="1"/>
    <col min="17" max="17" width="27.28515625" customWidth="1"/>
    <col min="18" max="18" width="33.140625" bestFit="1" customWidth="1"/>
  </cols>
  <sheetData>
    <row r="1" spans="1:18" ht="4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2" t="s">
        <v>6</v>
      </c>
      <c r="H1" s="2" t="s">
        <v>7</v>
      </c>
      <c r="I1" s="3" t="s">
        <v>8</v>
      </c>
      <c r="J1" s="5" t="s">
        <v>9</v>
      </c>
      <c r="K1" s="5" t="s">
        <v>10</v>
      </c>
      <c r="L1" s="5" t="s">
        <v>11</v>
      </c>
      <c r="M1" s="1" t="s">
        <v>12</v>
      </c>
      <c r="N1" s="1" t="s">
        <v>1312</v>
      </c>
      <c r="O1" s="5" t="s">
        <v>1423</v>
      </c>
      <c r="P1" s="5" t="s">
        <v>1424</v>
      </c>
      <c r="Q1" s="5" t="s">
        <v>1425</v>
      </c>
      <c r="R1" s="5" t="s">
        <v>1426</v>
      </c>
    </row>
    <row r="2" spans="1:18" ht="18.75" x14ac:dyDescent="0.25">
      <c r="A2" s="82" t="str">
        <f>IF('Consulta1'!A4094="","",'Consulta1'!A4094)</f>
        <v>Chanitos Premium EUA Tarima Americana</v>
      </c>
      <c r="B2" s="82" t="str">
        <f>IF('Consulta1'!B4094="","",'Consulta1'!B4094)</f>
        <v>CPR01104</v>
      </c>
      <c r="C2" s="83" t="str">
        <f>IF('Consulta1'!C4094="","",'Consulta1'!C4094)</f>
        <v>A04084-392109-1</v>
      </c>
      <c r="D2" s="84" t="str">
        <f>IF('Consulta1'!D4094="","",'Consulta1'!D4094)</f>
        <v>A04 084 Lisboa</v>
      </c>
      <c r="E2" s="82" t="str">
        <f>IF('Consulta1'!E4094="","",'Consulta1'!E4094)</f>
        <v>McAllen</v>
      </c>
      <c r="F2">
        <f>+IF(E2="","",VLOOKUP(E2,CATALOGO!G:L,6,0))</f>
        <v>8</v>
      </c>
      <c r="G2" s="85">
        <f>IF('Consulta1'!F4094="","",'Consulta1'!F4094)</f>
        <v>480</v>
      </c>
      <c r="H2" s="85">
        <f>IF('Consulta1'!G4094="","",'Consulta1'!G4094)</f>
        <v>10</v>
      </c>
      <c r="I2" s="86">
        <f>IF('Consulta1'!H4094="","",'Consulta1'!H4094)</f>
        <v>46286</v>
      </c>
      <c r="J2">
        <f>+IF(E2="","",WEEKNUM(I2))</f>
        <v>39</v>
      </c>
      <c r="K2">
        <f>+IF(E2="","",VLOOKUP(E2,CATALOGO!G:I,2,0))</f>
        <v>3</v>
      </c>
      <c r="L2">
        <f>+IF(E2="","",VLOOKUP(E2,CATALOGO!G:I,3,0))</f>
        <v>72</v>
      </c>
      <c r="M2" s="87">
        <f>IF('Consulta1'!I4094="","",'Consulta1'!I4094)</f>
        <v>46290</v>
      </c>
      <c r="N2" s="88" t="str">
        <f>IF('Consulta1'!J4094="","",'Consulta1'!J4094)</f>
        <v>44551</v>
      </c>
      <c r="O2" t="str" cm="1">
        <f t="array" ref="O2:R251">_xlfn._xlws.FILTER('Consulta1'!K4094:N100005,'Consulta1'!A4094:A100005&lt;&gt;"","")</f>
        <v>CHIAPAS|A04 084 LISBOA|20260921|20260925|MCALLEN|CHANITOS INT|CPR01104|20 CONVENCIONAL F1-1</v>
      </c>
      <c r="P2">
        <v>1</v>
      </c>
      <c r="Q2" t="str">
        <v>CHIAPAS|A04 084 LISBOA|20260921|20260925|MCALLEN|CHANITOS INT|CPR01104|20 CONVENCIONAL F1-1|1</v>
      </c>
      <c r="R2" t="str">
        <v>Programa Embarques 2026 S-39.xlsx</v>
      </c>
    </row>
    <row r="3" spans="1:18" ht="18.75" x14ac:dyDescent="0.25">
      <c r="A3" s="82" t="str">
        <f>IF('Consulta1'!A4095="","",'Consulta1'!A4095)</f>
        <v>Chanitos Premium EUA Tarima Americana</v>
      </c>
      <c r="B3" s="82" t="str">
        <f>IF('Consulta1'!B4095="","",'Consulta1'!B4095)</f>
        <v>CPR01104</v>
      </c>
      <c r="C3" s="83" t="str">
        <f>IF('Consulta1'!C4095="","",'Consulta1'!C4095)</f>
        <v>A04084-392109-1</v>
      </c>
      <c r="D3" s="84" t="str">
        <f>IF('Consulta1'!D4095="","",'Consulta1'!D4095)</f>
        <v>A04 084 Lisboa</v>
      </c>
      <c r="E3" s="82" t="str">
        <f>IF('Consulta1'!E4095="","",'Consulta1'!E4095)</f>
        <v>McAllen</v>
      </c>
      <c r="F3">
        <f>+IF(E3="","",VLOOKUP(E3,CATALOGO!G:L,6,0))</f>
        <v>8</v>
      </c>
      <c r="G3" s="85">
        <f>IF('Consulta1'!F4095="","",'Consulta1'!F4095)</f>
        <v>240</v>
      </c>
      <c r="H3" s="85">
        <f>IF('Consulta1'!G4095="","",'Consulta1'!G4095)</f>
        <v>5</v>
      </c>
      <c r="I3" s="86">
        <f>IF('Consulta1'!H4095="","",'Consulta1'!H4095)</f>
        <v>46286</v>
      </c>
      <c r="J3">
        <f t="shared" ref="J3:J66" si="0">+IF(E3="","",WEEKNUM(I3))</f>
        <v>39</v>
      </c>
      <c r="K3">
        <f>+IF(E3="","",VLOOKUP(E3,CATALOGO!G:I,2,0))</f>
        <v>3</v>
      </c>
      <c r="L3">
        <f>+IF(E3="","",VLOOKUP(E3,CATALOGO!G:I,3,0))</f>
        <v>72</v>
      </c>
      <c r="M3" s="87">
        <f>IF('Consulta1'!I4095="","",'Consulta1'!I4095)</f>
        <v>46290</v>
      </c>
      <c r="N3" s="88" t="str">
        <f>IF('Consulta1'!J4095="","",'Consulta1'!J4095)</f>
        <v>44551</v>
      </c>
      <c r="O3" t="str">
        <v>CHIAPAS|A04 084 LISBOA|20260921|20260925|MCALLEN|CHANITOS INT|CPR01104|20 CONVENCIONAL F1-1</v>
      </c>
      <c r="P3">
        <v>2</v>
      </c>
      <c r="Q3" t="str">
        <v>CHIAPAS|A04 084 LISBOA|20260921|20260925|MCALLEN|CHANITOS INT|CPR01104|20 CONVENCIONAL F1-1|2</v>
      </c>
      <c r="R3" t="str">
        <v>Programa Embarques 2026 S-39.xlsx</v>
      </c>
    </row>
    <row r="4" spans="1:18" ht="18.75" x14ac:dyDescent="0.25">
      <c r="A4" s="82" t="str">
        <f>IF('Consulta1'!A4096="","",'Consulta1'!A4096)</f>
        <v>Chanitos Premium Tarima Chep</v>
      </c>
      <c r="B4" s="82" t="str">
        <f>IF('Consulta1'!B4096="","",'Consulta1'!B4096)</f>
        <v>CPR01102</v>
      </c>
      <c r="C4" s="83" t="str">
        <f>IF('Consulta1'!C4096="","",'Consulta1'!C4096)</f>
        <v>A01001-392109-1</v>
      </c>
      <c r="D4" s="84" t="str">
        <f>IF('Consulta1'!D4096="","",'Consulta1'!D4096)</f>
        <v>A01 001 Marbella</v>
      </c>
      <c r="E4" s="82" t="str">
        <f>IF('Consulta1'!E4096="","",'Consulta1'!E4096)</f>
        <v>QRO</v>
      </c>
      <c r="F4">
        <f>+IF(E4="","",VLOOKUP(E4,CATALOGO!G:L,6,0))</f>
        <v>3</v>
      </c>
      <c r="G4" s="85">
        <f>IF('Consulta1'!F4096="","",'Consulta1'!F4096)</f>
        <v>1104</v>
      </c>
      <c r="H4" s="85">
        <f>IF('Consulta1'!G4096="","",'Consulta1'!G4096)</f>
        <v>23</v>
      </c>
      <c r="I4" s="86">
        <f>IF('Consulta1'!H4096="","",'Consulta1'!H4096)</f>
        <v>46286</v>
      </c>
      <c r="J4">
        <f t="shared" si="0"/>
        <v>39</v>
      </c>
      <c r="K4">
        <f>+IF(E4="","",VLOOKUP(E4,CATALOGO!G:I,2,0))</f>
        <v>1.5</v>
      </c>
      <c r="L4">
        <f>+IF(E4="","",VLOOKUP(E4,CATALOGO!G:I,3,0))</f>
        <v>36</v>
      </c>
      <c r="M4" s="87">
        <f>IF('Consulta1'!I4096="","",'Consulta1'!I4096)</f>
        <v>46290</v>
      </c>
      <c r="N4" s="88" t="str">
        <f>IF('Consulta1'!J4096="","",'Consulta1'!J4096)</f>
        <v>44907</v>
      </c>
      <c r="O4" t="str">
        <v>CHIAPAS|A01 001 MARBELLA|20260921|20260925|QRO|WM|CPR01102|23 CONVENCIONAL Y 1 ORG</v>
      </c>
      <c r="P4">
        <v>1</v>
      </c>
      <c r="Q4" t="str">
        <v>CHIAPAS|A01 001 MARBELLA|20260921|20260925|QRO|WM|CPR01102|23 CONVENCIONAL Y 1 ORG|1</v>
      </c>
      <c r="R4" t="str">
        <v>Programa Embarques 2026 S-39.xlsx</v>
      </c>
    </row>
    <row r="5" spans="1:18" ht="18.75" x14ac:dyDescent="0.25">
      <c r="A5" s="82" t="str">
        <f>IF('Consulta1'!A4097="","",'Consulta1'!A4097)</f>
        <v>Chanitos Premium Tarima Chep</v>
      </c>
      <c r="B5" s="82" t="str">
        <f>IF('Consulta1'!B4097="","",'Consulta1'!B4097)</f>
        <v>CPR01102</v>
      </c>
      <c r="C5" s="83" t="str">
        <f>IF('Consulta1'!C4097="","",'Consulta1'!C4097)</f>
        <v>A01001-392109-1</v>
      </c>
      <c r="D5" s="84" t="str">
        <f>IF('Consulta1'!D4097="","",'Consulta1'!D4097)</f>
        <v>A01 001 Marbella</v>
      </c>
      <c r="E5" s="82" t="str">
        <f>IF('Consulta1'!E4097="","",'Consulta1'!E4097)</f>
        <v>CEDA</v>
      </c>
      <c r="F5">
        <f>+IF(E5="","",VLOOKUP(E5,CATALOGO!G:L,6,0))</f>
        <v>0</v>
      </c>
      <c r="G5" s="85">
        <f>IF('Consulta1'!F4097="","",'Consulta1'!F4097)</f>
        <v>144</v>
      </c>
      <c r="H5" s="85">
        <f>IF('Consulta1'!G4097="","",'Consulta1'!G4097)</f>
        <v>3</v>
      </c>
      <c r="I5" s="86">
        <f>IF('Consulta1'!H4097="","",'Consulta1'!H4097)</f>
        <v>46286</v>
      </c>
      <c r="J5">
        <f t="shared" si="0"/>
        <v>39</v>
      </c>
      <c r="K5">
        <f>+IF(E5="","",VLOOKUP(E5,CATALOGO!G:I,2,0))</f>
        <v>1.5</v>
      </c>
      <c r="L5">
        <f>+IF(E5="","",VLOOKUP(E5,CATALOGO!G:I,3,0))</f>
        <v>36</v>
      </c>
      <c r="M5" s="87">
        <f>IF('Consulta1'!I4097="","",'Consulta1'!I4097)</f>
        <v>46288</v>
      </c>
      <c r="N5" s="88" t="str">
        <f>IF('Consulta1'!J4097="","",'Consulta1'!J4097)</f>
        <v>0</v>
      </c>
      <c r="O5" t="str">
        <v>CHIAPAS|A01 001 MARBELLA|20260921|20260923|CEDA|CEDA AUTOSERVICIO|CPR01102|CEDA</v>
      </c>
      <c r="P5">
        <v>1</v>
      </c>
      <c r="Q5" t="str">
        <v>CHIAPAS|A01 001 MARBELLA|20260921|20260923|CEDA|CEDA AUTOSERVICIO|CPR01102|CEDA|1</v>
      </c>
      <c r="R5" t="str">
        <v>Programa Embarques 2026 S-39.xlsx</v>
      </c>
    </row>
    <row r="6" spans="1:18" ht="18.75" x14ac:dyDescent="0.25">
      <c r="A6" s="82" t="str">
        <f>IF('Consulta1'!A4098="","",'Consulta1'!A4098)</f>
        <v>Chanitos Premium Granel</v>
      </c>
      <c r="B6" s="82" t="str">
        <f>IF('Consulta1'!B4098="","",'Consulta1'!B4098)</f>
        <v>CPR01101</v>
      </c>
      <c r="C6" s="83" t="str">
        <f>IF('Consulta1'!C4098="","",'Consulta1'!C4098)</f>
        <v>A01001-392109-1</v>
      </c>
      <c r="D6" s="84" t="str">
        <f>IF('Consulta1'!D4098="","",'Consulta1'!D4098)</f>
        <v>A01 001 Marbella</v>
      </c>
      <c r="E6" s="82" t="str">
        <f>IF('Consulta1'!E4098="","",'Consulta1'!E4098)</f>
        <v>CEDA</v>
      </c>
      <c r="F6">
        <f>+IF(E6="","",VLOOKUP(E6,CATALOGO!G:L,6,0))</f>
        <v>0</v>
      </c>
      <c r="G6" s="85">
        <f>IF('Consulta1'!F4098="","",'Consulta1'!F4098)</f>
        <v>225</v>
      </c>
      <c r="H6" s="85" t="str">
        <f>IF('Consulta1'!G4098="","",'Consulta1'!G4098)</f>
        <v>Granel</v>
      </c>
      <c r="I6" s="86">
        <f>IF('Consulta1'!H4098="","",'Consulta1'!H4098)</f>
        <v>46286</v>
      </c>
      <c r="J6">
        <f t="shared" si="0"/>
        <v>39</v>
      </c>
      <c r="K6">
        <f>+IF(E6="","",VLOOKUP(E6,CATALOGO!G:I,2,0))</f>
        <v>1.5</v>
      </c>
      <c r="L6">
        <f>+IF(E6="","",VLOOKUP(E6,CATALOGO!G:I,3,0))</f>
        <v>36</v>
      </c>
      <c r="M6" s="87">
        <f>IF('Consulta1'!I4098="","",'Consulta1'!I4098)</f>
        <v>46288</v>
      </c>
      <c r="N6" s="88" t="str">
        <f>IF('Consulta1'!J4098="","",'Consulta1'!J4098)</f>
        <v>0</v>
      </c>
      <c r="O6" t="str">
        <v>CHIAPAS|A01 001 MARBELLA|20260921|20260923|CEDA|CEDA PISO|CPR01101|CEDA PISO PRODUCTORAS</v>
      </c>
      <c r="P6">
        <v>1</v>
      </c>
      <c r="Q6" t="str">
        <v>CHIAPAS|A01 001 MARBELLA|20260921|20260923|CEDA|CEDA PISO|CPR01101|CEDA PISO PRODUCTORAS|1</v>
      </c>
      <c r="R6" t="str">
        <v>Programa Embarques 2026 S-39.xlsx</v>
      </c>
    </row>
    <row r="7" spans="1:18" ht="18.75" x14ac:dyDescent="0.25">
      <c r="A7" s="82" t="str">
        <f>IF('Consulta1'!A4099="","",'Consulta1'!A4099)</f>
        <v>Chanitos Cha Cha Cha (2da) Granel</v>
      </c>
      <c r="B7" s="82" t="str">
        <f>IF('Consulta1'!B4099="","",'Consulta1'!B4099)</f>
        <v>CSA04120</v>
      </c>
      <c r="C7" s="83" t="str">
        <f>IF('Consulta1'!C4099="","",'Consulta1'!C4099)</f>
        <v>A01001-392109-4</v>
      </c>
      <c r="D7" s="84" t="str">
        <f>IF('Consulta1'!D4099="","",'Consulta1'!D4099)</f>
        <v>A01 001 Marbella</v>
      </c>
      <c r="E7" s="82" t="str">
        <f>IF('Consulta1'!E4099="","",'Consulta1'!E4099)</f>
        <v>CEDA</v>
      </c>
      <c r="F7">
        <f>+IF(E7="","",VLOOKUP(E7,CATALOGO!G:L,6,0))</f>
        <v>0</v>
      </c>
      <c r="G7" s="85">
        <f>IF('Consulta1'!F4099="","",'Consulta1'!F4099)</f>
        <v>60</v>
      </c>
      <c r="H7" s="85" t="str">
        <f>IF('Consulta1'!G4099="","",'Consulta1'!G4099)</f>
        <v>Granel</v>
      </c>
      <c r="I7" s="86">
        <f>IF('Consulta1'!H4099="","",'Consulta1'!H4099)</f>
        <v>46286</v>
      </c>
      <c r="J7">
        <f t="shared" si="0"/>
        <v>39</v>
      </c>
      <c r="K7">
        <f>+IF(E7="","",VLOOKUP(E7,CATALOGO!G:I,2,0))</f>
        <v>1.5</v>
      </c>
      <c r="L7">
        <f>+IF(E7="","",VLOOKUP(E7,CATALOGO!G:I,3,0))</f>
        <v>36</v>
      </c>
      <c r="M7" s="87">
        <f>IF('Consulta1'!I4099="","",'Consulta1'!I4099)</f>
        <v>46288</v>
      </c>
      <c r="N7" s="88" t="str">
        <f>IF('Consulta1'!J4099="","",'Consulta1'!J4099)</f>
        <v>0</v>
      </c>
      <c r="O7" t="str">
        <v>CHIAPAS|A01 001 MARBELLA|20260921|20260923|CEDA|CEDA PISO|CSA04120|CEDA PISO PRODUCTORAS</v>
      </c>
      <c r="P7">
        <v>1</v>
      </c>
      <c r="Q7" t="str">
        <v>CHIAPAS|A01 001 MARBELLA|20260921|20260923|CEDA|CEDA PISO|CSA04120|CEDA PISO PRODUCTORAS|1</v>
      </c>
      <c r="R7" t="str">
        <v>Programa Embarques 2026 S-39.xlsx</v>
      </c>
    </row>
    <row r="8" spans="1:18" ht="18.75" x14ac:dyDescent="0.25">
      <c r="A8" s="82" t="str">
        <f>IF('Consulta1'!A4100="","",'Consulta1'!A4100)</f>
        <v>Chanitos Manitas Granel</v>
      </c>
      <c r="B8" s="82" t="str">
        <f>IF('Consulta1'!B4100="","",'Consulta1'!B4100)</f>
        <v>CMN05123</v>
      </c>
      <c r="C8" s="83" t="str">
        <f>IF('Consulta1'!C4100="","",'Consulta1'!C4100)</f>
        <v>A01001-392109-3</v>
      </c>
      <c r="D8" s="84" t="str">
        <f>IF('Consulta1'!D4100="","",'Consulta1'!D4100)</f>
        <v>A01 001 Marbella</v>
      </c>
      <c r="E8" s="82" t="str">
        <f>IF('Consulta1'!E4100="","",'Consulta1'!E4100)</f>
        <v>CEDA</v>
      </c>
      <c r="F8">
        <f>+IF(E8="","",VLOOKUP(E8,CATALOGO!G:L,6,0))</f>
        <v>0</v>
      </c>
      <c r="G8" s="85">
        <f>IF('Consulta1'!F4100="","",'Consulta1'!F4100)</f>
        <v>29</v>
      </c>
      <c r="H8" s="85" t="str">
        <f>IF('Consulta1'!G4100="","",'Consulta1'!G4100)</f>
        <v>Granel</v>
      </c>
      <c r="I8" s="86">
        <f>IF('Consulta1'!H4100="","",'Consulta1'!H4100)</f>
        <v>46286</v>
      </c>
      <c r="J8">
        <f t="shared" si="0"/>
        <v>39</v>
      </c>
      <c r="K8">
        <f>+IF(E8="","",VLOOKUP(E8,CATALOGO!G:I,2,0))</f>
        <v>1.5</v>
      </c>
      <c r="L8">
        <f>+IF(E8="","",VLOOKUP(E8,CATALOGO!G:I,3,0))</f>
        <v>36</v>
      </c>
      <c r="M8" s="87">
        <f>IF('Consulta1'!I4100="","",'Consulta1'!I4100)</f>
        <v>46288</v>
      </c>
      <c r="N8" s="88" t="str">
        <f>IF('Consulta1'!J4100="","",'Consulta1'!J4100)</f>
        <v>0</v>
      </c>
      <c r="O8" t="str">
        <v>CHIAPAS|A01 001 MARBELLA|20260921|20260923|CEDA|CEDA PISO|CMN05123|CEDA PISO PRODUCTORAS</v>
      </c>
      <c r="P8">
        <v>1</v>
      </c>
      <c r="Q8" t="str">
        <v>CHIAPAS|A01 001 MARBELLA|20260921|20260923|CEDA|CEDA PISO|CMN05123|CEDA PISO PRODUCTORAS|1</v>
      </c>
      <c r="R8" t="str">
        <v>Programa Embarques 2026 S-39.xlsx</v>
      </c>
    </row>
    <row r="9" spans="1:18" ht="18.75" x14ac:dyDescent="0.25">
      <c r="A9" s="82" t="str">
        <f>IF('Consulta1'!A4101="","",'Consulta1'!A4101)</f>
        <v>Chanitos Cha Cha Cha (DS) Granel</v>
      </c>
      <c r="B9" s="82" t="str">
        <f>IF('Consulta1'!B4101="","",'Consulta1'!B4101)</f>
        <v>CDS04122</v>
      </c>
      <c r="C9" s="83" t="str">
        <f>IF('Consulta1'!C4101="","",'Consulta1'!C4101)</f>
        <v>A01001-392109-1</v>
      </c>
      <c r="D9" s="84" t="str">
        <f>IF('Consulta1'!D4101="","",'Consulta1'!D4101)</f>
        <v>A01 001 Marbella</v>
      </c>
      <c r="E9" s="82" t="str">
        <f>IF('Consulta1'!E4101="","",'Consulta1'!E4101)</f>
        <v>CEDA</v>
      </c>
      <c r="F9">
        <f>+IF(E9="","",VLOOKUP(E9,CATALOGO!G:L,6,0))</f>
        <v>0</v>
      </c>
      <c r="G9" s="85">
        <f>IF('Consulta1'!F4101="","",'Consulta1'!F4101)</f>
        <v>70</v>
      </c>
      <c r="H9" s="85" t="str">
        <f>IF('Consulta1'!G4101="","",'Consulta1'!G4101)</f>
        <v>Granel</v>
      </c>
      <c r="I9" s="86">
        <f>IF('Consulta1'!H4101="","",'Consulta1'!H4101)</f>
        <v>46286</v>
      </c>
      <c r="J9">
        <f t="shared" si="0"/>
        <v>39</v>
      </c>
      <c r="K9">
        <f>+IF(E9="","",VLOOKUP(E9,CATALOGO!G:I,2,0))</f>
        <v>1.5</v>
      </c>
      <c r="L9">
        <f>+IF(E9="","",VLOOKUP(E9,CATALOGO!G:I,3,0))</f>
        <v>36</v>
      </c>
      <c r="M9" s="87">
        <f>IF('Consulta1'!I4101="","",'Consulta1'!I4101)</f>
        <v>46288</v>
      </c>
      <c r="N9" s="88" t="str">
        <f>IF('Consulta1'!J4101="","",'Consulta1'!J4101)</f>
        <v>0</v>
      </c>
      <c r="O9" t="str">
        <v>CHIAPAS|A01 001 MARBELLA|20260921|20260923|CEDA|CEDA PISO|CDS04122|CEDA PISO PRODUCTORAS</v>
      </c>
      <c r="P9">
        <v>1</v>
      </c>
      <c r="Q9" t="str">
        <v>CHIAPAS|A01 001 MARBELLA|20260921|20260923|CEDA|CEDA PISO|CDS04122|CEDA PISO PRODUCTORAS|1</v>
      </c>
      <c r="R9" t="str">
        <v>Programa Embarques 2026 S-39.xlsx</v>
      </c>
    </row>
    <row r="10" spans="1:18" ht="18.75" x14ac:dyDescent="0.25">
      <c r="A10" s="82" t="str">
        <f>IF('Consulta1'!A4102="","",'Consulta1'!A4102)</f>
        <v>Chanitos Premium Tarima Chep</v>
      </c>
      <c r="B10" s="82" t="str">
        <f>IF('Consulta1'!B4102="","",'Consulta1'!B4102)</f>
        <v>CPR01102</v>
      </c>
      <c r="C10" s="83" t="str">
        <f>IF('Consulta1'!C4102="","",'Consulta1'!C4102)</f>
        <v>A01002-392109-1</v>
      </c>
      <c r="D10" s="84" t="str">
        <f>IF('Consulta1'!D4102="","",'Consulta1'!D4102)</f>
        <v>A01 002 Fortaleza</v>
      </c>
      <c r="E10" s="82" t="str">
        <f>IF('Consulta1'!E4102="","",'Consulta1'!E4102)</f>
        <v>SMO</v>
      </c>
      <c r="F10">
        <f>+IF(E10="","",VLOOKUP(E10,CATALOGO!G:L,6,0))</f>
        <v>4</v>
      </c>
      <c r="G10" s="85">
        <f>IF('Consulta1'!F4102="","",'Consulta1'!F4102)</f>
        <v>144</v>
      </c>
      <c r="H10" s="85">
        <f>IF('Consulta1'!G4102="","",'Consulta1'!G4102)</f>
        <v>3</v>
      </c>
      <c r="I10" s="86">
        <f>IF('Consulta1'!H4102="","",'Consulta1'!H4102)</f>
        <v>46286</v>
      </c>
      <c r="J10">
        <f t="shared" si="0"/>
        <v>39</v>
      </c>
      <c r="K10">
        <f>+IF(E10="","",VLOOKUP(E10,CATALOGO!G:I,2,0))</f>
        <v>1.5</v>
      </c>
      <c r="L10">
        <f>+IF(E10="","",VLOOKUP(E10,CATALOGO!G:I,3,0))</f>
        <v>36</v>
      </c>
      <c r="M10" s="87">
        <f>IF('Consulta1'!I4102="","",'Consulta1'!I4102)</f>
        <v>46289</v>
      </c>
      <c r="N10" s="88" t="str">
        <f>IF('Consulta1'!J4102="","",'Consulta1'!J4102)</f>
        <v>OV ND para ese SKU vs esa cantidad</v>
      </c>
      <c r="O10" t="str">
        <v>CHIAPAS|A01 002 FORTALEZA|20260921|20260924|SMO|WM|CPR01102|24 CONVENCIONAL</v>
      </c>
      <c r="P10">
        <v>1</v>
      </c>
      <c r="Q10" t="str">
        <v>CHIAPAS|A01 002 FORTALEZA|20260921|20260924|SMO|WM|CPR01102|24 CONVENCIONAL|1</v>
      </c>
      <c r="R10" t="str">
        <v>Programa Embarques 2026 S-39.xlsx</v>
      </c>
    </row>
    <row r="11" spans="1:18" ht="18.75" x14ac:dyDescent="0.25">
      <c r="A11" s="82" t="str">
        <f>IF('Consulta1'!A4103="","",'Consulta1'!A4103)</f>
        <v>Chanitos Premium Tarima Chep</v>
      </c>
      <c r="B11" s="82" t="str">
        <f>IF('Consulta1'!B4103="","",'Consulta1'!B4103)</f>
        <v>CPR01102</v>
      </c>
      <c r="C11" s="83" t="str">
        <f>IF('Consulta1'!C4103="","",'Consulta1'!C4103)</f>
        <v>A01002-392109-1</v>
      </c>
      <c r="D11" s="84" t="str">
        <f>IF('Consulta1'!D4103="","",'Consulta1'!D4103)</f>
        <v>A01 002 Fortaleza</v>
      </c>
      <c r="E11" s="82" t="str">
        <f>IF('Consulta1'!E4103="","",'Consulta1'!E4103)</f>
        <v>SMO</v>
      </c>
      <c r="F11">
        <f>+IF(E11="","",VLOOKUP(E11,CATALOGO!G:L,6,0))</f>
        <v>4</v>
      </c>
      <c r="G11" s="85">
        <f>IF('Consulta1'!F4103="","",'Consulta1'!F4103)</f>
        <v>96</v>
      </c>
      <c r="H11" s="85">
        <f>IF('Consulta1'!G4103="","",'Consulta1'!G4103)</f>
        <v>2</v>
      </c>
      <c r="I11" s="86">
        <f>IF('Consulta1'!H4103="","",'Consulta1'!H4103)</f>
        <v>46286</v>
      </c>
      <c r="J11">
        <f t="shared" si="0"/>
        <v>39</v>
      </c>
      <c r="K11">
        <f>+IF(E11="","",VLOOKUP(E11,CATALOGO!G:I,2,0))</f>
        <v>1.5</v>
      </c>
      <c r="L11">
        <f>+IF(E11="","",VLOOKUP(E11,CATALOGO!G:I,3,0))</f>
        <v>36</v>
      </c>
      <c r="M11" s="87">
        <f>IF('Consulta1'!I4103="","",'Consulta1'!I4103)</f>
        <v>46291</v>
      </c>
      <c r="N11" s="88" t="str">
        <f>IF('Consulta1'!J4103="","",'Consulta1'!J4103)</f>
        <v>44337</v>
      </c>
      <c r="O11" t="str">
        <v>CHIAPAS|A01 002 FORTALEZA|20260921|20260926|SMO|WM|CPR01102|24 CONVENCIONAL</v>
      </c>
      <c r="P11">
        <v>1</v>
      </c>
      <c r="Q11" t="str">
        <v>CHIAPAS|A01 002 FORTALEZA|20260921|20260926|SMO|WM|CPR01102|24 CONVENCIONAL|1</v>
      </c>
      <c r="R11" t="str">
        <v>Programa Embarques 2026 S-39.xlsx</v>
      </c>
    </row>
    <row r="12" spans="1:18" ht="18.75" x14ac:dyDescent="0.25">
      <c r="A12" s="82" t="str">
        <f>IF('Consulta1'!A4104="","",'Consulta1'!A4104)</f>
        <v>Chanitos Organic Banded Market Side Mexico</v>
      </c>
      <c r="B12" s="82" t="str">
        <f>IF('Consulta1'!B4104="","",'Consulta1'!B4104)</f>
        <v>CRG07128</v>
      </c>
      <c r="C12" s="83" t="str">
        <f>IF('Consulta1'!C4104="","",'Consulta1'!C4104)</f>
        <v>A01002-392109-1</v>
      </c>
      <c r="D12" s="84" t="str">
        <f>IF('Consulta1'!D4104="","",'Consulta1'!D4104)</f>
        <v>A01 002 Fortaleza</v>
      </c>
      <c r="E12" s="82" t="str">
        <f>IF('Consulta1'!E4104="","",'Consulta1'!E4104)</f>
        <v>QRO</v>
      </c>
      <c r="F12">
        <f>+IF(E12="","",VLOOKUP(E12,CATALOGO!G:L,6,0))</f>
        <v>3</v>
      </c>
      <c r="G12" s="85">
        <f>IF('Consulta1'!F4104="","",'Consulta1'!F4104)</f>
        <v>48</v>
      </c>
      <c r="H12" s="85">
        <f>IF('Consulta1'!G4104="","",'Consulta1'!G4104)</f>
        <v>1</v>
      </c>
      <c r="I12" s="86">
        <f>IF('Consulta1'!H4104="","",'Consulta1'!H4104)</f>
        <v>46286</v>
      </c>
      <c r="J12">
        <f t="shared" si="0"/>
        <v>39</v>
      </c>
      <c r="K12">
        <f>+IF(E12="","",VLOOKUP(E12,CATALOGO!G:I,2,0))</f>
        <v>1.5</v>
      </c>
      <c r="L12">
        <f>+IF(E12="","",VLOOKUP(E12,CATALOGO!G:I,3,0))</f>
        <v>36</v>
      </c>
      <c r="M12" s="87">
        <f>IF('Consulta1'!I4104="","",'Consulta1'!I4104)</f>
        <v>46290</v>
      </c>
      <c r="N12" s="88" t="str">
        <f>IF('Consulta1'!J4104="","",'Consulta1'!J4104)</f>
        <v>44907</v>
      </c>
      <c r="O12" t="str">
        <v>CHIAPAS|A01 002 FORTALEZA|20260921|20260925|QRO|WM|CRG07128|23 CONVENCIONAL Y 1 ORG</v>
      </c>
      <c r="P12">
        <v>1</v>
      </c>
      <c r="Q12" t="str">
        <v>CHIAPAS|A01 002 FORTALEZA|20260921|20260925|QRO|WM|CRG07128|23 CONVENCIONAL Y 1 ORG|1</v>
      </c>
      <c r="R12" t="str">
        <v>Programa Embarques 2026 S-39.xlsx</v>
      </c>
    </row>
    <row r="13" spans="1:18" ht="18.75" x14ac:dyDescent="0.25">
      <c r="A13" s="82" t="str">
        <f>IF('Consulta1'!A4105="","",'Consulta1'!A4105)</f>
        <v>Chanitos Organic Banded Market Side Mexico</v>
      </c>
      <c r="B13" s="82" t="str">
        <f>IF('Consulta1'!B4105="","",'Consulta1'!B4105)</f>
        <v>CRG07128</v>
      </c>
      <c r="C13" s="83" t="str">
        <f>IF('Consulta1'!C4105="","",'Consulta1'!C4105)</f>
        <v>A01002-392109-1</v>
      </c>
      <c r="D13" s="84" t="str">
        <f>IF('Consulta1'!D4105="","",'Consulta1'!D4105)</f>
        <v>A01 002 Fortaleza</v>
      </c>
      <c r="E13" s="82" t="str">
        <f>IF('Consulta1'!E4105="","",'Consulta1'!E4105)</f>
        <v>MTY</v>
      </c>
      <c r="F13">
        <f>+IF(E13="","",VLOOKUP(E13,CATALOGO!G:L,6,0))</f>
        <v>2</v>
      </c>
      <c r="G13" s="85">
        <f>IF('Consulta1'!F4105="","",'Consulta1'!F4105)</f>
        <v>48</v>
      </c>
      <c r="H13" s="85">
        <f>IF('Consulta1'!G4105="","",'Consulta1'!G4105)</f>
        <v>1</v>
      </c>
      <c r="I13" s="86">
        <f>IF('Consulta1'!H4105="","",'Consulta1'!H4105)</f>
        <v>46286</v>
      </c>
      <c r="J13">
        <f t="shared" si="0"/>
        <v>39</v>
      </c>
      <c r="K13">
        <f>+IF(E13="","",VLOOKUP(E13,CATALOGO!G:I,2,0))</f>
        <v>2.5</v>
      </c>
      <c r="L13">
        <f>+IF(E13="","",VLOOKUP(E13,CATALOGO!G:I,3,0))</f>
        <v>60</v>
      </c>
      <c r="M13" s="87">
        <f>IF('Consulta1'!I4105="","",'Consulta1'!I4105)</f>
        <v>46290</v>
      </c>
      <c r="N13" s="88" t="str">
        <f>IF('Consulta1'!J4105="","",'Consulta1'!J4105)</f>
        <v>45214</v>
      </c>
      <c r="O13" t="str">
        <v>CHIAPAS|A01 002 FORTALEZA|20260921|20260925|MTY|WM|CRG07128|23 CONVENCIONAL CON 5 CAJAS BAE Y 1 ORG</v>
      </c>
      <c r="P13">
        <v>1</v>
      </c>
      <c r="Q13" t="str">
        <v>CHIAPAS|A01 002 FORTALEZA|20260921|20260925|MTY|WM|CRG07128|23 CONVENCIONAL CON 5 CAJAS BAE Y 1 ORG|1</v>
      </c>
      <c r="R13" t="str">
        <v>Programa Embarques 2026 S-39.xlsx</v>
      </c>
    </row>
    <row r="14" spans="1:18" ht="18.75" x14ac:dyDescent="0.25">
      <c r="A14" s="82" t="str">
        <f>IF('Consulta1'!A4106="","",'Consulta1'!A4106)</f>
        <v>Platano de Chiapas BAE UPC 3237</v>
      </c>
      <c r="B14" s="82" t="str">
        <f>IF('Consulta1'!B4106="","",'Consulta1'!B4106)</f>
        <v>CPR01114</v>
      </c>
      <c r="C14" s="83" t="str">
        <f>IF('Consulta1'!C4106="","",'Consulta1'!C4106)</f>
        <v>A01002-392109-1</v>
      </c>
      <c r="D14" s="84" t="str">
        <f>IF('Consulta1'!D4106="","",'Consulta1'!D4106)</f>
        <v>A01 002 Fortaleza</v>
      </c>
      <c r="E14" s="82" t="str">
        <f>IF('Consulta1'!E4106="","",'Consulta1'!E4106)</f>
        <v>MTY</v>
      </c>
      <c r="F14">
        <f>+IF(E14="","",VLOOKUP(E14,CATALOGO!G:L,6,0))</f>
        <v>2</v>
      </c>
      <c r="G14" s="85">
        <f>IF('Consulta1'!F4106="","",'Consulta1'!F4106)</f>
        <v>5</v>
      </c>
      <c r="H14" s="85">
        <f>IF('Consulta1'!G4106="","",'Consulta1'!G4106)</f>
        <v>0.10416666666666669</v>
      </c>
      <c r="I14" s="86">
        <f>IF('Consulta1'!H4106="","",'Consulta1'!H4106)</f>
        <v>46286</v>
      </c>
      <c r="J14">
        <f t="shared" si="0"/>
        <v>39</v>
      </c>
      <c r="K14">
        <f>+IF(E14="","",VLOOKUP(E14,CATALOGO!G:I,2,0))</f>
        <v>2.5</v>
      </c>
      <c r="L14">
        <f>+IF(E14="","",VLOOKUP(E14,CATALOGO!G:I,3,0))</f>
        <v>60</v>
      </c>
      <c r="M14" s="87">
        <f>IF('Consulta1'!I4106="","",'Consulta1'!I4106)</f>
        <v>46290</v>
      </c>
      <c r="N14" s="88" t="str">
        <f>IF('Consulta1'!J4106="","",'Consulta1'!J4106)</f>
        <v>45213</v>
      </c>
      <c r="O14" t="str">
        <v>CHIAPAS|A01 002 FORTALEZA|20260921|20260925|MTY|WM|CPR01114|23 CONVENCIONAL CON 5 CAJAS BAE Y 1 ORG</v>
      </c>
      <c r="P14">
        <v>1</v>
      </c>
      <c r="Q14" t="str">
        <v>CHIAPAS|A01 002 FORTALEZA|20260921|20260925|MTY|WM|CPR01114|23 CONVENCIONAL CON 5 CAJAS BAE Y 1 ORG|1</v>
      </c>
      <c r="R14" t="str">
        <v>Programa Embarques 2026 S-39.xlsx</v>
      </c>
    </row>
    <row r="15" spans="1:18" ht="18.75" x14ac:dyDescent="0.25">
      <c r="A15" s="82" t="str">
        <f>IF('Consulta1'!A4107="","",'Consulta1'!A4107)</f>
        <v>Chanitos Premium Tarima Chep</v>
      </c>
      <c r="B15" s="82" t="str">
        <f>IF('Consulta1'!B4107="","",'Consulta1'!B4107)</f>
        <v>CPR01102</v>
      </c>
      <c r="C15" s="83" t="str">
        <f>IF('Consulta1'!C4107="","",'Consulta1'!C4107)</f>
        <v>A01002-392109-1</v>
      </c>
      <c r="D15" s="84" t="str">
        <f>IF('Consulta1'!D4107="","",'Consulta1'!D4107)</f>
        <v>A01 002 Fortaleza</v>
      </c>
      <c r="E15" s="82" t="str">
        <f>IF('Consulta1'!E4107="","",'Consulta1'!E4107)</f>
        <v>MTY</v>
      </c>
      <c r="F15">
        <f>+IF(E15="","",VLOOKUP(E15,CATALOGO!G:L,6,0))</f>
        <v>2</v>
      </c>
      <c r="G15" s="85">
        <f>IF('Consulta1'!F4107="","",'Consulta1'!F4107)</f>
        <v>859</v>
      </c>
      <c r="H15" s="85">
        <f>IF('Consulta1'!G4107="","",'Consulta1'!G4107)</f>
        <v>17.895833333333332</v>
      </c>
      <c r="I15" s="86">
        <f>IF('Consulta1'!H4107="","",'Consulta1'!H4107)</f>
        <v>46286</v>
      </c>
      <c r="J15">
        <f t="shared" si="0"/>
        <v>39</v>
      </c>
      <c r="K15">
        <f>+IF(E15="","",VLOOKUP(E15,CATALOGO!G:I,2,0))</f>
        <v>2.5</v>
      </c>
      <c r="L15">
        <f>+IF(E15="","",VLOOKUP(E15,CATALOGO!G:I,3,0))</f>
        <v>60</v>
      </c>
      <c r="M15" s="87">
        <f>IF('Consulta1'!I4107="","",'Consulta1'!I4107)</f>
        <v>46290</v>
      </c>
      <c r="N15" s="88" t="str">
        <f>IF('Consulta1'!J4107="","",'Consulta1'!J4107)</f>
        <v>45213</v>
      </c>
      <c r="O15" t="str">
        <v>CHIAPAS|A01 002 FORTALEZA|20260921|20260925|MTY|WM|CPR01102|23 CONVENCIONAL CON 5 CAJAS BAE Y 1 ORG</v>
      </c>
      <c r="P15">
        <v>1</v>
      </c>
      <c r="Q15" t="str">
        <v>CHIAPAS|A01 002 FORTALEZA|20260921|20260925|MTY|WM|CPR01102|23 CONVENCIONAL CON 5 CAJAS BAE Y 1 ORG|1</v>
      </c>
      <c r="R15" t="str">
        <v>Programa Embarques 2026 S-39.xlsx</v>
      </c>
    </row>
    <row r="16" spans="1:18" ht="18.75" x14ac:dyDescent="0.25">
      <c r="A16" s="82" t="str">
        <f>IF('Consulta1'!A4108="","",'Consulta1'!A4108)</f>
        <v>Chanitos Premium Tarima Chep</v>
      </c>
      <c r="B16" s="82" t="str">
        <f>IF('Consulta1'!B4108="","",'Consulta1'!B4108)</f>
        <v>CPR01102</v>
      </c>
      <c r="C16" s="83" t="str">
        <f>IF('Consulta1'!C4108="","",'Consulta1'!C4108)</f>
        <v>A01002-392109-1</v>
      </c>
      <c r="D16" s="84" t="str">
        <f>IF('Consulta1'!D4108="","",'Consulta1'!D4108)</f>
        <v>A01 002 Fortaleza</v>
      </c>
      <c r="E16" s="82" t="str">
        <f>IF('Consulta1'!E4108="","",'Consulta1'!E4108)</f>
        <v>CEDA</v>
      </c>
      <c r="F16">
        <f>+IF(E16="","",VLOOKUP(E16,CATALOGO!G:L,6,0))</f>
        <v>0</v>
      </c>
      <c r="G16" s="85">
        <f>IF('Consulta1'!F4108="","",'Consulta1'!F4108)</f>
        <v>192</v>
      </c>
      <c r="H16" s="85">
        <f>IF('Consulta1'!G4108="","",'Consulta1'!G4108)</f>
        <v>4</v>
      </c>
      <c r="I16" s="86">
        <f>IF('Consulta1'!H4108="","",'Consulta1'!H4108)</f>
        <v>46286</v>
      </c>
      <c r="J16">
        <f t="shared" si="0"/>
        <v>39</v>
      </c>
      <c r="K16">
        <f>+IF(E16="","",VLOOKUP(E16,CATALOGO!G:I,2,0))</f>
        <v>1.5</v>
      </c>
      <c r="L16">
        <f>+IF(E16="","",VLOOKUP(E16,CATALOGO!G:I,3,0))</f>
        <v>36</v>
      </c>
      <c r="M16" s="87">
        <f>IF('Consulta1'!I4108="","",'Consulta1'!I4108)</f>
        <v>46288</v>
      </c>
      <c r="N16" s="88" t="str">
        <f>IF('Consulta1'!J4108="","",'Consulta1'!J4108)</f>
        <v>0</v>
      </c>
      <c r="O16" t="str">
        <v>CHIAPAS|A01 002 FORTALEZA|20260921|20260923|CEDA|CEDA AUTOSERVICIO|CPR01102|CEDA</v>
      </c>
      <c r="P16">
        <v>1</v>
      </c>
      <c r="Q16" t="str">
        <v>CHIAPAS|A01 002 FORTALEZA|20260921|20260923|CEDA|CEDA AUTOSERVICIO|CPR01102|CEDA|1</v>
      </c>
      <c r="R16" t="str">
        <v>Programa Embarques 2026 S-39.xlsx</v>
      </c>
    </row>
    <row r="17" spans="1:18" ht="18.75" x14ac:dyDescent="0.25">
      <c r="A17" s="82" t="str">
        <f>IF('Consulta1'!A4109="","",'Consulta1'!A4109)</f>
        <v>Chanitos Premium Granel</v>
      </c>
      <c r="B17" s="82" t="str">
        <f>IF('Consulta1'!B4109="","",'Consulta1'!B4109)</f>
        <v>CPR01101</v>
      </c>
      <c r="C17" s="83" t="str">
        <f>IF('Consulta1'!C4109="","",'Consulta1'!C4109)</f>
        <v>A01002-392109-1</v>
      </c>
      <c r="D17" s="84" t="str">
        <f>IF('Consulta1'!D4109="","",'Consulta1'!D4109)</f>
        <v>A01 002 Fortaleza</v>
      </c>
      <c r="E17" s="82" t="str">
        <f>IF('Consulta1'!E4109="","",'Consulta1'!E4109)</f>
        <v>CEDA</v>
      </c>
      <c r="F17">
        <f>+IF(E17="","",VLOOKUP(E17,CATALOGO!G:L,6,0))</f>
        <v>0</v>
      </c>
      <c r="G17" s="85">
        <f>IF('Consulta1'!F4109="","",'Consulta1'!F4109)</f>
        <v>8</v>
      </c>
      <c r="H17" s="85" t="str">
        <f>IF('Consulta1'!G4109="","",'Consulta1'!G4109)</f>
        <v>Granel</v>
      </c>
      <c r="I17" s="86">
        <f>IF('Consulta1'!H4109="","",'Consulta1'!H4109)</f>
        <v>46286</v>
      </c>
      <c r="J17">
        <f t="shared" si="0"/>
        <v>39</v>
      </c>
      <c r="K17">
        <f>+IF(E17="","",VLOOKUP(E17,CATALOGO!G:I,2,0))</f>
        <v>1.5</v>
      </c>
      <c r="L17">
        <f>+IF(E17="","",VLOOKUP(E17,CATALOGO!G:I,3,0))</f>
        <v>36</v>
      </c>
      <c r="M17" s="87">
        <f>IF('Consulta1'!I4109="","",'Consulta1'!I4109)</f>
        <v>46288</v>
      </c>
      <c r="N17" s="88" t="str">
        <f>IF('Consulta1'!J4109="","",'Consulta1'!J4109)</f>
        <v>0</v>
      </c>
      <c r="O17" t="str">
        <v>CHIAPAS|A01 002 FORTALEZA|20260921|20260923|CEDA|CEDA PISO|CPR01101|CEDA PISO PRODUCTORAS</v>
      </c>
      <c r="P17">
        <v>1</v>
      </c>
      <c r="Q17" t="str">
        <v>CHIAPAS|A01 002 FORTALEZA|20260921|20260923|CEDA|CEDA PISO|CPR01101|CEDA PISO PRODUCTORAS|1</v>
      </c>
      <c r="R17" t="str">
        <v>Programa Embarques 2026 S-39.xlsx</v>
      </c>
    </row>
    <row r="18" spans="1:18" ht="18.75" x14ac:dyDescent="0.25">
      <c r="A18" s="82" t="str">
        <f>IF('Consulta1'!A4110="","",'Consulta1'!A4110)</f>
        <v>Chanitos Cha Cha Cha (2da) Granel</v>
      </c>
      <c r="B18" s="82" t="str">
        <f>IF('Consulta1'!B4110="","",'Consulta1'!B4110)</f>
        <v>CSA04120</v>
      </c>
      <c r="C18" s="83" t="str">
        <f>IF('Consulta1'!C4110="","",'Consulta1'!C4110)</f>
        <v>A01002-392109-4</v>
      </c>
      <c r="D18" s="84" t="str">
        <f>IF('Consulta1'!D4110="","",'Consulta1'!D4110)</f>
        <v>A01 002 Fortaleza</v>
      </c>
      <c r="E18" s="82" t="str">
        <f>IF('Consulta1'!E4110="","",'Consulta1'!E4110)</f>
        <v>CEDA</v>
      </c>
      <c r="F18">
        <f>+IF(E18="","",VLOOKUP(E18,CATALOGO!G:L,6,0))</f>
        <v>0</v>
      </c>
      <c r="G18" s="85">
        <f>IF('Consulta1'!F4110="","",'Consulta1'!F4110)</f>
        <v>43</v>
      </c>
      <c r="H18" s="85" t="str">
        <f>IF('Consulta1'!G4110="","",'Consulta1'!G4110)</f>
        <v>Granel</v>
      </c>
      <c r="I18" s="86">
        <f>IF('Consulta1'!H4110="","",'Consulta1'!H4110)</f>
        <v>46286</v>
      </c>
      <c r="J18">
        <f t="shared" si="0"/>
        <v>39</v>
      </c>
      <c r="K18">
        <f>+IF(E18="","",VLOOKUP(E18,CATALOGO!G:I,2,0))</f>
        <v>1.5</v>
      </c>
      <c r="L18">
        <f>+IF(E18="","",VLOOKUP(E18,CATALOGO!G:I,3,0))</f>
        <v>36</v>
      </c>
      <c r="M18" s="87">
        <f>IF('Consulta1'!I4110="","",'Consulta1'!I4110)</f>
        <v>46288</v>
      </c>
      <c r="N18" s="88" t="str">
        <f>IF('Consulta1'!J4110="","",'Consulta1'!J4110)</f>
        <v>0</v>
      </c>
      <c r="O18" t="str">
        <v>CHIAPAS|A01 002 FORTALEZA|20260921|20260923|CEDA|CEDA PISO|CSA04120|CEDA PISO PRODUCTORAS</v>
      </c>
      <c r="P18">
        <v>1</v>
      </c>
      <c r="Q18" t="str">
        <v>CHIAPAS|A01 002 FORTALEZA|20260921|20260923|CEDA|CEDA PISO|CSA04120|CEDA PISO PRODUCTORAS|1</v>
      </c>
      <c r="R18" t="str">
        <v>Programa Embarques 2026 S-39.xlsx</v>
      </c>
    </row>
    <row r="19" spans="1:18" ht="18.75" x14ac:dyDescent="0.25">
      <c r="A19" s="82" t="str">
        <f>IF('Consulta1'!A4111="","",'Consulta1'!A4111)</f>
        <v>Chanitos Manitas Granel</v>
      </c>
      <c r="B19" s="82" t="str">
        <f>IF('Consulta1'!B4111="","",'Consulta1'!B4111)</f>
        <v>CMN05123</v>
      </c>
      <c r="C19" s="83" t="str">
        <f>IF('Consulta1'!C4111="","",'Consulta1'!C4111)</f>
        <v>A01002-392109-3</v>
      </c>
      <c r="D19" s="84" t="str">
        <f>IF('Consulta1'!D4111="","",'Consulta1'!D4111)</f>
        <v>A01 002 Fortaleza</v>
      </c>
      <c r="E19" s="82" t="str">
        <f>IF('Consulta1'!E4111="","",'Consulta1'!E4111)</f>
        <v>CEDA</v>
      </c>
      <c r="F19">
        <f>+IF(E19="","",VLOOKUP(E19,CATALOGO!G:L,6,0))</f>
        <v>0</v>
      </c>
      <c r="G19" s="85">
        <f>IF('Consulta1'!F4111="","",'Consulta1'!F4111)</f>
        <v>10</v>
      </c>
      <c r="H19" s="85" t="str">
        <f>IF('Consulta1'!G4111="","",'Consulta1'!G4111)</f>
        <v>Granel</v>
      </c>
      <c r="I19" s="86">
        <f>IF('Consulta1'!H4111="","",'Consulta1'!H4111)</f>
        <v>46286</v>
      </c>
      <c r="J19">
        <f t="shared" si="0"/>
        <v>39</v>
      </c>
      <c r="K19">
        <f>+IF(E19="","",VLOOKUP(E19,CATALOGO!G:I,2,0))</f>
        <v>1.5</v>
      </c>
      <c r="L19">
        <f>+IF(E19="","",VLOOKUP(E19,CATALOGO!G:I,3,0))</f>
        <v>36</v>
      </c>
      <c r="M19" s="87">
        <f>IF('Consulta1'!I4111="","",'Consulta1'!I4111)</f>
        <v>46288</v>
      </c>
      <c r="N19" s="88" t="str">
        <f>IF('Consulta1'!J4111="","",'Consulta1'!J4111)</f>
        <v>0</v>
      </c>
      <c r="O19" t="str">
        <v>CHIAPAS|A01 002 FORTALEZA|20260921|20260923|CEDA|CEDA PISO|CMN05123|CEDA PISO PRODUCTORAS</v>
      </c>
      <c r="P19">
        <v>1</v>
      </c>
      <c r="Q19" t="str">
        <v>CHIAPAS|A01 002 FORTALEZA|20260921|20260923|CEDA|CEDA PISO|CMN05123|CEDA PISO PRODUCTORAS|1</v>
      </c>
      <c r="R19" t="str">
        <v>Programa Embarques 2026 S-39.xlsx</v>
      </c>
    </row>
    <row r="20" spans="1:18" ht="18.75" x14ac:dyDescent="0.25">
      <c r="A20" s="82" t="str">
        <f>IF('Consulta1'!A4112="","",'Consulta1'!A4112)</f>
        <v>Chanitos Manitas Granel</v>
      </c>
      <c r="B20" s="82" t="str">
        <f>IF('Consulta1'!B4112="","",'Consulta1'!B4112)</f>
        <v>CMN05123</v>
      </c>
      <c r="C20" s="83" t="str">
        <f>IF('Consulta1'!C4112="","",'Consulta1'!C4112)</f>
        <v>A01002-392109-3</v>
      </c>
      <c r="D20" s="84" t="str">
        <f>IF('Consulta1'!D4112="","",'Consulta1'!D4112)</f>
        <v>A01 002 Fortaleza</v>
      </c>
      <c r="E20" s="82" t="str">
        <f>IF('Consulta1'!E4112="","",'Consulta1'!E4112)</f>
        <v>CEDA</v>
      </c>
      <c r="F20">
        <f>+IF(E20="","",VLOOKUP(E20,CATALOGO!G:L,6,0))</f>
        <v>0</v>
      </c>
      <c r="G20" s="85">
        <f>IF('Consulta1'!F4112="","",'Consulta1'!F4112)</f>
        <v>25</v>
      </c>
      <c r="H20" s="85" t="str">
        <f>IF('Consulta1'!G4112="","",'Consulta1'!G4112)</f>
        <v>Granel</v>
      </c>
      <c r="I20" s="86">
        <f>IF('Consulta1'!H4112="","",'Consulta1'!H4112)</f>
        <v>46286</v>
      </c>
      <c r="J20">
        <f t="shared" si="0"/>
        <v>39</v>
      </c>
      <c r="K20">
        <f>+IF(E20="","",VLOOKUP(E20,CATALOGO!G:I,2,0))</f>
        <v>1.5</v>
      </c>
      <c r="L20">
        <f>+IF(E20="","",VLOOKUP(E20,CATALOGO!G:I,3,0))</f>
        <v>36</v>
      </c>
      <c r="M20" s="87">
        <f>IF('Consulta1'!I4112="","",'Consulta1'!I4112)</f>
        <v>46288</v>
      </c>
      <c r="N20" s="88" t="str">
        <f>IF('Consulta1'!J4112="","",'Consulta1'!J4112)</f>
        <v>0</v>
      </c>
      <c r="O20" t="str">
        <v>CHIAPAS|A01 002 FORTALEZA|20260921|20260923|CEDA|CEDA PISO|CMN05123|CEDA PISO PRODUCTORAS</v>
      </c>
      <c r="P20">
        <v>2</v>
      </c>
      <c r="Q20" t="str">
        <v>CHIAPAS|A01 002 FORTALEZA|20260921|20260923|CEDA|CEDA PISO|CMN05123|CEDA PISO PRODUCTORAS|2</v>
      </c>
      <c r="R20" t="str">
        <v>Programa Embarques 2026 S-39.xlsx</v>
      </c>
    </row>
    <row r="21" spans="1:18" ht="18.75" x14ac:dyDescent="0.25">
      <c r="A21" s="82" t="str">
        <f>IF('Consulta1'!A4113="","",'Consulta1'!A4113)</f>
        <v>Chanitos Cha Cha Cha (DS) Granel</v>
      </c>
      <c r="B21" s="82" t="str">
        <f>IF('Consulta1'!B4113="","",'Consulta1'!B4113)</f>
        <v>CDS04122</v>
      </c>
      <c r="C21" s="83" t="str">
        <f>IF('Consulta1'!C4113="","",'Consulta1'!C4113)</f>
        <v>A01002-392109-5</v>
      </c>
      <c r="D21" s="84" t="str">
        <f>IF('Consulta1'!D4113="","",'Consulta1'!D4113)</f>
        <v>A01 002 Fortaleza</v>
      </c>
      <c r="E21" s="82" t="str">
        <f>IF('Consulta1'!E4113="","",'Consulta1'!E4113)</f>
        <v>CEDA</v>
      </c>
      <c r="F21">
        <f>+IF(E21="","",VLOOKUP(E21,CATALOGO!G:L,6,0))</f>
        <v>0</v>
      </c>
      <c r="G21" s="85">
        <f>IF('Consulta1'!F4113="","",'Consulta1'!F4113)</f>
        <v>24</v>
      </c>
      <c r="H21" s="85" t="str">
        <f>IF('Consulta1'!G4113="","",'Consulta1'!G4113)</f>
        <v>Granel</v>
      </c>
      <c r="I21" s="86">
        <f>IF('Consulta1'!H4113="","",'Consulta1'!H4113)</f>
        <v>46286</v>
      </c>
      <c r="J21">
        <f t="shared" si="0"/>
        <v>39</v>
      </c>
      <c r="K21">
        <f>+IF(E21="","",VLOOKUP(E21,CATALOGO!G:I,2,0))</f>
        <v>1.5</v>
      </c>
      <c r="L21">
        <f>+IF(E21="","",VLOOKUP(E21,CATALOGO!G:I,3,0))</f>
        <v>36</v>
      </c>
      <c r="M21" s="87">
        <f>IF('Consulta1'!I4113="","",'Consulta1'!I4113)</f>
        <v>46288</v>
      </c>
      <c r="N21" s="88" t="str">
        <f>IF('Consulta1'!J4113="","",'Consulta1'!J4113)</f>
        <v>0</v>
      </c>
      <c r="O21" t="str">
        <v>CHIAPAS|A01 002 FORTALEZA|20260921|20260923|CEDA|CEDA PISO|CDS04122|CEDA PISO PRODUCTORAS</v>
      </c>
      <c r="P21">
        <v>1</v>
      </c>
      <c r="Q21" t="str">
        <v>CHIAPAS|A01 002 FORTALEZA|20260921|20260923|CEDA|CEDA PISO|CDS04122|CEDA PISO PRODUCTORAS|1</v>
      </c>
      <c r="R21" t="str">
        <v>Programa Embarques 2026 S-39.xlsx</v>
      </c>
    </row>
    <row r="22" spans="1:18" ht="18.75" x14ac:dyDescent="0.25">
      <c r="A22" s="82" t="str">
        <f>IF('Consulta1'!A4114="","",'Consulta1'!A4114)</f>
        <v>Chanitos Premium Tarima Americana</v>
      </c>
      <c r="B22" s="82" t="str">
        <f>IF('Consulta1'!B4114="","",'Consulta1'!B4114)</f>
        <v>CPR01103</v>
      </c>
      <c r="C22" s="83" t="str">
        <f>IF('Consulta1'!C4114="","",'Consulta1'!C4114)</f>
        <v>A01004-392109-1</v>
      </c>
      <c r="D22" s="84" t="str">
        <f>IF('Consulta1'!D4114="","",'Consulta1'!D4114)</f>
        <v>A01 004 La Ceiba</v>
      </c>
      <c r="E22" s="82" t="str">
        <f>IF('Consulta1'!E4114="","",'Consulta1'!E4114)</f>
        <v>S-MTY</v>
      </c>
      <c r="F22">
        <f>+IF(E22="","",VLOOKUP(E22,CATALOGO!G:L,6,0))</f>
        <v>1</v>
      </c>
      <c r="G22" s="85">
        <f>IF('Consulta1'!F4114="","",'Consulta1'!F4114)</f>
        <v>480</v>
      </c>
      <c r="H22" s="85">
        <f>IF('Consulta1'!G4114="","",'Consulta1'!G4114)</f>
        <v>10</v>
      </c>
      <c r="I22" s="86">
        <f>IF('Consulta1'!H4114="","",'Consulta1'!H4114)</f>
        <v>46286</v>
      </c>
      <c r="J22">
        <f t="shared" si="0"/>
        <v>39</v>
      </c>
      <c r="K22">
        <f>+IF(E22="","",VLOOKUP(E22,CATALOGO!G:I,2,0))</f>
        <v>3</v>
      </c>
      <c r="L22">
        <f>+IF(E22="","",VLOOKUP(E22,CATALOGO!G:I,3,0))</f>
        <v>72</v>
      </c>
      <c r="M22" s="87">
        <f>IF('Consulta1'!I4114="","",'Consulta1'!I4114)</f>
        <v>46290</v>
      </c>
      <c r="N22" s="88" t="str">
        <f>IF('Consulta1'!J4114="","",'Consulta1'!J4114)</f>
        <v>43805</v>
      </c>
      <c r="O22" t="str">
        <v>CHIAPAS|A01 004 LA CEIBA|20260921|20260925|S-MTY|SMART|CPR01103|20 CONVENCIONAL SM3</v>
      </c>
      <c r="P22">
        <v>1</v>
      </c>
      <c r="Q22" t="str">
        <v>CHIAPAS|A01 004 LA CEIBA|20260921|20260925|S-MTY|SMART|CPR01103|20 CONVENCIONAL SM3|1</v>
      </c>
      <c r="R22" t="str">
        <v>Programa Embarques 2026 S-39.xlsx</v>
      </c>
    </row>
    <row r="23" spans="1:18" ht="18.75" x14ac:dyDescent="0.25">
      <c r="A23" s="82" t="str">
        <f>IF('Consulta1'!A4115="","",'Consulta1'!A4115)</f>
        <v>Chanitos Premium Tarima Chep</v>
      </c>
      <c r="B23" s="82" t="str">
        <f>IF('Consulta1'!B4115="","",'Consulta1'!B4115)</f>
        <v>CPR01102</v>
      </c>
      <c r="C23" s="83" t="str">
        <f>IF('Consulta1'!C4115="","",'Consulta1'!C4115)</f>
        <v>A01004-392109-1</v>
      </c>
      <c r="D23" s="84" t="str">
        <f>IF('Consulta1'!D4115="","",'Consulta1'!D4115)</f>
        <v>A01 004 La Ceiba</v>
      </c>
      <c r="E23" s="82" t="str">
        <f>IF('Consulta1'!E4115="","",'Consulta1'!E4115)</f>
        <v>MTY</v>
      </c>
      <c r="F23">
        <f>+IF(E23="","",VLOOKUP(E23,CATALOGO!G:L,6,0))</f>
        <v>2</v>
      </c>
      <c r="G23" s="85">
        <f>IF('Consulta1'!F4115="","",'Consulta1'!F4115)</f>
        <v>240</v>
      </c>
      <c r="H23" s="85">
        <f>IF('Consulta1'!G4115="","",'Consulta1'!G4115)</f>
        <v>5</v>
      </c>
      <c r="I23" s="86">
        <f>IF('Consulta1'!H4115="","",'Consulta1'!H4115)</f>
        <v>46286</v>
      </c>
      <c r="J23">
        <f t="shared" si="0"/>
        <v>39</v>
      </c>
      <c r="K23">
        <f>+IF(E23="","",VLOOKUP(E23,CATALOGO!G:I,2,0))</f>
        <v>2.5</v>
      </c>
      <c r="L23">
        <f>+IF(E23="","",VLOOKUP(E23,CATALOGO!G:I,3,0))</f>
        <v>60</v>
      </c>
      <c r="M23" s="87">
        <f>IF('Consulta1'!I4115="","",'Consulta1'!I4115)</f>
        <v>46290</v>
      </c>
      <c r="N23" s="88" t="str">
        <f>IF('Consulta1'!J4115="","",'Consulta1'!J4115)</f>
        <v>45213</v>
      </c>
      <c r="O23" t="str">
        <v>CHIAPAS|A01 004 LA CEIBA|20260921|20260925|MTY|WM|CPR01102|23 CONVENCIONAL CON 5 CAJAS BAE Y 1 ORG</v>
      </c>
      <c r="P23">
        <v>1</v>
      </c>
      <c r="Q23" t="str">
        <v>CHIAPAS|A01 004 LA CEIBA|20260921|20260925|MTY|WM|CPR01102|23 CONVENCIONAL CON 5 CAJAS BAE Y 1 ORG|1</v>
      </c>
      <c r="R23" t="str">
        <v>Programa Embarques 2026 S-39.xlsx</v>
      </c>
    </row>
    <row r="24" spans="1:18" ht="18.75" x14ac:dyDescent="0.25">
      <c r="A24" s="82" t="str">
        <f>IF('Consulta1'!A4116="","",'Consulta1'!A4116)</f>
        <v>Chanitos Premium EUA Tarima Americana</v>
      </c>
      <c r="B24" s="82" t="str">
        <f>IF('Consulta1'!B4116="","",'Consulta1'!B4116)</f>
        <v>CPR01104</v>
      </c>
      <c r="C24" s="83" t="str">
        <f>IF('Consulta1'!C4116="","",'Consulta1'!C4116)</f>
        <v>A01004-392109-1</v>
      </c>
      <c r="D24" s="84" t="str">
        <f>IF('Consulta1'!D4116="","",'Consulta1'!D4116)</f>
        <v>A01 004 La Ceiba</v>
      </c>
      <c r="E24" s="82" t="str">
        <f>IF('Consulta1'!E4116="","",'Consulta1'!E4116)</f>
        <v>McAllen</v>
      </c>
      <c r="F24">
        <f>+IF(E24="","",VLOOKUP(E24,CATALOGO!G:L,6,0))</f>
        <v>8</v>
      </c>
      <c r="G24" s="85">
        <f>IF('Consulta1'!F4116="","",'Consulta1'!F4116)</f>
        <v>480</v>
      </c>
      <c r="H24" s="85">
        <f>IF('Consulta1'!G4116="","",'Consulta1'!G4116)</f>
        <v>10</v>
      </c>
      <c r="I24" s="86">
        <f>IF('Consulta1'!H4116="","",'Consulta1'!H4116)</f>
        <v>46286</v>
      </c>
      <c r="J24">
        <f t="shared" si="0"/>
        <v>39</v>
      </c>
      <c r="K24">
        <f>+IF(E24="","",VLOOKUP(E24,CATALOGO!G:I,2,0))</f>
        <v>3</v>
      </c>
      <c r="L24">
        <f>+IF(E24="","",VLOOKUP(E24,CATALOGO!G:I,3,0))</f>
        <v>72</v>
      </c>
      <c r="M24" s="87">
        <f>IF('Consulta1'!I4116="","",'Consulta1'!I4116)</f>
        <v>46290</v>
      </c>
      <c r="N24" s="88" t="str">
        <f>IF('Consulta1'!J4116="","",'Consulta1'!J4116)</f>
        <v>44552</v>
      </c>
      <c r="O24" t="str">
        <v>CHIAPAS|A01 004 LA CEIBA|20260921|20260925|MCALLEN|CHANITOS INT|CPR01104|20 CONVENCIONAL F1-2</v>
      </c>
      <c r="P24">
        <v>1</v>
      </c>
      <c r="Q24" t="str">
        <v>CHIAPAS|A01 004 LA CEIBA|20260921|20260925|MCALLEN|CHANITOS INT|CPR01104|20 CONVENCIONAL F1-2|1</v>
      </c>
      <c r="R24" t="str">
        <v>Programa Embarques 2026 S-39.xlsx</v>
      </c>
    </row>
    <row r="25" spans="1:18" ht="18.75" x14ac:dyDescent="0.25">
      <c r="A25" s="82" t="str">
        <f>IF('Consulta1'!A4117="","",'Consulta1'!A4117)</f>
        <v>Chanitos Premium Granel</v>
      </c>
      <c r="B25" s="82" t="str">
        <f>IF('Consulta1'!B4117="","",'Consulta1'!B4117)</f>
        <v>CPR01101</v>
      </c>
      <c r="C25" s="83" t="str">
        <f>IF('Consulta1'!C4117="","",'Consulta1'!C4117)</f>
        <v>A01004-392109-1</v>
      </c>
      <c r="D25" s="84" t="str">
        <f>IF('Consulta1'!D4117="","",'Consulta1'!D4117)</f>
        <v>A01 004 La Ceiba</v>
      </c>
      <c r="E25" s="82" t="str">
        <f>IF('Consulta1'!E4117="","",'Consulta1'!E4117)</f>
        <v>CEDA</v>
      </c>
      <c r="F25">
        <f>+IF(E25="","",VLOOKUP(E25,CATALOGO!G:L,6,0))</f>
        <v>0</v>
      </c>
      <c r="G25" s="85">
        <f>IF('Consulta1'!F4117="","",'Consulta1'!F4117)</f>
        <v>70</v>
      </c>
      <c r="H25" s="85" t="str">
        <f>IF('Consulta1'!G4117="","",'Consulta1'!G4117)</f>
        <v>Granel</v>
      </c>
      <c r="I25" s="86">
        <f>IF('Consulta1'!H4117="","",'Consulta1'!H4117)</f>
        <v>46286</v>
      </c>
      <c r="J25">
        <f t="shared" si="0"/>
        <v>39</v>
      </c>
      <c r="K25">
        <f>+IF(E25="","",VLOOKUP(E25,CATALOGO!G:I,2,0))</f>
        <v>1.5</v>
      </c>
      <c r="L25">
        <f>+IF(E25="","",VLOOKUP(E25,CATALOGO!G:I,3,0))</f>
        <v>36</v>
      </c>
      <c r="M25" s="87">
        <f>IF('Consulta1'!I4117="","",'Consulta1'!I4117)</f>
        <v>46288</v>
      </c>
      <c r="N25" s="88" t="str">
        <f>IF('Consulta1'!J4117="","",'Consulta1'!J4117)</f>
        <v>0</v>
      </c>
      <c r="O25" t="str">
        <v>CHIAPAS|A01 004 LA CEIBA|20260921|20260923|CEDA|CEDA PISO|CPR01101|CEDA PISO PRODUCTORAS</v>
      </c>
      <c r="P25">
        <v>1</v>
      </c>
      <c r="Q25" t="str">
        <v>CHIAPAS|A01 004 LA CEIBA|20260921|20260923|CEDA|CEDA PISO|CPR01101|CEDA PISO PRODUCTORAS|1</v>
      </c>
      <c r="R25" t="str">
        <v>Programa Embarques 2026 S-39.xlsx</v>
      </c>
    </row>
    <row r="26" spans="1:18" ht="18.75" x14ac:dyDescent="0.25">
      <c r="A26" s="82" t="str">
        <f>IF('Consulta1'!A4118="","",'Consulta1'!A4118)</f>
        <v>Chanitos Cha Cha Cha (2da) Granel</v>
      </c>
      <c r="B26" s="82" t="str">
        <f>IF('Consulta1'!B4118="","",'Consulta1'!B4118)</f>
        <v>CSA04120</v>
      </c>
      <c r="C26" s="83" t="str">
        <f>IF('Consulta1'!C4118="","",'Consulta1'!C4118)</f>
        <v>A01004-392109-4</v>
      </c>
      <c r="D26" s="84" t="str">
        <f>IF('Consulta1'!D4118="","",'Consulta1'!D4118)</f>
        <v>A01 004 La Ceiba</v>
      </c>
      <c r="E26" s="82" t="str">
        <f>IF('Consulta1'!E4118="","",'Consulta1'!E4118)</f>
        <v>CEDA</v>
      </c>
      <c r="F26">
        <f>+IF(E26="","",VLOOKUP(E26,CATALOGO!G:L,6,0))</f>
        <v>0</v>
      </c>
      <c r="G26" s="85">
        <f>IF('Consulta1'!F4118="","",'Consulta1'!F4118)</f>
        <v>18</v>
      </c>
      <c r="H26" s="85" t="str">
        <f>IF('Consulta1'!G4118="","",'Consulta1'!G4118)</f>
        <v>Granel</v>
      </c>
      <c r="I26" s="86">
        <f>IF('Consulta1'!H4118="","",'Consulta1'!H4118)</f>
        <v>46286</v>
      </c>
      <c r="J26">
        <f t="shared" si="0"/>
        <v>39</v>
      </c>
      <c r="K26">
        <f>+IF(E26="","",VLOOKUP(E26,CATALOGO!G:I,2,0))</f>
        <v>1.5</v>
      </c>
      <c r="L26">
        <f>+IF(E26="","",VLOOKUP(E26,CATALOGO!G:I,3,0))</f>
        <v>36</v>
      </c>
      <c r="M26" s="87">
        <f>IF('Consulta1'!I4118="","",'Consulta1'!I4118)</f>
        <v>46288</v>
      </c>
      <c r="N26" s="88" t="str">
        <f>IF('Consulta1'!J4118="","",'Consulta1'!J4118)</f>
        <v>0</v>
      </c>
      <c r="O26" t="str">
        <v>CHIAPAS|A01 004 LA CEIBA|20260921|20260923|CEDA|CEDA PISO|CSA04120|CEDA PISO PRODUCTORAS</v>
      </c>
      <c r="P26">
        <v>1</v>
      </c>
      <c r="Q26" t="str">
        <v>CHIAPAS|A01 004 LA CEIBA|20260921|20260923|CEDA|CEDA PISO|CSA04120|CEDA PISO PRODUCTORAS|1</v>
      </c>
      <c r="R26" t="str">
        <v>Programa Embarques 2026 S-39.xlsx</v>
      </c>
    </row>
    <row r="27" spans="1:18" ht="18.75" x14ac:dyDescent="0.25">
      <c r="A27" s="82" t="str">
        <f>IF('Consulta1'!A4119="","",'Consulta1'!A4119)</f>
        <v>Chanitos Manitas Granel</v>
      </c>
      <c r="B27" s="82" t="str">
        <f>IF('Consulta1'!B4119="","",'Consulta1'!B4119)</f>
        <v>CMN05123</v>
      </c>
      <c r="C27" s="83" t="str">
        <f>IF('Consulta1'!C4119="","",'Consulta1'!C4119)</f>
        <v>A01004-392109-3</v>
      </c>
      <c r="D27" s="84" t="str">
        <f>IF('Consulta1'!D4119="","",'Consulta1'!D4119)</f>
        <v>A01 004 La Ceiba</v>
      </c>
      <c r="E27" s="82" t="str">
        <f>IF('Consulta1'!E4119="","",'Consulta1'!E4119)</f>
        <v>CEDA</v>
      </c>
      <c r="F27">
        <f>+IF(E27="","",VLOOKUP(E27,CATALOGO!G:L,6,0))</f>
        <v>0</v>
      </c>
      <c r="G27" s="85">
        <f>IF('Consulta1'!F4119="","",'Consulta1'!F4119)</f>
        <v>6</v>
      </c>
      <c r="H27" s="85" t="str">
        <f>IF('Consulta1'!G4119="","",'Consulta1'!G4119)</f>
        <v>Granel</v>
      </c>
      <c r="I27" s="86">
        <f>IF('Consulta1'!H4119="","",'Consulta1'!H4119)</f>
        <v>46286</v>
      </c>
      <c r="J27">
        <f t="shared" si="0"/>
        <v>39</v>
      </c>
      <c r="K27">
        <f>+IF(E27="","",VLOOKUP(E27,CATALOGO!G:I,2,0))</f>
        <v>1.5</v>
      </c>
      <c r="L27">
        <f>+IF(E27="","",VLOOKUP(E27,CATALOGO!G:I,3,0))</f>
        <v>36</v>
      </c>
      <c r="M27" s="87">
        <f>IF('Consulta1'!I4119="","",'Consulta1'!I4119)</f>
        <v>46288</v>
      </c>
      <c r="N27" s="88" t="str">
        <f>IF('Consulta1'!J4119="","",'Consulta1'!J4119)</f>
        <v>0</v>
      </c>
      <c r="O27" t="str">
        <v>CHIAPAS|A01 004 LA CEIBA|20260921|20260923|CEDA|CEDA PISO|CMN05123|CEDA PISO PRODUCTORAS</v>
      </c>
      <c r="P27">
        <v>1</v>
      </c>
      <c r="Q27" t="str">
        <v>CHIAPAS|A01 004 LA CEIBA|20260921|20260923|CEDA|CEDA PISO|CMN05123|CEDA PISO PRODUCTORAS|1</v>
      </c>
      <c r="R27" t="str">
        <v>Programa Embarques 2026 S-39.xlsx</v>
      </c>
    </row>
    <row r="28" spans="1:18" ht="18.75" x14ac:dyDescent="0.25">
      <c r="A28" s="82" t="str">
        <f>IF('Consulta1'!A4120="","",'Consulta1'!A4120)</f>
        <v>Chanitos Cha Cha Cha (DS) Granel</v>
      </c>
      <c r="B28" s="82" t="str">
        <f>IF('Consulta1'!B4120="","",'Consulta1'!B4120)</f>
        <v>CDS04122</v>
      </c>
      <c r="C28" s="83" t="str">
        <f>IF('Consulta1'!C4120="","",'Consulta1'!C4120)</f>
        <v>A01004-392109-5</v>
      </c>
      <c r="D28" s="84" t="str">
        <f>IF('Consulta1'!D4120="","",'Consulta1'!D4120)</f>
        <v>A01 004 La Ceiba</v>
      </c>
      <c r="E28" s="82" t="str">
        <f>IF('Consulta1'!E4120="","",'Consulta1'!E4120)</f>
        <v>CEDA</v>
      </c>
      <c r="F28">
        <f>+IF(E28="","",VLOOKUP(E28,CATALOGO!G:L,6,0))</f>
        <v>0</v>
      </c>
      <c r="G28" s="85">
        <f>IF('Consulta1'!F4120="","",'Consulta1'!F4120)</f>
        <v>48</v>
      </c>
      <c r="H28" s="85" t="str">
        <f>IF('Consulta1'!G4120="","",'Consulta1'!G4120)</f>
        <v>Granel</v>
      </c>
      <c r="I28" s="86">
        <f>IF('Consulta1'!H4120="","",'Consulta1'!H4120)</f>
        <v>46286</v>
      </c>
      <c r="J28">
        <f t="shared" si="0"/>
        <v>39</v>
      </c>
      <c r="K28">
        <f>+IF(E28="","",VLOOKUP(E28,CATALOGO!G:I,2,0))</f>
        <v>1.5</v>
      </c>
      <c r="L28">
        <f>+IF(E28="","",VLOOKUP(E28,CATALOGO!G:I,3,0))</f>
        <v>36</v>
      </c>
      <c r="M28" s="87">
        <f>IF('Consulta1'!I4120="","",'Consulta1'!I4120)</f>
        <v>46288</v>
      </c>
      <c r="N28" s="88" t="str">
        <f>IF('Consulta1'!J4120="","",'Consulta1'!J4120)</f>
        <v>0</v>
      </c>
      <c r="O28" t="str">
        <v>CHIAPAS|A01 004 LA CEIBA|20260921|20260923|CEDA|CEDA PISO|CDS04122|CEDA PISO PRODUCTORAS</v>
      </c>
      <c r="P28">
        <v>1</v>
      </c>
      <c r="Q28" t="str">
        <v>CHIAPAS|A01 004 LA CEIBA|20260921|20260923|CEDA|CEDA PISO|CDS04122|CEDA PISO PRODUCTORAS|1</v>
      </c>
      <c r="R28" t="str">
        <v>Programa Embarques 2026 S-39.xlsx</v>
      </c>
    </row>
    <row r="29" spans="1:18" ht="18.75" x14ac:dyDescent="0.25">
      <c r="A29" s="82" t="str">
        <f>IF('Consulta1'!A4121="","",'Consulta1'!A4121)</f>
        <v>Chanitos Premium EUA Tarima Americana</v>
      </c>
      <c r="B29" s="82" t="str">
        <f>IF('Consulta1'!B4121="","",'Consulta1'!B4121)</f>
        <v>CPR01104</v>
      </c>
      <c r="C29" s="83" t="str">
        <f>IF('Consulta1'!C4121="","",'Consulta1'!C4121)</f>
        <v>A01003-392209-1</v>
      </c>
      <c r="D29" s="84" t="str">
        <f>IF('Consulta1'!D4121="","",'Consulta1'!D4121)</f>
        <v>A01 003 Doña Nelly</v>
      </c>
      <c r="E29" s="82" t="str">
        <f>IF('Consulta1'!E4121="","",'Consulta1'!E4121)</f>
        <v>McAllen</v>
      </c>
      <c r="F29">
        <f>+IF(E29="","",VLOOKUP(E29,CATALOGO!G:L,6,0))</f>
        <v>8</v>
      </c>
      <c r="G29" s="85">
        <f>IF('Consulta1'!F4121="","",'Consulta1'!F4121)</f>
        <v>480</v>
      </c>
      <c r="H29" s="85">
        <f>IF('Consulta1'!G4121="","",'Consulta1'!G4121)</f>
        <v>10</v>
      </c>
      <c r="I29" s="86">
        <f>IF('Consulta1'!H4121="","",'Consulta1'!H4121)</f>
        <v>46287</v>
      </c>
      <c r="J29">
        <f t="shared" si="0"/>
        <v>39</v>
      </c>
      <c r="K29">
        <f>+IF(E29="","",VLOOKUP(E29,CATALOGO!G:I,2,0))</f>
        <v>3</v>
      </c>
      <c r="L29">
        <f>+IF(E29="","",VLOOKUP(E29,CATALOGO!G:I,3,0))</f>
        <v>72</v>
      </c>
      <c r="M29" s="87">
        <f>IF('Consulta1'!I4121="","",'Consulta1'!I4121)</f>
        <v>46290</v>
      </c>
      <c r="N29" s="88" t="str">
        <f>IF('Consulta1'!J4121="","",'Consulta1'!J4121)</f>
        <v>44552</v>
      </c>
      <c r="O29" t="str">
        <v>CHIAPAS|A01 003 DONA NELLY|20260922|20260925|MCALLEN|CHANITOS INT|CPR01104|20 CONVENCIONAL F1-2</v>
      </c>
      <c r="P29">
        <v>1</v>
      </c>
      <c r="Q29" t="str">
        <v>CHIAPAS|A01 003 DONA NELLY|20260922|20260925|MCALLEN|CHANITOS INT|CPR01104|20 CONVENCIONAL F1-2|1</v>
      </c>
      <c r="R29" t="str">
        <v>Programa Embarques 2026 S-39.xlsx</v>
      </c>
    </row>
    <row r="30" spans="1:18" ht="18.75" x14ac:dyDescent="0.25">
      <c r="A30" s="82" t="str">
        <f>IF('Consulta1'!A4122="","",'Consulta1'!A4122)</f>
        <v>Chanitos Premium EUA Tarima Americana</v>
      </c>
      <c r="B30" s="82" t="str">
        <f>IF('Consulta1'!B4122="","",'Consulta1'!B4122)</f>
        <v>CPR01104</v>
      </c>
      <c r="C30" s="83" t="str">
        <f>IF('Consulta1'!C4122="","",'Consulta1'!C4122)</f>
        <v>A01003-392209-1</v>
      </c>
      <c r="D30" s="84" t="str">
        <f>IF('Consulta1'!D4122="","",'Consulta1'!D4122)</f>
        <v>A01 003 Doña Nelly</v>
      </c>
      <c r="E30" s="82" t="str">
        <f>IF('Consulta1'!E4122="","",'Consulta1'!E4122)</f>
        <v>McAllen</v>
      </c>
      <c r="F30">
        <f>+IF(E30="","",VLOOKUP(E30,CATALOGO!G:L,6,0))</f>
        <v>8</v>
      </c>
      <c r="G30" s="85">
        <f>IF('Consulta1'!F4122="","",'Consulta1'!F4122)</f>
        <v>480</v>
      </c>
      <c r="H30" s="85">
        <f>IF('Consulta1'!G4122="","",'Consulta1'!G4122)</f>
        <v>10</v>
      </c>
      <c r="I30" s="86">
        <f>IF('Consulta1'!H4122="","",'Consulta1'!H4122)</f>
        <v>46287</v>
      </c>
      <c r="J30">
        <f t="shared" si="0"/>
        <v>39</v>
      </c>
      <c r="K30">
        <f>+IF(E30="","",VLOOKUP(E30,CATALOGO!G:I,2,0))</f>
        <v>3</v>
      </c>
      <c r="L30">
        <f>+IF(E30="","",VLOOKUP(E30,CATALOGO!G:I,3,0))</f>
        <v>72</v>
      </c>
      <c r="M30" s="87">
        <f>IF('Consulta1'!I4122="","",'Consulta1'!I4122)</f>
        <v>46291</v>
      </c>
      <c r="N30" s="88" t="str">
        <f>IF('Consulta1'!J4122="","",'Consulta1'!J4122)</f>
        <v>44556</v>
      </c>
      <c r="O30" t="str">
        <v>CHIAPAS|A01 003 DONA NELLY|20260922|20260926|MCALLEN|CHANITOS INT|CPR01104|20 CONVENCIONAL F3-1</v>
      </c>
      <c r="P30">
        <v>1</v>
      </c>
      <c r="Q30" t="str">
        <v>CHIAPAS|A01 003 DONA NELLY|20260922|20260926|MCALLEN|CHANITOS INT|CPR01104|20 CONVENCIONAL F3-1|1</v>
      </c>
      <c r="R30" t="str">
        <v>Programa Embarques 2026 S-39.xlsx</v>
      </c>
    </row>
    <row r="31" spans="1:18" ht="18.75" x14ac:dyDescent="0.25">
      <c r="A31" s="82" t="str">
        <f>IF('Consulta1'!A4123="","",'Consulta1'!A4123)</f>
        <v>Chanitos Premium Tarima Chep</v>
      </c>
      <c r="B31" s="82" t="str">
        <f>IF('Consulta1'!B4123="","",'Consulta1'!B4123)</f>
        <v>CPR01102</v>
      </c>
      <c r="C31" s="83" t="str">
        <f>IF('Consulta1'!C4123="","",'Consulta1'!C4123)</f>
        <v>A01003-392209-1</v>
      </c>
      <c r="D31" s="84" t="str">
        <f>IF('Consulta1'!D4123="","",'Consulta1'!D4123)</f>
        <v>A01 003 Doña Nelly</v>
      </c>
      <c r="E31" s="82" t="str">
        <f>IF('Consulta1'!E4123="","",'Consulta1'!E4123)</f>
        <v>SMO</v>
      </c>
      <c r="F31">
        <f>+IF(E31="","",VLOOKUP(E31,CATALOGO!G:L,6,0))</f>
        <v>4</v>
      </c>
      <c r="G31" s="85">
        <f>IF('Consulta1'!F4123="","",'Consulta1'!F4123)</f>
        <v>672</v>
      </c>
      <c r="H31" s="85">
        <f>IF('Consulta1'!G4123="","",'Consulta1'!G4123)</f>
        <v>14</v>
      </c>
      <c r="I31" s="86">
        <f>IF('Consulta1'!H4123="","",'Consulta1'!H4123)</f>
        <v>46287</v>
      </c>
      <c r="J31">
        <f t="shared" si="0"/>
        <v>39</v>
      </c>
      <c r="K31">
        <f>+IF(E31="","",VLOOKUP(E31,CATALOGO!G:I,2,0))</f>
        <v>1.5</v>
      </c>
      <c r="L31">
        <f>+IF(E31="","",VLOOKUP(E31,CATALOGO!G:I,3,0))</f>
        <v>36</v>
      </c>
      <c r="M31" s="87">
        <f>IF('Consulta1'!I4123="","",'Consulta1'!I4123)</f>
        <v>46291</v>
      </c>
      <c r="N31" s="88" t="str">
        <f>IF('Consulta1'!J4123="","",'Consulta1'!J4123)</f>
        <v>44337</v>
      </c>
      <c r="O31" t="str">
        <v>CHIAPAS|A01 003 DONA NELLY|20260922|20260926|SMO|WM|CPR01102|24 CONVENCIONAL</v>
      </c>
      <c r="P31">
        <v>1</v>
      </c>
      <c r="Q31" t="str">
        <v>CHIAPAS|A01 003 DONA NELLY|20260922|20260926|SMO|WM|CPR01102|24 CONVENCIONAL|1</v>
      </c>
      <c r="R31" t="str">
        <v>Programa Embarques 2026 S-39.xlsx</v>
      </c>
    </row>
    <row r="32" spans="1:18" ht="18.75" x14ac:dyDescent="0.25">
      <c r="A32" s="82" t="str">
        <f>IF('Consulta1'!A4124="","",'Consulta1'!A4124)</f>
        <v>Chanitos Premium Tarima Chep</v>
      </c>
      <c r="B32" s="82" t="str">
        <f>IF('Consulta1'!B4124="","",'Consulta1'!B4124)</f>
        <v>CPR01102</v>
      </c>
      <c r="C32" s="83" t="str">
        <f>IF('Consulta1'!C4124="","",'Consulta1'!C4124)</f>
        <v>A01003-392209-1</v>
      </c>
      <c r="D32" s="84" t="str">
        <f>IF('Consulta1'!D4124="","",'Consulta1'!D4124)</f>
        <v>A01 003 Doña Nelly</v>
      </c>
      <c r="E32" s="82" t="str">
        <f>IF('Consulta1'!E4124="","",'Consulta1'!E4124)</f>
        <v>CEDA</v>
      </c>
      <c r="F32">
        <f>+IF(E32="","",VLOOKUP(E32,CATALOGO!G:L,6,0))</f>
        <v>0</v>
      </c>
      <c r="G32" s="85">
        <f>IF('Consulta1'!F4124="","",'Consulta1'!F4124)</f>
        <v>192</v>
      </c>
      <c r="H32" s="85">
        <f>IF('Consulta1'!G4124="","",'Consulta1'!G4124)</f>
        <v>4</v>
      </c>
      <c r="I32" s="86">
        <f>IF('Consulta1'!H4124="","",'Consulta1'!H4124)</f>
        <v>46287</v>
      </c>
      <c r="J32">
        <f t="shared" si="0"/>
        <v>39</v>
      </c>
      <c r="K32">
        <f>+IF(E32="","",VLOOKUP(E32,CATALOGO!G:I,2,0))</f>
        <v>1.5</v>
      </c>
      <c r="L32">
        <f>+IF(E32="","",VLOOKUP(E32,CATALOGO!G:I,3,0))</f>
        <v>36</v>
      </c>
      <c r="M32" s="87">
        <f>IF('Consulta1'!I4124="","",'Consulta1'!I4124)</f>
        <v>46291</v>
      </c>
      <c r="N32" s="88" t="str">
        <f>IF('Consulta1'!J4124="","",'Consulta1'!J4124)</f>
        <v>0</v>
      </c>
      <c r="O32" t="str">
        <v>CHIAPAS|A01 003 DONA NELLY|20260922|20260926|CEDA|CEDA AUTOSERVICIO|CPR01102|CEDA</v>
      </c>
      <c r="P32">
        <v>1</v>
      </c>
      <c r="Q32" t="str">
        <v>CHIAPAS|A01 003 DONA NELLY|20260922|20260926|CEDA|CEDA AUTOSERVICIO|CPR01102|CEDA|1</v>
      </c>
      <c r="R32" t="str">
        <v>Programa Embarques 2026 S-39.xlsx</v>
      </c>
    </row>
    <row r="33" spans="1:18" ht="18.75" x14ac:dyDescent="0.25">
      <c r="A33" s="82" t="str">
        <f>IF('Consulta1'!A4125="","",'Consulta1'!A4125)</f>
        <v>Chanitos Premium Granel</v>
      </c>
      <c r="B33" s="82" t="str">
        <f>IF('Consulta1'!B4125="","",'Consulta1'!B4125)</f>
        <v>CPR01101</v>
      </c>
      <c r="C33" s="83" t="str">
        <f>IF('Consulta1'!C4125="","",'Consulta1'!C4125)</f>
        <v>A01003-392209-1</v>
      </c>
      <c r="D33" s="84" t="str">
        <f>IF('Consulta1'!D4125="","",'Consulta1'!D4125)</f>
        <v>A01 003 Doña Nelly</v>
      </c>
      <c r="E33" s="82" t="str">
        <f>IF('Consulta1'!E4125="","",'Consulta1'!E4125)</f>
        <v>CEDA</v>
      </c>
      <c r="F33">
        <f>+IF(E33="","",VLOOKUP(E33,CATALOGO!G:L,6,0))</f>
        <v>0</v>
      </c>
      <c r="G33" s="85">
        <f>IF('Consulta1'!F4125="","",'Consulta1'!F4125)</f>
        <v>65</v>
      </c>
      <c r="H33" s="85" t="str">
        <f>IF('Consulta1'!G4125="","",'Consulta1'!G4125)</f>
        <v>Granel</v>
      </c>
      <c r="I33" s="86">
        <f>IF('Consulta1'!H4125="","",'Consulta1'!H4125)</f>
        <v>46287</v>
      </c>
      <c r="J33">
        <f t="shared" si="0"/>
        <v>39</v>
      </c>
      <c r="K33">
        <f>+IF(E33="","",VLOOKUP(E33,CATALOGO!G:I,2,0))</f>
        <v>1.5</v>
      </c>
      <c r="L33">
        <f>+IF(E33="","",VLOOKUP(E33,CATALOGO!G:I,3,0))</f>
        <v>36</v>
      </c>
      <c r="M33" s="87">
        <f>IF('Consulta1'!I4125="","",'Consulta1'!I4125)</f>
        <v>46288</v>
      </c>
      <c r="N33" s="88" t="str">
        <f>IF('Consulta1'!J4125="","",'Consulta1'!J4125)</f>
        <v>0</v>
      </c>
      <c r="O33" t="str">
        <v>CHIAPAS|A01 003 DONA NELLY|20260922|20260923|CEDA|CEDA PISO|CPR01101|CEDA PISO PRODUCTORAS</v>
      </c>
      <c r="P33">
        <v>1</v>
      </c>
      <c r="Q33" t="str">
        <v>CHIAPAS|A01 003 DONA NELLY|20260922|20260923|CEDA|CEDA PISO|CPR01101|CEDA PISO PRODUCTORAS|1</v>
      </c>
      <c r="R33" t="str">
        <v>Programa Embarques 2026 S-39.xlsx</v>
      </c>
    </row>
    <row r="34" spans="1:18" ht="18.75" x14ac:dyDescent="0.25">
      <c r="A34" s="82" t="str">
        <f>IF('Consulta1'!A4126="","",'Consulta1'!A4126)</f>
        <v>Chanitos Cha Cha Cha (2da) Granel</v>
      </c>
      <c r="B34" s="82" t="str">
        <f>IF('Consulta1'!B4126="","",'Consulta1'!B4126)</f>
        <v>CSA04120</v>
      </c>
      <c r="C34" s="83" t="str">
        <f>IF('Consulta1'!C4126="","",'Consulta1'!C4126)</f>
        <v>A01003-392209-4</v>
      </c>
      <c r="D34" s="84" t="str">
        <f>IF('Consulta1'!D4126="","",'Consulta1'!D4126)</f>
        <v>A01 003 Doña Nelly</v>
      </c>
      <c r="E34" s="82" t="str">
        <f>IF('Consulta1'!E4126="","",'Consulta1'!E4126)</f>
        <v>CEDA</v>
      </c>
      <c r="F34">
        <f>+IF(E34="","",VLOOKUP(E34,CATALOGO!G:L,6,0))</f>
        <v>0</v>
      </c>
      <c r="G34" s="85">
        <f>IF('Consulta1'!F4126="","",'Consulta1'!F4126)</f>
        <v>20</v>
      </c>
      <c r="H34" s="85" t="str">
        <f>IF('Consulta1'!G4126="","",'Consulta1'!G4126)</f>
        <v>Granel</v>
      </c>
      <c r="I34" s="86">
        <f>IF('Consulta1'!H4126="","",'Consulta1'!H4126)</f>
        <v>46287</v>
      </c>
      <c r="J34">
        <f t="shared" si="0"/>
        <v>39</v>
      </c>
      <c r="K34">
        <f>+IF(E34="","",VLOOKUP(E34,CATALOGO!G:I,2,0))</f>
        <v>1.5</v>
      </c>
      <c r="L34">
        <f>+IF(E34="","",VLOOKUP(E34,CATALOGO!G:I,3,0))</f>
        <v>36</v>
      </c>
      <c r="M34" s="87">
        <f>IF('Consulta1'!I4126="","",'Consulta1'!I4126)</f>
        <v>46289</v>
      </c>
      <c r="N34" s="88" t="str">
        <f>IF('Consulta1'!J4126="","",'Consulta1'!J4126)</f>
        <v>0</v>
      </c>
      <c r="O34" t="str">
        <v>CHIAPAS|A01 003 DONA NELLY|20260922|20260924|CEDA|CEDA PISO|CSA04120|CEDA PISO PRODUCTORAS</v>
      </c>
      <c r="P34">
        <v>1</v>
      </c>
      <c r="Q34" t="str">
        <v>CHIAPAS|A01 003 DONA NELLY|20260922|20260924|CEDA|CEDA PISO|CSA04120|CEDA PISO PRODUCTORAS|1</v>
      </c>
      <c r="R34" t="str">
        <v>Programa Embarques 2026 S-39.xlsx</v>
      </c>
    </row>
    <row r="35" spans="1:18" ht="18.75" x14ac:dyDescent="0.25">
      <c r="A35" s="82" t="str">
        <f>IF('Consulta1'!A4127="","",'Consulta1'!A4127)</f>
        <v>Chanitos Manitas Granel</v>
      </c>
      <c r="B35" s="82" t="str">
        <f>IF('Consulta1'!B4127="","",'Consulta1'!B4127)</f>
        <v>CMN05123</v>
      </c>
      <c r="C35" s="83" t="str">
        <f>IF('Consulta1'!C4127="","",'Consulta1'!C4127)</f>
        <v>A01003-392209-3</v>
      </c>
      <c r="D35" s="84" t="str">
        <f>IF('Consulta1'!D4127="","",'Consulta1'!D4127)</f>
        <v>A01 003 Doña Nelly</v>
      </c>
      <c r="E35" s="82" t="str">
        <f>IF('Consulta1'!E4127="","",'Consulta1'!E4127)</f>
        <v>CEDA</v>
      </c>
      <c r="F35">
        <f>+IF(E35="","",VLOOKUP(E35,CATALOGO!G:L,6,0))</f>
        <v>0</v>
      </c>
      <c r="G35" s="85">
        <f>IF('Consulta1'!F4127="","",'Consulta1'!F4127)</f>
        <v>27</v>
      </c>
      <c r="H35" s="85" t="str">
        <f>IF('Consulta1'!G4127="","",'Consulta1'!G4127)</f>
        <v>Granel</v>
      </c>
      <c r="I35" s="86">
        <f>IF('Consulta1'!H4127="","",'Consulta1'!H4127)</f>
        <v>46287</v>
      </c>
      <c r="J35">
        <f t="shared" si="0"/>
        <v>39</v>
      </c>
      <c r="K35">
        <f>+IF(E35="","",VLOOKUP(E35,CATALOGO!G:I,2,0))</f>
        <v>1.5</v>
      </c>
      <c r="L35">
        <f>+IF(E35="","",VLOOKUP(E35,CATALOGO!G:I,3,0))</f>
        <v>36</v>
      </c>
      <c r="M35" s="87">
        <f>IF('Consulta1'!I4127="","",'Consulta1'!I4127)</f>
        <v>46289</v>
      </c>
      <c r="N35" s="88" t="str">
        <f>IF('Consulta1'!J4127="","",'Consulta1'!J4127)</f>
        <v>0</v>
      </c>
      <c r="O35" t="str">
        <v>CHIAPAS|A01 003 DONA NELLY|20260922|20260924|CEDA|CEDA PISO|CMN05123|CEDA PISO PRODUCTORAS</v>
      </c>
      <c r="P35">
        <v>1</v>
      </c>
      <c r="Q35" t="str">
        <v>CHIAPAS|A01 003 DONA NELLY|20260922|20260924|CEDA|CEDA PISO|CMN05123|CEDA PISO PRODUCTORAS|1</v>
      </c>
      <c r="R35" t="str">
        <v>Programa Embarques 2026 S-39.xlsx</v>
      </c>
    </row>
    <row r="36" spans="1:18" ht="18.75" x14ac:dyDescent="0.25">
      <c r="A36" s="82" t="str">
        <f>IF('Consulta1'!A4128="","",'Consulta1'!A4128)</f>
        <v>Chanitos Cha Cha Cha (DS) Granel</v>
      </c>
      <c r="B36" s="82" t="str">
        <f>IF('Consulta1'!B4128="","",'Consulta1'!B4128)</f>
        <v>CDS04122</v>
      </c>
      <c r="C36" s="83" t="str">
        <f>IF('Consulta1'!C4128="","",'Consulta1'!C4128)</f>
        <v>A01003-392209-5</v>
      </c>
      <c r="D36" s="84" t="str">
        <f>IF('Consulta1'!D4128="","",'Consulta1'!D4128)</f>
        <v>A01 003 Doña Nelly</v>
      </c>
      <c r="E36" s="82" t="str">
        <f>IF('Consulta1'!E4128="","",'Consulta1'!E4128)</f>
        <v>CEDA</v>
      </c>
      <c r="F36">
        <f>+IF(E36="","",VLOOKUP(E36,CATALOGO!G:L,6,0))</f>
        <v>0</v>
      </c>
      <c r="G36" s="85">
        <f>IF('Consulta1'!F4128="","",'Consulta1'!F4128)</f>
        <v>69</v>
      </c>
      <c r="H36" s="85" t="str">
        <f>IF('Consulta1'!G4128="","",'Consulta1'!G4128)</f>
        <v>Granel</v>
      </c>
      <c r="I36" s="86">
        <f>IF('Consulta1'!H4128="","",'Consulta1'!H4128)</f>
        <v>46287</v>
      </c>
      <c r="J36">
        <f t="shared" si="0"/>
        <v>39</v>
      </c>
      <c r="K36">
        <f>+IF(E36="","",VLOOKUP(E36,CATALOGO!G:I,2,0))</f>
        <v>1.5</v>
      </c>
      <c r="L36">
        <f>+IF(E36="","",VLOOKUP(E36,CATALOGO!G:I,3,0))</f>
        <v>36</v>
      </c>
      <c r="M36" s="87">
        <f>IF('Consulta1'!I4128="","",'Consulta1'!I4128)</f>
        <v>46289</v>
      </c>
      <c r="N36" s="88" t="str">
        <f>IF('Consulta1'!J4128="","",'Consulta1'!J4128)</f>
        <v>0</v>
      </c>
      <c r="O36" t="str">
        <v>CHIAPAS|A01 003 DONA NELLY|20260922|20260924|CEDA|CEDA PISO|CDS04122|CEDA PISO PRODUCTORAS</v>
      </c>
      <c r="P36">
        <v>1</v>
      </c>
      <c r="Q36" t="str">
        <v>CHIAPAS|A01 003 DONA NELLY|20260922|20260924|CEDA|CEDA PISO|CDS04122|CEDA PISO PRODUCTORAS|1</v>
      </c>
      <c r="R36" t="str">
        <v>Programa Embarques 2026 S-39.xlsx</v>
      </c>
    </row>
    <row r="37" spans="1:18" ht="18.75" x14ac:dyDescent="0.25">
      <c r="A37" s="82" t="str">
        <f>IF('Consulta1'!A4129="","",'Consulta1'!A4129)</f>
        <v>Chanitos Premium Tarima Chep</v>
      </c>
      <c r="B37" s="82" t="str">
        <f>IF('Consulta1'!B4129="","",'Consulta1'!B4129)</f>
        <v>CPR01102</v>
      </c>
      <c r="C37" s="83" t="str">
        <f>IF('Consulta1'!C4129="","",'Consulta1'!C4129)</f>
        <v>A01002-392209-1</v>
      </c>
      <c r="D37" s="84" t="str">
        <f>IF('Consulta1'!D4129="","",'Consulta1'!D4129)</f>
        <v>A01 002 Fortaleza</v>
      </c>
      <c r="E37" s="82" t="str">
        <f>IF('Consulta1'!E4129="","",'Consulta1'!E4129)</f>
        <v>SMO</v>
      </c>
      <c r="F37">
        <f>+IF(E37="","",VLOOKUP(E37,CATALOGO!G:L,6,0))</f>
        <v>4</v>
      </c>
      <c r="G37" s="85">
        <f>IF('Consulta1'!F4129="","",'Consulta1'!F4129)</f>
        <v>384</v>
      </c>
      <c r="H37" s="85">
        <f>IF('Consulta1'!G4129="","",'Consulta1'!G4129)</f>
        <v>8</v>
      </c>
      <c r="I37" s="86">
        <f>IF('Consulta1'!H4129="","",'Consulta1'!H4129)</f>
        <v>46287</v>
      </c>
      <c r="J37">
        <f t="shared" si="0"/>
        <v>39</v>
      </c>
      <c r="K37">
        <f>+IF(E37="","",VLOOKUP(E37,CATALOGO!G:I,2,0))</f>
        <v>1.5</v>
      </c>
      <c r="L37">
        <f>+IF(E37="","",VLOOKUP(E37,CATALOGO!G:I,3,0))</f>
        <v>36</v>
      </c>
      <c r="M37" s="87">
        <f>IF('Consulta1'!I4129="","",'Consulta1'!I4129)</f>
        <v>46291</v>
      </c>
      <c r="N37" s="88" t="str">
        <f>IF('Consulta1'!J4129="","",'Consulta1'!J4129)</f>
        <v>44337</v>
      </c>
      <c r="O37" t="str">
        <v>CHIAPAS|A01 002 FORTALEZA|20260922|20260926|SMO|WM|CPR01102|24 CONVENCIONAL</v>
      </c>
      <c r="P37">
        <v>1</v>
      </c>
      <c r="Q37" t="str">
        <v>CHIAPAS|A01 002 FORTALEZA|20260922|20260926|SMO|WM|CPR01102|24 CONVENCIONAL|1</v>
      </c>
      <c r="R37" t="str">
        <v>Programa Embarques 2026 S-39.xlsx</v>
      </c>
    </row>
    <row r="38" spans="1:18" ht="18.75" x14ac:dyDescent="0.25">
      <c r="A38" s="82" t="str">
        <f>IF('Consulta1'!A4130="","",'Consulta1'!A4130)</f>
        <v>Chanitos Premium Tarima Chep</v>
      </c>
      <c r="B38" s="82" t="str">
        <f>IF('Consulta1'!B4130="","",'Consulta1'!B4130)</f>
        <v>CPR01102</v>
      </c>
      <c r="C38" s="83" t="str">
        <f>IF('Consulta1'!C4130="","",'Consulta1'!C4130)</f>
        <v>A01002-392209-1</v>
      </c>
      <c r="D38" s="84" t="str">
        <f>IF('Consulta1'!D4130="","",'Consulta1'!D4130)</f>
        <v>A01 002 Fortaleza</v>
      </c>
      <c r="E38" s="82" t="str">
        <f>IF('Consulta1'!E4130="","",'Consulta1'!E4130)</f>
        <v>SMO</v>
      </c>
      <c r="F38">
        <f>+IF(E38="","",VLOOKUP(E38,CATALOGO!G:L,6,0))</f>
        <v>4</v>
      </c>
      <c r="G38" s="85">
        <f>IF('Consulta1'!F4130="","",'Consulta1'!F4130)</f>
        <v>48</v>
      </c>
      <c r="H38" s="85">
        <f>IF('Consulta1'!G4130="","",'Consulta1'!G4130)</f>
        <v>1</v>
      </c>
      <c r="I38" s="86">
        <f>IF('Consulta1'!H4130="","",'Consulta1'!H4130)</f>
        <v>46287</v>
      </c>
      <c r="J38">
        <f t="shared" si="0"/>
        <v>39</v>
      </c>
      <c r="K38">
        <f>+IF(E38="","",VLOOKUP(E38,CATALOGO!G:I,2,0))</f>
        <v>1.5</v>
      </c>
      <c r="L38">
        <f>+IF(E38="","",VLOOKUP(E38,CATALOGO!G:I,3,0))</f>
        <v>36</v>
      </c>
      <c r="M38" s="87">
        <f>IF('Consulta1'!I4130="","",'Consulta1'!I4130)</f>
        <v>46291</v>
      </c>
      <c r="N38" s="88" t="str">
        <f>IF('Consulta1'!J4130="","",'Consulta1'!J4130)</f>
        <v>45094</v>
      </c>
      <c r="O38" t="str">
        <v>CHIAPAS|A01 002 FORTALEZA|20260922|20260926|SMO|WM|CPR01102|24 CONVENCIONAL</v>
      </c>
      <c r="P38">
        <v>2</v>
      </c>
      <c r="Q38" t="str">
        <v>CHIAPAS|A01 002 FORTALEZA|20260922|20260926|SMO|WM|CPR01102|24 CONVENCIONAL|2</v>
      </c>
      <c r="R38" t="str">
        <v>Programa Embarques 2026 S-39.xlsx</v>
      </c>
    </row>
    <row r="39" spans="1:18" ht="18.75" x14ac:dyDescent="0.25">
      <c r="A39" s="82" t="str">
        <f>IF('Consulta1'!A4131="","",'Consulta1'!A4131)</f>
        <v>Chanitos Premium Tarima Chep</v>
      </c>
      <c r="B39" s="82" t="str">
        <f>IF('Consulta1'!B4131="","",'Consulta1'!B4131)</f>
        <v>CPR01102</v>
      </c>
      <c r="C39" s="83" t="str">
        <f>IF('Consulta1'!C4131="","",'Consulta1'!C4131)</f>
        <v>A01002-392209-1</v>
      </c>
      <c r="D39" s="84" t="str">
        <f>IF('Consulta1'!D4131="","",'Consulta1'!D4131)</f>
        <v>A01 002 Fortaleza</v>
      </c>
      <c r="E39" s="82" t="str">
        <f>IF('Consulta1'!E4131="","",'Consulta1'!E4131)</f>
        <v>VSA</v>
      </c>
      <c r="F39">
        <f>+IF(E39="","",VLOOKUP(E39,CATALOGO!G:L,6,0))</f>
        <v>6</v>
      </c>
      <c r="G39" s="85">
        <f>IF('Consulta1'!F4131="","",'Consulta1'!F4131)</f>
        <v>912</v>
      </c>
      <c r="H39" s="85">
        <f>IF('Consulta1'!G4131="","",'Consulta1'!G4131)</f>
        <v>19</v>
      </c>
      <c r="I39" s="86">
        <f>IF('Consulta1'!H4131="","",'Consulta1'!H4131)</f>
        <v>46287</v>
      </c>
      <c r="J39">
        <f t="shared" si="0"/>
        <v>39</v>
      </c>
      <c r="K39">
        <f>+IF(E39="","",VLOOKUP(E39,CATALOGO!G:I,2,0))</f>
        <v>1</v>
      </c>
      <c r="L39">
        <f>+IF(E39="","",VLOOKUP(E39,CATALOGO!G:I,3,0))</f>
        <v>24</v>
      </c>
      <c r="M39" s="87">
        <f>IF('Consulta1'!I4131="","",'Consulta1'!I4131)</f>
        <v>46291</v>
      </c>
      <c r="N39" s="88" t="str">
        <f>IF('Consulta1'!J4131="","",'Consulta1'!J4131)</f>
        <v>41953</v>
      </c>
      <c r="O39" t="str">
        <v>CHIAPAS|A01 002 FORTALEZA|20260922|20260926|VSA|WM|CPR01102|19 CONVENCIONAL Y 5 ORG</v>
      </c>
      <c r="P39">
        <v>1</v>
      </c>
      <c r="Q39" t="str">
        <v>CHIAPAS|A01 002 FORTALEZA|20260922|20260926|VSA|WM|CPR01102|19 CONVENCIONAL Y 5 ORG|1</v>
      </c>
      <c r="R39" t="str">
        <v>Programa Embarques 2026 S-39.xlsx</v>
      </c>
    </row>
    <row r="40" spans="1:18" ht="18.75" x14ac:dyDescent="0.25">
      <c r="A40" s="82" t="str">
        <f>IF('Consulta1'!A4132="","",'Consulta1'!A4132)</f>
        <v>Chanitos Organic Banded Market Side Mexico</v>
      </c>
      <c r="B40" s="82" t="str">
        <f>IF('Consulta1'!B4132="","",'Consulta1'!B4132)</f>
        <v>CRG07128</v>
      </c>
      <c r="C40" s="83" t="str">
        <f>IF('Consulta1'!C4132="","",'Consulta1'!C4132)</f>
        <v>A01002-392209-1</v>
      </c>
      <c r="D40" s="84" t="str">
        <f>IF('Consulta1'!D4132="","",'Consulta1'!D4132)</f>
        <v>A01 002 Fortaleza</v>
      </c>
      <c r="E40" s="82" t="str">
        <f>IF('Consulta1'!E4132="","",'Consulta1'!E4132)</f>
        <v>VSA</v>
      </c>
      <c r="F40">
        <f>+IF(E40="","",VLOOKUP(E40,CATALOGO!G:L,6,0))</f>
        <v>6</v>
      </c>
      <c r="G40" s="85">
        <f>IF('Consulta1'!F4132="","",'Consulta1'!F4132)</f>
        <v>240</v>
      </c>
      <c r="H40" s="85">
        <f>IF('Consulta1'!G4132="","",'Consulta1'!G4132)</f>
        <v>5</v>
      </c>
      <c r="I40" s="86">
        <f>IF('Consulta1'!H4132="","",'Consulta1'!H4132)</f>
        <v>46287</v>
      </c>
      <c r="J40">
        <f t="shared" si="0"/>
        <v>39</v>
      </c>
      <c r="K40">
        <f>+IF(E40="","",VLOOKUP(E40,CATALOGO!G:I,2,0))</f>
        <v>1</v>
      </c>
      <c r="L40">
        <f>+IF(E40="","",VLOOKUP(E40,CATALOGO!G:I,3,0))</f>
        <v>24</v>
      </c>
      <c r="M40" s="87">
        <f>IF('Consulta1'!I4132="","",'Consulta1'!I4132)</f>
        <v>46291</v>
      </c>
      <c r="N40" s="88" t="str">
        <f>IF('Consulta1'!J4132="","",'Consulta1'!J4132)</f>
        <v>43793</v>
      </c>
      <c r="O40" t="str">
        <v>CHIAPAS|A01 002 FORTALEZA|20260922|20260926|VSA|WM|CRG07128|19 CONVENCIONAL Y 5 ORG</v>
      </c>
      <c r="P40">
        <v>1</v>
      </c>
      <c r="Q40" t="str">
        <v>CHIAPAS|A01 002 FORTALEZA|20260922|20260926|VSA|WM|CRG07128|19 CONVENCIONAL Y 5 ORG|1</v>
      </c>
      <c r="R40" t="str">
        <v>Programa Embarques 2026 S-39.xlsx</v>
      </c>
    </row>
    <row r="41" spans="1:18" ht="18.75" x14ac:dyDescent="0.25">
      <c r="A41" s="82" t="str">
        <f>IF('Consulta1'!A4133="","",'Consulta1'!A4133)</f>
        <v>Chanitos Cha Cha Cha (2da) Granel</v>
      </c>
      <c r="B41" s="82" t="str">
        <f>IF('Consulta1'!B4133="","",'Consulta1'!B4133)</f>
        <v>CSA04120</v>
      </c>
      <c r="C41" s="83" t="str">
        <f>IF('Consulta1'!C4133="","",'Consulta1'!C4133)</f>
        <v>A01002-392209-4</v>
      </c>
      <c r="D41" s="84" t="str">
        <f>IF('Consulta1'!D4133="","",'Consulta1'!D4133)</f>
        <v>A01 002 Fortaleza</v>
      </c>
      <c r="E41" s="82" t="str">
        <f>IF('Consulta1'!E4133="","",'Consulta1'!E4133)</f>
        <v>CEDA</v>
      </c>
      <c r="F41">
        <f>+IF(E41="","",VLOOKUP(E41,CATALOGO!G:L,6,0))</f>
        <v>0</v>
      </c>
      <c r="G41" s="85">
        <f>IF('Consulta1'!F4133="","",'Consulta1'!F4133)</f>
        <v>44</v>
      </c>
      <c r="H41" s="85" t="str">
        <f>IF('Consulta1'!G4133="","",'Consulta1'!G4133)</f>
        <v>Granel</v>
      </c>
      <c r="I41" s="86">
        <f>IF('Consulta1'!H4133="","",'Consulta1'!H4133)</f>
        <v>46287</v>
      </c>
      <c r="J41">
        <f t="shared" si="0"/>
        <v>39</v>
      </c>
      <c r="K41">
        <f>+IF(E41="","",VLOOKUP(E41,CATALOGO!G:I,2,0))</f>
        <v>1.5</v>
      </c>
      <c r="L41">
        <f>+IF(E41="","",VLOOKUP(E41,CATALOGO!G:I,3,0))</f>
        <v>36</v>
      </c>
      <c r="M41" s="87">
        <f>IF('Consulta1'!I4133="","",'Consulta1'!I4133)</f>
        <v>46289</v>
      </c>
      <c r="N41" s="88" t="str">
        <f>IF('Consulta1'!J4133="","",'Consulta1'!J4133)</f>
        <v>0</v>
      </c>
      <c r="O41" t="str">
        <v>CHIAPAS|A01 002 FORTALEZA|20260922|20260924|CEDA|CEDA PISO|CSA04120|CEDA PISO PRODUCTORAS</v>
      </c>
      <c r="P41">
        <v>1</v>
      </c>
      <c r="Q41" t="str">
        <v>CHIAPAS|A01 002 FORTALEZA|20260922|20260924|CEDA|CEDA PISO|CSA04120|CEDA PISO PRODUCTORAS|1</v>
      </c>
      <c r="R41" t="str">
        <v>Programa Embarques 2026 S-39.xlsx</v>
      </c>
    </row>
    <row r="42" spans="1:18" ht="18.75" x14ac:dyDescent="0.25">
      <c r="A42" s="82" t="str">
        <f>IF('Consulta1'!A4134="","",'Consulta1'!A4134)</f>
        <v>Chanitos Manitas Granel</v>
      </c>
      <c r="B42" s="82" t="str">
        <f>IF('Consulta1'!B4134="","",'Consulta1'!B4134)</f>
        <v>CMN05123</v>
      </c>
      <c r="C42" s="83" t="str">
        <f>IF('Consulta1'!C4134="","",'Consulta1'!C4134)</f>
        <v>A01002-392209-3</v>
      </c>
      <c r="D42" s="84" t="str">
        <f>IF('Consulta1'!D4134="","",'Consulta1'!D4134)</f>
        <v>A01 002 Fortaleza</v>
      </c>
      <c r="E42" s="82" t="str">
        <f>IF('Consulta1'!E4134="","",'Consulta1'!E4134)</f>
        <v>CEDA</v>
      </c>
      <c r="F42">
        <f>+IF(E42="","",VLOOKUP(E42,CATALOGO!G:L,6,0))</f>
        <v>0</v>
      </c>
      <c r="G42" s="85">
        <f>IF('Consulta1'!F4134="","",'Consulta1'!F4134)</f>
        <v>42</v>
      </c>
      <c r="H42" s="85" t="str">
        <f>IF('Consulta1'!G4134="","",'Consulta1'!G4134)</f>
        <v>Granel</v>
      </c>
      <c r="I42" s="86">
        <f>IF('Consulta1'!H4134="","",'Consulta1'!H4134)</f>
        <v>46287</v>
      </c>
      <c r="J42">
        <f t="shared" si="0"/>
        <v>39</v>
      </c>
      <c r="K42">
        <f>+IF(E42="","",VLOOKUP(E42,CATALOGO!G:I,2,0))</f>
        <v>1.5</v>
      </c>
      <c r="L42">
        <f>+IF(E42="","",VLOOKUP(E42,CATALOGO!G:I,3,0))</f>
        <v>36</v>
      </c>
      <c r="M42" s="87">
        <f>IF('Consulta1'!I4134="","",'Consulta1'!I4134)</f>
        <v>46289</v>
      </c>
      <c r="N42" s="88" t="str">
        <f>IF('Consulta1'!J4134="","",'Consulta1'!J4134)</f>
        <v>0</v>
      </c>
      <c r="O42" t="str">
        <v>CHIAPAS|A01 002 FORTALEZA|20260922|20260924|CEDA|CEDA PISO|CMN05123|CEDA PISO PRODUCTORAS</v>
      </c>
      <c r="P42">
        <v>1</v>
      </c>
      <c r="Q42" t="str">
        <v>CHIAPAS|A01 002 FORTALEZA|20260922|20260924|CEDA|CEDA PISO|CMN05123|CEDA PISO PRODUCTORAS|1</v>
      </c>
      <c r="R42" t="str">
        <v>Programa Embarques 2026 S-39.xlsx</v>
      </c>
    </row>
    <row r="43" spans="1:18" ht="18.75" x14ac:dyDescent="0.25">
      <c r="A43" s="82" t="str">
        <f>IF('Consulta1'!A4135="","",'Consulta1'!A4135)</f>
        <v>Chanitos Cha Cha Cha (DS) Granel</v>
      </c>
      <c r="B43" s="82" t="str">
        <f>IF('Consulta1'!B4135="","",'Consulta1'!B4135)</f>
        <v>CDS04122</v>
      </c>
      <c r="C43" s="83" t="str">
        <f>IF('Consulta1'!C4135="","",'Consulta1'!C4135)</f>
        <v>A01002-392209-5</v>
      </c>
      <c r="D43" s="84" t="str">
        <f>IF('Consulta1'!D4135="","",'Consulta1'!D4135)</f>
        <v>A01 002 Fortaleza</v>
      </c>
      <c r="E43" s="82" t="str">
        <f>IF('Consulta1'!E4135="","",'Consulta1'!E4135)</f>
        <v>CEDA</v>
      </c>
      <c r="F43">
        <f>+IF(E43="","",VLOOKUP(E43,CATALOGO!G:L,6,0))</f>
        <v>0</v>
      </c>
      <c r="G43" s="85">
        <f>IF('Consulta1'!F4135="","",'Consulta1'!F4135)</f>
        <v>35</v>
      </c>
      <c r="H43" s="85" t="str">
        <f>IF('Consulta1'!G4135="","",'Consulta1'!G4135)</f>
        <v>Granel</v>
      </c>
      <c r="I43" s="86">
        <f>IF('Consulta1'!H4135="","",'Consulta1'!H4135)</f>
        <v>46287</v>
      </c>
      <c r="J43">
        <f t="shared" si="0"/>
        <v>39</v>
      </c>
      <c r="K43">
        <f>+IF(E43="","",VLOOKUP(E43,CATALOGO!G:I,2,0))</f>
        <v>1.5</v>
      </c>
      <c r="L43">
        <f>+IF(E43="","",VLOOKUP(E43,CATALOGO!G:I,3,0))</f>
        <v>36</v>
      </c>
      <c r="M43" s="87">
        <f>IF('Consulta1'!I4135="","",'Consulta1'!I4135)</f>
        <v>46289</v>
      </c>
      <c r="N43" s="88" t="str">
        <f>IF('Consulta1'!J4135="","",'Consulta1'!J4135)</f>
        <v>0</v>
      </c>
      <c r="O43" t="str">
        <v>CHIAPAS|A01 002 FORTALEZA|20260922|20260924|CEDA|CEDA PISO|CDS04122|CEDA PISO PRODUCTORAS</v>
      </c>
      <c r="P43">
        <v>1</v>
      </c>
      <c r="Q43" t="str">
        <v>CHIAPAS|A01 002 FORTALEZA|20260922|20260924|CEDA|CEDA PISO|CDS04122|CEDA PISO PRODUCTORAS|1</v>
      </c>
      <c r="R43" t="str">
        <v>Programa Embarques 2026 S-39.xlsx</v>
      </c>
    </row>
    <row r="44" spans="1:18" ht="18.75" x14ac:dyDescent="0.25">
      <c r="A44" s="82" t="str">
        <f>IF('Consulta1'!A4136="","",'Consulta1'!A4136)</f>
        <v>Chanitos Cha Cha Cha 22XU  CP34 Mar Kodawari</v>
      </c>
      <c r="B44" s="82" t="str">
        <f>IF('Consulta1'!B4136="","",'Consulta1'!B4136)</f>
        <v>CPR03119</v>
      </c>
      <c r="C44" s="83" t="str">
        <f>IF('Consulta1'!C4136="","",'Consulta1'!C4136)</f>
        <v>A01001-392209-1</v>
      </c>
      <c r="D44" s="84" t="str">
        <f>IF('Consulta1'!D4136="","",'Consulta1'!D4136)</f>
        <v>A01 001 Marbella</v>
      </c>
      <c r="E44" s="82" t="str">
        <f>IF('Consulta1'!E4136="","",'Consulta1'!E4136)</f>
        <v>Japon</v>
      </c>
      <c r="F44">
        <f>+IF(E44="","",VLOOKUP(E44,CATALOGO!G:L,6,0))</f>
        <v>0</v>
      </c>
      <c r="G44" s="85">
        <f>IF('Consulta1'!F4136="","",'Consulta1'!F4136)</f>
        <v>324</v>
      </c>
      <c r="H44" s="85">
        <f>IF('Consulta1'!G4136="","",'Consulta1'!G4136)</f>
        <v>6</v>
      </c>
      <c r="I44" s="86">
        <f>IF('Consulta1'!H4136="","",'Consulta1'!H4136)</f>
        <v>46287</v>
      </c>
      <c r="J44">
        <f t="shared" si="0"/>
        <v>39</v>
      </c>
      <c r="K44">
        <f>+IF(E44="","",VLOOKUP(E44,CATALOGO!G:I,2,0))</f>
        <v>2</v>
      </c>
      <c r="L44">
        <f>+IF(E44="","",VLOOKUP(E44,CATALOGO!G:I,3,0))</f>
        <v>48</v>
      </c>
      <c r="M44" s="87">
        <f>IF('Consulta1'!I4136="","",'Consulta1'!I4136)</f>
        <v>46290</v>
      </c>
      <c r="N44" s="88" t="str">
        <f>IF('Consulta1'!J4136="","",'Consulta1'!J4136)</f>
        <v>45358</v>
      </c>
      <c r="O44" t="str">
        <v>CHIAPAS|A01 001 MARBELLA|20260922|20260925|JAPON|MAR|CPR03119|CP27-14 CP34-6</v>
      </c>
      <c r="P44">
        <v>1</v>
      </c>
      <c r="Q44" t="str">
        <v>CHIAPAS|A01 001 MARBELLA|20260922|20260925|JAPON|MAR|CPR03119|CP27-14 CP34-6|1</v>
      </c>
      <c r="R44" t="str">
        <v>Programa Embarques 2026 S-39.xlsx</v>
      </c>
    </row>
    <row r="45" spans="1:18" ht="18.75" x14ac:dyDescent="0.25">
      <c r="A45" s="82" t="str">
        <f>IF('Consulta1'!A4137="","",'Consulta1'!A4137)</f>
        <v>Chanitos Cha Cha Cha 22XU CP27 Mar Kodawari</v>
      </c>
      <c r="B45" s="82" t="str">
        <f>IF('Consulta1'!B4137="","",'Consulta1'!B4137)</f>
        <v>CPR03124</v>
      </c>
      <c r="C45" s="83" t="str">
        <f>IF('Consulta1'!C4137="","",'Consulta1'!C4137)</f>
        <v>A01001-392209-1</v>
      </c>
      <c r="D45" s="84" t="str">
        <f>IF('Consulta1'!D4137="","",'Consulta1'!D4137)</f>
        <v>A01 001 Marbella</v>
      </c>
      <c r="E45" s="82" t="str">
        <f>IF('Consulta1'!E4137="","",'Consulta1'!E4137)</f>
        <v>Japon</v>
      </c>
      <c r="F45">
        <f>+IF(E45="","",VLOOKUP(E45,CATALOGO!G:L,6,0))</f>
        <v>0</v>
      </c>
      <c r="G45" s="85">
        <f>IF('Consulta1'!F4137="","",'Consulta1'!F4137)</f>
        <v>756</v>
      </c>
      <c r="H45" s="85">
        <f>IF('Consulta1'!G4137="","",'Consulta1'!G4137)</f>
        <v>14</v>
      </c>
      <c r="I45" s="86">
        <f>IF('Consulta1'!H4137="","",'Consulta1'!H4137)</f>
        <v>46287</v>
      </c>
      <c r="J45">
        <f t="shared" si="0"/>
        <v>39</v>
      </c>
      <c r="K45">
        <f>+IF(E45="","",VLOOKUP(E45,CATALOGO!G:I,2,0))</f>
        <v>2</v>
      </c>
      <c r="L45">
        <f>+IF(E45="","",VLOOKUP(E45,CATALOGO!G:I,3,0))</f>
        <v>48</v>
      </c>
      <c r="M45" s="87">
        <f>IF('Consulta1'!I4137="","",'Consulta1'!I4137)</f>
        <v>46290</v>
      </c>
      <c r="N45" s="88" t="str">
        <f>IF('Consulta1'!J4137="","",'Consulta1'!J4137)</f>
        <v>45358</v>
      </c>
      <c r="O45" t="str">
        <v>CHIAPAS|A01 001 MARBELLA|20260922|20260925|JAPON|MAR|CPR03124|CP27-14 CP34-6</v>
      </c>
      <c r="P45">
        <v>1</v>
      </c>
      <c r="Q45" t="str">
        <v>CHIAPAS|A01 001 MARBELLA|20260922|20260925|JAPON|MAR|CPR03124|CP27-14 CP34-6|1</v>
      </c>
      <c r="R45" t="str">
        <v>Programa Embarques 2026 S-39.xlsx</v>
      </c>
    </row>
    <row r="46" spans="1:18" ht="18.75" x14ac:dyDescent="0.25">
      <c r="A46" s="82" t="str">
        <f>IF('Consulta1'!A4138="","",'Consulta1'!A4138)</f>
        <v>Chanitos Premium Tarima Chep</v>
      </c>
      <c r="B46" s="82" t="str">
        <f>IF('Consulta1'!B4138="","",'Consulta1'!B4138)</f>
        <v>CPR01102</v>
      </c>
      <c r="C46" s="83" t="str">
        <f>IF('Consulta1'!C4138="","",'Consulta1'!C4138)</f>
        <v>A01001-392209-1</v>
      </c>
      <c r="D46" s="84" t="str">
        <f>IF('Consulta1'!D4138="","",'Consulta1'!D4138)</f>
        <v>A01 001 Marbella</v>
      </c>
      <c r="E46" s="82" t="str">
        <f>IF('Consulta1'!E4138="","",'Consulta1'!E4138)</f>
        <v>VSA</v>
      </c>
      <c r="F46">
        <f>+IF(E46="","",VLOOKUP(E46,CATALOGO!G:L,6,0))</f>
        <v>6</v>
      </c>
      <c r="G46" s="85">
        <f>IF('Consulta1'!F4138="","",'Consulta1'!F4138)</f>
        <v>48</v>
      </c>
      <c r="H46" s="85">
        <f>IF('Consulta1'!G4138="","",'Consulta1'!G4138)</f>
        <v>1</v>
      </c>
      <c r="I46" s="86">
        <f>IF('Consulta1'!H4138="","",'Consulta1'!H4138)</f>
        <v>46287</v>
      </c>
      <c r="J46">
        <f t="shared" si="0"/>
        <v>39</v>
      </c>
      <c r="K46">
        <f>+IF(E46="","",VLOOKUP(E46,CATALOGO!G:I,2,0))</f>
        <v>1</v>
      </c>
      <c r="L46">
        <f>+IF(E46="","",VLOOKUP(E46,CATALOGO!G:I,3,0))</f>
        <v>24</v>
      </c>
      <c r="M46" s="87">
        <f>IF('Consulta1'!I4138="","",'Consulta1'!I4138)</f>
        <v>46292</v>
      </c>
      <c r="N46" s="88" t="str">
        <f>IF('Consulta1'!J4138="","",'Consulta1'!J4138)</f>
        <v>45089</v>
      </c>
      <c r="O46" t="str">
        <v>CHIAPAS|A01 001 MARBELLA|20260922|20260927|VSA|WM|CPR01102|24 CONVENCIONAL</v>
      </c>
      <c r="P46">
        <v>1</v>
      </c>
      <c r="Q46" t="str">
        <v>CHIAPAS|A01 001 MARBELLA|20260922|20260927|VSA|WM|CPR01102|24 CONVENCIONAL|1</v>
      </c>
      <c r="R46" t="str">
        <v>Programa Embarques 2026 S-39.xlsx</v>
      </c>
    </row>
    <row r="47" spans="1:18" ht="18.75" x14ac:dyDescent="0.25">
      <c r="A47" s="82" t="str">
        <f>IF('Consulta1'!A4139="","",'Consulta1'!A4139)</f>
        <v>Chanitos Premium Tarima Chep</v>
      </c>
      <c r="B47" s="82" t="str">
        <f>IF('Consulta1'!B4139="","",'Consulta1'!B4139)</f>
        <v>CPR01102</v>
      </c>
      <c r="C47" s="83" t="str">
        <f>IF('Consulta1'!C4139="","",'Consulta1'!C4139)</f>
        <v>A01001-392209-1</v>
      </c>
      <c r="D47" s="84" t="str">
        <f>IF('Consulta1'!D4139="","",'Consulta1'!D4139)</f>
        <v>A01 001 Marbella</v>
      </c>
      <c r="E47" s="82" t="str">
        <f>IF('Consulta1'!E4139="","",'Consulta1'!E4139)</f>
        <v>CEDA</v>
      </c>
      <c r="F47">
        <f>+IF(E47="","",VLOOKUP(E47,CATALOGO!G:L,6,0))</f>
        <v>0</v>
      </c>
      <c r="G47" s="85">
        <f>IF('Consulta1'!F4139="","",'Consulta1'!F4139)</f>
        <v>144</v>
      </c>
      <c r="H47" s="85">
        <f>IF('Consulta1'!G4139="","",'Consulta1'!G4139)</f>
        <v>3</v>
      </c>
      <c r="I47" s="86">
        <f>IF('Consulta1'!H4139="","",'Consulta1'!H4139)</f>
        <v>46287</v>
      </c>
      <c r="J47">
        <f t="shared" si="0"/>
        <v>39</v>
      </c>
      <c r="K47">
        <f>+IF(E47="","",VLOOKUP(E47,CATALOGO!G:I,2,0))</f>
        <v>1.5</v>
      </c>
      <c r="L47">
        <f>+IF(E47="","",VLOOKUP(E47,CATALOGO!G:I,3,0))</f>
        <v>36</v>
      </c>
      <c r="M47" s="87">
        <f>IF('Consulta1'!I4139="","",'Consulta1'!I4139)</f>
        <v>46288</v>
      </c>
      <c r="N47" s="88" t="str">
        <f>IF('Consulta1'!J4139="","",'Consulta1'!J4139)</f>
        <v>0</v>
      </c>
      <c r="O47" t="str">
        <v>CHIAPAS|A01 001 MARBELLA|20260922|20260923|CEDA|CEDA AUTOSERVICIO|CPR01102|CEDA</v>
      </c>
      <c r="P47">
        <v>1</v>
      </c>
      <c r="Q47" t="str">
        <v>CHIAPAS|A01 001 MARBELLA|20260922|20260923|CEDA|CEDA AUTOSERVICIO|CPR01102|CEDA|1</v>
      </c>
      <c r="R47" t="str">
        <v>Programa Embarques 2026 S-39.xlsx</v>
      </c>
    </row>
    <row r="48" spans="1:18" ht="18.75" x14ac:dyDescent="0.25">
      <c r="A48" s="82" t="str">
        <f>IF('Consulta1'!A4140="","",'Consulta1'!A4140)</f>
        <v>Chanitos Premium Granel</v>
      </c>
      <c r="B48" s="82" t="str">
        <f>IF('Consulta1'!B4140="","",'Consulta1'!B4140)</f>
        <v>CPR01101</v>
      </c>
      <c r="C48" s="83" t="str">
        <f>IF('Consulta1'!C4140="","",'Consulta1'!C4140)</f>
        <v>A01001-392209-1</v>
      </c>
      <c r="D48" s="84" t="str">
        <f>IF('Consulta1'!D4140="","",'Consulta1'!D4140)</f>
        <v>A01 001 Marbella</v>
      </c>
      <c r="E48" s="82" t="str">
        <f>IF('Consulta1'!E4140="","",'Consulta1'!E4140)</f>
        <v>CEDA</v>
      </c>
      <c r="F48">
        <f>+IF(E48="","",VLOOKUP(E48,CATALOGO!G:L,6,0))</f>
        <v>0</v>
      </c>
      <c r="G48" s="85">
        <f>IF('Consulta1'!F4140="","",'Consulta1'!F4140)</f>
        <v>112</v>
      </c>
      <c r="H48" s="85" t="str">
        <f>IF('Consulta1'!G4140="","",'Consulta1'!G4140)</f>
        <v>Granel</v>
      </c>
      <c r="I48" s="86">
        <f>IF('Consulta1'!H4140="","",'Consulta1'!H4140)</f>
        <v>46287</v>
      </c>
      <c r="J48">
        <f t="shared" si="0"/>
        <v>39</v>
      </c>
      <c r="K48">
        <f>+IF(E48="","",VLOOKUP(E48,CATALOGO!G:I,2,0))</f>
        <v>1.5</v>
      </c>
      <c r="L48">
        <f>+IF(E48="","",VLOOKUP(E48,CATALOGO!G:I,3,0))</f>
        <v>36</v>
      </c>
      <c r="M48" s="87">
        <f>IF('Consulta1'!I4140="","",'Consulta1'!I4140)</f>
        <v>46288</v>
      </c>
      <c r="N48" s="88" t="str">
        <f>IF('Consulta1'!J4140="","",'Consulta1'!J4140)</f>
        <v>0</v>
      </c>
      <c r="O48" t="str">
        <v>CHIAPAS|A01 001 MARBELLA|20260922|20260923|CEDA|CEDA PISO|CPR01101|CEDA PISO PRODUCTORAS</v>
      </c>
      <c r="P48">
        <v>1</v>
      </c>
      <c r="Q48" t="str">
        <v>CHIAPAS|A01 001 MARBELLA|20260922|20260923|CEDA|CEDA PISO|CPR01101|CEDA PISO PRODUCTORAS|1</v>
      </c>
      <c r="R48" t="str">
        <v>Programa Embarques 2026 S-39.xlsx</v>
      </c>
    </row>
    <row r="49" spans="1:18" ht="18.75" x14ac:dyDescent="0.25">
      <c r="A49" s="82" t="str">
        <f>IF('Consulta1'!A4141="","",'Consulta1'!A4141)</f>
        <v>Chanitos Cha Cha Cha (2da) Granel</v>
      </c>
      <c r="B49" s="82" t="str">
        <f>IF('Consulta1'!B4141="","",'Consulta1'!B4141)</f>
        <v>CSA04120</v>
      </c>
      <c r="C49" s="83" t="str">
        <f>IF('Consulta1'!C4141="","",'Consulta1'!C4141)</f>
        <v>A01001-392209-4</v>
      </c>
      <c r="D49" s="84" t="str">
        <f>IF('Consulta1'!D4141="","",'Consulta1'!D4141)</f>
        <v>A01 001 Marbella</v>
      </c>
      <c r="E49" s="82" t="str">
        <f>IF('Consulta1'!E4141="","",'Consulta1'!E4141)</f>
        <v>CEDA</v>
      </c>
      <c r="F49">
        <f>+IF(E49="","",VLOOKUP(E49,CATALOGO!G:L,6,0))</f>
        <v>0</v>
      </c>
      <c r="G49" s="85">
        <f>IF('Consulta1'!F4141="","",'Consulta1'!F4141)</f>
        <v>46</v>
      </c>
      <c r="H49" s="85" t="str">
        <f>IF('Consulta1'!G4141="","",'Consulta1'!G4141)</f>
        <v>Granel</v>
      </c>
      <c r="I49" s="86">
        <f>IF('Consulta1'!H4141="","",'Consulta1'!H4141)</f>
        <v>46287</v>
      </c>
      <c r="J49">
        <f t="shared" si="0"/>
        <v>39</v>
      </c>
      <c r="K49">
        <f>+IF(E49="","",VLOOKUP(E49,CATALOGO!G:I,2,0))</f>
        <v>1.5</v>
      </c>
      <c r="L49">
        <f>+IF(E49="","",VLOOKUP(E49,CATALOGO!G:I,3,0))</f>
        <v>36</v>
      </c>
      <c r="M49" s="87">
        <f>IF('Consulta1'!I4141="","",'Consulta1'!I4141)</f>
        <v>46289</v>
      </c>
      <c r="N49" s="88" t="str">
        <f>IF('Consulta1'!J4141="","",'Consulta1'!J4141)</f>
        <v>0</v>
      </c>
      <c r="O49" t="str">
        <v>CHIAPAS|A01 001 MARBELLA|20260922|20260924|CEDA|CEDA PISO|CSA04120|CEDA PISO PRODUCTORAS</v>
      </c>
      <c r="P49">
        <v>1</v>
      </c>
      <c r="Q49" t="str">
        <v>CHIAPAS|A01 001 MARBELLA|20260922|20260924|CEDA|CEDA PISO|CSA04120|CEDA PISO PRODUCTORAS|1</v>
      </c>
      <c r="R49" t="str">
        <v>Programa Embarques 2026 S-39.xlsx</v>
      </c>
    </row>
    <row r="50" spans="1:18" ht="18.75" x14ac:dyDescent="0.25">
      <c r="A50" s="82" t="str">
        <f>IF('Consulta1'!A4142="","",'Consulta1'!A4142)</f>
        <v>Chanitos Manitas Granel</v>
      </c>
      <c r="B50" s="82" t="str">
        <f>IF('Consulta1'!B4142="","",'Consulta1'!B4142)</f>
        <v>CMN05123</v>
      </c>
      <c r="C50" s="83" t="str">
        <f>IF('Consulta1'!C4142="","",'Consulta1'!C4142)</f>
        <v>A01001-392209-3</v>
      </c>
      <c r="D50" s="84" t="str">
        <f>IF('Consulta1'!D4142="","",'Consulta1'!D4142)</f>
        <v>A01 001 Marbella</v>
      </c>
      <c r="E50" s="82" t="str">
        <f>IF('Consulta1'!E4142="","",'Consulta1'!E4142)</f>
        <v>CEDA</v>
      </c>
      <c r="F50">
        <f>+IF(E50="","",VLOOKUP(E50,CATALOGO!G:L,6,0))</f>
        <v>0</v>
      </c>
      <c r="G50" s="85">
        <f>IF('Consulta1'!F4142="","",'Consulta1'!F4142)</f>
        <v>9</v>
      </c>
      <c r="H50" s="85" t="str">
        <f>IF('Consulta1'!G4142="","",'Consulta1'!G4142)</f>
        <v>Granel</v>
      </c>
      <c r="I50" s="86">
        <f>IF('Consulta1'!H4142="","",'Consulta1'!H4142)</f>
        <v>46287</v>
      </c>
      <c r="J50">
        <f t="shared" si="0"/>
        <v>39</v>
      </c>
      <c r="K50">
        <f>+IF(E50="","",VLOOKUP(E50,CATALOGO!G:I,2,0))</f>
        <v>1.5</v>
      </c>
      <c r="L50">
        <f>+IF(E50="","",VLOOKUP(E50,CATALOGO!G:I,3,0))</f>
        <v>36</v>
      </c>
      <c r="M50" s="87">
        <f>IF('Consulta1'!I4142="","",'Consulta1'!I4142)</f>
        <v>46289</v>
      </c>
      <c r="N50" s="88" t="str">
        <f>IF('Consulta1'!J4142="","",'Consulta1'!J4142)</f>
        <v>0</v>
      </c>
      <c r="O50" t="str">
        <v>CHIAPAS|A01 001 MARBELLA|20260922|20260924|CEDA|CEDA PISO|CMN05123|CEDA PISO PRODUCTORAS</v>
      </c>
      <c r="P50">
        <v>1</v>
      </c>
      <c r="Q50" t="str">
        <v>CHIAPAS|A01 001 MARBELLA|20260922|20260924|CEDA|CEDA PISO|CMN05123|CEDA PISO PRODUCTORAS|1</v>
      </c>
      <c r="R50" t="str">
        <v>Programa Embarques 2026 S-39.xlsx</v>
      </c>
    </row>
    <row r="51" spans="1:18" ht="18.75" x14ac:dyDescent="0.25">
      <c r="A51" s="82" t="str">
        <f>IF('Consulta1'!A4143="","",'Consulta1'!A4143)</f>
        <v>Chanitos Cha Cha Cha (DS) Granel</v>
      </c>
      <c r="B51" s="82" t="str">
        <f>IF('Consulta1'!B4143="","",'Consulta1'!B4143)</f>
        <v>CDS04122</v>
      </c>
      <c r="C51" s="83" t="str">
        <f>IF('Consulta1'!C4143="","",'Consulta1'!C4143)</f>
        <v>A01001-392209-5</v>
      </c>
      <c r="D51" s="84" t="str">
        <f>IF('Consulta1'!D4143="","",'Consulta1'!D4143)</f>
        <v>A01 001 Marbella</v>
      </c>
      <c r="E51" s="82" t="str">
        <f>IF('Consulta1'!E4143="","",'Consulta1'!E4143)</f>
        <v>CEDA</v>
      </c>
      <c r="F51">
        <f>+IF(E51="","",VLOOKUP(E51,CATALOGO!G:L,6,0))</f>
        <v>0</v>
      </c>
      <c r="G51" s="85">
        <f>IF('Consulta1'!F4143="","",'Consulta1'!F4143)</f>
        <v>30</v>
      </c>
      <c r="H51" s="85" t="str">
        <f>IF('Consulta1'!G4143="","",'Consulta1'!G4143)</f>
        <v>Granel</v>
      </c>
      <c r="I51" s="86">
        <f>IF('Consulta1'!H4143="","",'Consulta1'!H4143)</f>
        <v>46287</v>
      </c>
      <c r="J51">
        <f t="shared" si="0"/>
        <v>39</v>
      </c>
      <c r="K51">
        <f>+IF(E51="","",VLOOKUP(E51,CATALOGO!G:I,2,0))</f>
        <v>1.5</v>
      </c>
      <c r="L51">
        <f>+IF(E51="","",VLOOKUP(E51,CATALOGO!G:I,3,0))</f>
        <v>36</v>
      </c>
      <c r="M51" s="87">
        <f>IF('Consulta1'!I4143="","",'Consulta1'!I4143)</f>
        <v>46289</v>
      </c>
      <c r="N51" s="88" t="str">
        <f>IF('Consulta1'!J4143="","",'Consulta1'!J4143)</f>
        <v>0</v>
      </c>
      <c r="O51" t="str">
        <v>CHIAPAS|A01 001 MARBELLA|20260922|20260924|CEDA|CEDA PISO|CDS04122|CEDA PISO PRODUCTORAS</v>
      </c>
      <c r="P51">
        <v>1</v>
      </c>
      <c r="Q51" t="str">
        <v>CHIAPAS|A01 001 MARBELLA|20260922|20260924|CEDA|CEDA PISO|CDS04122|CEDA PISO PRODUCTORAS|1</v>
      </c>
      <c r="R51" t="str">
        <v>Programa Embarques 2026 S-39.xlsx</v>
      </c>
    </row>
    <row r="52" spans="1:18" ht="18.75" x14ac:dyDescent="0.25">
      <c r="A52" s="82" t="str">
        <f>IF('Consulta1'!A4144="","",'Consulta1'!A4144)</f>
        <v>Chanitos Premium Tarima Americana</v>
      </c>
      <c r="B52" s="82" t="str">
        <f>IF('Consulta1'!B4144="","",'Consulta1'!B4144)</f>
        <v>CPR01103</v>
      </c>
      <c r="C52" s="83" t="str">
        <f>IF('Consulta1'!C4144="","",'Consulta1'!C4144)</f>
        <v>A11045-392209-1</v>
      </c>
      <c r="D52" s="84" t="str">
        <f>IF('Consulta1'!D4144="","",'Consulta1'!D4144)</f>
        <v>A11 045 Sector Mazatan</v>
      </c>
      <c r="E52" s="82" t="str">
        <f>IF('Consulta1'!E4144="","",'Consulta1'!E4144)</f>
        <v>S-MTY</v>
      </c>
      <c r="F52">
        <f>+IF(E52="","",VLOOKUP(E52,CATALOGO!G:L,6,0))</f>
        <v>1</v>
      </c>
      <c r="G52" s="85">
        <f>IF('Consulta1'!F4144="","",'Consulta1'!F4144)</f>
        <v>960</v>
      </c>
      <c r="H52" s="85">
        <f>IF('Consulta1'!G4144="","",'Consulta1'!G4144)</f>
        <v>20</v>
      </c>
      <c r="I52" s="86">
        <f>IF('Consulta1'!H4144="","",'Consulta1'!H4144)</f>
        <v>46287</v>
      </c>
      <c r="J52">
        <f t="shared" si="0"/>
        <v>39</v>
      </c>
      <c r="K52">
        <f>+IF(E52="","",VLOOKUP(E52,CATALOGO!G:I,2,0))</f>
        <v>3</v>
      </c>
      <c r="L52">
        <f>+IF(E52="","",VLOOKUP(E52,CATALOGO!G:I,3,0))</f>
        <v>72</v>
      </c>
      <c r="M52" s="87">
        <f>IF('Consulta1'!I4144="","",'Consulta1'!I4144)</f>
        <v>46291</v>
      </c>
      <c r="N52" s="88" t="str">
        <f>IF('Consulta1'!J4144="","",'Consulta1'!J4144)</f>
        <v>45643</v>
      </c>
      <c r="O52" t="str">
        <v>CHIAPAS|A11 045 SECTOR MAZATAN|20260922|20260926|S-MTY|SMART|CPR01103|20 CONVENCIONAL SM1</v>
      </c>
      <c r="P52">
        <v>1</v>
      </c>
      <c r="Q52" t="str">
        <v>CHIAPAS|A11 045 SECTOR MAZATAN|20260922|20260926|S-MTY|SMART|CPR01103|20 CONVENCIONAL SM1|1</v>
      </c>
      <c r="R52" t="str">
        <v>Programa Embarques 2026 S-39.xlsx</v>
      </c>
    </row>
    <row r="53" spans="1:18" ht="18.75" x14ac:dyDescent="0.25">
      <c r="A53" s="82" t="str">
        <f>IF('Consulta1'!A4145="","",'Consulta1'!A4145)</f>
        <v>Chanitos Premium Tarima Americana</v>
      </c>
      <c r="B53" s="82" t="str">
        <f>IF('Consulta1'!B4145="","",'Consulta1'!B4145)</f>
        <v>CPR01103</v>
      </c>
      <c r="C53" s="83" t="str">
        <f>IF('Consulta1'!C4145="","",'Consulta1'!C4145)</f>
        <v>A11045-392209-1</v>
      </c>
      <c r="D53" s="84" t="str">
        <f>IF('Consulta1'!D4145="","",'Consulta1'!D4145)</f>
        <v>A11 045 Sector Mazatan</v>
      </c>
      <c r="E53" s="82" t="str">
        <f>IF('Consulta1'!E4145="","",'Consulta1'!E4145)</f>
        <v>Ciudad Juarez</v>
      </c>
      <c r="F53">
        <f>+IF(E53="","",VLOOKUP(E53,CATALOGO!G:L,6,0))</f>
        <v>1</v>
      </c>
      <c r="G53" s="85">
        <f>IF('Consulta1'!F4145="","",'Consulta1'!F4145)</f>
        <v>288</v>
      </c>
      <c r="H53" s="85">
        <f>IF('Consulta1'!G4145="","",'Consulta1'!G4145)</f>
        <v>6</v>
      </c>
      <c r="I53" s="86">
        <f>IF('Consulta1'!H4145="","",'Consulta1'!H4145)</f>
        <v>46287</v>
      </c>
      <c r="J53">
        <f t="shared" si="0"/>
        <v>39</v>
      </c>
      <c r="K53">
        <f>+IF(E53="","",VLOOKUP(E53,CATALOGO!G:I,2,0))</f>
        <v>4</v>
      </c>
      <c r="L53">
        <f>+IF(E53="","",VLOOKUP(E53,CATALOGO!G:I,3,0))</f>
        <v>96</v>
      </c>
      <c r="M53" s="87">
        <f>IF('Consulta1'!I4145="","",'Consulta1'!I4145)</f>
        <v>46294</v>
      </c>
      <c r="N53" s="88" t="str">
        <f>IF('Consulta1'!J4145="","",'Consulta1'!J4145)</f>
        <v>43271</v>
      </c>
      <c r="O53" t="str">
        <v>CHIAPAS|A11 045 SECTOR MAZATAN|20260922|20260929|CIUDAD JUAREZ|SMART|CPR01103|17 CONVENCIONAL Y 3 PLANTAIN</v>
      </c>
      <c r="P53">
        <v>1</v>
      </c>
      <c r="Q53" t="str">
        <v>CHIAPAS|A11 045 SECTOR MAZATAN|20260922|20260929|CIUDAD JUAREZ|SMART|CPR01103|17 CONVENCIONAL Y 3 PLANTAIN|1</v>
      </c>
      <c r="R53" t="str">
        <v>Programa Embarques 2026 S-39.xlsx</v>
      </c>
    </row>
    <row r="54" spans="1:18" ht="18.75" x14ac:dyDescent="0.25">
      <c r="A54" s="82" t="str">
        <f>IF('Consulta1'!A4146="","",'Consulta1'!A4146)</f>
        <v>Chanitos Plantain 20Kg Tarima Americana</v>
      </c>
      <c r="B54" s="82" t="str">
        <f>IF('Consulta1'!B4146="","",'Consulta1'!B4146)</f>
        <v>CPL08134</v>
      </c>
      <c r="C54" s="83" t="str">
        <f>IF('Consulta1'!C4146="","",'Consulta1'!C4146)</f>
        <v>A15063-392209-1</v>
      </c>
      <c r="D54" s="84" t="str">
        <f>IF('Consulta1'!D4146="","",'Consulta1'!D4146)</f>
        <v>A15 063 Zaragoza</v>
      </c>
      <c r="E54" s="82" t="str">
        <f>IF('Consulta1'!E4146="","",'Consulta1'!E4146)</f>
        <v>S-MTY</v>
      </c>
      <c r="F54">
        <f>+IF(E54="","",VLOOKUP(E54,CATALOGO!G:L,6,0))</f>
        <v>1</v>
      </c>
      <c r="G54" s="85">
        <f>IF('Consulta1'!F4146="","",'Consulta1'!F4146)</f>
        <v>96</v>
      </c>
      <c r="H54" s="85">
        <f>IF('Consulta1'!G4146="","",'Consulta1'!G4146)</f>
        <v>2</v>
      </c>
      <c r="I54" s="86">
        <f>IF('Consulta1'!H4146="","",'Consulta1'!H4146)</f>
        <v>46287</v>
      </c>
      <c r="J54">
        <f t="shared" si="0"/>
        <v>39</v>
      </c>
      <c r="K54">
        <f>+IF(E54="","",VLOOKUP(E54,CATALOGO!G:I,2,0))</f>
        <v>3</v>
      </c>
      <c r="L54">
        <f>+IF(E54="","",VLOOKUP(E54,CATALOGO!G:I,3,0))</f>
        <v>72</v>
      </c>
      <c r="M54" s="87">
        <f>IF('Consulta1'!I4146="","",'Consulta1'!I4146)</f>
        <v>46293</v>
      </c>
      <c r="N54" s="88" t="str">
        <f>IF('Consulta1'!J4146="","",'Consulta1'!J4146)</f>
        <v>43806</v>
      </c>
      <c r="O54" t="str">
        <v>CHIAPAS|A15 063 ZARAGOZA|20260922|20260928|S-MTY|SMART|CPL08134|18 CONVENCIONAL Y 2 PLANTAIN</v>
      </c>
      <c r="P54">
        <v>1</v>
      </c>
      <c r="Q54" t="str">
        <v>CHIAPAS|A15 063 ZARAGOZA|20260922|20260928|S-MTY|SMART|CPL08134|18 CONVENCIONAL Y 2 PLANTAIN|1</v>
      </c>
      <c r="R54" t="str">
        <v>Programa Embarques 2026 S-39.xlsx</v>
      </c>
    </row>
    <row r="55" spans="1:18" ht="18.75" x14ac:dyDescent="0.25">
      <c r="A55" s="82" t="str">
        <f>IF('Consulta1'!A4147="","",'Consulta1'!A4147)</f>
        <v>Chanitos Plantain 20Kg Tarima Americana</v>
      </c>
      <c r="B55" s="82" t="str">
        <f>IF('Consulta1'!B4147="","",'Consulta1'!B4147)</f>
        <v>CPL08134</v>
      </c>
      <c r="C55" s="83" t="str">
        <f>IF('Consulta1'!C4147="","",'Consulta1'!C4147)</f>
        <v>A15063-392209-1</v>
      </c>
      <c r="D55" s="84" t="str">
        <f>IF('Consulta1'!D4147="","",'Consulta1'!D4147)</f>
        <v>A15 063 Zaragoza</v>
      </c>
      <c r="E55" s="82" t="str">
        <f>IF('Consulta1'!E4147="","",'Consulta1'!E4147)</f>
        <v>Ciudad Juarez</v>
      </c>
      <c r="F55">
        <f>+IF(E55="","",VLOOKUP(E55,CATALOGO!G:L,6,0))</f>
        <v>1</v>
      </c>
      <c r="G55" s="85">
        <f>IF('Consulta1'!F4147="","",'Consulta1'!F4147)</f>
        <v>144</v>
      </c>
      <c r="H55" s="85">
        <f>IF('Consulta1'!G4147="","",'Consulta1'!G4147)</f>
        <v>3</v>
      </c>
      <c r="I55" s="86">
        <f>IF('Consulta1'!H4147="","",'Consulta1'!H4147)</f>
        <v>46287</v>
      </c>
      <c r="J55">
        <f t="shared" si="0"/>
        <v>39</v>
      </c>
      <c r="K55">
        <f>+IF(E55="","",VLOOKUP(E55,CATALOGO!G:I,2,0))</f>
        <v>4</v>
      </c>
      <c r="L55">
        <f>+IF(E55="","",VLOOKUP(E55,CATALOGO!G:I,3,0))</f>
        <v>96</v>
      </c>
      <c r="M55" s="87">
        <f>IF('Consulta1'!I4147="","",'Consulta1'!I4147)</f>
        <v>46294</v>
      </c>
      <c r="N55" s="88" t="str">
        <f>IF('Consulta1'!J4147="","",'Consulta1'!J4147)</f>
        <v>43271</v>
      </c>
      <c r="O55" t="str">
        <v>CHIAPAS|A15 063 ZARAGOZA|20260922|20260929|CIUDAD JUAREZ|SMART|CPL08134|17 CONVENCIONAL Y 3 PLANTAIN</v>
      </c>
      <c r="P55">
        <v>1</v>
      </c>
      <c r="Q55" t="str">
        <v>CHIAPAS|A15 063 ZARAGOZA|20260922|20260929|CIUDAD JUAREZ|SMART|CPL08134|17 CONVENCIONAL Y 3 PLANTAIN|1</v>
      </c>
      <c r="R55" t="str">
        <v>Programa Embarques 2026 S-39.xlsx</v>
      </c>
    </row>
    <row r="56" spans="1:18" ht="18.75" x14ac:dyDescent="0.25">
      <c r="A56" s="82" t="str">
        <f>IF('Consulta1'!A4148="","",'Consulta1'!A4148)</f>
        <v>Chanitos Plantain 20Kg Tarima Chep</v>
      </c>
      <c r="B56" s="82" t="str">
        <f>IF('Consulta1'!B4148="","",'Consulta1'!B4148)</f>
        <v>CPL08141</v>
      </c>
      <c r="C56" s="83" t="str">
        <f>IF('Consulta1'!C4148="","",'Consulta1'!C4148)</f>
        <v>A15063-392209-1</v>
      </c>
      <c r="D56" s="84" t="str">
        <f>IF('Consulta1'!D4148="","",'Consulta1'!D4148)</f>
        <v>A15 063 Zaragoza</v>
      </c>
      <c r="E56" s="82" t="str">
        <f>IF('Consulta1'!E4148="","",'Consulta1'!E4148)</f>
        <v>CEDA</v>
      </c>
      <c r="F56">
        <f>+IF(E56="","",VLOOKUP(E56,CATALOGO!G:L,6,0))</f>
        <v>0</v>
      </c>
      <c r="G56" s="85">
        <f>IF('Consulta1'!F4148="","",'Consulta1'!F4148)</f>
        <v>240</v>
      </c>
      <c r="H56" s="85">
        <f>IF('Consulta1'!G4148="","",'Consulta1'!G4148)</f>
        <v>5</v>
      </c>
      <c r="I56" s="86">
        <f>IF('Consulta1'!H4148="","",'Consulta1'!H4148)</f>
        <v>46287</v>
      </c>
      <c r="J56">
        <f t="shared" si="0"/>
        <v>39</v>
      </c>
      <c r="K56">
        <f>+IF(E56="","",VLOOKUP(E56,CATALOGO!G:I,2,0))</f>
        <v>1.5</v>
      </c>
      <c r="L56">
        <f>+IF(E56="","",VLOOKUP(E56,CATALOGO!G:I,3,0))</f>
        <v>36</v>
      </c>
      <c r="M56" s="87">
        <f>IF('Consulta1'!I4148="","",'Consulta1'!I4148)</f>
        <v>46288</v>
      </c>
      <c r="N56" s="88" t="str">
        <f>IF('Consulta1'!J4148="","",'Consulta1'!J4148)</f>
        <v>0</v>
      </c>
      <c r="O56" t="str">
        <v>CHIAPAS|A15 063 ZARAGOZA|20260922|20260923|CEDA|CEDA AUTOSERVICIO|CPL08141|CEDA PLANTAIN</v>
      </c>
      <c r="P56">
        <v>1</v>
      </c>
      <c r="Q56" t="str">
        <v>CHIAPAS|A15 063 ZARAGOZA|20260922|20260923|CEDA|CEDA AUTOSERVICIO|CPL08141|CEDA PLANTAIN|1</v>
      </c>
      <c r="R56" t="str">
        <v>Programa Embarques 2026 S-39.xlsx</v>
      </c>
    </row>
    <row r="57" spans="1:18" ht="18.75" x14ac:dyDescent="0.25">
      <c r="A57" s="82" t="str">
        <f>IF('Consulta1'!A4149="","",'Consulta1'!A4149)</f>
        <v>Chanitos Premium EUA Tarima Americana</v>
      </c>
      <c r="B57" s="82" t="str">
        <f>IF('Consulta1'!B4149="","",'Consulta1'!B4149)</f>
        <v>CPR01104</v>
      </c>
      <c r="C57" s="83" t="str">
        <f>IF('Consulta1'!C4149="","",'Consulta1'!C4149)</f>
        <v>A04084-392209-1</v>
      </c>
      <c r="D57" s="84" t="str">
        <f>IF('Consulta1'!D4149="","",'Consulta1'!D4149)</f>
        <v>A04 084 Lisboa</v>
      </c>
      <c r="E57" s="82" t="str">
        <f>IF('Consulta1'!E4149="","",'Consulta1'!E4149)</f>
        <v>McAllen</v>
      </c>
      <c r="F57">
        <f>+IF(E57="","",VLOOKUP(E57,CATALOGO!G:L,6,0))</f>
        <v>8</v>
      </c>
      <c r="G57" s="85">
        <f>IF('Consulta1'!F4149="","",'Consulta1'!F4149)</f>
        <v>240</v>
      </c>
      <c r="H57" s="85">
        <f>IF('Consulta1'!G4149="","",'Consulta1'!G4149)</f>
        <v>5</v>
      </c>
      <c r="I57" s="86">
        <f>IF('Consulta1'!H4149="","",'Consulta1'!H4149)</f>
        <v>46287</v>
      </c>
      <c r="J57">
        <f t="shared" si="0"/>
        <v>39</v>
      </c>
      <c r="K57">
        <f>+IF(E57="","",VLOOKUP(E57,CATALOGO!G:I,2,0))</f>
        <v>3</v>
      </c>
      <c r="L57">
        <f>+IF(E57="","",VLOOKUP(E57,CATALOGO!G:I,3,0))</f>
        <v>72</v>
      </c>
      <c r="M57" s="87">
        <f>IF('Consulta1'!I4149="","",'Consulta1'!I4149)</f>
        <v>46290</v>
      </c>
      <c r="N57" s="88" t="str">
        <f>IF('Consulta1'!J4149="","",'Consulta1'!J4149)</f>
        <v>44551</v>
      </c>
      <c r="O57" t="str">
        <v>CHIAPAS|A04 084 LISBOA|20260922|20260925|MCALLEN|CHANITOS INT|CPR01104|20 CONVENCIONAL F1-1</v>
      </c>
      <c r="P57">
        <v>1</v>
      </c>
      <c r="Q57" t="str">
        <v>CHIAPAS|A04 084 LISBOA|20260922|20260925|MCALLEN|CHANITOS INT|CPR01104|20 CONVENCIONAL F1-1|1</v>
      </c>
      <c r="R57" t="str">
        <v>Programa Embarques 2026 S-39.xlsx</v>
      </c>
    </row>
    <row r="58" spans="1:18" ht="18.75" x14ac:dyDescent="0.25">
      <c r="A58" s="82" t="str">
        <f>IF('Consulta1'!A4150="","",'Consulta1'!A4150)</f>
        <v>Chanitos Premium EUA Tarima Americana</v>
      </c>
      <c r="B58" s="82" t="str">
        <f>IF('Consulta1'!B4150="","",'Consulta1'!B4150)</f>
        <v>CPR01104</v>
      </c>
      <c r="C58" s="83" t="str">
        <f>IF('Consulta1'!C4150="","",'Consulta1'!C4150)</f>
        <v>A04084-392209-1</v>
      </c>
      <c r="D58" s="84" t="str">
        <f>IF('Consulta1'!D4150="","",'Consulta1'!D4150)</f>
        <v>A04 084 Lisboa</v>
      </c>
      <c r="E58" s="82" t="str">
        <f>IF('Consulta1'!E4150="","",'Consulta1'!E4150)</f>
        <v>McAllen</v>
      </c>
      <c r="F58">
        <f>+IF(E58="","",VLOOKUP(E58,CATALOGO!G:L,6,0))</f>
        <v>8</v>
      </c>
      <c r="G58" s="85">
        <f>IF('Consulta1'!F4150="","",'Consulta1'!F4150)</f>
        <v>480</v>
      </c>
      <c r="H58" s="85">
        <f>IF('Consulta1'!G4150="","",'Consulta1'!G4150)</f>
        <v>10</v>
      </c>
      <c r="I58" s="86">
        <f>IF('Consulta1'!H4150="","",'Consulta1'!H4150)</f>
        <v>46287</v>
      </c>
      <c r="J58">
        <f t="shared" si="0"/>
        <v>39</v>
      </c>
      <c r="K58">
        <f>+IF(E58="","",VLOOKUP(E58,CATALOGO!G:I,2,0))</f>
        <v>3</v>
      </c>
      <c r="L58">
        <f>+IF(E58="","",VLOOKUP(E58,CATALOGO!G:I,3,0))</f>
        <v>72</v>
      </c>
      <c r="M58" s="87">
        <f>IF('Consulta1'!I4150="","",'Consulta1'!I4150)</f>
        <v>46291</v>
      </c>
      <c r="N58" s="88" t="str">
        <f>IF('Consulta1'!J4150="","",'Consulta1'!J4150)</f>
        <v>44556</v>
      </c>
      <c r="O58" t="str">
        <v>CHIAPAS|A04 084 LISBOA|20260922|20260926|MCALLEN|CHANITOS INT|CPR01104|20 CONVENCIONAL F3-1</v>
      </c>
      <c r="P58">
        <v>1</v>
      </c>
      <c r="Q58" t="str">
        <v>CHIAPAS|A04 084 LISBOA|20260922|20260926|MCALLEN|CHANITOS INT|CPR01104|20 CONVENCIONAL F3-1|1</v>
      </c>
      <c r="R58" t="str">
        <v>Programa Embarques 2026 S-39.xlsx</v>
      </c>
    </row>
    <row r="59" spans="1:18" ht="18.75" x14ac:dyDescent="0.25">
      <c r="A59" s="82" t="str">
        <f>IF('Consulta1'!A4151="","",'Consulta1'!A4151)</f>
        <v>Chanitos Premium EUA Tarima Americana</v>
      </c>
      <c r="B59" s="82" t="str">
        <f>IF('Consulta1'!B4151="","",'Consulta1'!B4151)</f>
        <v>CPR01104</v>
      </c>
      <c r="C59" s="83" t="str">
        <f>IF('Consulta1'!C4151="","",'Consulta1'!C4151)</f>
        <v>A04084-392209-1</v>
      </c>
      <c r="D59" s="84" t="str">
        <f>IF('Consulta1'!D4151="","",'Consulta1'!D4151)</f>
        <v>A04 084 Lisboa</v>
      </c>
      <c r="E59" s="82" t="str">
        <f>IF('Consulta1'!E4151="","",'Consulta1'!E4151)</f>
        <v>McAllen</v>
      </c>
      <c r="F59">
        <f>+IF(E59="","",VLOOKUP(E59,CATALOGO!G:L,6,0))</f>
        <v>8</v>
      </c>
      <c r="G59" s="85">
        <f>IF('Consulta1'!F4151="","",'Consulta1'!F4151)</f>
        <v>288</v>
      </c>
      <c r="H59" s="85">
        <f>IF('Consulta1'!G4151="","",'Consulta1'!G4151)</f>
        <v>6</v>
      </c>
      <c r="I59" s="86">
        <f>IF('Consulta1'!H4151="","",'Consulta1'!H4151)</f>
        <v>46287</v>
      </c>
      <c r="J59">
        <f t="shared" si="0"/>
        <v>39</v>
      </c>
      <c r="K59">
        <f>+IF(E59="","",VLOOKUP(E59,CATALOGO!G:I,2,0))</f>
        <v>3</v>
      </c>
      <c r="L59">
        <f>+IF(E59="","",VLOOKUP(E59,CATALOGO!G:I,3,0))</f>
        <v>72</v>
      </c>
      <c r="M59" s="87">
        <f>IF('Consulta1'!I4151="","",'Consulta1'!I4151)</f>
        <v>46294</v>
      </c>
      <c r="N59" s="88" t="str">
        <f>IF('Consulta1'!J4151="","",'Consulta1'!J4151)</f>
        <v>45031</v>
      </c>
      <c r="O59" t="str">
        <v>CHIAPAS|A04 084 LISBOA|20260922|20260929|MCALLEN|CHANITOS INT|CPR01104|20 CONVENCIONAL F4-1</v>
      </c>
      <c r="P59">
        <v>1</v>
      </c>
      <c r="Q59" t="str">
        <v>CHIAPAS|A04 084 LISBOA|20260922|20260929|MCALLEN|CHANITOS INT|CPR01104|20 CONVENCIONAL F4-1|1</v>
      </c>
      <c r="R59" t="str">
        <v>Programa Embarques 2026 S-39.xlsx</v>
      </c>
    </row>
    <row r="60" spans="1:18" ht="18.75" x14ac:dyDescent="0.25">
      <c r="A60" s="82" t="str">
        <f>IF('Consulta1'!A4152="","",'Consulta1'!A4152)</f>
        <v>Chanitos Premium Tarima Americana</v>
      </c>
      <c r="B60" s="82" t="str">
        <f>IF('Consulta1'!B4152="","",'Consulta1'!B4152)</f>
        <v>CPR01103</v>
      </c>
      <c r="C60" s="83" t="str">
        <f>IF('Consulta1'!C4152="","",'Consulta1'!C4152)</f>
        <v>A04039-392209-1</v>
      </c>
      <c r="D60" s="84" t="str">
        <f>IF('Consulta1'!D4152="","",'Consulta1'!D4152)</f>
        <v>A04 039 San Jose Morelia Nava</v>
      </c>
      <c r="E60" s="82" t="str">
        <f>IF('Consulta1'!E4152="","",'Consulta1'!E4152)</f>
        <v>S-MTY</v>
      </c>
      <c r="F60">
        <f>+IF(E60="","",VLOOKUP(E60,CATALOGO!G:L,6,0))</f>
        <v>1</v>
      </c>
      <c r="G60" s="85">
        <f>IF('Consulta1'!F4152="","",'Consulta1'!F4152)</f>
        <v>960</v>
      </c>
      <c r="H60" s="85">
        <f>IF('Consulta1'!G4152="","",'Consulta1'!G4152)</f>
        <v>20</v>
      </c>
      <c r="I60" s="86">
        <f>IF('Consulta1'!H4152="","",'Consulta1'!H4152)</f>
        <v>46287</v>
      </c>
      <c r="J60">
        <f t="shared" si="0"/>
        <v>39</v>
      </c>
      <c r="K60">
        <f>+IF(E60="","",VLOOKUP(E60,CATALOGO!G:I,2,0))</f>
        <v>3</v>
      </c>
      <c r="L60">
        <f>+IF(E60="","",VLOOKUP(E60,CATALOGO!G:I,3,0))</f>
        <v>72</v>
      </c>
      <c r="M60" s="87">
        <f>IF('Consulta1'!I4152="","",'Consulta1'!I4152)</f>
        <v>46291</v>
      </c>
      <c r="N60" s="88" t="str">
        <f>IF('Consulta1'!J4152="","",'Consulta1'!J4152)</f>
        <v>45643</v>
      </c>
      <c r="O60" t="str">
        <v>CHIAPAS|A04 039 SAN JOSE MORELIA NAVA|20260922|20260926|S-MTY|SMART|CPR01103|20 CONVENCIONAL SM2</v>
      </c>
      <c r="P60">
        <v>1</v>
      </c>
      <c r="Q60" t="str">
        <v>CHIAPAS|A04 039 SAN JOSE MORELIA NAVA|20260922|20260926|S-MTY|SMART|CPR01103|20 CONVENCIONAL SM2|1</v>
      </c>
      <c r="R60" t="str">
        <v>Programa Embarques 2026 S-39.xlsx</v>
      </c>
    </row>
    <row r="61" spans="1:18" ht="18.75" x14ac:dyDescent="0.25">
      <c r="A61" s="82" t="str">
        <f>IF('Consulta1'!A4153="","",'Consulta1'!A4153)</f>
        <v>Chanitos Premium Tarima Americana</v>
      </c>
      <c r="B61" s="82" t="str">
        <f>IF('Consulta1'!B4153="","",'Consulta1'!B4153)</f>
        <v>CPR01103</v>
      </c>
      <c r="C61" s="83" t="str">
        <f>IF('Consulta1'!C4153="","",'Consulta1'!C4153)</f>
        <v>A04039-392209-1</v>
      </c>
      <c r="D61" s="84" t="str">
        <f>IF('Consulta1'!D4153="","",'Consulta1'!D4153)</f>
        <v>A04 039 San Jose Morelia Nava</v>
      </c>
      <c r="E61" s="82" t="str">
        <f>IF('Consulta1'!E4153="","",'Consulta1'!E4153)</f>
        <v>S-MTY</v>
      </c>
      <c r="F61">
        <f>+IF(E61="","",VLOOKUP(E61,CATALOGO!G:L,6,0))</f>
        <v>1</v>
      </c>
      <c r="G61" s="85">
        <f>IF('Consulta1'!F4153="","",'Consulta1'!F4153)</f>
        <v>144</v>
      </c>
      <c r="H61" s="85">
        <f>IF('Consulta1'!G4153="","",'Consulta1'!G4153)</f>
        <v>3</v>
      </c>
      <c r="I61" s="86">
        <f>IF('Consulta1'!H4153="","",'Consulta1'!H4153)</f>
        <v>46287</v>
      </c>
      <c r="J61">
        <f t="shared" si="0"/>
        <v>39</v>
      </c>
      <c r="K61">
        <f>+IF(E61="","",VLOOKUP(E61,CATALOGO!G:I,2,0))</f>
        <v>3</v>
      </c>
      <c r="L61">
        <f>+IF(E61="","",VLOOKUP(E61,CATALOGO!G:I,3,0))</f>
        <v>72</v>
      </c>
      <c r="M61" s="87">
        <f>IF('Consulta1'!I4153="","",'Consulta1'!I4153)</f>
        <v>46293</v>
      </c>
      <c r="N61" s="88" t="str">
        <f>IF('Consulta1'!J4153="","",'Consulta1'!J4153)</f>
        <v>43806</v>
      </c>
      <c r="O61" t="str">
        <v>CHIAPAS|A04 039 SAN JOSE MORELIA NAVA|20260922|20260928|S-MTY|SMART|CPR01103|18 CONVENCIONAL Y 2 PLANTAIN</v>
      </c>
      <c r="P61">
        <v>1</v>
      </c>
      <c r="Q61" t="str">
        <v>CHIAPAS|A04 039 SAN JOSE MORELIA NAVA|20260922|20260928|S-MTY|SMART|CPR01103|18 CONVENCIONAL Y 2 PLANTAIN|1</v>
      </c>
      <c r="R61" t="str">
        <v>Programa Embarques 2026 S-39.xlsx</v>
      </c>
    </row>
    <row r="62" spans="1:18" ht="18.75" x14ac:dyDescent="0.25">
      <c r="A62" s="82" t="str">
        <f>IF('Consulta1'!A4154="","",'Consulta1'!A4154)</f>
        <v>Chanitos Premium EUA Tarima Americana</v>
      </c>
      <c r="B62" s="82" t="str">
        <f>IF('Consulta1'!B4154="","",'Consulta1'!B4154)</f>
        <v>CPR01104</v>
      </c>
      <c r="C62" s="83" t="str">
        <f>IF('Consulta1'!C4154="","",'Consulta1'!C4154)</f>
        <v>A04038-392309-1</v>
      </c>
      <c r="D62" s="84" t="str">
        <f>IF('Consulta1'!D4154="","",'Consulta1'!D4154)</f>
        <v>A04 038 El Triunfo Nava</v>
      </c>
      <c r="E62" s="82" t="str">
        <f>IF('Consulta1'!E4154="","",'Consulta1'!E4154)</f>
        <v>McAllen</v>
      </c>
      <c r="F62">
        <f>+IF(E62="","",VLOOKUP(E62,CATALOGO!G:L,6,0))</f>
        <v>8</v>
      </c>
      <c r="G62" s="85">
        <f>IF('Consulta1'!F4154="","",'Consulta1'!F4154)</f>
        <v>960</v>
      </c>
      <c r="H62" s="85">
        <f>IF('Consulta1'!G4154="","",'Consulta1'!G4154)</f>
        <v>20</v>
      </c>
      <c r="I62" s="86">
        <f>IF('Consulta1'!H4154="","",'Consulta1'!H4154)</f>
        <v>46288</v>
      </c>
      <c r="J62">
        <f t="shared" si="0"/>
        <v>39</v>
      </c>
      <c r="K62">
        <f>+IF(E62="","",VLOOKUP(E62,CATALOGO!G:I,2,0))</f>
        <v>3</v>
      </c>
      <c r="L62">
        <f>+IF(E62="","",VLOOKUP(E62,CATALOGO!G:I,3,0))</f>
        <v>72</v>
      </c>
      <c r="M62" s="87">
        <f>IF('Consulta1'!I4154="","",'Consulta1'!I4154)</f>
        <v>46291</v>
      </c>
      <c r="N62" s="88" t="str">
        <f>IF('Consulta1'!J4154="","",'Consulta1'!J4154)</f>
        <v>44554</v>
      </c>
      <c r="O62" t="str">
        <v>CHIAPAS|A04 038 EL TRIUNFO NAVA|20260923|20260926|MCALLEN|CHANITOS INT|CPR01104|20 CONVENCIONAL F3-2</v>
      </c>
      <c r="P62">
        <v>1</v>
      </c>
      <c r="Q62" t="str">
        <v>CHIAPAS|A04 038 EL TRIUNFO NAVA|20260923|20260926|MCALLEN|CHANITOS INT|CPR01104|20 CONVENCIONAL F3-2|1</v>
      </c>
      <c r="R62" t="str">
        <v>Programa Embarques 2026 S-39.xlsx</v>
      </c>
    </row>
    <row r="63" spans="1:18" ht="18.75" x14ac:dyDescent="0.25">
      <c r="A63" s="82" t="str">
        <f>IF('Consulta1'!A4155="","",'Consulta1'!A4155)</f>
        <v>Chanitos Premium EUA Tarima Americana</v>
      </c>
      <c r="B63" s="82" t="str">
        <f>IF('Consulta1'!B4155="","",'Consulta1'!B4155)</f>
        <v>CPR01104</v>
      </c>
      <c r="C63" s="83" t="str">
        <f>IF('Consulta1'!C4155="","",'Consulta1'!C4155)</f>
        <v>A04084-392309-1</v>
      </c>
      <c r="D63" s="84" t="str">
        <f>IF('Consulta1'!D4155="","",'Consulta1'!D4155)</f>
        <v>A04 084 Lisboa</v>
      </c>
      <c r="E63" s="82" t="str">
        <f>IF('Consulta1'!E4155="","",'Consulta1'!E4155)</f>
        <v>McAllen</v>
      </c>
      <c r="F63">
        <f>+IF(E63="","",VLOOKUP(E63,CATALOGO!G:L,6,0))</f>
        <v>8</v>
      </c>
      <c r="G63" s="85">
        <f>IF('Consulta1'!F4155="","",'Consulta1'!F4155)</f>
        <v>192</v>
      </c>
      <c r="H63" s="85">
        <f>IF('Consulta1'!G4155="","",'Consulta1'!G4155)</f>
        <v>4</v>
      </c>
      <c r="I63" s="86">
        <f>IF('Consulta1'!H4155="","",'Consulta1'!H4155)</f>
        <v>46288</v>
      </c>
      <c r="J63">
        <f t="shared" si="0"/>
        <v>39</v>
      </c>
      <c r="K63">
        <f>+IF(E63="","",VLOOKUP(E63,CATALOGO!G:I,2,0))</f>
        <v>3</v>
      </c>
      <c r="L63">
        <f>+IF(E63="","",VLOOKUP(E63,CATALOGO!G:I,3,0))</f>
        <v>72</v>
      </c>
      <c r="M63" s="87">
        <f>IF('Consulta1'!I4155="","",'Consulta1'!I4155)</f>
        <v>46294</v>
      </c>
      <c r="N63" s="88" t="str">
        <f>IF('Consulta1'!J4155="","",'Consulta1'!J4155)</f>
        <v>45031</v>
      </c>
      <c r="O63" t="str">
        <v>CHIAPAS|A04 084 LISBOA|20260923|20260929|MCALLEN|CHANITOS INT|CPR01104|20 CONVENCIONAL F4-1</v>
      </c>
      <c r="P63">
        <v>1</v>
      </c>
      <c r="Q63" t="str">
        <v>CHIAPAS|A04 084 LISBOA|20260923|20260929|MCALLEN|CHANITOS INT|CPR01104|20 CONVENCIONAL F4-1|1</v>
      </c>
      <c r="R63" t="str">
        <v>Programa Embarques 2026 S-39.xlsx</v>
      </c>
    </row>
    <row r="64" spans="1:18" ht="18.75" x14ac:dyDescent="0.25">
      <c r="A64" s="82" t="str">
        <f>IF('Consulta1'!A4156="","",'Consulta1'!A4156)</f>
        <v>Chanitos Premium EUA Tarima Americana</v>
      </c>
      <c r="B64" s="82" t="str">
        <f>IF('Consulta1'!B4156="","",'Consulta1'!B4156)</f>
        <v>CPR01104</v>
      </c>
      <c r="C64" s="83" t="str">
        <f>IF('Consulta1'!C4156="","",'Consulta1'!C4156)</f>
        <v>A04084-392309-1</v>
      </c>
      <c r="D64" s="84" t="str">
        <f>IF('Consulta1'!D4156="","",'Consulta1'!D4156)</f>
        <v>A04 084 Lisboa</v>
      </c>
      <c r="E64" s="82" t="str">
        <f>IF('Consulta1'!E4156="","",'Consulta1'!E4156)</f>
        <v>McAllen</v>
      </c>
      <c r="F64">
        <f>+IF(E64="","",VLOOKUP(E64,CATALOGO!G:L,6,0))</f>
        <v>8</v>
      </c>
      <c r="G64" s="85">
        <f>IF('Consulta1'!F4156="","",'Consulta1'!F4156)</f>
        <v>480</v>
      </c>
      <c r="H64" s="85">
        <f>IF('Consulta1'!G4156="","",'Consulta1'!G4156)</f>
        <v>10</v>
      </c>
      <c r="I64" s="86">
        <f>IF('Consulta1'!H4156="","",'Consulta1'!H4156)</f>
        <v>46288</v>
      </c>
      <c r="J64">
        <f t="shared" si="0"/>
        <v>39</v>
      </c>
      <c r="K64">
        <f>+IF(E64="","",VLOOKUP(E64,CATALOGO!G:I,2,0))</f>
        <v>3</v>
      </c>
      <c r="L64">
        <f>+IF(E64="","",VLOOKUP(E64,CATALOGO!G:I,3,0))</f>
        <v>72</v>
      </c>
      <c r="M64" s="87">
        <f>IF('Consulta1'!I4156="","",'Consulta1'!I4156)</f>
        <v>46295</v>
      </c>
      <c r="N64" s="88" t="str">
        <f>IF('Consulta1'!J4156="","",'Consulta1'!J4156)</f>
        <v>45032</v>
      </c>
      <c r="O64" t="str">
        <v>CHIAPAS|A04 084 LISBOA|20260923|20260930|MCALLEN|CHANITOS INT|CPR01104|20 CONVENCIONAL F5-1</v>
      </c>
      <c r="P64">
        <v>1</v>
      </c>
      <c r="Q64" t="str">
        <v>CHIAPAS|A04 084 LISBOA|20260923|20260930|MCALLEN|CHANITOS INT|CPR01104|20 CONVENCIONAL F5-1|1</v>
      </c>
      <c r="R64" t="str">
        <v>Programa Embarques 2026 S-39.xlsx</v>
      </c>
    </row>
    <row r="65" spans="1:18" ht="18.75" x14ac:dyDescent="0.25">
      <c r="A65" s="82" t="str">
        <f>IF('Consulta1'!A4157="","",'Consulta1'!A4157)</f>
        <v>Chanitos Premium Tarima Americana</v>
      </c>
      <c r="B65" s="82" t="str">
        <f>IF('Consulta1'!B4157="","",'Consulta1'!B4157)</f>
        <v>CPR01103</v>
      </c>
      <c r="C65" s="83" t="str">
        <f>IF('Consulta1'!C4157="","",'Consulta1'!C4157)</f>
        <v>A11087-392309-1</v>
      </c>
      <c r="D65" s="84" t="str">
        <f>IF('Consulta1'!D4157="","",'Consulta1'!D4157)</f>
        <v>A11 087 19 de Abril</v>
      </c>
      <c r="E65" s="82" t="str">
        <f>IF('Consulta1'!E4157="","",'Consulta1'!E4157)</f>
        <v>Ciudad Juarez</v>
      </c>
      <c r="F65">
        <f>+IF(E65="","",VLOOKUP(E65,CATALOGO!G:L,6,0))</f>
        <v>1</v>
      </c>
      <c r="G65" s="85">
        <f>IF('Consulta1'!F4157="","",'Consulta1'!F4157)</f>
        <v>192</v>
      </c>
      <c r="H65" s="85">
        <f>IF('Consulta1'!G4157="","",'Consulta1'!G4157)</f>
        <v>4</v>
      </c>
      <c r="I65" s="86">
        <f>IF('Consulta1'!H4157="","",'Consulta1'!H4157)</f>
        <v>46288</v>
      </c>
      <c r="J65">
        <f t="shared" si="0"/>
        <v>39</v>
      </c>
      <c r="K65">
        <f>+IF(E65="","",VLOOKUP(E65,CATALOGO!G:I,2,0))</f>
        <v>4</v>
      </c>
      <c r="L65">
        <f>+IF(E65="","",VLOOKUP(E65,CATALOGO!G:I,3,0))</f>
        <v>96</v>
      </c>
      <c r="M65" s="87">
        <f>IF('Consulta1'!I4157="","",'Consulta1'!I4157)</f>
        <v>46294</v>
      </c>
      <c r="N65" s="88" t="str">
        <f>IF('Consulta1'!J4157="","",'Consulta1'!J4157)</f>
        <v>43271</v>
      </c>
      <c r="O65" t="str">
        <v>CHIAPAS|A11 087 19 DE ABRIL|20260923|20260929|CIUDAD JUAREZ|SMART|CPR01103|17 CONVENCIONAL Y 3 PLANTAIN</v>
      </c>
      <c r="P65">
        <v>1</v>
      </c>
      <c r="Q65" t="str">
        <v>CHIAPAS|A11 087 19 DE ABRIL|20260923|20260929|CIUDAD JUAREZ|SMART|CPR01103|17 CONVENCIONAL Y 3 PLANTAIN|1</v>
      </c>
      <c r="R65" t="str">
        <v>Programa Embarques 2026 S-39.xlsx</v>
      </c>
    </row>
    <row r="66" spans="1:18" ht="18.75" x14ac:dyDescent="0.25">
      <c r="A66" s="82" t="str">
        <f>IF('Consulta1'!A4158="","",'Consulta1'!A4158)</f>
        <v>Chanitos Premium Tarima Americana</v>
      </c>
      <c r="B66" s="82" t="str">
        <f>IF('Consulta1'!B4158="","",'Consulta1'!B4158)</f>
        <v>CPR01103</v>
      </c>
      <c r="C66" s="83" t="str">
        <f>IF('Consulta1'!C4158="","",'Consulta1'!C4158)</f>
        <v>A11045-392309-1</v>
      </c>
      <c r="D66" s="84" t="str">
        <f>IF('Consulta1'!D4158="","",'Consulta1'!D4158)</f>
        <v>A11 045 Sector Mazatan</v>
      </c>
      <c r="E66" s="82" t="str">
        <f>IF('Consulta1'!E4158="","",'Consulta1'!E4158)</f>
        <v>S-MTY</v>
      </c>
      <c r="F66">
        <f>+IF(E66="","",VLOOKUP(E66,CATALOGO!G:L,6,0))</f>
        <v>1</v>
      </c>
      <c r="G66" s="85">
        <f>IF('Consulta1'!F4158="","",'Consulta1'!F4158)</f>
        <v>480</v>
      </c>
      <c r="H66" s="85">
        <f>IF('Consulta1'!G4158="","",'Consulta1'!G4158)</f>
        <v>10</v>
      </c>
      <c r="I66" s="86">
        <f>IF('Consulta1'!H4158="","",'Consulta1'!H4158)</f>
        <v>46288</v>
      </c>
      <c r="J66">
        <f t="shared" si="0"/>
        <v>39</v>
      </c>
      <c r="K66">
        <f>+IF(E66="","",VLOOKUP(E66,CATALOGO!G:I,2,0))</f>
        <v>3</v>
      </c>
      <c r="L66">
        <f>+IF(E66="","",VLOOKUP(E66,CATALOGO!G:I,3,0))</f>
        <v>72</v>
      </c>
      <c r="M66" s="87">
        <f>IF('Consulta1'!I4158="","",'Consulta1'!I4158)</f>
        <v>46293</v>
      </c>
      <c r="N66" s="88" t="str">
        <f>IF('Consulta1'!J4158="","",'Consulta1'!J4158)</f>
        <v>43806</v>
      </c>
      <c r="O66" t="str">
        <v>CHIAPAS|A11 045 SECTOR MAZATAN|20260923|20260928|S-MTY|SMART|CPR01103|18 CONVENCIONAL Y 2 PLANTAIN</v>
      </c>
      <c r="P66">
        <v>1</v>
      </c>
      <c r="Q66" t="str">
        <v>CHIAPAS|A11 045 SECTOR MAZATAN|20260923|20260928|S-MTY|SMART|CPR01103|18 CONVENCIONAL Y 2 PLANTAIN|1</v>
      </c>
      <c r="R66" t="str">
        <v>Programa Embarques 2026 S-39.xlsx</v>
      </c>
    </row>
    <row r="67" spans="1:18" ht="18.75" x14ac:dyDescent="0.25">
      <c r="A67" s="82" t="str">
        <f>IF('Consulta1'!A4159="","",'Consulta1'!A4159)</f>
        <v>Chanitos Plantain 20Kg Tarima Chep</v>
      </c>
      <c r="B67" s="82" t="str">
        <f>IF('Consulta1'!B4159="","",'Consulta1'!B4159)</f>
        <v>CPL08141</v>
      </c>
      <c r="C67" s="83" t="str">
        <f>IF('Consulta1'!C4159="","",'Consulta1'!C4159)</f>
        <v>A15063-392309-1</v>
      </c>
      <c r="D67" s="84" t="str">
        <f>IF('Consulta1'!D4159="","",'Consulta1'!D4159)</f>
        <v>A15 063 Zaragoza</v>
      </c>
      <c r="E67" s="82" t="str">
        <f>IF('Consulta1'!E4159="","",'Consulta1'!E4159)</f>
        <v>CEDA</v>
      </c>
      <c r="F67">
        <f>+IF(E67="","",VLOOKUP(E67,CATALOGO!G:L,6,0))</f>
        <v>0</v>
      </c>
      <c r="G67" s="85">
        <f>IF('Consulta1'!F4159="","",'Consulta1'!F4159)</f>
        <v>240</v>
      </c>
      <c r="H67" s="85">
        <f>IF('Consulta1'!G4159="","",'Consulta1'!G4159)</f>
        <v>5</v>
      </c>
      <c r="I67" s="86">
        <f>IF('Consulta1'!H4159="","",'Consulta1'!H4159)</f>
        <v>46288</v>
      </c>
      <c r="J67">
        <f t="shared" ref="J67:J130" si="1">+IF(E67="","",WEEKNUM(I67))</f>
        <v>39</v>
      </c>
      <c r="K67">
        <f>+IF(E67="","",VLOOKUP(E67,CATALOGO!G:I,2,0))</f>
        <v>1.5</v>
      </c>
      <c r="L67">
        <f>+IF(E67="","",VLOOKUP(E67,CATALOGO!G:I,3,0))</f>
        <v>36</v>
      </c>
      <c r="M67" s="87">
        <f>IF('Consulta1'!I4159="","",'Consulta1'!I4159)</f>
        <v>46288</v>
      </c>
      <c r="N67" s="88" t="str">
        <f>IF('Consulta1'!J4159="","",'Consulta1'!J4159)</f>
        <v>0</v>
      </c>
      <c r="O67" t="str">
        <v>CHIAPAS|A15 063 ZARAGOZA|20260923|20260923|CEDA|CEDA AUTOSERVICIO|CPL08141|CEDA PLANTAIN</v>
      </c>
      <c r="P67">
        <v>1</v>
      </c>
      <c r="Q67" t="str">
        <v>CHIAPAS|A15 063 ZARAGOZA|20260923|20260923|CEDA|CEDA AUTOSERVICIO|CPL08141|CEDA PLANTAIN|1</v>
      </c>
      <c r="R67" t="str">
        <v>Programa Embarques 2026 S-39.xlsx</v>
      </c>
    </row>
    <row r="68" spans="1:18" ht="18.75" x14ac:dyDescent="0.25">
      <c r="A68" s="82" t="str">
        <f>IF('Consulta1'!A4160="","",'Consulta1'!A4160)</f>
        <v>Chanitos Premium Tarima Americana</v>
      </c>
      <c r="B68" s="82" t="str">
        <f>IF('Consulta1'!B4160="","",'Consulta1'!B4160)</f>
        <v>CPR01103</v>
      </c>
      <c r="C68" s="83" t="str">
        <f>IF('Consulta1'!C4160="","",'Consulta1'!C4160)</f>
        <v>A04039-392309-1</v>
      </c>
      <c r="D68" s="84" t="str">
        <f>IF('Consulta1'!D4160="","",'Consulta1'!D4160)</f>
        <v>A04 039 San Jose Morelia Nava</v>
      </c>
      <c r="E68" s="82" t="str">
        <f>IF('Consulta1'!E4160="","",'Consulta1'!E4160)</f>
        <v>S-MTY</v>
      </c>
      <c r="F68">
        <f>+IF(E68="","",VLOOKUP(E68,CATALOGO!G:L,6,0))</f>
        <v>1</v>
      </c>
      <c r="G68" s="85">
        <f>IF('Consulta1'!F4160="","",'Consulta1'!F4160)</f>
        <v>240</v>
      </c>
      <c r="H68" s="85">
        <f>IF('Consulta1'!G4160="","",'Consulta1'!G4160)</f>
        <v>5</v>
      </c>
      <c r="I68" s="86">
        <f>IF('Consulta1'!H4160="","",'Consulta1'!H4160)</f>
        <v>46288</v>
      </c>
      <c r="J68">
        <f t="shared" si="1"/>
        <v>39</v>
      </c>
      <c r="K68">
        <f>+IF(E68="","",VLOOKUP(E68,CATALOGO!G:I,2,0))</f>
        <v>3</v>
      </c>
      <c r="L68">
        <f>+IF(E68="","",VLOOKUP(E68,CATALOGO!G:I,3,0))</f>
        <v>72</v>
      </c>
      <c r="M68" s="87">
        <f>IF('Consulta1'!I4160="","",'Consulta1'!I4160)</f>
        <v>46293</v>
      </c>
      <c r="N68" s="88" t="str">
        <f>IF('Consulta1'!J4160="","",'Consulta1'!J4160)</f>
        <v>43806</v>
      </c>
      <c r="O68" t="str">
        <v>CHIAPAS|A04 039 SAN JOSE MORELIA NAVA|20260923|20260928|S-MTY|SMART|CPR01103|18 CONVENCIONAL Y 2 PLANTAIN</v>
      </c>
      <c r="P68">
        <v>1</v>
      </c>
      <c r="Q68" t="str">
        <v>CHIAPAS|A04 039 SAN JOSE MORELIA NAVA|20260923|20260928|S-MTY|SMART|CPR01103|18 CONVENCIONAL Y 2 PLANTAIN|1</v>
      </c>
      <c r="R68" t="str">
        <v>Programa Embarques 2026 S-39.xlsx</v>
      </c>
    </row>
    <row r="69" spans="1:18" ht="18.75" x14ac:dyDescent="0.25">
      <c r="A69" s="82" t="str">
        <f>IF('Consulta1'!A4161="","",'Consulta1'!A4161)</f>
        <v>Chanitos Premium Tarima Americana</v>
      </c>
      <c r="B69" s="82" t="str">
        <f>IF('Consulta1'!B4161="","",'Consulta1'!B4161)</f>
        <v>CPR01103</v>
      </c>
      <c r="C69" s="83" t="str">
        <f>IF('Consulta1'!C4161="","",'Consulta1'!C4161)</f>
        <v>A04039-392309-1</v>
      </c>
      <c r="D69" s="84" t="str">
        <f>IF('Consulta1'!D4161="","",'Consulta1'!D4161)</f>
        <v>A04 039 San Jose Morelia Nava</v>
      </c>
      <c r="E69" s="82" t="str">
        <f>IF('Consulta1'!E4161="","",'Consulta1'!E4161)</f>
        <v>S-MTY</v>
      </c>
      <c r="F69">
        <f>+IF(E69="","",VLOOKUP(E69,CATALOGO!G:L,6,0))</f>
        <v>1</v>
      </c>
      <c r="G69" s="85">
        <f>IF('Consulta1'!F4161="","",'Consulta1'!F4161)</f>
        <v>96</v>
      </c>
      <c r="H69" s="85">
        <f>IF('Consulta1'!G4161="","",'Consulta1'!G4161)</f>
        <v>2</v>
      </c>
      <c r="I69" s="86">
        <f>IF('Consulta1'!H4161="","",'Consulta1'!H4161)</f>
        <v>46288</v>
      </c>
      <c r="J69">
        <f t="shared" si="1"/>
        <v>39</v>
      </c>
      <c r="K69">
        <f>+IF(E69="","",VLOOKUP(E69,CATALOGO!G:I,2,0))</f>
        <v>3</v>
      </c>
      <c r="L69">
        <f>+IF(E69="","",VLOOKUP(E69,CATALOGO!G:I,3,0))</f>
        <v>72</v>
      </c>
      <c r="M69" s="87">
        <f>IF('Consulta1'!I4161="","",'Consulta1'!I4161)</f>
        <v>46295</v>
      </c>
      <c r="N69" s="88" t="str">
        <f>IF('Consulta1'!J4161="","",'Consulta1'!J4161)</f>
        <v>45612</v>
      </c>
      <c r="O69" t="str">
        <v>CHIAPAS|A04 039 SAN JOSE MORELIA NAVA|20260923|20260930|S-MTY|SMART|CPR01103|20 CONVENCIONAL SM4</v>
      </c>
      <c r="P69">
        <v>1</v>
      </c>
      <c r="Q69" t="str">
        <v>CHIAPAS|A04 039 SAN JOSE MORELIA NAVA|20260923|20260930|S-MTY|SMART|CPR01103|20 CONVENCIONAL SM4|1</v>
      </c>
      <c r="R69" t="str">
        <v>Programa Embarques 2026 S-39.xlsx</v>
      </c>
    </row>
    <row r="70" spans="1:18" ht="18.75" x14ac:dyDescent="0.25">
      <c r="A70" s="82" t="str">
        <f>IF('Consulta1'!A4162="","",'Consulta1'!A4162)</f>
        <v>Chanitos Premium Tarima Americana</v>
      </c>
      <c r="B70" s="82" t="str">
        <f>IF('Consulta1'!B4162="","",'Consulta1'!B4162)</f>
        <v>CPR01103</v>
      </c>
      <c r="C70" s="83" t="str">
        <f>IF('Consulta1'!C4162="","",'Consulta1'!C4162)</f>
        <v>A04039-392309-1</v>
      </c>
      <c r="D70" s="84" t="str">
        <f>IF('Consulta1'!D4162="","",'Consulta1'!D4162)</f>
        <v>A04 039 San Jose Morelia Nava</v>
      </c>
      <c r="E70" s="82" t="str">
        <f>IF('Consulta1'!E4162="","",'Consulta1'!E4162)</f>
        <v>S-MTY</v>
      </c>
      <c r="F70">
        <f>+IF(E70="","",VLOOKUP(E70,CATALOGO!G:L,6,0))</f>
        <v>1</v>
      </c>
      <c r="G70" s="85">
        <f>IF('Consulta1'!F4162="","",'Consulta1'!F4162)</f>
        <v>960</v>
      </c>
      <c r="H70" s="85">
        <f>IF('Consulta1'!G4162="","",'Consulta1'!G4162)</f>
        <v>20</v>
      </c>
      <c r="I70" s="86">
        <f>IF('Consulta1'!H4162="","",'Consulta1'!H4162)</f>
        <v>46288</v>
      </c>
      <c r="J70">
        <f t="shared" si="1"/>
        <v>39</v>
      </c>
      <c r="K70">
        <f>+IF(E70="","",VLOOKUP(E70,CATALOGO!G:I,2,0))</f>
        <v>3</v>
      </c>
      <c r="L70">
        <f>+IF(E70="","",VLOOKUP(E70,CATALOGO!G:I,3,0))</f>
        <v>72</v>
      </c>
      <c r="M70" s="87">
        <f>IF('Consulta1'!I4162="","",'Consulta1'!I4162)</f>
        <v>46293</v>
      </c>
      <c r="N70" s="88" t="str">
        <f>IF('Consulta1'!J4162="","",'Consulta1'!J4162)</f>
        <v>43806</v>
      </c>
      <c r="O70" t="str">
        <v>CHIAPAS|A04 039 SAN JOSE MORELIA NAVA|20260923|20260928|S-MTY|SMART|CPR01103|20 CONVENCIONAL SM3</v>
      </c>
      <c r="P70">
        <v>1</v>
      </c>
      <c r="Q70" t="str">
        <v>CHIAPAS|A04 039 SAN JOSE MORELIA NAVA|20260923|20260928|S-MTY|SMART|CPR01103|20 CONVENCIONAL SM3|1</v>
      </c>
      <c r="R70" t="str">
        <v>Programa Embarques 2026 S-39.xlsx</v>
      </c>
    </row>
    <row r="71" spans="1:18" ht="18.75" x14ac:dyDescent="0.25">
      <c r="A71" s="82" t="str">
        <f>IF('Consulta1'!A4163="","",'Consulta1'!A4163)</f>
        <v>Chanitos Premium Tarima Americana</v>
      </c>
      <c r="B71" s="82" t="str">
        <f>IF('Consulta1'!B4163="","",'Consulta1'!B4163)</f>
        <v>CPR01103</v>
      </c>
      <c r="C71" s="83" t="str">
        <f>IF('Consulta1'!C4163="","",'Consulta1'!C4163)</f>
        <v>A04039-392309-1</v>
      </c>
      <c r="D71" s="84" t="str">
        <f>IF('Consulta1'!D4163="","",'Consulta1'!D4163)</f>
        <v>A04 039 San Jose Morelia Nava</v>
      </c>
      <c r="E71" s="82" t="str">
        <f>IF('Consulta1'!E4163="","",'Consulta1'!E4163)</f>
        <v>S-MTY</v>
      </c>
      <c r="F71">
        <f>+IF(E71="","",VLOOKUP(E71,CATALOGO!G:L,6,0))</f>
        <v>1</v>
      </c>
      <c r="G71" s="85" t="str">
        <f>IF('Consulta1'!F4163="","",'Consulta1'!F4163)</f>
        <v/>
      </c>
      <c r="H71" s="85" t="str">
        <f>IF('Consulta1'!G4163="","",'Consulta1'!G4163)</f>
        <v/>
      </c>
      <c r="I71" s="86">
        <f>IF('Consulta1'!H4163="","",'Consulta1'!H4163)</f>
        <v>46288</v>
      </c>
      <c r="J71">
        <f t="shared" si="1"/>
        <v>39</v>
      </c>
      <c r="K71">
        <f>+IF(E71="","",VLOOKUP(E71,CATALOGO!G:I,2,0))</f>
        <v>3</v>
      </c>
      <c r="L71">
        <f>+IF(E71="","",VLOOKUP(E71,CATALOGO!G:I,3,0))</f>
        <v>72</v>
      </c>
      <c r="M71" s="87">
        <f>IF('Consulta1'!I4163="","",'Consulta1'!I4163)</f>
        <v>46295</v>
      </c>
      <c r="N71" s="88" t="str">
        <f>IF('Consulta1'!J4163="","",'Consulta1'!J4163)</f>
        <v>0</v>
      </c>
      <c r="O71" t="str">
        <v>CHIAPAS|A04 039 SAN JOSE MORELIA NAVA|20260923|20260930|S-MTY|SMART|CPR01103|20 CONVENCIONAL SM4</v>
      </c>
      <c r="P71">
        <v>2</v>
      </c>
      <c r="Q71" t="str">
        <v>CHIAPAS|A04 039 SAN JOSE MORELIA NAVA|20260923|20260930|S-MTY|SMART|CPR01103|20 CONVENCIONAL SM4|2</v>
      </c>
      <c r="R71" t="str">
        <v>Programa Embarques 2026 S-39.xlsx</v>
      </c>
    </row>
    <row r="72" spans="1:18" ht="18.75" x14ac:dyDescent="0.25">
      <c r="A72" s="82" t="str">
        <f>IF('Consulta1'!A4164="","",'Consulta1'!A4164)</f>
        <v>Chanitos Premium Tarima Americana</v>
      </c>
      <c r="B72" s="82" t="str">
        <f>IF('Consulta1'!B4164="","",'Consulta1'!B4164)</f>
        <v>CPR01103</v>
      </c>
      <c r="C72" s="83" t="str">
        <f>IF('Consulta1'!C4164="","",'Consulta1'!C4164)</f>
        <v>A01003-392309-1</v>
      </c>
      <c r="D72" s="84" t="str">
        <f>IF('Consulta1'!D4164="","",'Consulta1'!D4164)</f>
        <v>A01 003 Doña Nelly</v>
      </c>
      <c r="E72" s="82" t="str">
        <f>IF('Consulta1'!E4164="","",'Consulta1'!E4164)</f>
        <v>Ciudad Juarez</v>
      </c>
      <c r="F72">
        <f>+IF(E72="","",VLOOKUP(E72,CATALOGO!G:L,6,0))</f>
        <v>1</v>
      </c>
      <c r="G72" s="85">
        <f>IF('Consulta1'!F4164="","",'Consulta1'!F4164)</f>
        <v>336</v>
      </c>
      <c r="H72" s="85">
        <f>IF('Consulta1'!G4164="","",'Consulta1'!G4164)</f>
        <v>7</v>
      </c>
      <c r="I72" s="86">
        <f>IF('Consulta1'!H4164="","",'Consulta1'!H4164)</f>
        <v>46288</v>
      </c>
      <c r="J72">
        <f t="shared" si="1"/>
        <v>39</v>
      </c>
      <c r="K72">
        <f>+IF(E72="","",VLOOKUP(E72,CATALOGO!G:I,2,0))</f>
        <v>4</v>
      </c>
      <c r="L72">
        <f>+IF(E72="","",VLOOKUP(E72,CATALOGO!G:I,3,0))</f>
        <v>96</v>
      </c>
      <c r="M72" s="87">
        <f>IF('Consulta1'!I4164="","",'Consulta1'!I4164)</f>
        <v>46294</v>
      </c>
      <c r="N72" s="88" t="str">
        <f>IF('Consulta1'!J4164="","",'Consulta1'!J4164)</f>
        <v>43271</v>
      </c>
      <c r="O72" t="str">
        <v>CHIAPAS|A01 003 DONA NELLY|20260923|20260929|CIUDAD JUAREZ|SMART|CPR01103|17 CONVENCIONAL Y 3 PLANTAIN</v>
      </c>
      <c r="P72">
        <v>1</v>
      </c>
      <c r="Q72" t="str">
        <v>CHIAPAS|A01 003 DONA NELLY|20260923|20260929|CIUDAD JUAREZ|SMART|CPR01103|17 CONVENCIONAL Y 3 PLANTAIN|1</v>
      </c>
      <c r="R72" t="str">
        <v>Programa Embarques 2026 S-39.xlsx</v>
      </c>
    </row>
    <row r="73" spans="1:18" ht="18.75" x14ac:dyDescent="0.25">
      <c r="A73" s="82" t="str">
        <f>IF('Consulta1'!A4165="","",'Consulta1'!A4165)</f>
        <v>Chanitos Premium Tarima Americana</v>
      </c>
      <c r="B73" s="82" t="str">
        <f>IF('Consulta1'!B4165="","",'Consulta1'!B4165)</f>
        <v>CPR01103</v>
      </c>
      <c r="C73" s="83" t="str">
        <f>IF('Consulta1'!C4165="","",'Consulta1'!C4165)</f>
        <v>A01003-392309-1</v>
      </c>
      <c r="D73" s="84" t="str">
        <f>IF('Consulta1'!D4165="","",'Consulta1'!D4165)</f>
        <v>A01 003 Doña Nelly</v>
      </c>
      <c r="E73" s="82" t="str">
        <f>IF('Consulta1'!E4165="","",'Consulta1'!E4165)</f>
        <v>Ciudad Juarez</v>
      </c>
      <c r="F73">
        <f>+IF(E73="","",VLOOKUP(E73,CATALOGO!G:L,6,0))</f>
        <v>1</v>
      </c>
      <c r="G73" s="85">
        <f>IF('Consulta1'!F4165="","",'Consulta1'!F4165)</f>
        <v>960</v>
      </c>
      <c r="H73" s="85">
        <f>IF('Consulta1'!G4165="","",'Consulta1'!G4165)</f>
        <v>20</v>
      </c>
      <c r="I73" s="86">
        <f>IF('Consulta1'!H4165="","",'Consulta1'!H4165)</f>
        <v>46288</v>
      </c>
      <c r="J73">
        <f t="shared" si="1"/>
        <v>39</v>
      </c>
      <c r="K73">
        <f>+IF(E73="","",VLOOKUP(E73,CATALOGO!G:I,2,0))</f>
        <v>4</v>
      </c>
      <c r="L73">
        <f>+IF(E73="","",VLOOKUP(E73,CATALOGO!G:I,3,0))</f>
        <v>96</v>
      </c>
      <c r="M73" s="87">
        <f>IF('Consulta1'!I4165="","",'Consulta1'!I4165)</f>
        <v>46294</v>
      </c>
      <c r="N73" s="88" t="str">
        <f>IF('Consulta1'!J4165="","",'Consulta1'!J4165)</f>
        <v>43271</v>
      </c>
      <c r="O73" t="str">
        <v>CHIAPAS|A01 003 DONA NELLY|20260923|20260929|CIUDAD JUAREZ|SMART|CPR01103|20 CONVENCIONAL SCJ1</v>
      </c>
      <c r="P73">
        <v>1</v>
      </c>
      <c r="Q73" t="str">
        <v>CHIAPAS|A01 003 DONA NELLY|20260923|20260929|CIUDAD JUAREZ|SMART|CPR01103|20 CONVENCIONAL SCJ1|1</v>
      </c>
      <c r="R73" t="str">
        <v>Programa Embarques 2026 S-39.xlsx</v>
      </c>
    </row>
    <row r="74" spans="1:18" ht="18.75" x14ac:dyDescent="0.25">
      <c r="A74" s="82" t="str">
        <f>IF('Consulta1'!A4166="","",'Consulta1'!A4166)</f>
        <v>Chanitos Premium Tarima Chep</v>
      </c>
      <c r="B74" s="82" t="str">
        <f>IF('Consulta1'!B4166="","",'Consulta1'!B4166)</f>
        <v>CPR01102</v>
      </c>
      <c r="C74" s="83" t="str">
        <f>IF('Consulta1'!C4166="","",'Consulta1'!C4166)</f>
        <v>A01003-392309-1</v>
      </c>
      <c r="D74" s="84" t="str">
        <f>IF('Consulta1'!D4166="","",'Consulta1'!D4166)</f>
        <v>A01 003 Doña Nelly</v>
      </c>
      <c r="E74" s="82" t="str">
        <f>IF('Consulta1'!E4166="","",'Consulta1'!E4166)</f>
        <v>SMO</v>
      </c>
      <c r="F74">
        <f>+IF(E74="","",VLOOKUP(E74,CATALOGO!G:L,6,0))</f>
        <v>4</v>
      </c>
      <c r="G74" s="85">
        <f>IF('Consulta1'!F4166="","",'Consulta1'!F4166)</f>
        <v>480</v>
      </c>
      <c r="H74" s="85">
        <f>IF('Consulta1'!G4166="","",'Consulta1'!G4166)</f>
        <v>10</v>
      </c>
      <c r="I74" s="86">
        <f>IF('Consulta1'!H4166="","",'Consulta1'!H4166)</f>
        <v>46288</v>
      </c>
      <c r="J74">
        <f t="shared" si="1"/>
        <v>39</v>
      </c>
      <c r="K74">
        <f>+IF(E74="","",VLOOKUP(E74,CATALOGO!G:I,2,0))</f>
        <v>1.5</v>
      </c>
      <c r="L74">
        <f>+IF(E74="","",VLOOKUP(E74,CATALOGO!G:I,3,0))</f>
        <v>36</v>
      </c>
      <c r="M74" s="87">
        <f>IF('Consulta1'!I4166="","",'Consulta1'!I4166)</f>
        <v>46293</v>
      </c>
      <c r="N74" s="88" t="str">
        <f>IF('Consulta1'!J4166="","",'Consulta1'!J4166)</f>
        <v>45098</v>
      </c>
      <c r="O74" t="str">
        <v>CHIAPAS|A01 003 DONA NELLY|20260923|20260928|SMO|WM|CPR01102|24 CONVENCIONAL</v>
      </c>
      <c r="P74">
        <v>1</v>
      </c>
      <c r="Q74" t="str">
        <v>CHIAPAS|A01 003 DONA NELLY|20260923|20260928|SMO|WM|CPR01102|24 CONVENCIONAL|1</v>
      </c>
      <c r="R74" t="str">
        <v>Programa Embarques 2026 S-39.xlsx</v>
      </c>
    </row>
    <row r="75" spans="1:18" ht="18.75" x14ac:dyDescent="0.25">
      <c r="A75" s="82" t="str">
        <f>IF('Consulta1'!A4167="","",'Consulta1'!A4167)</f>
        <v>Chanitos Premium Granel</v>
      </c>
      <c r="B75" s="82" t="str">
        <f>IF('Consulta1'!B4167="","",'Consulta1'!B4167)</f>
        <v>CPR01101</v>
      </c>
      <c r="C75" s="83" t="str">
        <f>IF('Consulta1'!C4167="","",'Consulta1'!C4167)</f>
        <v>A01003-392309-1</v>
      </c>
      <c r="D75" s="84" t="str">
        <f>IF('Consulta1'!D4167="","",'Consulta1'!D4167)</f>
        <v>A01 003 Doña Nelly</v>
      </c>
      <c r="E75" s="82" t="str">
        <f>IF('Consulta1'!E4167="","",'Consulta1'!E4167)</f>
        <v>CEDA</v>
      </c>
      <c r="F75">
        <f>+IF(E75="","",VLOOKUP(E75,CATALOGO!G:L,6,0))</f>
        <v>0</v>
      </c>
      <c r="G75" s="85">
        <f>IF('Consulta1'!F4167="","",'Consulta1'!F4167)</f>
        <v>54</v>
      </c>
      <c r="H75" s="85" t="str">
        <f>IF('Consulta1'!G4167="","",'Consulta1'!G4167)</f>
        <v>Granel</v>
      </c>
      <c r="I75" s="86">
        <f>IF('Consulta1'!H4167="","",'Consulta1'!H4167)</f>
        <v>46288</v>
      </c>
      <c r="J75">
        <f t="shared" si="1"/>
        <v>39</v>
      </c>
      <c r="K75">
        <f>+IF(E75="","",VLOOKUP(E75,CATALOGO!G:I,2,0))</f>
        <v>1.5</v>
      </c>
      <c r="L75">
        <f>+IF(E75="","",VLOOKUP(E75,CATALOGO!G:I,3,0))</f>
        <v>36</v>
      </c>
      <c r="M75" s="87">
        <f>IF('Consulta1'!I4167="","",'Consulta1'!I4167)</f>
        <v>46292</v>
      </c>
      <c r="N75" s="88" t="str">
        <f>IF('Consulta1'!J4167="","",'Consulta1'!J4167)</f>
        <v>0</v>
      </c>
      <c r="O75" t="str">
        <v>CHIAPAS|A01 003 DONA NELLY|20260923|20260927|CEDA|CEDA PISO|CPR01101|CEDA PISO PRODUCTORAS</v>
      </c>
      <c r="P75">
        <v>1</v>
      </c>
      <c r="Q75" t="str">
        <v>CHIAPAS|A01 003 DONA NELLY|20260923|20260927|CEDA|CEDA PISO|CPR01101|CEDA PISO PRODUCTORAS|1</v>
      </c>
      <c r="R75" t="str">
        <v>Programa Embarques 2026 S-39.xlsx</v>
      </c>
    </row>
    <row r="76" spans="1:18" ht="18.75" x14ac:dyDescent="0.25">
      <c r="A76" s="82" t="str">
        <f>IF('Consulta1'!A4168="","",'Consulta1'!A4168)</f>
        <v>Chanitos Premium Tarima Chep</v>
      </c>
      <c r="B76" s="82" t="str">
        <f>IF('Consulta1'!B4168="","",'Consulta1'!B4168)</f>
        <v>CPR01102</v>
      </c>
      <c r="C76" s="83" t="str">
        <f>IF('Consulta1'!C4168="","",'Consulta1'!C4168)</f>
        <v>A01002-392309-1</v>
      </c>
      <c r="D76" s="84" t="str">
        <f>IF('Consulta1'!D4168="","",'Consulta1'!D4168)</f>
        <v>A01 002 Fortaleza</v>
      </c>
      <c r="E76" s="82" t="str">
        <f>IF('Consulta1'!E4168="","",'Consulta1'!E4168)</f>
        <v>SMO</v>
      </c>
      <c r="F76">
        <f>+IF(E76="","",VLOOKUP(E76,CATALOGO!G:L,6,0))</f>
        <v>4</v>
      </c>
      <c r="G76" s="85">
        <f>IF('Consulta1'!F4168="","",'Consulta1'!F4168)</f>
        <v>1104</v>
      </c>
      <c r="H76" s="85">
        <f>IF('Consulta1'!G4168="","",'Consulta1'!G4168)</f>
        <v>23</v>
      </c>
      <c r="I76" s="86">
        <f>IF('Consulta1'!H4168="","",'Consulta1'!H4168)</f>
        <v>46288</v>
      </c>
      <c r="J76">
        <f t="shared" si="1"/>
        <v>39</v>
      </c>
      <c r="K76">
        <f>+IF(E76="","",VLOOKUP(E76,CATALOGO!G:I,2,0))</f>
        <v>1.5</v>
      </c>
      <c r="L76">
        <f>+IF(E76="","",VLOOKUP(E76,CATALOGO!G:I,3,0))</f>
        <v>36</v>
      </c>
      <c r="M76" s="87">
        <f>IF('Consulta1'!I4168="","",'Consulta1'!I4168)</f>
        <v>46291</v>
      </c>
      <c r="N76" s="88" t="str">
        <f>IF('Consulta1'!J4168="","",'Consulta1'!J4168)</f>
        <v>45094</v>
      </c>
      <c r="O76" t="str">
        <v>CHIAPAS|A01 002 FORTALEZA|20260923|20260926|SMO|WM|CPR01102|24 CONVENCIONAL</v>
      </c>
      <c r="P76">
        <v>1</v>
      </c>
      <c r="Q76" t="str">
        <v>CHIAPAS|A01 002 FORTALEZA|20260923|20260926|SMO|WM|CPR01102|24 CONVENCIONAL|1</v>
      </c>
      <c r="R76" t="str">
        <v>Programa Embarques 2026 S-39.xlsx</v>
      </c>
    </row>
    <row r="77" spans="1:18" ht="18.75" x14ac:dyDescent="0.25">
      <c r="A77" s="82" t="str">
        <f>IF('Consulta1'!A4169="","",'Consulta1'!A4169)</f>
        <v>Chanitos Premium Tarima Chep</v>
      </c>
      <c r="B77" s="82" t="str">
        <f>IF('Consulta1'!B4169="","",'Consulta1'!B4169)</f>
        <v>CPR01102</v>
      </c>
      <c r="C77" s="83" t="str">
        <f>IF('Consulta1'!C4169="","",'Consulta1'!C4169)</f>
        <v>A01002-392309-1</v>
      </c>
      <c r="D77" s="84" t="str">
        <f>IF('Consulta1'!D4169="","",'Consulta1'!D4169)</f>
        <v>A01 002 Fortaleza</v>
      </c>
      <c r="E77" s="82" t="str">
        <f>IF('Consulta1'!E4169="","",'Consulta1'!E4169)</f>
        <v>Chalco</v>
      </c>
      <c r="F77">
        <f>+IF(E77="","",VLOOKUP(E77,CATALOGO!G:L,6,0))</f>
        <v>5</v>
      </c>
      <c r="G77" s="85">
        <f>IF('Consulta1'!F4169="","",'Consulta1'!F4169)</f>
        <v>354</v>
      </c>
      <c r="H77" s="85">
        <f>IF('Consulta1'!G4169="","",'Consulta1'!G4169)</f>
        <v>7.375</v>
      </c>
      <c r="I77" s="86">
        <f>IF('Consulta1'!H4169="","",'Consulta1'!H4169)</f>
        <v>46288</v>
      </c>
      <c r="J77">
        <f t="shared" si="1"/>
        <v>39</v>
      </c>
      <c r="K77">
        <f>+IF(E77="","",VLOOKUP(E77,CATALOGO!G:I,2,0))</f>
        <v>1</v>
      </c>
      <c r="L77">
        <f>+IF(E77="","",VLOOKUP(E77,CATALOGO!G:I,3,0))</f>
        <v>24</v>
      </c>
      <c r="M77" s="87">
        <f>IF('Consulta1'!I4169="","",'Consulta1'!I4169)</f>
        <v>46293</v>
      </c>
      <c r="N77" s="88" t="str">
        <f>IF('Consulta1'!J4169="","",'Consulta1'!J4169)</f>
        <v>45277</v>
      </c>
      <c r="O77" t="str">
        <v>CHIAPAS|A01 002 FORTALEZA|20260923|20260928|CHALCO|WM|CPR01102|1074 CAJAS CONVENCIONAL Y 78 CAJAS BAE</v>
      </c>
      <c r="P77">
        <v>1</v>
      </c>
      <c r="Q77" t="str">
        <v>CHIAPAS|A01 002 FORTALEZA|20260923|20260928|CHALCO|WM|CPR01102|1074 CAJAS CONVENCIONAL Y 78 CAJAS BAE|1</v>
      </c>
      <c r="R77" t="str">
        <v>Programa Embarques 2026 S-39.xlsx</v>
      </c>
    </row>
    <row r="78" spans="1:18" ht="18.75" x14ac:dyDescent="0.25">
      <c r="A78" s="82" t="str">
        <f>IF('Consulta1'!A4170="","",'Consulta1'!A4170)</f>
        <v>Platano de Chiapas BAE UPC 3237</v>
      </c>
      <c r="B78" s="82" t="str">
        <f>IF('Consulta1'!B4170="","",'Consulta1'!B4170)</f>
        <v>CPR01114</v>
      </c>
      <c r="C78" s="83" t="str">
        <f>IF('Consulta1'!C4170="","",'Consulta1'!C4170)</f>
        <v>A01002-392309-1</v>
      </c>
      <c r="D78" s="84" t="str">
        <f>IF('Consulta1'!D4170="","",'Consulta1'!D4170)</f>
        <v>A01 002 Fortaleza</v>
      </c>
      <c r="E78" s="82" t="str">
        <f>IF('Consulta1'!E4170="","",'Consulta1'!E4170)</f>
        <v>Chalco</v>
      </c>
      <c r="F78">
        <f>+IF(E78="","",VLOOKUP(E78,CATALOGO!G:L,6,0))</f>
        <v>5</v>
      </c>
      <c r="G78" s="85">
        <f>IF('Consulta1'!F4170="","",'Consulta1'!F4170)</f>
        <v>78</v>
      </c>
      <c r="H78" s="85">
        <f>IF('Consulta1'!G4170="","",'Consulta1'!G4170)</f>
        <v>1.625</v>
      </c>
      <c r="I78" s="86">
        <f>IF('Consulta1'!H4170="","",'Consulta1'!H4170)</f>
        <v>46288</v>
      </c>
      <c r="J78">
        <f t="shared" si="1"/>
        <v>39</v>
      </c>
      <c r="K78">
        <f>+IF(E78="","",VLOOKUP(E78,CATALOGO!G:I,2,0))</f>
        <v>1</v>
      </c>
      <c r="L78">
        <f>+IF(E78="","",VLOOKUP(E78,CATALOGO!G:I,3,0))</f>
        <v>24</v>
      </c>
      <c r="M78" s="87">
        <f>IF('Consulta1'!I4170="","",'Consulta1'!I4170)</f>
        <v>46293</v>
      </c>
      <c r="N78" s="88" t="str">
        <f>IF('Consulta1'!J4170="","",'Consulta1'!J4170)</f>
        <v>45277</v>
      </c>
      <c r="O78" t="str">
        <v>CHIAPAS|A01 002 FORTALEZA|20260923|20260928|CHALCO|WM|CPR01114|1074 CAJAS CONVENCIONAL Y 78 CAJAS BAE</v>
      </c>
      <c r="P78">
        <v>1</v>
      </c>
      <c r="Q78" t="str">
        <v>CHIAPAS|A01 002 FORTALEZA|20260923|20260928|CHALCO|WM|CPR01114|1074 CAJAS CONVENCIONAL Y 78 CAJAS BAE|1</v>
      </c>
      <c r="R78" t="str">
        <v>Programa Embarques 2026 S-39.xlsx</v>
      </c>
    </row>
    <row r="79" spans="1:18" ht="18.75" x14ac:dyDescent="0.25">
      <c r="A79" s="82" t="str">
        <f>IF('Consulta1'!A4171="","",'Consulta1'!A4171)</f>
        <v>Chanitos Premium Tarima Chep</v>
      </c>
      <c r="B79" s="82" t="str">
        <f>IF('Consulta1'!B4171="","",'Consulta1'!B4171)</f>
        <v>CPR01102</v>
      </c>
      <c r="C79" s="83" t="str">
        <f>IF('Consulta1'!C4171="","",'Consulta1'!C4171)</f>
        <v>A01002-392309-1</v>
      </c>
      <c r="D79" s="84" t="str">
        <f>IF('Consulta1'!D4171="","",'Consulta1'!D4171)</f>
        <v>A01 002 Fortaleza</v>
      </c>
      <c r="E79" s="82" t="str">
        <f>IF('Consulta1'!E4171="","",'Consulta1'!E4171)</f>
        <v>CEDA</v>
      </c>
      <c r="F79">
        <f>+IF(E79="","",VLOOKUP(E79,CATALOGO!G:L,6,0))</f>
        <v>0</v>
      </c>
      <c r="G79" s="85">
        <f>IF('Consulta1'!F4171="","",'Consulta1'!F4171)</f>
        <v>48</v>
      </c>
      <c r="H79" s="85">
        <f>IF('Consulta1'!G4171="","",'Consulta1'!G4171)</f>
        <v>1</v>
      </c>
      <c r="I79" s="86">
        <f>IF('Consulta1'!H4171="","",'Consulta1'!H4171)</f>
        <v>46288</v>
      </c>
      <c r="J79">
        <f t="shared" si="1"/>
        <v>39</v>
      </c>
      <c r="K79">
        <f>+IF(E79="","",VLOOKUP(E79,CATALOGO!G:I,2,0))</f>
        <v>1.5</v>
      </c>
      <c r="L79">
        <f>+IF(E79="","",VLOOKUP(E79,CATALOGO!G:I,3,0))</f>
        <v>36</v>
      </c>
      <c r="M79" s="87">
        <f>IF('Consulta1'!I4171="","",'Consulta1'!I4171)</f>
        <v>46292</v>
      </c>
      <c r="N79" s="88" t="str">
        <f>IF('Consulta1'!J4171="","",'Consulta1'!J4171)</f>
        <v>0</v>
      </c>
      <c r="O79" t="str">
        <v>CHIAPAS|A01 002 FORTALEZA|20260923|20260927|CEDA|CEDA AUTOSERVICIO|CPR01102|CEDA</v>
      </c>
      <c r="P79">
        <v>1</v>
      </c>
      <c r="Q79" t="str">
        <v>CHIAPAS|A01 002 FORTALEZA|20260923|20260927|CEDA|CEDA AUTOSERVICIO|CPR01102|CEDA|1</v>
      </c>
      <c r="R79" t="str">
        <v>Programa Embarques 2026 S-39.xlsx</v>
      </c>
    </row>
    <row r="80" spans="1:18" ht="18.75" x14ac:dyDescent="0.25">
      <c r="A80" s="82" t="str">
        <f>IF('Consulta1'!A4172="","",'Consulta1'!A4172)</f>
        <v>Chanitos Premium Granel</v>
      </c>
      <c r="B80" s="82" t="str">
        <f>IF('Consulta1'!B4172="","",'Consulta1'!B4172)</f>
        <v>CPR01101</v>
      </c>
      <c r="C80" s="83" t="str">
        <f>IF('Consulta1'!C4172="","",'Consulta1'!C4172)</f>
        <v>A01002-392309-1</v>
      </c>
      <c r="D80" s="84" t="str">
        <f>IF('Consulta1'!D4172="","",'Consulta1'!D4172)</f>
        <v>A01 002 Fortaleza</v>
      </c>
      <c r="E80" s="82" t="str">
        <f>IF('Consulta1'!E4172="","",'Consulta1'!E4172)</f>
        <v>CEDA</v>
      </c>
      <c r="F80">
        <f>+IF(E80="","",VLOOKUP(E80,CATALOGO!G:L,6,0))</f>
        <v>0</v>
      </c>
      <c r="G80" s="85">
        <f>IF('Consulta1'!F4172="","",'Consulta1'!F4172)</f>
        <v>41</v>
      </c>
      <c r="H80" s="85" t="str">
        <f>IF('Consulta1'!G4172="","",'Consulta1'!G4172)</f>
        <v>Granel</v>
      </c>
      <c r="I80" s="86">
        <f>IF('Consulta1'!H4172="","",'Consulta1'!H4172)</f>
        <v>46288</v>
      </c>
      <c r="J80">
        <f t="shared" si="1"/>
        <v>39</v>
      </c>
      <c r="K80">
        <f>+IF(E80="","",VLOOKUP(E80,CATALOGO!G:I,2,0))</f>
        <v>1.5</v>
      </c>
      <c r="L80">
        <f>+IF(E80="","",VLOOKUP(E80,CATALOGO!G:I,3,0))</f>
        <v>36</v>
      </c>
      <c r="M80" s="87">
        <f>IF('Consulta1'!I4172="","",'Consulta1'!I4172)</f>
        <v>46292</v>
      </c>
      <c r="N80" s="88" t="str">
        <f>IF('Consulta1'!J4172="","",'Consulta1'!J4172)</f>
        <v>0</v>
      </c>
      <c r="O80" t="str">
        <v>CHIAPAS|A01 002 FORTALEZA|20260923|20260927|CEDA|CEDA PISO|CPR01101|CEDA PISO PRODUCTORAS</v>
      </c>
      <c r="P80">
        <v>1</v>
      </c>
      <c r="Q80" t="str">
        <v>CHIAPAS|A01 002 FORTALEZA|20260923|20260927|CEDA|CEDA PISO|CPR01101|CEDA PISO PRODUCTORAS|1</v>
      </c>
      <c r="R80" t="str">
        <v>Programa Embarques 2026 S-39.xlsx</v>
      </c>
    </row>
    <row r="81" spans="1:18" ht="18.75" x14ac:dyDescent="0.25">
      <c r="A81" s="82" t="str">
        <f>IF('Consulta1'!A4173="","",'Consulta1'!A4173)</f>
        <v>Chanitos Premium Tarima Chep</v>
      </c>
      <c r="B81" s="82" t="str">
        <f>IF('Consulta1'!B4173="","",'Consulta1'!B4173)</f>
        <v>CPR01102</v>
      </c>
      <c r="C81" s="83" t="str">
        <f>IF('Consulta1'!C4173="","",'Consulta1'!C4173)</f>
        <v>A01001-392309-1</v>
      </c>
      <c r="D81" s="84" t="str">
        <f>IF('Consulta1'!D4173="","",'Consulta1'!D4173)</f>
        <v>A01 001 Marbella</v>
      </c>
      <c r="E81" s="82" t="str">
        <f>IF('Consulta1'!E4173="","",'Consulta1'!E4173)</f>
        <v>VSA</v>
      </c>
      <c r="F81">
        <f>+IF(E81="","",VLOOKUP(E81,CATALOGO!G:L,6,0))</f>
        <v>6</v>
      </c>
      <c r="G81" s="85">
        <f>IF('Consulta1'!F4173="","",'Consulta1'!F4173)</f>
        <v>1104</v>
      </c>
      <c r="H81" s="85">
        <f>IF('Consulta1'!G4173="","",'Consulta1'!G4173)</f>
        <v>23</v>
      </c>
      <c r="I81" s="86">
        <f>IF('Consulta1'!H4173="","",'Consulta1'!H4173)</f>
        <v>46288</v>
      </c>
      <c r="J81">
        <f t="shared" si="1"/>
        <v>39</v>
      </c>
      <c r="K81">
        <f>+IF(E81="","",VLOOKUP(E81,CATALOGO!G:I,2,0))</f>
        <v>1</v>
      </c>
      <c r="L81">
        <f>+IF(E81="","",VLOOKUP(E81,CATALOGO!G:I,3,0))</f>
        <v>24</v>
      </c>
      <c r="M81" s="87">
        <f>IF('Consulta1'!I4173="","",'Consulta1'!I4173)</f>
        <v>46292</v>
      </c>
      <c r="N81" s="88" t="str">
        <f>IF('Consulta1'!J4173="","",'Consulta1'!J4173)</f>
        <v>45089</v>
      </c>
      <c r="O81" t="str">
        <v>CHIAPAS|A01 001 MARBELLA|20260923|20260927|VSA|WM|CPR01102|24 CONVENCIONAL</v>
      </c>
      <c r="P81">
        <v>1</v>
      </c>
      <c r="Q81" t="str">
        <v>CHIAPAS|A01 001 MARBELLA|20260923|20260927|VSA|WM|CPR01102|24 CONVENCIONAL|1</v>
      </c>
      <c r="R81" t="str">
        <v>Programa Embarques 2026 S-39.xlsx</v>
      </c>
    </row>
    <row r="82" spans="1:18" ht="18.75" x14ac:dyDescent="0.25">
      <c r="A82" s="82" t="str">
        <f>IF('Consulta1'!A4174="","",'Consulta1'!A4174)</f>
        <v>Chanitos Premium Tarima Chep</v>
      </c>
      <c r="B82" s="82" t="str">
        <f>IF('Consulta1'!B4174="","",'Consulta1'!B4174)</f>
        <v>CPR01102</v>
      </c>
      <c r="C82" s="83" t="str">
        <f>IF('Consulta1'!C4174="","",'Consulta1'!C4174)</f>
        <v>A01001-392309-1</v>
      </c>
      <c r="D82" s="84" t="str">
        <f>IF('Consulta1'!D4174="","",'Consulta1'!D4174)</f>
        <v>A01 001 Marbella</v>
      </c>
      <c r="E82" s="82" t="str">
        <f>IF('Consulta1'!E4174="","",'Consulta1'!E4174)</f>
        <v>CEDA</v>
      </c>
      <c r="F82">
        <f>+IF(E82="","",VLOOKUP(E82,CATALOGO!G:L,6,0))</f>
        <v>0</v>
      </c>
      <c r="G82" s="85">
        <f>IF('Consulta1'!F4174="","",'Consulta1'!F4174)</f>
        <v>96</v>
      </c>
      <c r="H82" s="85">
        <f>IF('Consulta1'!G4174="","",'Consulta1'!G4174)</f>
        <v>2</v>
      </c>
      <c r="I82" s="86">
        <f>IF('Consulta1'!H4174="","",'Consulta1'!H4174)</f>
        <v>46288</v>
      </c>
      <c r="J82">
        <f t="shared" si="1"/>
        <v>39</v>
      </c>
      <c r="K82">
        <f>+IF(E82="","",VLOOKUP(E82,CATALOGO!G:I,2,0))</f>
        <v>1.5</v>
      </c>
      <c r="L82">
        <f>+IF(E82="","",VLOOKUP(E82,CATALOGO!G:I,3,0))</f>
        <v>36</v>
      </c>
      <c r="M82" s="87">
        <f>IF('Consulta1'!I4174="","",'Consulta1'!I4174)</f>
        <v>46292</v>
      </c>
      <c r="N82" s="88" t="str">
        <f>IF('Consulta1'!J4174="","",'Consulta1'!J4174)</f>
        <v>0</v>
      </c>
      <c r="O82" t="str">
        <v>CHIAPAS|A01 001 MARBELLA|20260923|20260927|CEDA|CEDA AUTOSERVICIO|CPR01102|CEDA</v>
      </c>
      <c r="P82">
        <v>1</v>
      </c>
      <c r="Q82" t="str">
        <v>CHIAPAS|A01 001 MARBELLA|20260923|20260927|CEDA|CEDA AUTOSERVICIO|CPR01102|CEDA|1</v>
      </c>
      <c r="R82" t="str">
        <v>Programa Embarques 2026 S-39.xlsx</v>
      </c>
    </row>
    <row r="83" spans="1:18" ht="18.75" x14ac:dyDescent="0.25">
      <c r="A83" s="82" t="str">
        <f>IF('Consulta1'!A4175="","",'Consulta1'!A4175)</f>
        <v>Chanitos Premium Granel</v>
      </c>
      <c r="B83" s="82" t="str">
        <f>IF('Consulta1'!B4175="","",'Consulta1'!B4175)</f>
        <v>CPR01101</v>
      </c>
      <c r="C83" s="83" t="str">
        <f>IF('Consulta1'!C4175="","",'Consulta1'!C4175)</f>
        <v>A01001-392309-1</v>
      </c>
      <c r="D83" s="84" t="str">
        <f>IF('Consulta1'!D4175="","",'Consulta1'!D4175)</f>
        <v>A01 001 Marbella</v>
      </c>
      <c r="E83" s="82" t="str">
        <f>IF('Consulta1'!E4175="","",'Consulta1'!E4175)</f>
        <v>CEDA</v>
      </c>
      <c r="F83">
        <f>+IF(E83="","",VLOOKUP(E83,CATALOGO!G:L,6,0))</f>
        <v>0</v>
      </c>
      <c r="G83" s="85">
        <f>IF('Consulta1'!F4175="","",'Consulta1'!F4175)</f>
        <v>61</v>
      </c>
      <c r="H83" s="85" t="str">
        <f>IF('Consulta1'!G4175="","",'Consulta1'!G4175)</f>
        <v>Granel</v>
      </c>
      <c r="I83" s="86">
        <f>IF('Consulta1'!H4175="","",'Consulta1'!H4175)</f>
        <v>46288</v>
      </c>
      <c r="J83">
        <f t="shared" si="1"/>
        <v>39</v>
      </c>
      <c r="K83">
        <f>+IF(E83="","",VLOOKUP(E83,CATALOGO!G:I,2,0))</f>
        <v>1.5</v>
      </c>
      <c r="L83">
        <f>+IF(E83="","",VLOOKUP(E83,CATALOGO!G:I,3,0))</f>
        <v>36</v>
      </c>
      <c r="M83" s="87">
        <f>IF('Consulta1'!I4175="","",'Consulta1'!I4175)</f>
        <v>46292</v>
      </c>
      <c r="N83" s="88" t="str">
        <f>IF('Consulta1'!J4175="","",'Consulta1'!J4175)</f>
        <v>0</v>
      </c>
      <c r="O83" t="str">
        <v>CHIAPAS|A01 001 MARBELLA|20260923|20260927|CEDA|CEDA PISO|CPR01101|CEDA PISO PRODUCTORAS</v>
      </c>
      <c r="P83">
        <v>1</v>
      </c>
      <c r="Q83" t="str">
        <v>CHIAPAS|A01 001 MARBELLA|20260923|20260927|CEDA|CEDA PISO|CPR01101|CEDA PISO PRODUCTORAS|1</v>
      </c>
      <c r="R83" t="str">
        <v>Programa Embarques 2026 S-39.xlsx</v>
      </c>
    </row>
    <row r="84" spans="1:18" ht="18.75" x14ac:dyDescent="0.25">
      <c r="A84" s="82" t="str">
        <f>IF('Consulta1'!A4176="","",'Consulta1'!A4176)</f>
        <v>Chanitos Premium Tarima Chep</v>
      </c>
      <c r="B84" s="82" t="str">
        <f>IF('Consulta1'!B4176="","",'Consulta1'!B4176)</f>
        <v>CPR01102</v>
      </c>
      <c r="C84" s="83" t="str">
        <f>IF('Consulta1'!C4176="","",'Consulta1'!C4176)</f>
        <v>A01001-392409-1</v>
      </c>
      <c r="D84" s="84" t="str">
        <f>IF('Consulta1'!D4176="","",'Consulta1'!D4176)</f>
        <v>A01 001 Marbella</v>
      </c>
      <c r="E84" s="82" t="str">
        <f>IF('Consulta1'!E4176="","",'Consulta1'!E4176)</f>
        <v>QRO</v>
      </c>
      <c r="F84">
        <f>+IF(E84="","",VLOOKUP(E84,CATALOGO!G:L,6,0))</f>
        <v>3</v>
      </c>
      <c r="G84" s="85">
        <f>IF('Consulta1'!F4176="","",'Consulta1'!F4176)</f>
        <v>1056</v>
      </c>
      <c r="H84" s="85">
        <f>IF('Consulta1'!G4176="","",'Consulta1'!G4176)</f>
        <v>22</v>
      </c>
      <c r="I84" s="86">
        <f>IF('Consulta1'!H4176="","",'Consulta1'!H4176)</f>
        <v>46289</v>
      </c>
      <c r="J84">
        <f t="shared" si="1"/>
        <v>39</v>
      </c>
      <c r="K84">
        <f>+IF(E84="","",VLOOKUP(E84,CATALOGO!G:I,2,0))</f>
        <v>1.5</v>
      </c>
      <c r="L84">
        <f>+IF(E84="","",VLOOKUP(E84,CATALOGO!G:I,3,0))</f>
        <v>36</v>
      </c>
      <c r="M84" s="87">
        <f>IF('Consulta1'!I4176="","",'Consulta1'!I4176)</f>
        <v>46293</v>
      </c>
      <c r="N84" s="88" t="str">
        <f>IF('Consulta1'!J4176="","",'Consulta1'!J4176)</f>
        <v>45202</v>
      </c>
      <c r="O84" t="str">
        <v>CHIAPAS|A01 001 MARBELLA|20260924|20260928|QRO|WM|CPR01102|22 CONVENCIONAL Y 2 ORG</v>
      </c>
      <c r="P84">
        <v>1</v>
      </c>
      <c r="Q84" t="str">
        <v>CHIAPAS|A01 001 MARBELLA|20260924|20260928|QRO|WM|CPR01102|22 CONVENCIONAL Y 2 ORG|1</v>
      </c>
      <c r="R84" t="str">
        <v>Programa Embarques 2026 S-39.xlsx</v>
      </c>
    </row>
    <row r="85" spans="1:18" ht="18.75" x14ac:dyDescent="0.25">
      <c r="A85" s="82" t="str">
        <f>IF('Consulta1'!A4177="","",'Consulta1'!A4177)</f>
        <v>Chanitos Premium Tarima Chep</v>
      </c>
      <c r="B85" s="82" t="str">
        <f>IF('Consulta1'!B4177="","",'Consulta1'!B4177)</f>
        <v>CPR01102</v>
      </c>
      <c r="C85" s="83" t="str">
        <f>IF('Consulta1'!C4177="","",'Consulta1'!C4177)</f>
        <v>A01001-392409-1</v>
      </c>
      <c r="D85" s="84" t="str">
        <f>IF('Consulta1'!D4177="","",'Consulta1'!D4177)</f>
        <v>A01 001 Marbella</v>
      </c>
      <c r="E85" s="82" t="str">
        <f>IF('Consulta1'!E4177="","",'Consulta1'!E4177)</f>
        <v>CEDA</v>
      </c>
      <c r="F85">
        <f>+IF(E85="","",VLOOKUP(E85,CATALOGO!G:L,6,0))</f>
        <v>0</v>
      </c>
      <c r="G85" s="85">
        <f>IF('Consulta1'!F4177="","",'Consulta1'!F4177)</f>
        <v>192</v>
      </c>
      <c r="H85" s="85">
        <f>IF('Consulta1'!G4177="","",'Consulta1'!G4177)</f>
        <v>4</v>
      </c>
      <c r="I85" s="86">
        <f>IF('Consulta1'!H4177="","",'Consulta1'!H4177)</f>
        <v>46289</v>
      </c>
      <c r="J85">
        <f t="shared" si="1"/>
        <v>39</v>
      </c>
      <c r="K85">
        <f>+IF(E85="","",VLOOKUP(E85,CATALOGO!G:I,2,0))</f>
        <v>1.5</v>
      </c>
      <c r="L85">
        <f>+IF(E85="","",VLOOKUP(E85,CATALOGO!G:I,3,0))</f>
        <v>36</v>
      </c>
      <c r="M85" s="87">
        <f>IF('Consulta1'!I4177="","",'Consulta1'!I4177)</f>
        <v>46293</v>
      </c>
      <c r="N85" s="88" t="str">
        <f>IF('Consulta1'!J4177="","",'Consulta1'!J4177)</f>
        <v>0</v>
      </c>
      <c r="O85" t="str">
        <v>CHIAPAS|A01 001 MARBELLA|20260924|20260928|CEDA|CEDA AUTOSERVICIO|CPR01102|CEDA</v>
      </c>
      <c r="P85">
        <v>1</v>
      </c>
      <c r="Q85" t="str">
        <v>CHIAPAS|A01 001 MARBELLA|20260924|20260928|CEDA|CEDA AUTOSERVICIO|CPR01102|CEDA|1</v>
      </c>
      <c r="R85" t="str">
        <v>Programa Embarques 2026 S-39.xlsx</v>
      </c>
    </row>
    <row r="86" spans="1:18" ht="18.75" x14ac:dyDescent="0.25">
      <c r="A86" s="82" t="str">
        <f>IF('Consulta1'!A4178="","",'Consulta1'!A4178)</f>
        <v>Chanitos Premium Granel</v>
      </c>
      <c r="B86" s="82" t="str">
        <f>IF('Consulta1'!B4178="","",'Consulta1'!B4178)</f>
        <v>CPR01101</v>
      </c>
      <c r="C86" s="83" t="str">
        <f>IF('Consulta1'!C4178="","",'Consulta1'!C4178)</f>
        <v>A01001-392409-1</v>
      </c>
      <c r="D86" s="84" t="str">
        <f>IF('Consulta1'!D4178="","",'Consulta1'!D4178)</f>
        <v>A01 001 Marbella</v>
      </c>
      <c r="E86" s="82" t="str">
        <f>IF('Consulta1'!E4178="","",'Consulta1'!E4178)</f>
        <v>CEDA</v>
      </c>
      <c r="F86">
        <f>+IF(E86="","",VLOOKUP(E86,CATALOGO!G:L,6,0))</f>
        <v>0</v>
      </c>
      <c r="G86" s="85">
        <f>IF('Consulta1'!F4178="","",'Consulta1'!F4178)</f>
        <v>99</v>
      </c>
      <c r="H86" s="85" t="str">
        <f>IF('Consulta1'!G4178="","",'Consulta1'!G4178)</f>
        <v>Granel</v>
      </c>
      <c r="I86" s="86">
        <f>IF('Consulta1'!H4178="","",'Consulta1'!H4178)</f>
        <v>46289</v>
      </c>
      <c r="J86">
        <f t="shared" si="1"/>
        <v>39</v>
      </c>
      <c r="K86">
        <f>+IF(E86="","",VLOOKUP(E86,CATALOGO!G:I,2,0))</f>
        <v>1.5</v>
      </c>
      <c r="L86">
        <f>+IF(E86="","",VLOOKUP(E86,CATALOGO!G:I,3,0))</f>
        <v>36</v>
      </c>
      <c r="M86" s="87">
        <f>IF('Consulta1'!I4178="","",'Consulta1'!I4178)</f>
        <v>46293</v>
      </c>
      <c r="N86" s="88" t="str">
        <f>IF('Consulta1'!J4178="","",'Consulta1'!J4178)</f>
        <v>0</v>
      </c>
      <c r="O86" t="str">
        <v>CHIAPAS|A01 001 MARBELLA|20260924|20260928|CEDA|CEDA PISO|CPR01101|CEDA PISO PRODUCTORAS</v>
      </c>
      <c r="P86">
        <v>1</v>
      </c>
      <c r="Q86" t="str">
        <v>CHIAPAS|A01 001 MARBELLA|20260924|20260928|CEDA|CEDA PISO|CPR01101|CEDA PISO PRODUCTORAS|1</v>
      </c>
      <c r="R86" t="str">
        <v>Programa Embarques 2026 S-39.xlsx</v>
      </c>
    </row>
    <row r="87" spans="1:18" ht="18.75" x14ac:dyDescent="0.25">
      <c r="A87" s="82" t="str">
        <f>IF('Consulta1'!A4179="","",'Consulta1'!A4179)</f>
        <v>Chanitos Premium Tarima Chep</v>
      </c>
      <c r="B87" s="82" t="str">
        <f>IF('Consulta1'!B4179="","",'Consulta1'!B4179)</f>
        <v>CPR01102</v>
      </c>
      <c r="C87" s="83" t="str">
        <f>IF('Consulta1'!C4179="","",'Consulta1'!C4179)</f>
        <v>A01002-392409-1</v>
      </c>
      <c r="D87" s="84" t="str">
        <f>IF('Consulta1'!D4179="","",'Consulta1'!D4179)</f>
        <v>A01 002 Fortaleza</v>
      </c>
      <c r="E87" s="82" t="str">
        <f>IF('Consulta1'!E4179="","",'Consulta1'!E4179)</f>
        <v>Chalco</v>
      </c>
      <c r="F87">
        <f>+IF(E87="","",VLOOKUP(E87,CATALOGO!G:L,6,0))</f>
        <v>5</v>
      </c>
      <c r="G87" s="85">
        <f>IF('Consulta1'!F4179="","",'Consulta1'!F4179)</f>
        <v>720</v>
      </c>
      <c r="H87" s="85">
        <f>IF('Consulta1'!G4179="","",'Consulta1'!G4179)</f>
        <v>15</v>
      </c>
      <c r="I87" s="86">
        <f>IF('Consulta1'!H4179="","",'Consulta1'!H4179)</f>
        <v>46289</v>
      </c>
      <c r="J87">
        <f t="shared" si="1"/>
        <v>39</v>
      </c>
      <c r="K87">
        <f>+IF(E87="","",VLOOKUP(E87,CATALOGO!G:I,2,0))</f>
        <v>1</v>
      </c>
      <c r="L87">
        <f>+IF(E87="","",VLOOKUP(E87,CATALOGO!G:I,3,0))</f>
        <v>24</v>
      </c>
      <c r="M87" s="87">
        <f>IF('Consulta1'!I4179="","",'Consulta1'!I4179)</f>
        <v>46293</v>
      </c>
      <c r="N87" s="88" t="str">
        <f>IF('Consulta1'!J4179="","",'Consulta1'!J4179)</f>
        <v>45277</v>
      </c>
      <c r="O87" t="str">
        <v>CHIAPAS|A01 002 FORTALEZA|20260924|20260928|CHALCO|WM|CPR01102|1074 CAJAS CONVENCIONAL Y 78 CAJAS BAE</v>
      </c>
      <c r="P87">
        <v>1</v>
      </c>
      <c r="Q87" t="str">
        <v>CHIAPAS|A01 002 FORTALEZA|20260924|20260928|CHALCO|WM|CPR01102|1074 CAJAS CONVENCIONAL Y 78 CAJAS BAE|1</v>
      </c>
      <c r="R87" t="str">
        <v>Programa Embarques 2026 S-39.xlsx</v>
      </c>
    </row>
    <row r="88" spans="1:18" ht="18.75" x14ac:dyDescent="0.25">
      <c r="A88" s="82" t="str">
        <f>IF('Consulta1'!A4180="","",'Consulta1'!A4180)</f>
        <v>Chanitos Organic Banded Market Side Mexico</v>
      </c>
      <c r="B88" s="82" t="str">
        <f>IF('Consulta1'!B4180="","",'Consulta1'!B4180)</f>
        <v>CRG07128</v>
      </c>
      <c r="C88" s="83" t="str">
        <f>IF('Consulta1'!C4180="","",'Consulta1'!C4180)</f>
        <v>A01002-392409-1</v>
      </c>
      <c r="D88" s="84" t="str">
        <f>IF('Consulta1'!D4180="","",'Consulta1'!D4180)</f>
        <v>A01 002 Fortaleza</v>
      </c>
      <c r="E88" s="82" t="str">
        <f>IF('Consulta1'!E4180="","",'Consulta1'!E4180)</f>
        <v>QRO</v>
      </c>
      <c r="F88">
        <f>+IF(E88="","",VLOOKUP(E88,CATALOGO!G:L,6,0))</f>
        <v>3</v>
      </c>
      <c r="G88" s="85">
        <f>IF('Consulta1'!F4180="","",'Consulta1'!F4180)</f>
        <v>96</v>
      </c>
      <c r="H88" s="85">
        <f>IF('Consulta1'!G4180="","",'Consulta1'!G4180)</f>
        <v>2</v>
      </c>
      <c r="I88" s="86">
        <f>IF('Consulta1'!H4180="","",'Consulta1'!H4180)</f>
        <v>46289</v>
      </c>
      <c r="J88">
        <f t="shared" si="1"/>
        <v>39</v>
      </c>
      <c r="K88">
        <f>+IF(E88="","",VLOOKUP(E88,CATALOGO!G:I,2,0))</f>
        <v>1.5</v>
      </c>
      <c r="L88">
        <f>+IF(E88="","",VLOOKUP(E88,CATALOGO!G:I,3,0))</f>
        <v>36</v>
      </c>
      <c r="M88" s="87">
        <f>IF('Consulta1'!I4180="","",'Consulta1'!I4180)</f>
        <v>46293</v>
      </c>
      <c r="N88" s="88" t="str">
        <f>IF('Consulta1'!J4180="","",'Consulta1'!J4180)</f>
        <v>45202</v>
      </c>
      <c r="O88" t="str">
        <v>CHIAPAS|A01 002 FORTALEZA|20260924|20260928|QRO|WM|CRG07128|22 CONVENCIONAL Y 2 ORG</v>
      </c>
      <c r="P88">
        <v>1</v>
      </c>
      <c r="Q88" t="str">
        <v>CHIAPAS|A01 002 FORTALEZA|20260924|20260928|QRO|WM|CRG07128|22 CONVENCIONAL Y 2 ORG|1</v>
      </c>
      <c r="R88" t="str">
        <v>Programa Embarques 2026 S-39.xlsx</v>
      </c>
    </row>
    <row r="89" spans="1:18" ht="18.75" x14ac:dyDescent="0.25">
      <c r="A89" s="82" t="str">
        <f>IF('Consulta1'!A4181="","",'Consulta1'!A4181)</f>
        <v>Chanitos Organic Banded Market Side Mexico</v>
      </c>
      <c r="B89" s="82" t="str">
        <f>IF('Consulta1'!B4181="","",'Consulta1'!B4181)</f>
        <v>CRG07128</v>
      </c>
      <c r="C89" s="83" t="str">
        <f>IF('Consulta1'!C4181="","",'Consulta1'!C4181)</f>
        <v>A01002-392409-1</v>
      </c>
      <c r="D89" s="84" t="str">
        <f>IF('Consulta1'!D4181="","",'Consulta1'!D4181)</f>
        <v>A01 002 Fortaleza</v>
      </c>
      <c r="E89" s="82" t="str">
        <f>IF('Consulta1'!E4181="","",'Consulta1'!E4181)</f>
        <v>VSA</v>
      </c>
      <c r="F89">
        <f>+IF(E89="","",VLOOKUP(E89,CATALOGO!G:L,6,0))</f>
        <v>6</v>
      </c>
      <c r="G89" s="85">
        <f>IF('Consulta1'!F4181="","",'Consulta1'!F4181)</f>
        <v>288</v>
      </c>
      <c r="H89" s="85">
        <f>IF('Consulta1'!G4181="","",'Consulta1'!G4181)</f>
        <v>6</v>
      </c>
      <c r="I89" s="86">
        <f>IF('Consulta1'!H4181="","",'Consulta1'!H4181)</f>
        <v>46289</v>
      </c>
      <c r="J89">
        <f t="shared" si="1"/>
        <v>39</v>
      </c>
      <c r="K89">
        <f>+IF(E89="","",VLOOKUP(E89,CATALOGO!G:I,2,0))</f>
        <v>1</v>
      </c>
      <c r="L89">
        <f>+IF(E89="","",VLOOKUP(E89,CATALOGO!G:I,3,0))</f>
        <v>24</v>
      </c>
      <c r="M89" s="87">
        <f>IF('Consulta1'!I4181="","",'Consulta1'!I4181)</f>
        <v>46293</v>
      </c>
      <c r="N89" s="88" t="str">
        <f>IF('Consulta1'!J4181="","",'Consulta1'!J4181)</f>
        <v>43794</v>
      </c>
      <c r="O89" t="str">
        <v>CHIAPAS|A01 002 FORTALEZA|20260924|20260928|VSA|WM|CRG07128|18 CONVENCIONAL Y 6 ORGANICO</v>
      </c>
      <c r="P89">
        <v>1</v>
      </c>
      <c r="Q89" t="str">
        <v>CHIAPAS|A01 002 FORTALEZA|20260924|20260928|VSA|WM|CRG07128|18 CONVENCIONAL Y 6 ORGANICO|1</v>
      </c>
      <c r="R89" t="str">
        <v>Programa Embarques 2026 S-39.xlsx</v>
      </c>
    </row>
    <row r="90" spans="1:18" ht="18.75" x14ac:dyDescent="0.25">
      <c r="A90" s="82" t="str">
        <f>IF('Consulta1'!A4182="","",'Consulta1'!A4182)</f>
        <v>Chanitos Premium Tarima Chep</v>
      </c>
      <c r="B90" s="82" t="str">
        <f>IF('Consulta1'!B4182="","",'Consulta1'!B4182)</f>
        <v>CPR01102</v>
      </c>
      <c r="C90" s="83" t="str">
        <f>IF('Consulta1'!C4182="","",'Consulta1'!C4182)</f>
        <v>A01002-392409-1</v>
      </c>
      <c r="D90" s="84" t="str">
        <f>IF('Consulta1'!D4182="","",'Consulta1'!D4182)</f>
        <v>A01 002 Fortaleza</v>
      </c>
      <c r="E90" s="82" t="str">
        <f>IF('Consulta1'!E4182="","",'Consulta1'!E4182)</f>
        <v>VSA</v>
      </c>
      <c r="F90">
        <f>+IF(E90="","",VLOOKUP(E90,CATALOGO!G:L,6,0))</f>
        <v>6</v>
      </c>
      <c r="G90" s="85">
        <f>IF('Consulta1'!F4182="","",'Consulta1'!F4182)</f>
        <v>480</v>
      </c>
      <c r="H90" s="85">
        <f>IF('Consulta1'!G4182="","",'Consulta1'!G4182)</f>
        <v>10</v>
      </c>
      <c r="I90" s="86">
        <f>IF('Consulta1'!H4182="","",'Consulta1'!H4182)</f>
        <v>46289</v>
      </c>
      <c r="J90">
        <f t="shared" si="1"/>
        <v>39</v>
      </c>
      <c r="K90">
        <f>+IF(E90="","",VLOOKUP(E90,CATALOGO!G:I,2,0))</f>
        <v>1</v>
      </c>
      <c r="L90">
        <f>+IF(E90="","",VLOOKUP(E90,CATALOGO!G:I,3,0))</f>
        <v>24</v>
      </c>
      <c r="M90" s="87">
        <f>IF('Consulta1'!I4182="","",'Consulta1'!I4182)</f>
        <v>46293</v>
      </c>
      <c r="N90" s="88" t="str">
        <f>IF('Consulta1'!J4182="","",'Consulta1'!J4182)</f>
        <v>41954</v>
      </c>
      <c r="O90" t="str">
        <v>CHIAPAS|A01 002 FORTALEZA|20260924|20260928|VSA|WM|CPR01102|18 CONVENCIONAL Y 6 ORGANICO</v>
      </c>
      <c r="P90">
        <v>1</v>
      </c>
      <c r="Q90" t="str">
        <v>CHIAPAS|A01 002 FORTALEZA|20260924|20260928|VSA|WM|CPR01102|18 CONVENCIONAL Y 6 ORGANICO|1</v>
      </c>
      <c r="R90" t="str">
        <v>Programa Embarques 2026 S-39.xlsx</v>
      </c>
    </row>
    <row r="91" spans="1:18" ht="18.75" x14ac:dyDescent="0.25">
      <c r="A91" s="82" t="str">
        <f>IF('Consulta1'!A4183="","",'Consulta1'!A4183)</f>
        <v>Chanitos Premium Granel</v>
      </c>
      <c r="B91" s="82" t="str">
        <f>IF('Consulta1'!B4183="","",'Consulta1'!B4183)</f>
        <v>CPR01101</v>
      </c>
      <c r="C91" s="83" t="str">
        <f>IF('Consulta1'!C4183="","",'Consulta1'!C4183)</f>
        <v>A01002-392409-1</v>
      </c>
      <c r="D91" s="84" t="str">
        <f>IF('Consulta1'!D4183="","",'Consulta1'!D4183)</f>
        <v>A01 002 Fortaleza</v>
      </c>
      <c r="E91" s="82" t="str">
        <f>IF('Consulta1'!E4183="","",'Consulta1'!E4183)</f>
        <v>CEDA</v>
      </c>
      <c r="F91">
        <f>+IF(E91="","",VLOOKUP(E91,CATALOGO!G:L,6,0))</f>
        <v>0</v>
      </c>
      <c r="G91" s="85">
        <f>IF('Consulta1'!F4183="","",'Consulta1'!F4183)</f>
        <v>34</v>
      </c>
      <c r="H91" s="85" t="str">
        <f>IF('Consulta1'!G4183="","",'Consulta1'!G4183)</f>
        <v>Granel</v>
      </c>
      <c r="I91" s="86">
        <f>IF('Consulta1'!H4183="","",'Consulta1'!H4183)</f>
        <v>46289</v>
      </c>
      <c r="J91">
        <f t="shared" si="1"/>
        <v>39</v>
      </c>
      <c r="K91">
        <f>+IF(E91="","",VLOOKUP(E91,CATALOGO!G:I,2,0))</f>
        <v>1.5</v>
      </c>
      <c r="L91">
        <f>+IF(E91="","",VLOOKUP(E91,CATALOGO!G:I,3,0))</f>
        <v>36</v>
      </c>
      <c r="M91" s="87">
        <f>IF('Consulta1'!I4183="","",'Consulta1'!I4183)</f>
        <v>46293</v>
      </c>
      <c r="N91" s="88" t="str">
        <f>IF('Consulta1'!J4183="","",'Consulta1'!J4183)</f>
        <v>0</v>
      </c>
      <c r="O91" t="str">
        <v>CHIAPAS|A01 002 FORTALEZA|20260924|20260928|CEDA|CEDA PISO|CPR01101|CEDA PISO PRODUCTORAS</v>
      </c>
      <c r="P91">
        <v>1</v>
      </c>
      <c r="Q91" t="str">
        <v>CHIAPAS|A01 002 FORTALEZA|20260924|20260928|CEDA|CEDA PISO|CPR01101|CEDA PISO PRODUCTORAS|1</v>
      </c>
      <c r="R91" t="str">
        <v>Programa Embarques 2026 S-39.xlsx</v>
      </c>
    </row>
    <row r="92" spans="1:18" ht="18.75" x14ac:dyDescent="0.25">
      <c r="A92" s="82" t="str">
        <f>IF('Consulta1'!A4184="","",'Consulta1'!A4184)</f>
        <v>Chanitos Premium Tarima Chep</v>
      </c>
      <c r="B92" s="82" t="str">
        <f>IF('Consulta1'!B4184="","",'Consulta1'!B4184)</f>
        <v>CPR01102</v>
      </c>
      <c r="C92" s="83" t="str">
        <f>IF('Consulta1'!C4184="","",'Consulta1'!C4184)</f>
        <v>A01003-392409-1</v>
      </c>
      <c r="D92" s="84" t="str">
        <f>IF('Consulta1'!D4184="","",'Consulta1'!D4184)</f>
        <v>A01 003 Doña Nelly</v>
      </c>
      <c r="E92" s="82" t="str">
        <f>IF('Consulta1'!E4184="","",'Consulta1'!E4184)</f>
        <v>SMO</v>
      </c>
      <c r="F92">
        <f>+IF(E92="","",VLOOKUP(E92,CATALOGO!G:L,6,0))</f>
        <v>4</v>
      </c>
      <c r="G92" s="85">
        <f>IF('Consulta1'!F4184="","",'Consulta1'!F4184)</f>
        <v>672</v>
      </c>
      <c r="H92" s="85">
        <f>IF('Consulta1'!G4184="","",'Consulta1'!G4184)</f>
        <v>14</v>
      </c>
      <c r="I92" s="86">
        <f>IF('Consulta1'!H4184="","",'Consulta1'!H4184)</f>
        <v>46289</v>
      </c>
      <c r="J92">
        <f t="shared" si="1"/>
        <v>39</v>
      </c>
      <c r="K92">
        <f>+IF(E92="","",VLOOKUP(E92,CATALOGO!G:I,2,0))</f>
        <v>1.5</v>
      </c>
      <c r="L92">
        <f>+IF(E92="","",VLOOKUP(E92,CATALOGO!G:I,3,0))</f>
        <v>36</v>
      </c>
      <c r="M92" s="87">
        <f>IF('Consulta1'!I4184="","",'Consulta1'!I4184)</f>
        <v>46293</v>
      </c>
      <c r="N92" s="88" t="str">
        <f>IF('Consulta1'!J4184="","",'Consulta1'!J4184)</f>
        <v>45098</v>
      </c>
      <c r="O92" t="str">
        <v>CHIAPAS|A01 003 DONA NELLY|20260924|20260928|SMO|WM|CPR01102|24 CONVENCIONAL</v>
      </c>
      <c r="P92">
        <v>1</v>
      </c>
      <c r="Q92" t="str">
        <v>CHIAPAS|A01 003 DONA NELLY|20260924|20260928|SMO|WM|CPR01102|24 CONVENCIONAL|1</v>
      </c>
      <c r="R92" t="str">
        <v>Programa Embarques 2026 S-39.xlsx</v>
      </c>
    </row>
    <row r="93" spans="1:18" ht="18.75" x14ac:dyDescent="0.25">
      <c r="A93" s="82" t="str">
        <f>IF('Consulta1'!A4185="","",'Consulta1'!A4185)</f>
        <v>Chanitos Premium EUA Tarima Americana</v>
      </c>
      <c r="B93" s="82" t="str">
        <f>IF('Consulta1'!B4185="","",'Consulta1'!B4185)</f>
        <v>CPR01104</v>
      </c>
      <c r="C93" s="83" t="str">
        <f>IF('Consulta1'!C4185="","",'Consulta1'!C4185)</f>
        <v>A01003-392409-1</v>
      </c>
      <c r="D93" s="84" t="str">
        <f>IF('Consulta1'!D4185="","",'Consulta1'!D4185)</f>
        <v>A01 003 Doña Nelly</v>
      </c>
      <c r="E93" s="82" t="str">
        <f>IF('Consulta1'!E4185="","",'Consulta1'!E4185)</f>
        <v>McAllen</v>
      </c>
      <c r="F93">
        <f>+IF(E93="","",VLOOKUP(E93,CATALOGO!G:L,6,0))</f>
        <v>8</v>
      </c>
      <c r="G93" s="85">
        <f>IF('Consulta1'!F4185="","",'Consulta1'!F4185)</f>
        <v>960</v>
      </c>
      <c r="H93" s="85">
        <f>IF('Consulta1'!G4185="","",'Consulta1'!G4185)</f>
        <v>20</v>
      </c>
      <c r="I93" s="86">
        <f>IF('Consulta1'!H4185="","",'Consulta1'!H4185)</f>
        <v>46289</v>
      </c>
      <c r="J93">
        <f t="shared" si="1"/>
        <v>39</v>
      </c>
      <c r="K93">
        <f>+IF(E93="","",VLOOKUP(E93,CATALOGO!G:I,2,0))</f>
        <v>3</v>
      </c>
      <c r="L93">
        <f>+IF(E93="","",VLOOKUP(E93,CATALOGO!G:I,3,0))</f>
        <v>72</v>
      </c>
      <c r="M93" s="87">
        <f>IF('Consulta1'!I4185="","",'Consulta1'!I4185)</f>
        <v>46294</v>
      </c>
      <c r="N93" s="88" t="str">
        <f>IF('Consulta1'!J4185="","",'Consulta1'!J4185)</f>
        <v>45030</v>
      </c>
      <c r="O93" t="str">
        <v>CHIAPAS|A01 003 DONA NELLY|20260924|20260929|MCALLEN|CHANITOS INT|CPR01104|20 CONVENCIONAL F4-2</v>
      </c>
      <c r="P93">
        <v>1</v>
      </c>
      <c r="Q93" t="str">
        <v>CHIAPAS|A01 003 DONA NELLY|20260924|20260929|MCALLEN|CHANITOS INT|CPR01104|20 CONVENCIONAL F4-2|1</v>
      </c>
      <c r="R93" t="str">
        <v>Programa Embarques 2026 S-39.xlsx</v>
      </c>
    </row>
    <row r="94" spans="1:18" ht="18.75" x14ac:dyDescent="0.25">
      <c r="A94" s="82" t="str">
        <f>IF('Consulta1'!A4186="","",'Consulta1'!A4186)</f>
        <v>Chanitos Premium Tarima Chep</v>
      </c>
      <c r="B94" s="82" t="str">
        <f>IF('Consulta1'!B4186="","",'Consulta1'!B4186)</f>
        <v>CPR01102</v>
      </c>
      <c r="C94" s="83" t="str">
        <f>IF('Consulta1'!C4186="","",'Consulta1'!C4186)</f>
        <v>A01003-392409-1</v>
      </c>
      <c r="D94" s="84" t="str">
        <f>IF('Consulta1'!D4186="","",'Consulta1'!D4186)</f>
        <v>A01 003 Doña Nelly</v>
      </c>
      <c r="E94" s="82" t="str">
        <f>IF('Consulta1'!E4186="","",'Consulta1'!E4186)</f>
        <v>CEDA</v>
      </c>
      <c r="F94">
        <f>+IF(E94="","",VLOOKUP(E94,CATALOGO!G:L,6,0))</f>
        <v>0</v>
      </c>
      <c r="G94" s="85">
        <f>IF('Consulta1'!F4186="","",'Consulta1'!F4186)</f>
        <v>192</v>
      </c>
      <c r="H94" s="85">
        <f>IF('Consulta1'!G4186="","",'Consulta1'!G4186)</f>
        <v>4</v>
      </c>
      <c r="I94" s="86">
        <f>IF('Consulta1'!H4186="","",'Consulta1'!H4186)</f>
        <v>46289</v>
      </c>
      <c r="J94">
        <f t="shared" si="1"/>
        <v>39</v>
      </c>
      <c r="K94">
        <f>+IF(E94="","",VLOOKUP(E94,CATALOGO!G:I,2,0))</f>
        <v>1.5</v>
      </c>
      <c r="L94">
        <f>+IF(E94="","",VLOOKUP(E94,CATALOGO!G:I,3,0))</f>
        <v>36</v>
      </c>
      <c r="M94" s="87">
        <f>IF('Consulta1'!I4186="","",'Consulta1'!I4186)</f>
        <v>46293</v>
      </c>
      <c r="N94" s="88" t="str">
        <f>IF('Consulta1'!J4186="","",'Consulta1'!J4186)</f>
        <v>0</v>
      </c>
      <c r="O94" t="str">
        <v>CHIAPAS|A01 003 DONA NELLY|20260924|20260928|CEDA|CEDA AUTOSERVICIO|CPR01102|CEDA</v>
      </c>
      <c r="P94">
        <v>1</v>
      </c>
      <c r="Q94" t="str">
        <v>CHIAPAS|A01 003 DONA NELLY|20260924|20260928|CEDA|CEDA AUTOSERVICIO|CPR01102|CEDA|1</v>
      </c>
      <c r="R94" t="str">
        <v>Programa Embarques 2026 S-39.xlsx</v>
      </c>
    </row>
    <row r="95" spans="1:18" ht="18.75" x14ac:dyDescent="0.25">
      <c r="A95" s="82" t="str">
        <f>IF('Consulta1'!A4187="","",'Consulta1'!A4187)</f>
        <v>Chanitos Premium Granel</v>
      </c>
      <c r="B95" s="82" t="str">
        <f>IF('Consulta1'!B4187="","",'Consulta1'!B4187)</f>
        <v>CPR01101</v>
      </c>
      <c r="C95" s="83" t="str">
        <f>IF('Consulta1'!C4187="","",'Consulta1'!C4187)</f>
        <v>A01003-392409-1</v>
      </c>
      <c r="D95" s="84" t="str">
        <f>IF('Consulta1'!D4187="","",'Consulta1'!D4187)</f>
        <v>A01 003 Doña Nelly</v>
      </c>
      <c r="E95" s="82" t="str">
        <f>IF('Consulta1'!E4187="","",'Consulta1'!E4187)</f>
        <v>CEDA</v>
      </c>
      <c r="F95">
        <f>+IF(E95="","",VLOOKUP(E95,CATALOGO!G:L,6,0))</f>
        <v>0</v>
      </c>
      <c r="G95" s="85">
        <f>IF('Consulta1'!F4187="","",'Consulta1'!F4187)</f>
        <v>64</v>
      </c>
      <c r="H95" s="85" t="str">
        <f>IF('Consulta1'!G4187="","",'Consulta1'!G4187)</f>
        <v>Granel</v>
      </c>
      <c r="I95" s="86">
        <f>IF('Consulta1'!H4187="","",'Consulta1'!H4187)</f>
        <v>46289</v>
      </c>
      <c r="J95">
        <f t="shared" si="1"/>
        <v>39</v>
      </c>
      <c r="K95">
        <f>+IF(E95="","",VLOOKUP(E95,CATALOGO!G:I,2,0))</f>
        <v>1.5</v>
      </c>
      <c r="L95">
        <f>+IF(E95="","",VLOOKUP(E95,CATALOGO!G:I,3,0))</f>
        <v>36</v>
      </c>
      <c r="M95" s="87">
        <f>IF('Consulta1'!I4187="","",'Consulta1'!I4187)</f>
        <v>46293</v>
      </c>
      <c r="N95" s="88" t="str">
        <f>IF('Consulta1'!J4187="","",'Consulta1'!J4187)</f>
        <v>0</v>
      </c>
      <c r="O95" t="str">
        <v>CHIAPAS|A01 003 DONA NELLY|20260924|20260928|CEDA|CEDA PISO|CPR01101|CEDA PISO PRODUCTORAS</v>
      </c>
      <c r="P95">
        <v>1</v>
      </c>
      <c r="Q95" t="str">
        <v>CHIAPAS|A01 003 DONA NELLY|20260924|20260928|CEDA|CEDA PISO|CPR01101|CEDA PISO PRODUCTORAS|1</v>
      </c>
      <c r="R95" t="str">
        <v>Programa Embarques 2026 S-39.xlsx</v>
      </c>
    </row>
    <row r="96" spans="1:18" ht="18.75" x14ac:dyDescent="0.25">
      <c r="A96" s="82" t="str">
        <f>IF('Consulta1'!A4188="","",'Consulta1'!A4188)</f>
        <v>Chanitos Premium EUA Tarima Americana</v>
      </c>
      <c r="B96" s="82" t="str">
        <f>IF('Consulta1'!B4188="","",'Consulta1'!B4188)</f>
        <v>CPR01104</v>
      </c>
      <c r="C96" s="83" t="str">
        <f>IF('Consulta1'!C4188="","",'Consulta1'!C4188)</f>
        <v>A06043-392409-1</v>
      </c>
      <c r="D96" s="84" t="str">
        <f>IF('Consulta1'!D4188="","",'Consulta1'!D4188)</f>
        <v>A06 043 Nuestra señora</v>
      </c>
      <c r="E96" s="82" t="str">
        <f>IF('Consulta1'!E4188="","",'Consulta1'!E4188)</f>
        <v>McAllen</v>
      </c>
      <c r="F96">
        <f>+IF(E96="","",VLOOKUP(E96,CATALOGO!G:L,6,0))</f>
        <v>8</v>
      </c>
      <c r="G96" s="85">
        <f>IF('Consulta1'!F4188="","",'Consulta1'!F4188)</f>
        <v>480</v>
      </c>
      <c r="H96" s="85">
        <f>IF('Consulta1'!G4188="","",'Consulta1'!G4188)</f>
        <v>10</v>
      </c>
      <c r="I96" s="86">
        <f>IF('Consulta1'!H4188="","",'Consulta1'!H4188)</f>
        <v>46289</v>
      </c>
      <c r="J96">
        <f t="shared" si="1"/>
        <v>39</v>
      </c>
      <c r="K96">
        <f>+IF(E96="","",VLOOKUP(E96,CATALOGO!G:I,2,0))</f>
        <v>3</v>
      </c>
      <c r="L96">
        <f>+IF(E96="","",VLOOKUP(E96,CATALOGO!G:I,3,0))</f>
        <v>72</v>
      </c>
      <c r="M96" s="87">
        <f>IF('Consulta1'!I4188="","",'Consulta1'!I4188)</f>
        <v>46294</v>
      </c>
      <c r="N96" s="88" t="str">
        <f>IF('Consulta1'!J4188="","",'Consulta1'!J4188)</f>
        <v>45031</v>
      </c>
      <c r="O96" t="str">
        <v>CHIAPAS|A06 043 NUESTRA SENORA|20260924|20260929|MCALLEN|CHANITOS INT|CPR01104|20 CONVENCIONAL F4-1</v>
      </c>
      <c r="P96">
        <v>1</v>
      </c>
      <c r="Q96" t="str">
        <v>CHIAPAS|A06 043 NUESTRA SENORA|20260924|20260929|MCALLEN|CHANITOS INT|CPR01104|20 CONVENCIONAL F4-1|1</v>
      </c>
      <c r="R96" t="str">
        <v>Programa Embarques 2026 S-39.xlsx</v>
      </c>
    </row>
    <row r="97" spans="1:18" ht="18.75" x14ac:dyDescent="0.25">
      <c r="A97" s="82" t="str">
        <f>IF('Consulta1'!A4189="","",'Consulta1'!A4189)</f>
        <v>Chanitos Premium EUA Tarima Americana</v>
      </c>
      <c r="B97" s="82" t="str">
        <f>IF('Consulta1'!B4189="","",'Consulta1'!B4189)</f>
        <v>CPR01104</v>
      </c>
      <c r="C97" s="83" t="str">
        <f>IF('Consulta1'!C4189="","",'Consulta1'!C4189)</f>
        <v>A06043-392409-1</v>
      </c>
      <c r="D97" s="84" t="str">
        <f>IF('Consulta1'!D4189="","",'Consulta1'!D4189)</f>
        <v>A06 043 Nuestra señora</v>
      </c>
      <c r="E97" s="82" t="str">
        <f>IF('Consulta1'!E4189="","",'Consulta1'!E4189)</f>
        <v>McAllen</v>
      </c>
      <c r="F97">
        <f>+IF(E97="","",VLOOKUP(E97,CATALOGO!G:L,6,0))</f>
        <v>8</v>
      </c>
      <c r="G97" s="85">
        <f>IF('Consulta1'!F4189="","",'Consulta1'!F4189)</f>
        <v>96</v>
      </c>
      <c r="H97" s="85">
        <f>IF('Consulta1'!G4189="","",'Consulta1'!G4189)</f>
        <v>2</v>
      </c>
      <c r="I97" s="86">
        <f>IF('Consulta1'!H4189="","",'Consulta1'!H4189)</f>
        <v>46289</v>
      </c>
      <c r="J97">
        <f t="shared" si="1"/>
        <v>39</v>
      </c>
      <c r="K97">
        <f>+IF(E97="","",VLOOKUP(E97,CATALOGO!G:I,2,0))</f>
        <v>3</v>
      </c>
      <c r="L97">
        <f>+IF(E97="","",VLOOKUP(E97,CATALOGO!G:I,3,0))</f>
        <v>72</v>
      </c>
      <c r="M97" s="87">
        <f>IF('Consulta1'!I4189="","",'Consulta1'!I4189)</f>
        <v>46296</v>
      </c>
      <c r="N97" s="88" t="str">
        <f>IF('Consulta1'!J4189="","",'Consulta1'!J4189)</f>
        <v>45034</v>
      </c>
      <c r="O97" t="str">
        <v>CHIAPAS|A06 043 NUESTRA SENORA|20260924|20261001|MCALLEN|CHANITOS INT|CPR01104|20 CONVENCIONAL F5-2</v>
      </c>
      <c r="P97">
        <v>1</v>
      </c>
      <c r="Q97" t="str">
        <v>CHIAPAS|A06 043 NUESTRA SENORA|20260924|20261001|MCALLEN|CHANITOS INT|CPR01104|20 CONVENCIONAL F5-2|1</v>
      </c>
      <c r="R97" t="str">
        <v>Programa Embarques 2026 S-39.xlsx</v>
      </c>
    </row>
    <row r="98" spans="1:18" ht="18.75" x14ac:dyDescent="0.25">
      <c r="A98" s="82" t="str">
        <f>IF('Consulta1'!A4190="","",'Consulta1'!A4190)</f>
        <v>Chanitos Premium Tarima Americana</v>
      </c>
      <c r="B98" s="82" t="str">
        <f>IF('Consulta1'!B4190="","",'Consulta1'!B4190)</f>
        <v>CPR01103</v>
      </c>
      <c r="C98" s="83" t="str">
        <f>IF('Consulta1'!C4190="","",'Consulta1'!C4190)</f>
        <v>A04039-392409-1</v>
      </c>
      <c r="D98" s="84" t="str">
        <f>IF('Consulta1'!D4190="","",'Consulta1'!D4190)</f>
        <v>A04 039 San Jose Morelia Nava</v>
      </c>
      <c r="E98" s="82" t="str">
        <f>IF('Consulta1'!E4190="","",'Consulta1'!E4190)</f>
        <v>S-MTY</v>
      </c>
      <c r="F98">
        <f>+IF(E98="","",VLOOKUP(E98,CATALOGO!G:L,6,0))</f>
        <v>1</v>
      </c>
      <c r="G98" s="85">
        <f>IF('Consulta1'!F4190="","",'Consulta1'!F4190)</f>
        <v>720</v>
      </c>
      <c r="H98" s="85">
        <f>IF('Consulta1'!G4190="","",'Consulta1'!G4190)</f>
        <v>15</v>
      </c>
      <c r="I98" s="86">
        <f>IF('Consulta1'!H4190="","",'Consulta1'!H4190)</f>
        <v>46289</v>
      </c>
      <c r="J98">
        <f t="shared" si="1"/>
        <v>39</v>
      </c>
      <c r="K98">
        <f>+IF(E98="","",VLOOKUP(E98,CATALOGO!G:I,2,0))</f>
        <v>3</v>
      </c>
      <c r="L98">
        <f>+IF(E98="","",VLOOKUP(E98,CATALOGO!G:I,3,0))</f>
        <v>72</v>
      </c>
      <c r="M98" s="87">
        <f>IF('Consulta1'!I4190="","",'Consulta1'!I4190)</f>
        <v>46295</v>
      </c>
      <c r="N98" s="88" t="str">
        <f>IF('Consulta1'!J4190="","",'Consulta1'!J4190)</f>
        <v>45612</v>
      </c>
      <c r="O98" t="str">
        <v>CHIAPAS|A04 039 SAN JOSE MORELIA NAVA|20260924|20260930|S-MTY|SMART|CPR01103|20 CONVENCIONAL SM4</v>
      </c>
      <c r="P98">
        <v>1</v>
      </c>
      <c r="Q98" t="str">
        <v>CHIAPAS|A04 039 SAN JOSE MORELIA NAVA|20260924|20260930|S-MTY|SMART|CPR01103|20 CONVENCIONAL SM4|1</v>
      </c>
      <c r="R98" t="str">
        <v>Programa Embarques 2026 S-39.xlsx</v>
      </c>
    </row>
    <row r="99" spans="1:18" ht="18.75" x14ac:dyDescent="0.25">
      <c r="A99" s="82" t="str">
        <f>IF('Consulta1'!A4191="","",'Consulta1'!A4191)</f>
        <v>Chanitos Premium Tarima Americana</v>
      </c>
      <c r="B99" s="82" t="str">
        <f>IF('Consulta1'!B4191="","",'Consulta1'!B4191)</f>
        <v>CPR01103</v>
      </c>
      <c r="C99" s="83" t="str">
        <f>IF('Consulta1'!C4191="","",'Consulta1'!C4191)</f>
        <v>A04039-392409-1</v>
      </c>
      <c r="D99" s="84" t="str">
        <f>IF('Consulta1'!D4191="","",'Consulta1'!D4191)</f>
        <v>A04 039 San Jose Morelia Nava</v>
      </c>
      <c r="E99" s="82" t="str">
        <f>IF('Consulta1'!E4191="","",'Consulta1'!E4191)</f>
        <v>S-MTY</v>
      </c>
      <c r="F99">
        <f>+IF(E99="","",VLOOKUP(E99,CATALOGO!G:L,6,0))</f>
        <v>1</v>
      </c>
      <c r="G99" s="85">
        <f>IF('Consulta1'!F4191="","",'Consulta1'!F4191)</f>
        <v>96</v>
      </c>
      <c r="H99" s="85">
        <f>IF('Consulta1'!G4191="","",'Consulta1'!G4191)</f>
        <v>2</v>
      </c>
      <c r="I99" s="86">
        <f>IF('Consulta1'!H4191="","",'Consulta1'!H4191)</f>
        <v>46289</v>
      </c>
      <c r="J99">
        <f t="shared" si="1"/>
        <v>39</v>
      </c>
      <c r="K99">
        <f>+IF(E99="","",VLOOKUP(E99,CATALOGO!G:I,2,0))</f>
        <v>3</v>
      </c>
      <c r="L99">
        <f>+IF(E99="","",VLOOKUP(E99,CATALOGO!G:I,3,0))</f>
        <v>72</v>
      </c>
      <c r="M99" s="87">
        <f>IF('Consulta1'!I4191="","",'Consulta1'!I4191)</f>
        <v>46295</v>
      </c>
      <c r="N99" s="88" t="str">
        <f>IF('Consulta1'!J4191="","",'Consulta1'!J4191)</f>
        <v>45612</v>
      </c>
      <c r="O99" t="str">
        <v>CHIAPAS|A04 039 SAN JOSE MORELIA NAVA|20260924|20260930|S-MTY|SMART|CPR01103|20 CONVENCIONAL SM4</v>
      </c>
      <c r="P99">
        <v>2</v>
      </c>
      <c r="Q99" t="str">
        <v>CHIAPAS|A04 039 SAN JOSE MORELIA NAVA|20260924|20260930|S-MTY|SMART|CPR01103|20 CONVENCIONAL SM4|2</v>
      </c>
      <c r="R99" t="str">
        <v>Programa Embarques 2026 S-39.xlsx</v>
      </c>
    </row>
    <row r="100" spans="1:18" ht="18.75" x14ac:dyDescent="0.25">
      <c r="A100" s="82" t="str">
        <f>IF('Consulta1'!A4192="","",'Consulta1'!A4192)</f>
        <v>Chanitos Premium Tarima Americana</v>
      </c>
      <c r="B100" s="82" t="str">
        <f>IF('Consulta1'!B4192="","",'Consulta1'!B4192)</f>
        <v>CPR01103</v>
      </c>
      <c r="C100" s="83" t="str">
        <f>IF('Consulta1'!C4192="","",'Consulta1'!C4192)</f>
        <v>A04039-392409-1</v>
      </c>
      <c r="D100" s="84" t="str">
        <f>IF('Consulta1'!D4192="","",'Consulta1'!D4192)</f>
        <v>A04 039 San Jose Morelia Nava</v>
      </c>
      <c r="E100" s="82" t="str">
        <f>IF('Consulta1'!E4192="","",'Consulta1'!E4192)</f>
        <v>S-MTY</v>
      </c>
      <c r="F100">
        <f>+IF(E100="","",VLOOKUP(E100,CATALOGO!G:L,6,0))</f>
        <v>1</v>
      </c>
      <c r="G100" s="85">
        <f>IF('Consulta1'!F4192="","",'Consulta1'!F4192)</f>
        <v>288</v>
      </c>
      <c r="H100" s="85">
        <f>IF('Consulta1'!G4192="","",'Consulta1'!G4192)</f>
        <v>6</v>
      </c>
      <c r="I100" s="86">
        <f>IF('Consulta1'!H4192="","",'Consulta1'!H4192)</f>
        <v>46289</v>
      </c>
      <c r="J100">
        <f t="shared" si="1"/>
        <v>39</v>
      </c>
      <c r="K100">
        <f>+IF(E100="","",VLOOKUP(E100,CATALOGO!G:I,2,0))</f>
        <v>3</v>
      </c>
      <c r="L100">
        <f>+IF(E100="","",VLOOKUP(E100,CATALOGO!G:I,3,0))</f>
        <v>72</v>
      </c>
      <c r="M100" s="87">
        <f>IF('Consulta1'!I4192="","",'Consulta1'!I4192)</f>
        <v>46295</v>
      </c>
      <c r="N100" s="88" t="str">
        <f>IF('Consulta1'!J4192="","",'Consulta1'!J4192)</f>
        <v>45612</v>
      </c>
      <c r="O100" t="str">
        <v>CHIAPAS|A04 039 SAN JOSE MORELIA NAVA|20260924|20260930|S-MTY|SMART|CPR01103|20 CONVENCIONAL SM5</v>
      </c>
      <c r="P100">
        <v>1</v>
      </c>
      <c r="Q100" t="str">
        <v>CHIAPAS|A04 039 SAN JOSE MORELIA NAVA|20260924|20260930|S-MTY|SMART|CPR01103|20 CONVENCIONAL SM5|1</v>
      </c>
      <c r="R100" t="str">
        <v>Programa Embarques 2026 S-39.xlsx</v>
      </c>
    </row>
    <row r="101" spans="1:18" ht="18.75" x14ac:dyDescent="0.25">
      <c r="A101" s="82" t="str">
        <f>IF('Consulta1'!A4193="","",'Consulta1'!A4193)</f>
        <v>Chanitos Premium EUA Tarima Americana</v>
      </c>
      <c r="B101" s="82" t="str">
        <f>IF('Consulta1'!B4193="","",'Consulta1'!B4193)</f>
        <v>CPR01104</v>
      </c>
      <c r="C101" s="83" t="str">
        <f>IF('Consulta1'!C4193="","",'Consulta1'!C4193)</f>
        <v>A04084-392409-1</v>
      </c>
      <c r="D101" s="84" t="str">
        <f>IF('Consulta1'!D4193="","",'Consulta1'!D4193)</f>
        <v>A04 084 Lisboa</v>
      </c>
      <c r="E101" s="82" t="str">
        <f>IF('Consulta1'!E4193="","",'Consulta1'!E4193)</f>
        <v>McAllen</v>
      </c>
      <c r="F101">
        <f>+IF(E101="","",VLOOKUP(E101,CATALOGO!G:L,6,0))</f>
        <v>8</v>
      </c>
      <c r="G101" s="85">
        <f>IF('Consulta1'!F4193="","",'Consulta1'!F4193)</f>
        <v>480</v>
      </c>
      <c r="H101" s="85">
        <f>IF('Consulta1'!G4193="","",'Consulta1'!G4193)</f>
        <v>10</v>
      </c>
      <c r="I101" s="86">
        <f>IF('Consulta1'!H4193="","",'Consulta1'!H4193)</f>
        <v>46289</v>
      </c>
      <c r="J101">
        <f t="shared" si="1"/>
        <v>39</v>
      </c>
      <c r="K101">
        <f>+IF(E101="","",VLOOKUP(E101,CATALOGO!G:I,2,0))</f>
        <v>3</v>
      </c>
      <c r="L101">
        <f>+IF(E101="","",VLOOKUP(E101,CATALOGO!G:I,3,0))</f>
        <v>72</v>
      </c>
      <c r="M101" s="87">
        <f>IF('Consulta1'!I4193="","",'Consulta1'!I4193)</f>
        <v>46295</v>
      </c>
      <c r="N101" s="88" t="str">
        <f>IF('Consulta1'!J4193="","",'Consulta1'!J4193)</f>
        <v>45032</v>
      </c>
      <c r="O101" t="str">
        <v>CHIAPAS|A04 084 LISBOA|20260924|20260930|MCALLEN|CHANITOS INT|CPR01104|20 CONVENCIONAL F5-1</v>
      </c>
      <c r="P101">
        <v>1</v>
      </c>
      <c r="Q101" t="str">
        <v>CHIAPAS|A04 084 LISBOA|20260924|20260930|MCALLEN|CHANITOS INT|CPR01104|20 CONVENCIONAL F5-1|1</v>
      </c>
      <c r="R101" t="str">
        <v>Programa Embarques 2026 S-39.xlsx</v>
      </c>
    </row>
    <row r="102" spans="1:18" ht="18.75" x14ac:dyDescent="0.25">
      <c r="A102" s="82" t="str">
        <f>IF('Consulta1'!A4194="","",'Consulta1'!A4194)</f>
        <v>Chanitos Plantain 20Kg Tarima Americana</v>
      </c>
      <c r="B102" s="82" t="str">
        <f>IF('Consulta1'!B4194="","",'Consulta1'!B4194)</f>
        <v>CPL08134</v>
      </c>
      <c r="C102" s="83" t="str">
        <f>IF('Consulta1'!C4194="","",'Consulta1'!C4194)</f>
        <v>A41100-392409-1</v>
      </c>
      <c r="D102" s="84" t="str">
        <f>IF('Consulta1'!D4194="","",'Consulta1'!D4194)</f>
        <v>A41 100 Doña Lupe JV</v>
      </c>
      <c r="E102" s="82" t="str">
        <f>IF('Consulta1'!E4194="","",'Consulta1'!E4194)</f>
        <v>CEDA</v>
      </c>
      <c r="F102">
        <f>+IF(E102="","",VLOOKUP(E102,CATALOGO!G:L,6,0))</f>
        <v>0</v>
      </c>
      <c r="G102" s="85">
        <f>IF('Consulta1'!F4194="","",'Consulta1'!F4194)</f>
        <v>480</v>
      </c>
      <c r="H102" s="85">
        <f>IF('Consulta1'!G4194="","",'Consulta1'!G4194)</f>
        <v>10</v>
      </c>
      <c r="I102" s="86">
        <f>IF('Consulta1'!H4194="","",'Consulta1'!H4194)</f>
        <v>46289</v>
      </c>
      <c r="J102">
        <f t="shared" si="1"/>
        <v>39</v>
      </c>
      <c r="K102">
        <f>+IF(E102="","",VLOOKUP(E102,CATALOGO!G:I,2,0))</f>
        <v>1.5</v>
      </c>
      <c r="L102">
        <f>+IF(E102="","",VLOOKUP(E102,CATALOGO!G:I,3,0))</f>
        <v>36</v>
      </c>
      <c r="M102" s="87">
        <f>IF('Consulta1'!I4194="","",'Consulta1'!I4194)</f>
        <v>46292</v>
      </c>
      <c r="N102" s="88" t="str">
        <f>IF('Consulta1'!J4194="","",'Consulta1'!J4194)</f>
        <v>0</v>
      </c>
      <c r="O102" t="str">
        <v>CHIAPAS|A41 100 DONA LUPE JV|20260924|20260927|CEDA|CEDA AUTOSERVICIO|CPL08134|CEDA PLANTAIN</v>
      </c>
      <c r="P102">
        <v>1</v>
      </c>
      <c r="Q102" t="str">
        <v>CHIAPAS|A41 100 DONA LUPE JV|20260924|20260927|CEDA|CEDA AUTOSERVICIO|CPL08134|CEDA PLANTAIN|1</v>
      </c>
      <c r="R102" t="str">
        <v>Programa Embarques 2026 S-39.xlsx</v>
      </c>
    </row>
    <row r="103" spans="1:18" ht="18.75" x14ac:dyDescent="0.25">
      <c r="A103" s="82" t="str">
        <f>IF('Consulta1'!A4195="","",'Consulta1'!A4195)</f>
        <v>Chanitos Premium Tarima Americana</v>
      </c>
      <c r="B103" s="82" t="str">
        <f>IF('Consulta1'!B4195="","",'Consulta1'!B4195)</f>
        <v>CPR01103</v>
      </c>
      <c r="C103" s="83" t="str">
        <f>IF('Consulta1'!C4195="","",'Consulta1'!C4195)</f>
        <v>A04039-392509-1</v>
      </c>
      <c r="D103" s="84" t="str">
        <f>IF('Consulta1'!D4195="","",'Consulta1'!D4195)</f>
        <v>A04 039 San Jose Morelia Nava</v>
      </c>
      <c r="E103" s="82" t="str">
        <f>IF('Consulta1'!E4195="","",'Consulta1'!E4195)</f>
        <v>S-MTY</v>
      </c>
      <c r="F103">
        <f>+IF(E103="","",VLOOKUP(E103,CATALOGO!G:L,6,0))</f>
        <v>1</v>
      </c>
      <c r="G103" s="85">
        <f>IF('Consulta1'!F4195="","",'Consulta1'!F4195)</f>
        <v>144</v>
      </c>
      <c r="H103" s="85">
        <f>IF('Consulta1'!G4195="","",'Consulta1'!G4195)</f>
        <v>3</v>
      </c>
      <c r="I103" s="86">
        <f>IF('Consulta1'!H4195="","",'Consulta1'!H4195)</f>
        <v>46290</v>
      </c>
      <c r="J103">
        <f t="shared" si="1"/>
        <v>39</v>
      </c>
      <c r="K103">
        <f>+IF(E103="","",VLOOKUP(E103,CATALOGO!G:I,2,0))</f>
        <v>3</v>
      </c>
      <c r="L103">
        <f>+IF(E103="","",VLOOKUP(E103,CATALOGO!G:I,3,0))</f>
        <v>72</v>
      </c>
      <c r="M103" s="87">
        <f>IF('Consulta1'!I4195="","",'Consulta1'!I4195)</f>
        <v>46295</v>
      </c>
      <c r="N103" s="88" t="str">
        <f>IF('Consulta1'!J4195="","",'Consulta1'!J4195)</f>
        <v>45612</v>
      </c>
      <c r="O103" t="str">
        <v>CHIAPAS|A04 039 SAN JOSE MORELIA NAVA|20260925|20260930|S-MTY|SMART|CPR01103|20 CONVENCIONAL SM5</v>
      </c>
      <c r="P103">
        <v>1</v>
      </c>
      <c r="Q103" t="str">
        <v>CHIAPAS|A04 039 SAN JOSE MORELIA NAVA|20260925|20260930|S-MTY|SMART|CPR01103|20 CONVENCIONAL SM5|1</v>
      </c>
      <c r="R103" t="str">
        <v>Programa Embarques 2026 S-39.xlsx</v>
      </c>
    </row>
    <row r="104" spans="1:18" ht="18.75" x14ac:dyDescent="0.25">
      <c r="A104" s="82" t="str">
        <f>IF('Consulta1'!A4196="","",'Consulta1'!A4196)</f>
        <v>Chanitos Premium Tarima Americana</v>
      </c>
      <c r="B104" s="82" t="str">
        <f>IF('Consulta1'!B4196="","",'Consulta1'!B4196)</f>
        <v>CPR01103</v>
      </c>
      <c r="C104" s="83" t="str">
        <f>IF('Consulta1'!C4196="","",'Consulta1'!C4196)</f>
        <v>A04039-392509-1</v>
      </c>
      <c r="D104" s="84" t="str">
        <f>IF('Consulta1'!D4196="","",'Consulta1'!D4196)</f>
        <v>A04 039 San Jose Morelia Nava</v>
      </c>
      <c r="E104" s="82" t="str">
        <f>IF('Consulta1'!E4196="","",'Consulta1'!E4196)</f>
        <v>S-MTY</v>
      </c>
      <c r="F104">
        <f>+IF(E104="","",VLOOKUP(E104,CATALOGO!G:L,6,0))</f>
        <v>1</v>
      </c>
      <c r="G104" s="85">
        <f>IF('Consulta1'!F4196="","",'Consulta1'!F4196)</f>
        <v>528</v>
      </c>
      <c r="H104" s="85">
        <f>IF('Consulta1'!G4196="","",'Consulta1'!G4196)</f>
        <v>11</v>
      </c>
      <c r="I104" s="86">
        <f>IF('Consulta1'!H4196="","",'Consulta1'!H4196)</f>
        <v>46290</v>
      </c>
      <c r="J104">
        <f t="shared" si="1"/>
        <v>39</v>
      </c>
      <c r="K104">
        <f>+IF(E104="","",VLOOKUP(E104,CATALOGO!G:I,2,0))</f>
        <v>3</v>
      </c>
      <c r="L104">
        <f>+IF(E104="","",VLOOKUP(E104,CATALOGO!G:I,3,0))</f>
        <v>72</v>
      </c>
      <c r="M104" s="87">
        <f>IF('Consulta1'!I4196="","",'Consulta1'!I4196)</f>
        <v>46295</v>
      </c>
      <c r="N104" s="88" t="str">
        <f>IF('Consulta1'!J4196="","",'Consulta1'!J4196)</f>
        <v/>
      </c>
      <c r="O104" t="str">
        <v>CHIAPAS|A04 039 SAN JOSE MORELIA NAVA|20260925|20260930|S-MTY|SMART|CPR01103|20 CONVENCIONAL SM5</v>
      </c>
      <c r="P104">
        <v>2</v>
      </c>
      <c r="Q104" t="str">
        <v>CHIAPAS|A04 039 SAN JOSE MORELIA NAVA|20260925|20260930|S-MTY|SMART|CPR01103|20 CONVENCIONAL SM5|2</v>
      </c>
      <c r="R104" t="str">
        <v>Programa Embarques 2026 S-39.xlsx</v>
      </c>
    </row>
    <row r="105" spans="1:18" ht="18.75" x14ac:dyDescent="0.25">
      <c r="A105" s="82" t="str">
        <f>IF('Consulta1'!A4197="","",'Consulta1'!A4197)</f>
        <v>Chanitos Plantain 50lb Tarima Americana</v>
      </c>
      <c r="B105" s="82" t="str">
        <f>IF('Consulta1'!B4197="","",'Consulta1'!B4197)</f>
        <v>CPL08133</v>
      </c>
      <c r="C105" s="83" t="str">
        <f>IF('Consulta1'!C4197="","",'Consulta1'!C4197)</f>
        <v>A27073-392509-1</v>
      </c>
      <c r="D105" s="84" t="str">
        <f>IF('Consulta1'!D4197="","",'Consulta1'!D4197)</f>
        <v>A27 073 Plantacion</v>
      </c>
      <c r="E105" s="82" t="str">
        <f>IF('Consulta1'!E4197="","",'Consulta1'!E4197)</f>
        <v>McAllen</v>
      </c>
      <c r="F105">
        <f>+IF(E105="","",VLOOKUP(E105,CATALOGO!G:L,6,0))</f>
        <v>8</v>
      </c>
      <c r="G105" s="85">
        <f>IF('Consulta1'!F4197="","",'Consulta1'!F4197)</f>
        <v>840</v>
      </c>
      <c r="H105" s="85">
        <f>IF('Consulta1'!G4197="","",'Consulta1'!G4197)</f>
        <v>20</v>
      </c>
      <c r="I105" s="86">
        <f>IF('Consulta1'!H4197="","",'Consulta1'!H4197)</f>
        <v>46290</v>
      </c>
      <c r="J105">
        <f t="shared" si="1"/>
        <v>39</v>
      </c>
      <c r="K105">
        <f>+IF(E105="","",VLOOKUP(E105,CATALOGO!G:I,2,0))</f>
        <v>3</v>
      </c>
      <c r="L105">
        <f>+IF(E105="","",VLOOKUP(E105,CATALOGO!G:I,3,0))</f>
        <v>72</v>
      </c>
      <c r="M105" s="87">
        <f>IF('Consulta1'!I4197="","",'Consulta1'!I4197)</f>
        <v>46294</v>
      </c>
      <c r="N105" s="88" t="str">
        <f>IF('Consulta1'!J4197="","",'Consulta1'!J4197)</f>
        <v>44426</v>
      </c>
      <c r="O105" t="str">
        <v>CHIAPAS|A27 073 PLANTACION|20260925|20260929|MCALLEN|CHANITOS INT|CPL08133|20 PLANTAIN</v>
      </c>
      <c r="P105">
        <v>1</v>
      </c>
      <c r="Q105" t="str">
        <v>CHIAPAS|A27 073 PLANTACION|20260925|20260929|MCALLEN|CHANITOS INT|CPL08133|20 PLANTAIN|1</v>
      </c>
      <c r="R105" t="str">
        <v>Programa Embarques 2026 S-39.xlsx</v>
      </c>
    </row>
    <row r="106" spans="1:18" ht="18.75" x14ac:dyDescent="0.25">
      <c r="A106" s="82" t="str">
        <f>IF('Consulta1'!A4198="","",'Consulta1'!A4198)</f>
        <v>Chanitos Premium EUA Tarima Americana</v>
      </c>
      <c r="B106" s="82" t="str">
        <f>IF('Consulta1'!B4198="","",'Consulta1'!B4198)</f>
        <v>CPR01104</v>
      </c>
      <c r="C106" s="83" t="str">
        <f>IF('Consulta1'!C4198="","",'Consulta1'!C4198)</f>
        <v>A06043-392509-1</v>
      </c>
      <c r="D106" s="84" t="str">
        <f>IF('Consulta1'!D4198="","",'Consulta1'!D4198)</f>
        <v>A06 043 Nuestra señora</v>
      </c>
      <c r="E106" s="82" t="str">
        <f>IF('Consulta1'!E4198="","",'Consulta1'!E4198)</f>
        <v>McAllen</v>
      </c>
      <c r="F106">
        <f>+IF(E106="","",VLOOKUP(E106,CATALOGO!G:L,6,0))</f>
        <v>8</v>
      </c>
      <c r="G106" s="85">
        <f>IF('Consulta1'!F4198="","",'Consulta1'!F4198)</f>
        <v>384</v>
      </c>
      <c r="H106" s="85">
        <f>IF('Consulta1'!G4198="","",'Consulta1'!G4198)</f>
        <v>8</v>
      </c>
      <c r="I106" s="86">
        <f>IF('Consulta1'!H4198="","",'Consulta1'!H4198)</f>
        <v>46290</v>
      </c>
      <c r="J106">
        <f t="shared" si="1"/>
        <v>39</v>
      </c>
      <c r="K106">
        <f>+IF(E106="","",VLOOKUP(E106,CATALOGO!G:I,2,0))</f>
        <v>3</v>
      </c>
      <c r="L106">
        <f>+IF(E106="","",VLOOKUP(E106,CATALOGO!G:I,3,0))</f>
        <v>72</v>
      </c>
      <c r="M106" s="87">
        <f>IF('Consulta1'!I4198="","",'Consulta1'!I4198)</f>
        <v>46296</v>
      </c>
      <c r="N106" s="88" t="str">
        <f>IF('Consulta1'!J4198="","",'Consulta1'!J4198)</f>
        <v>45034</v>
      </c>
      <c r="O106" t="str">
        <v>CHIAPAS|A06 043 NUESTRA SENORA|20260925|20261001|MCALLEN|CHANITOS INT|CPR01104|20 CONVENCIONAL F5-2</v>
      </c>
      <c r="P106">
        <v>1</v>
      </c>
      <c r="Q106" t="str">
        <v>CHIAPAS|A06 043 NUESTRA SENORA|20260925|20261001|MCALLEN|CHANITOS INT|CPR01104|20 CONVENCIONAL F5-2|1</v>
      </c>
      <c r="R106" t="str">
        <v>Programa Embarques 2026 S-39.xlsx</v>
      </c>
    </row>
    <row r="107" spans="1:18" ht="18.75" x14ac:dyDescent="0.25">
      <c r="A107" s="82" t="str">
        <f>IF('Consulta1'!A4199="","",'Consulta1'!A4199)</f>
        <v>Chanitos Premium Tarima Chep</v>
      </c>
      <c r="B107" s="82" t="str">
        <f>IF('Consulta1'!B4199="","",'Consulta1'!B4199)</f>
        <v>CPR01102</v>
      </c>
      <c r="C107" s="83" t="str">
        <f>IF('Consulta1'!C4199="","",'Consulta1'!C4199)</f>
        <v>A01001-392509-1</v>
      </c>
      <c r="D107" s="84" t="str">
        <f>IF('Consulta1'!D4199="","",'Consulta1'!D4199)</f>
        <v>A01 001 Marbella</v>
      </c>
      <c r="E107" s="82" t="str">
        <f>IF('Consulta1'!E4199="","",'Consulta1'!E4199)</f>
        <v>SMO</v>
      </c>
      <c r="F107">
        <f>+IF(E107="","",VLOOKUP(E107,CATALOGO!G:L,6,0))</f>
        <v>4</v>
      </c>
      <c r="G107" s="85">
        <f>IF('Consulta1'!F4199="","",'Consulta1'!F4199)</f>
        <v>1152</v>
      </c>
      <c r="H107" s="85">
        <f>IF('Consulta1'!G4199="","",'Consulta1'!G4199)</f>
        <v>24</v>
      </c>
      <c r="I107" s="86">
        <f>IF('Consulta1'!H4199="","",'Consulta1'!H4199)</f>
        <v>46290</v>
      </c>
      <c r="J107">
        <f t="shared" si="1"/>
        <v>39</v>
      </c>
      <c r="K107">
        <f>+IF(E107="","",VLOOKUP(E107,CATALOGO!G:I,2,0))</f>
        <v>1.5</v>
      </c>
      <c r="L107">
        <f>+IF(E107="","",VLOOKUP(E107,CATALOGO!G:I,3,0))</f>
        <v>36</v>
      </c>
      <c r="M107" s="87">
        <f>IF('Consulta1'!I4199="","",'Consulta1'!I4199)</f>
        <v>46294</v>
      </c>
      <c r="N107" s="88" t="str">
        <f>IF('Consulta1'!J4199="","",'Consulta1'!J4199)</f>
        <v>46037</v>
      </c>
      <c r="O107" t="str">
        <v>CHIAPAS|A01 001 MARBELLA|20260925|20260929|SMO|WM|CPR01102|24 CONVENCIONAL ADICIONAL</v>
      </c>
      <c r="P107">
        <v>1</v>
      </c>
      <c r="Q107" t="str">
        <v>CHIAPAS|A01 001 MARBELLA|20260925|20260929|SMO|WM|CPR01102|24 CONVENCIONAL ADICIONAL|1</v>
      </c>
      <c r="R107" t="str">
        <v>Programa Embarques 2026 S-39.xlsx</v>
      </c>
    </row>
    <row r="108" spans="1:18" ht="18.75" x14ac:dyDescent="0.25">
      <c r="A108" s="82" t="str">
        <f>IF('Consulta1'!A4200="","",'Consulta1'!A4200)</f>
        <v>Chanitos Premium Granel</v>
      </c>
      <c r="B108" s="82" t="str">
        <f>IF('Consulta1'!B4200="","",'Consulta1'!B4200)</f>
        <v>CPR01101</v>
      </c>
      <c r="C108" s="83" t="str">
        <f>IF('Consulta1'!C4200="","",'Consulta1'!C4200)</f>
        <v>A01001-392509-1</v>
      </c>
      <c r="D108" s="84" t="str">
        <f>IF('Consulta1'!D4200="","",'Consulta1'!D4200)</f>
        <v>A01 001 Marbella</v>
      </c>
      <c r="E108" s="82" t="str">
        <f>IF('Consulta1'!E4200="","",'Consulta1'!E4200)</f>
        <v>CEDA</v>
      </c>
      <c r="F108">
        <f>+IF(E108="","",VLOOKUP(E108,CATALOGO!G:L,6,0))</f>
        <v>0</v>
      </c>
      <c r="G108" s="85">
        <f>IF('Consulta1'!F4200="","",'Consulta1'!F4200)</f>
        <v>239</v>
      </c>
      <c r="H108" s="85" t="str">
        <f>IF('Consulta1'!G4200="","",'Consulta1'!G4200)</f>
        <v>Granel</v>
      </c>
      <c r="I108" s="86">
        <f>IF('Consulta1'!H4200="","",'Consulta1'!H4200)</f>
        <v>46290</v>
      </c>
      <c r="J108">
        <f t="shared" si="1"/>
        <v>39</v>
      </c>
      <c r="K108">
        <f>+IF(E108="","",VLOOKUP(E108,CATALOGO!G:I,2,0))</f>
        <v>1.5</v>
      </c>
      <c r="L108">
        <f>+IF(E108="","",VLOOKUP(E108,CATALOGO!G:I,3,0))</f>
        <v>36</v>
      </c>
      <c r="M108" s="87">
        <f>IF('Consulta1'!I4200="","",'Consulta1'!I4200)</f>
        <v>46293</v>
      </c>
      <c r="N108" s="88" t="str">
        <f>IF('Consulta1'!J4200="","",'Consulta1'!J4200)</f>
        <v>0</v>
      </c>
      <c r="O108" t="str">
        <v>CHIAPAS|A01 001 MARBELLA|20260925|20260928|CEDA|CEDA PISO|CPR01101|CEDA PISO PRODUCTORAS</v>
      </c>
      <c r="P108">
        <v>1</v>
      </c>
      <c r="Q108" t="str">
        <v>CHIAPAS|A01 001 MARBELLA|20260925|20260928|CEDA|CEDA PISO|CPR01101|CEDA PISO PRODUCTORAS|1</v>
      </c>
      <c r="R108" t="str">
        <v>Programa Embarques 2026 S-39.xlsx</v>
      </c>
    </row>
    <row r="109" spans="1:18" ht="18.75" x14ac:dyDescent="0.25">
      <c r="A109" s="82" t="str">
        <f>IF('Consulta1'!A4201="","",'Consulta1'!A4201)</f>
        <v>Chanitos Premium Tarima Chep</v>
      </c>
      <c r="B109" s="82" t="str">
        <f>IF('Consulta1'!B4201="","",'Consulta1'!B4201)</f>
        <v>CPR01102</v>
      </c>
      <c r="C109" s="83" t="str">
        <f>IF('Consulta1'!C4201="","",'Consulta1'!C4201)</f>
        <v>A01004-392509-1</v>
      </c>
      <c r="D109" s="84" t="str">
        <f>IF('Consulta1'!D4201="","",'Consulta1'!D4201)</f>
        <v>A01 004 La Ceiba</v>
      </c>
      <c r="E109" s="82" t="str">
        <f>IF('Consulta1'!E4201="","",'Consulta1'!E4201)</f>
        <v>SMO</v>
      </c>
      <c r="F109">
        <f>+IF(E109="","",VLOOKUP(E109,CATALOGO!G:L,6,0))</f>
        <v>4</v>
      </c>
      <c r="G109" s="85">
        <f>IF('Consulta1'!F4201="","",'Consulta1'!F4201)</f>
        <v>1152</v>
      </c>
      <c r="H109" s="85">
        <f>IF('Consulta1'!G4201="","",'Consulta1'!G4201)</f>
        <v>24</v>
      </c>
      <c r="I109" s="86">
        <f>IF('Consulta1'!H4201="","",'Consulta1'!H4201)</f>
        <v>46290</v>
      </c>
      <c r="J109">
        <f t="shared" si="1"/>
        <v>39</v>
      </c>
      <c r="K109">
        <f>+IF(E109="","",VLOOKUP(E109,CATALOGO!G:I,2,0))</f>
        <v>1.5</v>
      </c>
      <c r="L109">
        <f>+IF(E109="","",VLOOKUP(E109,CATALOGO!G:I,3,0))</f>
        <v>36</v>
      </c>
      <c r="M109" s="87">
        <f>IF('Consulta1'!I4201="","",'Consulta1'!I4201)</f>
        <v>46296</v>
      </c>
      <c r="N109" s="88" t="str">
        <f>IF('Consulta1'!J4201="","",'Consulta1'!J4201)</f>
        <v>Pedido/OV existe con fecha 02/10/2026 pero en el prog de empaque la fecha es 01/10/2026</v>
      </c>
      <c r="O109" t="str">
        <v>CHIAPAS|A01 004 LA CEIBA|20260925|20261001|SMO|WM|CPR01102|24 CONVENCIONAL ADICIONAL</v>
      </c>
      <c r="P109">
        <v>1</v>
      </c>
      <c r="Q109" t="str">
        <v>CHIAPAS|A01 004 LA CEIBA|20260925|20261001|SMO|WM|CPR01102|24 CONVENCIONAL ADICIONAL|1</v>
      </c>
      <c r="R109" t="str">
        <v>Programa Embarques 2026 S-39.xlsx</v>
      </c>
    </row>
    <row r="110" spans="1:18" ht="18.75" x14ac:dyDescent="0.25">
      <c r="A110" s="82" t="str">
        <f>IF('Consulta1'!A4202="","",'Consulta1'!A4202)</f>
        <v>Chanitos Premium Tarima Chep</v>
      </c>
      <c r="B110" s="82" t="str">
        <f>IF('Consulta1'!B4202="","",'Consulta1'!B4202)</f>
        <v>CPR01102</v>
      </c>
      <c r="C110" s="83" t="str">
        <f>IF('Consulta1'!C4202="","",'Consulta1'!C4202)</f>
        <v>A01004-392509-1</v>
      </c>
      <c r="D110" s="84" t="str">
        <f>IF('Consulta1'!D4202="","",'Consulta1'!D4202)</f>
        <v>A01 004 La Ceiba</v>
      </c>
      <c r="E110" s="82" t="str">
        <f>IF('Consulta1'!E4202="","",'Consulta1'!E4202)</f>
        <v>Chalco</v>
      </c>
      <c r="F110">
        <f>+IF(E110="","",VLOOKUP(E110,CATALOGO!G:L,6,0))</f>
        <v>5</v>
      </c>
      <c r="G110" s="85">
        <f>IF('Consulta1'!F4202="","",'Consulta1'!F4202)</f>
        <v>288</v>
      </c>
      <c r="H110" s="85">
        <f>IF('Consulta1'!G4202="","",'Consulta1'!G4202)</f>
        <v>6</v>
      </c>
      <c r="I110" s="86">
        <f>IF('Consulta1'!H4202="","",'Consulta1'!H4202)</f>
        <v>46290</v>
      </c>
      <c r="J110">
        <f t="shared" si="1"/>
        <v>39</v>
      </c>
      <c r="K110">
        <f>+IF(E110="","",VLOOKUP(E110,CATALOGO!G:I,2,0))</f>
        <v>1</v>
      </c>
      <c r="L110">
        <f>+IF(E110="","",VLOOKUP(E110,CATALOGO!G:I,3,0))</f>
        <v>24</v>
      </c>
      <c r="M110" s="87">
        <f>IF('Consulta1'!I4202="","",'Consulta1'!I4202)</f>
        <v>46296</v>
      </c>
      <c r="N110" s="88" t="str">
        <f>IF('Consulta1'!J4202="","",'Consulta1'!J4202)</f>
        <v>45280</v>
      </c>
      <c r="O110" t="str">
        <v>CHIAPAS|A01 004 LA CEIBA|20260925|20261001|CHALCO|WM|CPR01102|1092 CAJAS CONV Y 60CAJAS BAE</v>
      </c>
      <c r="P110">
        <v>1</v>
      </c>
      <c r="Q110" t="str">
        <v>CHIAPAS|A01 004 LA CEIBA|20260925|20261001|CHALCO|WM|CPR01102|1092 CAJAS CONV Y 60CAJAS BAE|1</v>
      </c>
      <c r="R110" t="str">
        <v>Programa Embarques 2026 S-39.xlsx</v>
      </c>
    </row>
    <row r="111" spans="1:18" ht="18.75" x14ac:dyDescent="0.25">
      <c r="A111" s="82" t="str">
        <f>IF('Consulta1'!A4203="","",'Consulta1'!A4203)</f>
        <v>Chanitos Premium Granel</v>
      </c>
      <c r="B111" s="82" t="str">
        <f>IF('Consulta1'!B4203="","",'Consulta1'!B4203)</f>
        <v>CPR01101</v>
      </c>
      <c r="C111" s="83" t="str">
        <f>IF('Consulta1'!C4203="","",'Consulta1'!C4203)</f>
        <v>A01004-392509-1</v>
      </c>
      <c r="D111" s="84" t="str">
        <f>IF('Consulta1'!D4203="","",'Consulta1'!D4203)</f>
        <v>A01 004 La Ceiba</v>
      </c>
      <c r="E111" s="82" t="str">
        <f>IF('Consulta1'!E4203="","",'Consulta1'!E4203)</f>
        <v>CEDA</v>
      </c>
      <c r="F111">
        <f>+IF(E111="","",VLOOKUP(E111,CATALOGO!G:L,6,0))</f>
        <v>0</v>
      </c>
      <c r="G111" s="85">
        <f>IF('Consulta1'!F4203="","",'Consulta1'!F4203)</f>
        <v>13</v>
      </c>
      <c r="H111" s="85" t="str">
        <f>IF('Consulta1'!G4203="","",'Consulta1'!G4203)</f>
        <v>Granel</v>
      </c>
      <c r="I111" s="86">
        <f>IF('Consulta1'!H4203="","",'Consulta1'!H4203)</f>
        <v>46290</v>
      </c>
      <c r="J111">
        <f t="shared" si="1"/>
        <v>39</v>
      </c>
      <c r="K111">
        <f>+IF(E111="","",VLOOKUP(E111,CATALOGO!G:I,2,0))</f>
        <v>1.5</v>
      </c>
      <c r="L111">
        <f>+IF(E111="","",VLOOKUP(E111,CATALOGO!G:I,3,0))</f>
        <v>36</v>
      </c>
      <c r="M111" s="87">
        <f>IF('Consulta1'!I4203="","",'Consulta1'!I4203)</f>
        <v>46293</v>
      </c>
      <c r="N111" s="88" t="str">
        <f>IF('Consulta1'!J4203="","",'Consulta1'!J4203)</f>
        <v>0</v>
      </c>
      <c r="O111" t="str">
        <v>CHIAPAS|A01 004 LA CEIBA|20260925|20260928|CEDA|CEDA PISO|CPR01101|CEDA PISO PRODUCTORAS</v>
      </c>
      <c r="P111">
        <v>1</v>
      </c>
      <c r="Q111" t="str">
        <v>CHIAPAS|A01 004 LA CEIBA|20260925|20260928|CEDA|CEDA PISO|CPR01101|CEDA PISO PRODUCTORAS|1</v>
      </c>
      <c r="R111" t="str">
        <v>Programa Embarques 2026 S-39.xlsx</v>
      </c>
    </row>
    <row r="112" spans="1:18" ht="18.75" x14ac:dyDescent="0.25">
      <c r="A112" s="82" t="str">
        <f>IF('Consulta1'!A4204="","",'Consulta1'!A4204)</f>
        <v>Chanitos Premium Tarima Chep</v>
      </c>
      <c r="B112" s="82" t="str">
        <f>IF('Consulta1'!B4204="","",'Consulta1'!B4204)</f>
        <v>CPR01102</v>
      </c>
      <c r="C112" s="83" t="str">
        <f>IF('Consulta1'!C4204="","",'Consulta1'!C4204)</f>
        <v>A01002-392509-1</v>
      </c>
      <c r="D112" s="84" t="str">
        <f>IF('Consulta1'!D4204="","",'Consulta1'!D4204)</f>
        <v>A01 002 Fortaleza</v>
      </c>
      <c r="E112" s="82" t="str">
        <f>IF('Consulta1'!E4204="","",'Consulta1'!E4204)</f>
        <v>QRO</v>
      </c>
      <c r="F112">
        <f>+IF(E112="","",VLOOKUP(E112,CATALOGO!G:L,6,0))</f>
        <v>3</v>
      </c>
      <c r="G112" s="85">
        <f>IF('Consulta1'!F4204="","",'Consulta1'!F4204)</f>
        <v>720</v>
      </c>
      <c r="H112" s="85">
        <f>IF('Consulta1'!G4204="","",'Consulta1'!G4204)</f>
        <v>15</v>
      </c>
      <c r="I112" s="86">
        <f>IF('Consulta1'!H4204="","",'Consulta1'!H4204)</f>
        <v>46290</v>
      </c>
      <c r="J112">
        <f t="shared" si="1"/>
        <v>39</v>
      </c>
      <c r="K112">
        <f>+IF(E112="","",VLOOKUP(E112,CATALOGO!G:I,2,0))</f>
        <v>1.5</v>
      </c>
      <c r="L112">
        <f>+IF(E112="","",VLOOKUP(E112,CATALOGO!G:I,3,0))</f>
        <v>36</v>
      </c>
      <c r="M112" s="87">
        <f>IF('Consulta1'!I4204="","",'Consulta1'!I4204)</f>
        <v>46295</v>
      </c>
      <c r="N112" s="88" t="str">
        <f>IF('Consulta1'!J4204="","",'Consulta1'!J4204)</f>
        <v>45203</v>
      </c>
      <c r="O112" t="str">
        <v>CHIAPAS|A01 002 FORTALEZA|20260925|20260930|QRO|WM|CPR01102|22 CONVENCIONAL Y 2 ORG</v>
      </c>
      <c r="P112">
        <v>1</v>
      </c>
      <c r="Q112" t="str">
        <v>CHIAPAS|A01 002 FORTALEZA|20260925|20260930|QRO|WM|CPR01102|22 CONVENCIONAL Y 2 ORG|1</v>
      </c>
      <c r="R112" t="str">
        <v>Programa Embarques 2026 S-39.xlsx</v>
      </c>
    </row>
    <row r="113" spans="1:18" ht="18.75" x14ac:dyDescent="0.25">
      <c r="A113" s="82" t="str">
        <f>IF('Consulta1'!A4205="","",'Consulta1'!A4205)</f>
        <v>Chanitos Organic Banded Market Side Mexico</v>
      </c>
      <c r="B113" s="82" t="str">
        <f>IF('Consulta1'!B4205="","",'Consulta1'!B4205)</f>
        <v>CRG07128</v>
      </c>
      <c r="C113" s="83" t="str">
        <f>IF('Consulta1'!C4205="","",'Consulta1'!C4205)</f>
        <v>A01002-392509-1</v>
      </c>
      <c r="D113" s="84" t="str">
        <f>IF('Consulta1'!D4205="","",'Consulta1'!D4205)</f>
        <v>A01 002 Fortaleza</v>
      </c>
      <c r="E113" s="82" t="str">
        <f>IF('Consulta1'!E4205="","",'Consulta1'!E4205)</f>
        <v>QRO</v>
      </c>
      <c r="F113">
        <f>+IF(E113="","",VLOOKUP(E113,CATALOGO!G:L,6,0))</f>
        <v>3</v>
      </c>
      <c r="G113" s="85">
        <f>IF('Consulta1'!F4205="","",'Consulta1'!F4205)</f>
        <v>96</v>
      </c>
      <c r="H113" s="85">
        <f>IF('Consulta1'!G4205="","",'Consulta1'!G4205)</f>
        <v>2</v>
      </c>
      <c r="I113" s="86">
        <f>IF('Consulta1'!H4205="","",'Consulta1'!H4205)</f>
        <v>46290</v>
      </c>
      <c r="J113">
        <f t="shared" si="1"/>
        <v>39</v>
      </c>
      <c r="K113">
        <f>+IF(E113="","",VLOOKUP(E113,CATALOGO!G:I,2,0))</f>
        <v>1.5</v>
      </c>
      <c r="L113">
        <f>+IF(E113="","",VLOOKUP(E113,CATALOGO!G:I,3,0))</f>
        <v>36</v>
      </c>
      <c r="M113" s="87">
        <f>IF('Consulta1'!I4205="","",'Consulta1'!I4205)</f>
        <v>46295</v>
      </c>
      <c r="N113" s="88" t="str">
        <f>IF('Consulta1'!J4205="","",'Consulta1'!J4205)</f>
        <v>45203</v>
      </c>
      <c r="O113" t="str">
        <v>CHIAPAS|A01 002 FORTALEZA|20260925|20260930|QRO|WM|CRG07128|22 CONVENCIONAL Y 2 ORG</v>
      </c>
      <c r="P113">
        <v>1</v>
      </c>
      <c r="Q113" t="str">
        <v>CHIAPAS|A01 002 FORTALEZA|20260925|20260930|QRO|WM|CRG07128|22 CONVENCIONAL Y 2 ORG|1</v>
      </c>
      <c r="R113" t="str">
        <v>Programa Embarques 2026 S-39.xlsx</v>
      </c>
    </row>
    <row r="114" spans="1:18" ht="18.75" x14ac:dyDescent="0.25">
      <c r="A114" s="82" t="str">
        <f>IF('Consulta1'!A4206="","",'Consulta1'!A4206)</f>
        <v>Chanitos Premium Tarima Chep</v>
      </c>
      <c r="B114" s="82" t="str">
        <f>IF('Consulta1'!B4206="","",'Consulta1'!B4206)</f>
        <v>CPR01102</v>
      </c>
      <c r="C114" s="83" t="str">
        <f>IF('Consulta1'!C4206="","",'Consulta1'!C4206)</f>
        <v>A01002-392509-1</v>
      </c>
      <c r="D114" s="84" t="str">
        <f>IF('Consulta1'!D4206="","",'Consulta1'!D4206)</f>
        <v>A01 002 Fortaleza</v>
      </c>
      <c r="E114" s="82" t="str">
        <f>IF('Consulta1'!E4206="","",'Consulta1'!E4206)</f>
        <v>VSA</v>
      </c>
      <c r="F114">
        <f>+IF(E114="","",VLOOKUP(E114,CATALOGO!G:L,6,0))</f>
        <v>6</v>
      </c>
      <c r="G114" s="85">
        <f>IF('Consulta1'!F4206="","",'Consulta1'!F4206)</f>
        <v>384</v>
      </c>
      <c r="H114" s="85">
        <f>IF('Consulta1'!G4206="","",'Consulta1'!G4206)</f>
        <v>8</v>
      </c>
      <c r="I114" s="86">
        <f>IF('Consulta1'!H4206="","",'Consulta1'!H4206)</f>
        <v>46290</v>
      </c>
      <c r="J114">
        <f t="shared" si="1"/>
        <v>39</v>
      </c>
      <c r="K114">
        <f>+IF(E114="","",VLOOKUP(E114,CATALOGO!G:I,2,0))</f>
        <v>1</v>
      </c>
      <c r="L114">
        <f>+IF(E114="","",VLOOKUP(E114,CATALOGO!G:I,3,0))</f>
        <v>24</v>
      </c>
      <c r="M114" s="87">
        <f>IF('Consulta1'!I4206="","",'Consulta1'!I4206)</f>
        <v>46293</v>
      </c>
      <c r="N114" s="88" t="str">
        <f>IF('Consulta1'!J4206="","",'Consulta1'!J4206)</f>
        <v>41954</v>
      </c>
      <c r="O114" t="str">
        <v>CHIAPAS|A01 002 FORTALEZA|20260925|20260928|VSA|WM|CPR01102|18 CONVENCIONAL Y 6 ORGANICO</v>
      </c>
      <c r="P114">
        <v>1</v>
      </c>
      <c r="Q114" t="str">
        <v>CHIAPAS|A01 002 FORTALEZA|20260925|20260928|VSA|WM|CPR01102|18 CONVENCIONAL Y 6 ORGANICO|1</v>
      </c>
      <c r="R114" t="str">
        <v>Programa Embarques 2026 S-39.xlsx</v>
      </c>
    </row>
    <row r="115" spans="1:18" ht="18.75" x14ac:dyDescent="0.25">
      <c r="A115" s="82" t="str">
        <f>IF('Consulta1'!A4207="","",'Consulta1'!A4207)</f>
        <v>Chanitos Premium Granel</v>
      </c>
      <c r="B115" s="82" t="str">
        <f>IF('Consulta1'!B4207="","",'Consulta1'!B4207)</f>
        <v>CPR01101</v>
      </c>
      <c r="C115" s="83" t="str">
        <f>IF('Consulta1'!C4207="","",'Consulta1'!C4207)</f>
        <v>A01002-392509-1</v>
      </c>
      <c r="D115" s="84" t="str">
        <f>IF('Consulta1'!D4207="","",'Consulta1'!D4207)</f>
        <v>A01 002 Fortaleza</v>
      </c>
      <c r="E115" s="82" t="str">
        <f>IF('Consulta1'!E4207="","",'Consulta1'!E4207)</f>
        <v>CEDA</v>
      </c>
      <c r="F115">
        <f>+IF(E115="","",VLOOKUP(E115,CATALOGO!G:L,6,0))</f>
        <v>0</v>
      </c>
      <c r="G115" s="85">
        <f>IF('Consulta1'!F4207="","",'Consulta1'!F4207)</f>
        <v>37</v>
      </c>
      <c r="H115" s="85" t="str">
        <f>IF('Consulta1'!G4207="","",'Consulta1'!G4207)</f>
        <v>Granel</v>
      </c>
      <c r="I115" s="86">
        <f>IF('Consulta1'!H4207="","",'Consulta1'!H4207)</f>
        <v>46290</v>
      </c>
      <c r="J115">
        <f t="shared" si="1"/>
        <v>39</v>
      </c>
      <c r="K115">
        <f>+IF(E115="","",VLOOKUP(E115,CATALOGO!G:I,2,0))</f>
        <v>1.5</v>
      </c>
      <c r="L115">
        <f>+IF(E115="","",VLOOKUP(E115,CATALOGO!G:I,3,0))</f>
        <v>36</v>
      </c>
      <c r="M115" s="87">
        <f>IF('Consulta1'!I4207="","",'Consulta1'!I4207)</f>
        <v>46293</v>
      </c>
      <c r="N115" s="88" t="str">
        <f>IF('Consulta1'!J4207="","",'Consulta1'!J4207)</f>
        <v>0</v>
      </c>
      <c r="O115" t="str">
        <v>CHIAPAS|A01 002 FORTALEZA|20260925|20260928|CEDA|CEDA PISO|CPR01101|CEDA PISO PRODUCTORAS</v>
      </c>
      <c r="P115">
        <v>1</v>
      </c>
      <c r="Q115" t="str">
        <v>CHIAPAS|A01 002 FORTALEZA|20260925|20260928|CEDA|CEDA PISO|CPR01101|CEDA PISO PRODUCTORAS|1</v>
      </c>
      <c r="R115" t="str">
        <v>Programa Embarques 2026 S-39.xlsx</v>
      </c>
    </row>
    <row r="116" spans="1:18" ht="18.75" x14ac:dyDescent="0.25">
      <c r="A116" s="82" t="str">
        <f>IF('Consulta1'!A4208="","",'Consulta1'!A4208)</f>
        <v>Chanitos Premium Tarima Chep</v>
      </c>
      <c r="B116" s="82" t="str">
        <f>IF('Consulta1'!B4208="","",'Consulta1'!B4208)</f>
        <v>CPR01102</v>
      </c>
      <c r="C116" s="83" t="str">
        <f>IF('Consulta1'!C4208="","",'Consulta1'!C4208)</f>
        <v>A01001-392609-1</v>
      </c>
      <c r="D116" s="84" t="str">
        <f>IF('Consulta1'!D4208="","",'Consulta1'!D4208)</f>
        <v>A01 001 Marbella</v>
      </c>
      <c r="E116" s="82" t="str">
        <f>IF('Consulta1'!E4208="","",'Consulta1'!E4208)</f>
        <v>SMO</v>
      </c>
      <c r="F116">
        <f>+IF(E116="","",VLOOKUP(E116,CATALOGO!G:L,6,0))</f>
        <v>4</v>
      </c>
      <c r="G116" s="85">
        <f>IF('Consulta1'!F4208="","",'Consulta1'!F4208)</f>
        <v>1098</v>
      </c>
      <c r="H116" s="85">
        <f>IF('Consulta1'!G4208="","",'Consulta1'!G4208)</f>
        <v>23</v>
      </c>
      <c r="I116" s="86">
        <f>IF('Consulta1'!H4208="","",'Consulta1'!H4208)</f>
        <v>46291</v>
      </c>
      <c r="J116">
        <f t="shared" si="1"/>
        <v>39</v>
      </c>
      <c r="K116">
        <f>+IF(E116="","",VLOOKUP(E116,CATALOGO!G:I,2,0))</f>
        <v>1.5</v>
      </c>
      <c r="L116">
        <f>+IF(E116="","",VLOOKUP(E116,CATALOGO!G:I,3,0))</f>
        <v>36</v>
      </c>
      <c r="M116" s="87">
        <f>IF('Consulta1'!I4208="","",'Consulta1'!I4208)</f>
        <v>46296</v>
      </c>
      <c r="N116" s="88" t="str">
        <f>IF('Consulta1'!J4208="","",'Consulta1'!J4208)</f>
        <v>Pedido/OV existe con fecha 02/10/2026 pero en el prog de empaque la fecha es 01/10/2026</v>
      </c>
      <c r="O116" t="str">
        <v>CHIAPAS|A01 001 MARBELLA|20260926|20261001|SMO|WM|CPR01102|1098 CAJAS CONVENCIONAL Y 54 CAJAS BAE</v>
      </c>
      <c r="P116">
        <v>1</v>
      </c>
      <c r="Q116" t="str">
        <v>CHIAPAS|A01 001 MARBELLA|20260926|20261001|SMO|WM|CPR01102|1098 CAJAS CONVENCIONAL Y 54 CAJAS BAE|1</v>
      </c>
      <c r="R116" t="str">
        <v>Programa Embarques 2026 S-39.xlsx</v>
      </c>
    </row>
    <row r="117" spans="1:18" ht="18.75" x14ac:dyDescent="0.25">
      <c r="A117" s="82" t="str">
        <f>IF('Consulta1'!A4209="","",'Consulta1'!A4209)</f>
        <v>Platano de Chiapas BAE UPC 3237</v>
      </c>
      <c r="B117" s="82" t="str">
        <f>IF('Consulta1'!B4209="","",'Consulta1'!B4209)</f>
        <v>CPR01114</v>
      </c>
      <c r="C117" s="83" t="str">
        <f>IF('Consulta1'!C4209="","",'Consulta1'!C4209)</f>
        <v>A01001-392609-1</v>
      </c>
      <c r="D117" s="84" t="str">
        <f>IF('Consulta1'!D4209="","",'Consulta1'!D4209)</f>
        <v>A01 001 Marbella</v>
      </c>
      <c r="E117" s="82" t="str">
        <f>IF('Consulta1'!E4209="","",'Consulta1'!E4209)</f>
        <v>SMO</v>
      </c>
      <c r="F117">
        <f>+IF(E117="","",VLOOKUP(E117,CATALOGO!G:L,6,0))</f>
        <v>4</v>
      </c>
      <c r="G117" s="85">
        <f>IF('Consulta1'!F4209="","",'Consulta1'!F4209)</f>
        <v>54</v>
      </c>
      <c r="H117" s="85">
        <f>IF('Consulta1'!G4209="","",'Consulta1'!G4209)</f>
        <v>1</v>
      </c>
      <c r="I117" s="86">
        <f>IF('Consulta1'!H4209="","",'Consulta1'!H4209)</f>
        <v>46291</v>
      </c>
      <c r="J117">
        <f t="shared" si="1"/>
        <v>39</v>
      </c>
      <c r="K117">
        <f>+IF(E117="","",VLOOKUP(E117,CATALOGO!G:I,2,0))</f>
        <v>1.5</v>
      </c>
      <c r="L117">
        <f>+IF(E117="","",VLOOKUP(E117,CATALOGO!G:I,3,0))</f>
        <v>36</v>
      </c>
      <c r="M117" s="87">
        <f>IF('Consulta1'!I4209="","",'Consulta1'!I4209)</f>
        <v>46296</v>
      </c>
      <c r="N117" s="88" t="str">
        <f>IF('Consulta1'!J4209="","",'Consulta1'!J4209)</f>
        <v>Pedido/OV con SKU CPR01102 pero en prog CPR01114</v>
      </c>
      <c r="O117" t="str">
        <v>CHIAPAS|A01 001 MARBELLA|20260926|20261001|SMO|WM|CPR01114|1098 CAJAS CONVENCIONAL Y 54 CAJAS BAE</v>
      </c>
      <c r="P117">
        <v>1</v>
      </c>
      <c r="Q117" t="str">
        <v>CHIAPAS|A01 001 MARBELLA|20260926|20261001|SMO|WM|CPR01114|1098 CAJAS CONVENCIONAL Y 54 CAJAS BAE|1</v>
      </c>
      <c r="R117" t="str">
        <v>Programa Embarques 2026 S-39.xlsx</v>
      </c>
    </row>
    <row r="118" spans="1:18" ht="18.75" x14ac:dyDescent="0.25">
      <c r="A118" s="82" t="str">
        <f>IF('Consulta1'!A4210="","",'Consulta1'!A4210)</f>
        <v>Chanitos Premium Granel</v>
      </c>
      <c r="B118" s="82" t="str">
        <f>IF('Consulta1'!B4210="","",'Consulta1'!B4210)</f>
        <v>CPR01101</v>
      </c>
      <c r="C118" s="83" t="str">
        <f>IF('Consulta1'!C4210="","",'Consulta1'!C4210)</f>
        <v>A01001-392609-1</v>
      </c>
      <c r="D118" s="84" t="str">
        <f>IF('Consulta1'!D4210="","",'Consulta1'!D4210)</f>
        <v>A01 001 Marbella</v>
      </c>
      <c r="E118" s="82" t="str">
        <f>IF('Consulta1'!E4210="","",'Consulta1'!E4210)</f>
        <v>CEDA</v>
      </c>
      <c r="F118">
        <f>+IF(E118="","",VLOOKUP(E118,CATALOGO!G:L,6,0))</f>
        <v>0</v>
      </c>
      <c r="G118" s="85">
        <f>IF('Consulta1'!F4210="","",'Consulta1'!F4210)</f>
        <v>138</v>
      </c>
      <c r="H118" s="85" t="str">
        <f>IF('Consulta1'!G4210="","",'Consulta1'!G4210)</f>
        <v>Granel</v>
      </c>
      <c r="I118" s="86">
        <f>IF('Consulta1'!H4210="","",'Consulta1'!H4210)</f>
        <v>46291</v>
      </c>
      <c r="J118">
        <f t="shared" si="1"/>
        <v>39</v>
      </c>
      <c r="K118">
        <f>+IF(E118="","",VLOOKUP(E118,CATALOGO!G:I,2,0))</f>
        <v>1.5</v>
      </c>
      <c r="L118">
        <f>+IF(E118="","",VLOOKUP(E118,CATALOGO!G:I,3,0))</f>
        <v>36</v>
      </c>
      <c r="M118" s="87">
        <f>IF('Consulta1'!I4210="","",'Consulta1'!I4210)</f>
        <v>46296</v>
      </c>
      <c r="N118" s="88" t="str">
        <f>IF('Consulta1'!J4210="","",'Consulta1'!J4210)</f>
        <v>0</v>
      </c>
      <c r="O118" t="str">
        <v>CHIAPAS|A01 001 MARBELLA|20260926|20261001|CEDA|CEDA PISO|CPR01101|CEDA PISO PRODUCTORAS</v>
      </c>
      <c r="P118">
        <v>1</v>
      </c>
      <c r="Q118" t="str">
        <v>CHIAPAS|A01 001 MARBELLA|20260926|20261001|CEDA|CEDA PISO|CPR01101|CEDA PISO PRODUCTORAS|1</v>
      </c>
      <c r="R118" t="str">
        <v>Programa Embarques 2026 S-39.xlsx</v>
      </c>
    </row>
    <row r="119" spans="1:18" ht="18.75" x14ac:dyDescent="0.25">
      <c r="A119" s="82" t="str">
        <f>IF('Consulta1'!A4211="","",'Consulta1'!A4211)</f>
        <v>Chanitos Premium Tarima Chep</v>
      </c>
      <c r="B119" s="82" t="str">
        <f>IF('Consulta1'!B4211="","",'Consulta1'!B4211)</f>
        <v>CPR01102</v>
      </c>
      <c r="C119" s="83" t="str">
        <f>IF('Consulta1'!C4211="","",'Consulta1'!C4211)</f>
        <v>A01003-392609-1</v>
      </c>
      <c r="D119" s="84" t="str">
        <f>IF('Consulta1'!D4211="","",'Consulta1'!D4211)</f>
        <v>A01 003 Doña Nelly</v>
      </c>
      <c r="E119" s="82" t="str">
        <f>IF('Consulta1'!E4211="","",'Consulta1'!E4211)</f>
        <v>Chalco</v>
      </c>
      <c r="F119">
        <f>+IF(E119="","",VLOOKUP(E119,CATALOGO!G:L,6,0))</f>
        <v>5</v>
      </c>
      <c r="G119" s="85">
        <f>IF('Consulta1'!F4211="","",'Consulta1'!F4211)</f>
        <v>336</v>
      </c>
      <c r="H119" s="85">
        <f>IF('Consulta1'!G4211="","",'Consulta1'!G4211)</f>
        <v>7</v>
      </c>
      <c r="I119" s="86">
        <f>IF('Consulta1'!H4211="","",'Consulta1'!H4211)</f>
        <v>46291</v>
      </c>
      <c r="J119">
        <f t="shared" si="1"/>
        <v>39</v>
      </c>
      <c r="K119">
        <f>+IF(E119="","",VLOOKUP(E119,CATALOGO!G:I,2,0))</f>
        <v>1</v>
      </c>
      <c r="L119">
        <f>+IF(E119="","",VLOOKUP(E119,CATALOGO!G:I,3,0))</f>
        <v>24</v>
      </c>
      <c r="M119" s="87">
        <f>IF('Consulta1'!I4211="","",'Consulta1'!I4211)</f>
        <v>46296</v>
      </c>
      <c r="N119" s="88" t="str">
        <f>IF('Consulta1'!J4211="","",'Consulta1'!J4211)</f>
        <v>45280</v>
      </c>
      <c r="O119" t="str">
        <v>CHIAPAS|A01 003 DONA NELLY|20260926|20261001|CHALCO|WM|CPR01102|1092 CAJAS CONV Y 60CAJAS BAE</v>
      </c>
      <c r="P119">
        <v>1</v>
      </c>
      <c r="Q119" t="str">
        <v>CHIAPAS|A01 003 DONA NELLY|20260926|20261001|CHALCO|WM|CPR01102|1092 CAJAS CONV Y 60CAJAS BAE|1</v>
      </c>
      <c r="R119" t="str">
        <v>Programa Embarques 2026 S-39.xlsx</v>
      </c>
    </row>
    <row r="120" spans="1:18" ht="18.75" x14ac:dyDescent="0.25">
      <c r="A120" s="82" t="str">
        <f>IF('Consulta1'!A4212="","",'Consulta1'!A4212)</f>
        <v>Chanitos Premium Tarima Americana</v>
      </c>
      <c r="B120" s="82" t="str">
        <f>IF('Consulta1'!B4212="","",'Consulta1'!B4212)</f>
        <v>CPR01103</v>
      </c>
      <c r="C120" s="83" t="str">
        <f>IF('Consulta1'!C4212="","",'Consulta1'!C4212)</f>
        <v>A01003-392609-1</v>
      </c>
      <c r="D120" s="84" t="str">
        <f>IF('Consulta1'!D4212="","",'Consulta1'!D4212)</f>
        <v>A01 003 Doña Nelly</v>
      </c>
      <c r="E120" s="82" t="str">
        <f>IF('Consulta1'!E4212="","",'Consulta1'!E4212)</f>
        <v>Ciudad Juarez</v>
      </c>
      <c r="F120">
        <f>+IF(E120="","",VLOOKUP(E120,CATALOGO!G:L,6,0))</f>
        <v>1</v>
      </c>
      <c r="G120" s="85">
        <f>IF('Consulta1'!F4212="","",'Consulta1'!F4212)</f>
        <v>912</v>
      </c>
      <c r="H120" s="85">
        <f>IF('Consulta1'!G4212="","",'Consulta1'!G4212)</f>
        <v>19</v>
      </c>
      <c r="I120" s="86">
        <f>IF('Consulta1'!H4212="","",'Consulta1'!H4212)</f>
        <v>46291</v>
      </c>
      <c r="J120">
        <f t="shared" si="1"/>
        <v>39</v>
      </c>
      <c r="K120">
        <f>+IF(E120="","",VLOOKUP(E120,CATALOGO!G:I,2,0))</f>
        <v>4</v>
      </c>
      <c r="L120">
        <f>+IF(E120="","",VLOOKUP(E120,CATALOGO!G:I,3,0))</f>
        <v>96</v>
      </c>
      <c r="M120" s="87">
        <f>IF('Consulta1'!I4212="","",'Consulta1'!I4212)</f>
        <v>46297</v>
      </c>
      <c r="N120" s="88" t="str">
        <f>IF('Consulta1'!J4212="","",'Consulta1'!J4212)</f>
        <v>43272</v>
      </c>
      <c r="O120" t="str">
        <v>CHIAPAS|A01 003 DONA NELLY|20260926|20261002|CIUDAD JUAREZ|SMART|CPR01103|20 CONVENCIONAL SCJ2</v>
      </c>
      <c r="P120">
        <v>1</v>
      </c>
      <c r="Q120" t="str">
        <v>CHIAPAS|A01 003 DONA NELLY|20260926|20261002|CIUDAD JUAREZ|SMART|CPR01103|20 CONVENCIONAL SCJ2|1</v>
      </c>
      <c r="R120" t="str">
        <v>Programa Embarques 2026 S-39.xlsx</v>
      </c>
    </row>
    <row r="121" spans="1:18" ht="18.75" x14ac:dyDescent="0.25">
      <c r="A121" s="82" t="str">
        <f>IF('Consulta1'!A4213="","",'Consulta1'!A4213)</f>
        <v>Chanitos Premium Tarima Americana</v>
      </c>
      <c r="B121" s="82" t="str">
        <f>IF('Consulta1'!B4213="","",'Consulta1'!B4213)</f>
        <v>CPR01103</v>
      </c>
      <c r="C121" s="83" t="str">
        <f>IF('Consulta1'!C4213="","",'Consulta1'!C4213)</f>
        <v>A01003-392609-1</v>
      </c>
      <c r="D121" s="84" t="str">
        <f>IF('Consulta1'!D4213="","",'Consulta1'!D4213)</f>
        <v>A01 003 Doña Nelly</v>
      </c>
      <c r="E121" s="82" t="str">
        <f>IF('Consulta1'!E4213="","",'Consulta1'!E4213)</f>
        <v>S-MTY</v>
      </c>
      <c r="F121">
        <f>+IF(E121="","",VLOOKUP(E121,CATALOGO!G:L,6,0))</f>
        <v>1</v>
      </c>
      <c r="G121" s="85">
        <f>IF('Consulta1'!F4213="","",'Consulta1'!F4213)</f>
        <v>48</v>
      </c>
      <c r="H121" s="85">
        <f>IF('Consulta1'!G4213="","",'Consulta1'!G4213)</f>
        <v>1</v>
      </c>
      <c r="I121" s="86">
        <f>IF('Consulta1'!H4213="","",'Consulta1'!H4213)</f>
        <v>46291</v>
      </c>
      <c r="J121">
        <f t="shared" si="1"/>
        <v>39</v>
      </c>
      <c r="K121">
        <f>+IF(E121="","",VLOOKUP(E121,CATALOGO!G:I,2,0))</f>
        <v>3</v>
      </c>
      <c r="L121">
        <f>+IF(E121="","",VLOOKUP(E121,CATALOGO!G:I,3,0))</f>
        <v>72</v>
      </c>
      <c r="M121" s="87">
        <f>IF('Consulta1'!I4213="","",'Consulta1'!I4213)</f>
        <v>46295</v>
      </c>
      <c r="N121" s="88" t="str">
        <f>IF('Consulta1'!J4213="","",'Consulta1'!J4213)</f>
        <v>45612</v>
      </c>
      <c r="O121" t="str">
        <v>CHIAPAS|A01 003 DONA NELLY|20260926|20260930|S-MTY|SMART|CPR01103|20 CONVENCIONAL SM5</v>
      </c>
      <c r="P121">
        <v>1</v>
      </c>
      <c r="Q121" t="str">
        <v>CHIAPAS|A01 003 DONA NELLY|20260926|20260930|S-MTY|SMART|CPR01103|20 CONVENCIONAL SM5|1</v>
      </c>
      <c r="R121" t="str">
        <v>Programa Embarques 2026 S-39.xlsx</v>
      </c>
    </row>
    <row r="122" spans="1:18" ht="18.75" x14ac:dyDescent="0.25">
      <c r="A122" s="82" t="str">
        <f>IF('Consulta1'!A4214="","",'Consulta1'!A4214)</f>
        <v>Chanitos Premium Granel</v>
      </c>
      <c r="B122" s="82" t="str">
        <f>IF('Consulta1'!B4214="","",'Consulta1'!B4214)</f>
        <v>CPR01101</v>
      </c>
      <c r="C122" s="83" t="str">
        <f>IF('Consulta1'!C4214="","",'Consulta1'!C4214)</f>
        <v>A01003-392609-1</v>
      </c>
      <c r="D122" s="84" t="str">
        <f>IF('Consulta1'!D4214="","",'Consulta1'!D4214)</f>
        <v>A01 003 Doña Nelly</v>
      </c>
      <c r="E122" s="82" t="str">
        <f>IF('Consulta1'!E4214="","",'Consulta1'!E4214)</f>
        <v>CEDA</v>
      </c>
      <c r="F122">
        <f>+IF(E122="","",VLOOKUP(E122,CATALOGO!G:L,6,0))</f>
        <v>0</v>
      </c>
      <c r="G122" s="85">
        <f>IF('Consulta1'!F4214="","",'Consulta1'!F4214)</f>
        <v>75</v>
      </c>
      <c r="H122" s="85" t="str">
        <f>IF('Consulta1'!G4214="","",'Consulta1'!G4214)</f>
        <v>Granel</v>
      </c>
      <c r="I122" s="86">
        <f>IF('Consulta1'!H4214="","",'Consulta1'!H4214)</f>
        <v>46291</v>
      </c>
      <c r="J122">
        <f t="shared" si="1"/>
        <v>39</v>
      </c>
      <c r="K122">
        <f>+IF(E122="","",VLOOKUP(E122,CATALOGO!G:I,2,0))</f>
        <v>1.5</v>
      </c>
      <c r="L122">
        <f>+IF(E122="","",VLOOKUP(E122,CATALOGO!G:I,3,0))</f>
        <v>36</v>
      </c>
      <c r="M122" s="87">
        <f>IF('Consulta1'!I4214="","",'Consulta1'!I4214)</f>
        <v>46296</v>
      </c>
      <c r="N122" s="88" t="str">
        <f>IF('Consulta1'!J4214="","",'Consulta1'!J4214)</f>
        <v>0</v>
      </c>
      <c r="O122" t="str">
        <v>CHIAPAS|A01 003 DONA NELLY|20260926|20261001|CEDA|CEDA PISO|CPR01101|CEDA PISO PRODUCTORAS</v>
      </c>
      <c r="P122">
        <v>1</v>
      </c>
      <c r="Q122" t="str">
        <v>CHIAPAS|A01 003 DONA NELLY|20260926|20261001|CEDA|CEDA PISO|CPR01101|CEDA PISO PRODUCTORAS|1</v>
      </c>
      <c r="R122" t="str">
        <v>Programa Embarques 2026 S-39.xlsx</v>
      </c>
    </row>
    <row r="123" spans="1:18" ht="18.75" x14ac:dyDescent="0.25">
      <c r="A123" s="82" t="str">
        <f>IF('Consulta1'!A4215="","",'Consulta1'!A4215)</f>
        <v>Chanitos Premium Tarima Chep</v>
      </c>
      <c r="B123" s="82" t="str">
        <f>IF('Consulta1'!B4215="","",'Consulta1'!B4215)</f>
        <v>CPR01102</v>
      </c>
      <c r="C123" s="83" t="str">
        <f>IF('Consulta1'!C4215="","",'Consulta1'!C4215)</f>
        <v>A01002-392609-1</v>
      </c>
      <c r="D123" s="84" t="str">
        <f>IF('Consulta1'!D4215="","",'Consulta1'!D4215)</f>
        <v>A01 002 Fortaleza</v>
      </c>
      <c r="E123" s="82" t="str">
        <f>IF('Consulta1'!E4215="","",'Consulta1'!E4215)</f>
        <v>QRO</v>
      </c>
      <c r="F123">
        <f>+IF(E123="","",VLOOKUP(E123,CATALOGO!G:L,6,0))</f>
        <v>3</v>
      </c>
      <c r="G123" s="85">
        <f>IF('Consulta1'!F4215="","",'Consulta1'!F4215)</f>
        <v>336</v>
      </c>
      <c r="H123" s="85">
        <f>IF('Consulta1'!G4215="","",'Consulta1'!G4215)</f>
        <v>7</v>
      </c>
      <c r="I123" s="86">
        <f>IF('Consulta1'!H4215="","",'Consulta1'!H4215)</f>
        <v>46291</v>
      </c>
      <c r="J123">
        <f t="shared" si="1"/>
        <v>39</v>
      </c>
      <c r="K123">
        <f>+IF(E123="","",VLOOKUP(E123,CATALOGO!G:I,2,0))</f>
        <v>1.5</v>
      </c>
      <c r="L123">
        <f>+IF(E123="","",VLOOKUP(E123,CATALOGO!G:I,3,0))</f>
        <v>36</v>
      </c>
      <c r="M123" s="87">
        <f>IF('Consulta1'!I4215="","",'Consulta1'!I4215)</f>
        <v>46295</v>
      </c>
      <c r="N123" s="88" t="str">
        <f>IF('Consulta1'!J4215="","",'Consulta1'!J4215)</f>
        <v>45203</v>
      </c>
      <c r="O123" t="str">
        <v>CHIAPAS|A01 002 FORTALEZA|20260926|20260930|QRO|WM|CPR01102|22 CONVENCIONAL Y 2 ORG</v>
      </c>
      <c r="P123">
        <v>1</v>
      </c>
      <c r="Q123" t="str">
        <v>CHIAPAS|A01 002 FORTALEZA|20260926|20260930|QRO|WM|CPR01102|22 CONVENCIONAL Y 2 ORG|1</v>
      </c>
      <c r="R123" t="str">
        <v>Programa Embarques 2026 S-39.xlsx</v>
      </c>
    </row>
    <row r="124" spans="1:18" ht="18.75" x14ac:dyDescent="0.25">
      <c r="A124" s="82" t="str">
        <f>IF('Consulta1'!A4216="","",'Consulta1'!A4216)</f>
        <v>Chanitos Premium Tarima Americana</v>
      </c>
      <c r="B124" s="82" t="str">
        <f>IF('Consulta1'!B4216="","",'Consulta1'!B4216)</f>
        <v>CPR01103</v>
      </c>
      <c r="C124" s="83" t="str">
        <f>IF('Consulta1'!C4216="","",'Consulta1'!C4216)</f>
        <v>A01002-392609-1</v>
      </c>
      <c r="D124" s="84" t="str">
        <f>IF('Consulta1'!D4216="","",'Consulta1'!D4216)</f>
        <v>A01 002 Fortaleza</v>
      </c>
      <c r="E124" s="82" t="str">
        <f>IF('Consulta1'!E4216="","",'Consulta1'!E4216)</f>
        <v>Ciudad Juarez</v>
      </c>
      <c r="F124">
        <f>+IF(E124="","",VLOOKUP(E124,CATALOGO!G:L,6,0))</f>
        <v>1</v>
      </c>
      <c r="G124" s="85">
        <f>IF('Consulta1'!F4216="","",'Consulta1'!F4216)</f>
        <v>960</v>
      </c>
      <c r="H124" s="85">
        <f>IF('Consulta1'!G4216="","",'Consulta1'!G4216)</f>
        <v>20</v>
      </c>
      <c r="I124" s="86">
        <f>IF('Consulta1'!H4216="","",'Consulta1'!H4216)</f>
        <v>46291</v>
      </c>
      <c r="J124">
        <f t="shared" si="1"/>
        <v>39</v>
      </c>
      <c r="K124">
        <f>+IF(E124="","",VLOOKUP(E124,CATALOGO!G:I,2,0))</f>
        <v>4</v>
      </c>
      <c r="L124">
        <f>+IF(E124="","",VLOOKUP(E124,CATALOGO!G:I,3,0))</f>
        <v>96</v>
      </c>
      <c r="M124" s="87">
        <f>IF('Consulta1'!I4216="","",'Consulta1'!I4216)</f>
        <v>46297</v>
      </c>
      <c r="N124" s="88" t="str">
        <f>IF('Consulta1'!J4216="","",'Consulta1'!J4216)</f>
        <v>43272</v>
      </c>
      <c r="O124" t="str">
        <v>CHIAPAS|A01 002 FORTALEZA|20260926|20261002|CIUDAD JUAREZ|SMART|CPR01103|20 CONVENCIONAL SCJ3</v>
      </c>
      <c r="P124">
        <v>1</v>
      </c>
      <c r="Q124" t="str">
        <v>CHIAPAS|A01 002 FORTALEZA|20260926|20261002|CIUDAD JUAREZ|SMART|CPR01103|20 CONVENCIONAL SCJ3|1</v>
      </c>
      <c r="R124" t="str">
        <v>Programa Embarques 2026 S-39.xlsx</v>
      </c>
    </row>
    <row r="125" spans="1:18" ht="18.75" x14ac:dyDescent="0.25">
      <c r="A125" s="82" t="str">
        <f>IF('Consulta1'!A4217="","",'Consulta1'!A4217)</f>
        <v>Chanitos Premium Tarima Chep</v>
      </c>
      <c r="B125" s="82" t="str">
        <f>IF('Consulta1'!B4217="","",'Consulta1'!B4217)</f>
        <v>CPR01102</v>
      </c>
      <c r="C125" s="83" t="str">
        <f>IF('Consulta1'!C4217="","",'Consulta1'!C4217)</f>
        <v>A01002-392609-1</v>
      </c>
      <c r="D125" s="84" t="str">
        <f>IF('Consulta1'!D4217="","",'Consulta1'!D4217)</f>
        <v>A01 002 Fortaleza</v>
      </c>
      <c r="E125" s="82" t="str">
        <f>IF('Consulta1'!E4217="","",'Consulta1'!E4217)</f>
        <v>Chalco</v>
      </c>
      <c r="F125">
        <f>+IF(E125="","",VLOOKUP(E125,CATALOGO!G:L,6,0))</f>
        <v>5</v>
      </c>
      <c r="G125" s="85">
        <f>IF('Consulta1'!F4217="","",'Consulta1'!F4217)</f>
        <v>48</v>
      </c>
      <c r="H125" s="85">
        <f>IF('Consulta1'!G4217="","",'Consulta1'!G4217)</f>
        <v>1</v>
      </c>
      <c r="I125" s="86">
        <f>IF('Consulta1'!H4217="","",'Consulta1'!H4217)</f>
        <v>46291</v>
      </c>
      <c r="J125">
        <f t="shared" si="1"/>
        <v>39</v>
      </c>
      <c r="K125">
        <f>+IF(E125="","",VLOOKUP(E125,CATALOGO!G:I,2,0))</f>
        <v>1</v>
      </c>
      <c r="L125">
        <f>+IF(E125="","",VLOOKUP(E125,CATALOGO!G:I,3,0))</f>
        <v>24</v>
      </c>
      <c r="M125" s="87">
        <f>IF('Consulta1'!I4217="","",'Consulta1'!I4217)</f>
        <v>46296</v>
      </c>
      <c r="N125" s="88" t="str">
        <f>IF('Consulta1'!J4217="","",'Consulta1'!J4217)</f>
        <v>45280</v>
      </c>
      <c r="O125" t="str">
        <v>CHIAPAS|A01 002 FORTALEZA|20260926|20261001|CHALCO|WM|CPR01102|1092 CAJAS CONV Y 60CAJAS BAE</v>
      </c>
      <c r="P125">
        <v>1</v>
      </c>
      <c r="Q125" t="str">
        <v>CHIAPAS|A01 002 FORTALEZA|20260926|20261001|CHALCO|WM|CPR01102|1092 CAJAS CONV Y 60CAJAS BAE|1</v>
      </c>
      <c r="R125" t="str">
        <v>Programa Embarques 2026 S-39.xlsx</v>
      </c>
    </row>
    <row r="126" spans="1:18" ht="18.75" x14ac:dyDescent="0.25">
      <c r="A126" s="82" t="str">
        <f>IF('Consulta1'!A4218="","",'Consulta1'!A4218)</f>
        <v>Chanitos Premium Tarima Chep</v>
      </c>
      <c r="B126" s="82" t="str">
        <f>IF('Consulta1'!B4218="","",'Consulta1'!B4218)</f>
        <v>CPR01102</v>
      </c>
      <c r="C126" s="83" t="str">
        <f>IF('Consulta1'!C4218="","",'Consulta1'!C4218)</f>
        <v>A01002-392609-1</v>
      </c>
      <c r="D126" s="84" t="str">
        <f>IF('Consulta1'!D4218="","",'Consulta1'!D4218)</f>
        <v>A01 002 Fortaleza</v>
      </c>
      <c r="E126" s="82" t="str">
        <f>IF('Consulta1'!E4218="","",'Consulta1'!E4218)</f>
        <v>CEDA</v>
      </c>
      <c r="F126">
        <f>+IF(E126="","",VLOOKUP(E126,CATALOGO!G:L,6,0))</f>
        <v>0</v>
      </c>
      <c r="G126" s="85">
        <f>IF('Consulta1'!F4218="","",'Consulta1'!F4218)</f>
        <v>48</v>
      </c>
      <c r="H126" s="85">
        <f>IF('Consulta1'!G4218="","",'Consulta1'!G4218)</f>
        <v>1</v>
      </c>
      <c r="I126" s="86">
        <f>IF('Consulta1'!H4218="","",'Consulta1'!H4218)</f>
        <v>46291</v>
      </c>
      <c r="J126">
        <f t="shared" si="1"/>
        <v>39</v>
      </c>
      <c r="K126">
        <f>+IF(E126="","",VLOOKUP(E126,CATALOGO!G:I,2,0))</f>
        <v>1.5</v>
      </c>
      <c r="L126">
        <f>+IF(E126="","",VLOOKUP(E126,CATALOGO!G:I,3,0))</f>
        <v>36</v>
      </c>
      <c r="M126" s="87">
        <f>IF('Consulta1'!I4218="","",'Consulta1'!I4218)</f>
        <v>46296</v>
      </c>
      <c r="N126" s="88" t="str">
        <f>IF('Consulta1'!J4218="","",'Consulta1'!J4218)</f>
        <v>0</v>
      </c>
      <c r="O126" t="str">
        <v>CHIAPAS|A01 002 FORTALEZA|20260926|20261001|CEDA|CEDA AUTOSERVICIO|CPR01102|CEDA</v>
      </c>
      <c r="P126">
        <v>1</v>
      </c>
      <c r="Q126" t="str">
        <v>CHIAPAS|A01 002 FORTALEZA|20260926|20261001|CEDA|CEDA AUTOSERVICIO|CPR01102|CEDA|1</v>
      </c>
      <c r="R126" t="str">
        <v>Programa Embarques 2026 S-39.xlsx</v>
      </c>
    </row>
    <row r="127" spans="1:18" ht="18.75" x14ac:dyDescent="0.25">
      <c r="A127" s="82" t="str">
        <f>IF('Consulta1'!A4219="","",'Consulta1'!A4219)</f>
        <v>Chanitos Premium Granel</v>
      </c>
      <c r="B127" s="82" t="str">
        <f>IF('Consulta1'!B4219="","",'Consulta1'!B4219)</f>
        <v>CPR01101</v>
      </c>
      <c r="C127" s="83" t="str">
        <f>IF('Consulta1'!C4219="","",'Consulta1'!C4219)</f>
        <v>A01002-392609-1</v>
      </c>
      <c r="D127" s="84" t="str">
        <f>IF('Consulta1'!D4219="","",'Consulta1'!D4219)</f>
        <v>A01 002 Fortaleza</v>
      </c>
      <c r="E127" s="82" t="str">
        <f>IF('Consulta1'!E4219="","",'Consulta1'!E4219)</f>
        <v>CEDA</v>
      </c>
      <c r="F127">
        <f>+IF(E127="","",VLOOKUP(E127,CATALOGO!G:L,6,0))</f>
        <v>0</v>
      </c>
      <c r="G127" s="85">
        <f>IF('Consulta1'!F4219="","",'Consulta1'!F4219)</f>
        <v>28</v>
      </c>
      <c r="H127" s="85" t="str">
        <f>IF('Consulta1'!G4219="","",'Consulta1'!G4219)</f>
        <v>Granel</v>
      </c>
      <c r="I127" s="86">
        <f>IF('Consulta1'!H4219="","",'Consulta1'!H4219)</f>
        <v>46291</v>
      </c>
      <c r="J127">
        <f t="shared" si="1"/>
        <v>39</v>
      </c>
      <c r="K127">
        <f>+IF(E127="","",VLOOKUP(E127,CATALOGO!G:I,2,0))</f>
        <v>1.5</v>
      </c>
      <c r="L127">
        <f>+IF(E127="","",VLOOKUP(E127,CATALOGO!G:I,3,0))</f>
        <v>36</v>
      </c>
      <c r="M127" s="87">
        <f>IF('Consulta1'!I4219="","",'Consulta1'!I4219)</f>
        <v>46296</v>
      </c>
      <c r="N127" s="88" t="str">
        <f>IF('Consulta1'!J4219="","",'Consulta1'!J4219)</f>
        <v>0</v>
      </c>
      <c r="O127" t="str">
        <v>CHIAPAS|A01 002 FORTALEZA|20260926|20261001|CEDA|CEDA PISO|CPR01101|CEDA PISO PRODUCTORAS</v>
      </c>
      <c r="P127">
        <v>1</v>
      </c>
      <c r="Q127" t="str">
        <v>CHIAPAS|A01 002 FORTALEZA|20260926|20261001|CEDA|CEDA PISO|CPR01101|CEDA PISO PRODUCTORAS|1</v>
      </c>
      <c r="R127" t="str">
        <v>Programa Embarques 2026 S-39.xlsx</v>
      </c>
    </row>
    <row r="128" spans="1:18" ht="18.75" x14ac:dyDescent="0.25">
      <c r="A128" s="82" t="str">
        <f>IF('Consulta1'!A4220="","",'Consulta1'!A4220)</f>
        <v>Chanitos Plantain 20Kg Tarima Americana</v>
      </c>
      <c r="B128" s="82" t="str">
        <f>IF('Consulta1'!B4220="","",'Consulta1'!B4220)</f>
        <v>CPL08134</v>
      </c>
      <c r="C128" s="83" t="str">
        <f>IF('Consulta1'!C4220="","",'Consulta1'!C4220)</f>
        <v>A35082-392609-1</v>
      </c>
      <c r="D128" s="84" t="str">
        <f>IF('Consulta1'!D4220="","",'Consulta1'!D4220)</f>
        <v>A35 082 Empaque de Macho Ej Libertad</v>
      </c>
      <c r="E128" s="82" t="str">
        <f>IF('Consulta1'!E4220="","",'Consulta1'!E4220)</f>
        <v>Ciudad Juarez</v>
      </c>
      <c r="F128">
        <f>+IF(E128="","",VLOOKUP(E128,CATALOGO!G:L,6,0))</f>
        <v>1</v>
      </c>
      <c r="G128" s="85" t="str">
        <f>IF('Consulta1'!F4220="","",'Consulta1'!F4220)</f>
        <v/>
      </c>
      <c r="H128" s="85" t="str">
        <f>IF('Consulta1'!G4220="","",'Consulta1'!G4220)</f>
        <v/>
      </c>
      <c r="I128" s="86">
        <f>IF('Consulta1'!H4220="","",'Consulta1'!H4220)</f>
        <v>46291</v>
      </c>
      <c r="J128">
        <f t="shared" si="1"/>
        <v>39</v>
      </c>
      <c r="K128">
        <f>+IF(E128="","",VLOOKUP(E128,CATALOGO!G:I,2,0))</f>
        <v>4</v>
      </c>
      <c r="L128">
        <f>+IF(E128="","",VLOOKUP(E128,CATALOGO!G:I,3,0))</f>
        <v>96</v>
      </c>
      <c r="M128" s="87">
        <f>IF('Consulta1'!I4220="","",'Consulta1'!I4220)</f>
        <v>46298</v>
      </c>
      <c r="N128" s="88" t="str">
        <f>IF('Consulta1'!J4220="","",'Consulta1'!J4220)</f>
        <v>0</v>
      </c>
      <c r="O128" t="str">
        <v>CHIAPAS|A35 082 EMPAQUE DE MACHO EJ LIBERTAD|20260926|20261003|CIUDAD JUAREZ|SMART|CPL08134|</v>
      </c>
      <c r="P128">
        <v>1</v>
      </c>
      <c r="Q128" t="str">
        <v>CHIAPAS|A35 082 EMPAQUE DE MACHO EJ LIBERTAD|20260926|20261003|CIUDAD JUAREZ|SMART|CPL08134||1</v>
      </c>
      <c r="R128" t="str">
        <v>Programa Embarques 2026 S-39.xlsx</v>
      </c>
    </row>
    <row r="129" spans="1:18" ht="18.75" x14ac:dyDescent="0.25">
      <c r="A129" s="82" t="str">
        <f>IF('Consulta1'!A4221="","",'Consulta1'!A4221)</f>
        <v>Chanitos Premium Tarima Americana</v>
      </c>
      <c r="B129" s="82" t="str">
        <f>IF('Consulta1'!B4221="","",'Consulta1'!B4221)</f>
        <v>CPR01103</v>
      </c>
      <c r="C129" s="83" t="str">
        <f>IF('Consulta1'!C4221="","",'Consulta1'!C4221)</f>
        <v>A04083-392609-</v>
      </c>
      <c r="D129" s="84" t="str">
        <f>IF('Consulta1'!D4221="","",'Consulta1'!D4221)</f>
        <v>A04 083 Santa Maria</v>
      </c>
      <c r="E129" s="82" t="str">
        <f>IF('Consulta1'!E4221="","",'Consulta1'!E4221)</f>
        <v>S-MTY</v>
      </c>
      <c r="F129">
        <f>+IF(E129="","",VLOOKUP(E129,CATALOGO!G:L,6,0))</f>
        <v>1</v>
      </c>
      <c r="G129" s="85" t="str">
        <f>IF('Consulta1'!F4221="","",'Consulta1'!F4221)</f>
        <v/>
      </c>
      <c r="H129" s="85" t="str">
        <f>IF('Consulta1'!G4221="","",'Consulta1'!G4221)</f>
        <v/>
      </c>
      <c r="I129" s="86">
        <f>IF('Consulta1'!H4221="","",'Consulta1'!H4221)</f>
        <v>46291</v>
      </c>
      <c r="J129">
        <f t="shared" si="1"/>
        <v>39</v>
      </c>
      <c r="K129">
        <f>+IF(E129="","",VLOOKUP(E129,CATALOGO!G:I,2,0))</f>
        <v>3</v>
      </c>
      <c r="L129">
        <f>+IF(E129="","",VLOOKUP(E129,CATALOGO!G:I,3,0))</f>
        <v>72</v>
      </c>
      <c r="M129" s="87">
        <f>IF('Consulta1'!I4221="","",'Consulta1'!I4221)</f>
        <v>46296</v>
      </c>
      <c r="N129" s="88" t="str">
        <f>IF('Consulta1'!J4221="","",'Consulta1'!J4221)</f>
        <v>0</v>
      </c>
      <c r="O129" t="str">
        <v>CHIAPAS|A04 083 SANTA MARIA|20260926|20261001|S-MTY|SMART|CPR01103|20 CONVENCIONAL SM6</v>
      </c>
      <c r="P129">
        <v>1</v>
      </c>
      <c r="Q129" t="str">
        <v>CHIAPAS|A04 083 SANTA MARIA|20260926|20261001|S-MTY|SMART|CPR01103|20 CONVENCIONAL SM6|1</v>
      </c>
      <c r="R129" t="str">
        <v>Programa Embarques 2026 S-39.xlsx</v>
      </c>
    </row>
    <row r="130" spans="1:18" ht="18.75" x14ac:dyDescent="0.25">
      <c r="A130" s="82" t="str">
        <f>IF('Consulta1'!A4222="","",'Consulta1'!A4222)</f>
        <v>Chanitos Premium Tarima Americana</v>
      </c>
      <c r="B130" s="82" t="str">
        <f>IF('Consulta1'!B4222="","",'Consulta1'!B4222)</f>
        <v>CPR01103</v>
      </c>
      <c r="C130" s="83" t="str">
        <f>IF('Consulta1'!C4222="","",'Consulta1'!C4222)</f>
        <v>A12057-392609-1</v>
      </c>
      <c r="D130" s="84" t="str">
        <f>IF('Consulta1'!D4222="","",'Consulta1'!D4222)</f>
        <v>A12 057 Tiquisate 1</v>
      </c>
      <c r="E130" s="82" t="str">
        <f>IF('Consulta1'!E4222="","",'Consulta1'!E4222)</f>
        <v>Ciudad Juarez</v>
      </c>
      <c r="F130">
        <f>+IF(E130="","",VLOOKUP(E130,CATALOGO!G:L,6,0))</f>
        <v>1</v>
      </c>
      <c r="G130" s="85">
        <f>IF('Consulta1'!F4222="","",'Consulta1'!F4222)</f>
        <v>48</v>
      </c>
      <c r="H130" s="85">
        <f>IF('Consulta1'!G4222="","",'Consulta1'!G4222)</f>
        <v>1</v>
      </c>
      <c r="I130" s="86">
        <f>IF('Consulta1'!H4222="","",'Consulta1'!H4222)</f>
        <v>46291</v>
      </c>
      <c r="J130">
        <f t="shared" si="1"/>
        <v>39</v>
      </c>
      <c r="K130">
        <f>+IF(E130="","",VLOOKUP(E130,CATALOGO!G:I,2,0))</f>
        <v>4</v>
      </c>
      <c r="L130">
        <f>+IF(E130="","",VLOOKUP(E130,CATALOGO!G:I,3,0))</f>
        <v>96</v>
      </c>
      <c r="M130" s="87">
        <f>IF('Consulta1'!I4222="","",'Consulta1'!I4222)</f>
        <v>46297</v>
      </c>
      <c r="N130" s="88" t="str">
        <f>IF('Consulta1'!J4222="","",'Consulta1'!J4222)</f>
        <v>43272</v>
      </c>
      <c r="O130" t="str">
        <v>CHIAPAS|A12 057 TIQUISATE 1|20260926|20261002|CIUDAD JUAREZ|SMART|CPR01103|20 CONVENCIONAL SCJ2</v>
      </c>
      <c r="P130">
        <v>1</v>
      </c>
      <c r="Q130" t="str">
        <v>CHIAPAS|A12 057 TIQUISATE 1|20260926|20261002|CIUDAD JUAREZ|SMART|CPR01103|20 CONVENCIONAL SCJ2|1</v>
      </c>
      <c r="R130" t="str">
        <v>Programa Embarques 2026 S-39.xlsx</v>
      </c>
    </row>
    <row r="131" spans="1:18" ht="18.75" x14ac:dyDescent="0.25">
      <c r="A131" s="82" t="str">
        <f>IF('Consulta1'!A4223="","",'Consulta1'!A4223)</f>
        <v>Chanitos Premium Tarima Americana</v>
      </c>
      <c r="B131" s="82" t="str">
        <f>IF('Consulta1'!B4223="","",'Consulta1'!B4223)</f>
        <v>CPR01103</v>
      </c>
      <c r="C131" s="83" t="str">
        <f>IF('Consulta1'!C4223="","",'Consulta1'!C4223)</f>
        <v>A12057-392609-1</v>
      </c>
      <c r="D131" s="84" t="str">
        <f>IF('Consulta1'!D4223="","",'Consulta1'!D4223)</f>
        <v>A12 057 Tiquisate 1</v>
      </c>
      <c r="E131" s="82" t="str">
        <f>IF('Consulta1'!E4223="","",'Consulta1'!E4223)</f>
        <v>S-MTY</v>
      </c>
      <c r="F131">
        <f>+IF(E131="","",VLOOKUP(E131,CATALOGO!G:L,6,0))</f>
        <v>1</v>
      </c>
      <c r="G131" s="85">
        <f>IF('Consulta1'!F4223="","",'Consulta1'!F4223)</f>
        <v>912</v>
      </c>
      <c r="H131" s="85">
        <f>IF('Consulta1'!G4223="","",'Consulta1'!G4223)</f>
        <v>19</v>
      </c>
      <c r="I131" s="86">
        <f>IF('Consulta1'!H4223="","",'Consulta1'!H4223)</f>
        <v>46291</v>
      </c>
      <c r="J131">
        <f t="shared" ref="J131:J194" si="2">+IF(E131="","",WEEKNUM(I131))</f>
        <v>39</v>
      </c>
      <c r="K131">
        <f>+IF(E131="","",VLOOKUP(E131,CATALOGO!G:I,2,0))</f>
        <v>3</v>
      </c>
      <c r="L131">
        <f>+IF(E131="","",VLOOKUP(E131,CATALOGO!G:I,3,0))</f>
        <v>72</v>
      </c>
      <c r="M131" s="87">
        <f>IF('Consulta1'!I4223="","",'Consulta1'!I4223)</f>
        <v>46296</v>
      </c>
      <c r="N131" s="88" t="str">
        <f>IF('Consulta1'!J4223="","",'Consulta1'!J4223)</f>
        <v>43807</v>
      </c>
      <c r="O131" t="str">
        <v>CHIAPAS|A12 057 TIQUISATE 1|20260926|20261001|S-MTY|SMART|CPR01103|20 CONVENCIONAL SM7</v>
      </c>
      <c r="P131">
        <v>1</v>
      </c>
      <c r="Q131" t="str">
        <v>CHIAPAS|A12 057 TIQUISATE 1|20260926|20261001|S-MTY|SMART|CPR01103|20 CONVENCIONAL SM7|1</v>
      </c>
      <c r="R131" t="str">
        <v>Programa Embarques 2026 S-39.xlsx</v>
      </c>
    </row>
    <row r="132" spans="1:18" ht="18.75" x14ac:dyDescent="0.25">
      <c r="A132" s="82" t="str">
        <f>IF('Consulta1'!A4224="","",'Consulta1'!A4224)</f>
        <v>Chanitos Premium Tarima Americana</v>
      </c>
      <c r="B132" s="82" t="str">
        <f>IF('Consulta1'!B4224="","",'Consulta1'!B4224)</f>
        <v>CPR01103</v>
      </c>
      <c r="C132" s="83" t="str">
        <f>IF('Consulta1'!C4224="","",'Consulta1'!C4224)</f>
        <v>A04083-402809-1</v>
      </c>
      <c r="D132" s="84" t="str">
        <f>IF('Consulta1'!D4224="","",'Consulta1'!D4224)</f>
        <v>A04 083 Santa Maria</v>
      </c>
      <c r="E132" s="82" t="str">
        <f>IF('Consulta1'!E4224="","",'Consulta1'!E4224)</f>
        <v>Ciudad Juarez</v>
      </c>
      <c r="F132">
        <f>+IF(E132="","",VLOOKUP(E132,CATALOGO!G:L,6,0))</f>
        <v>1</v>
      </c>
      <c r="G132" s="85">
        <f>IF('Consulta1'!F4224="","",'Consulta1'!F4224)</f>
        <v>960</v>
      </c>
      <c r="H132" s="85">
        <f>IF('Consulta1'!G4224="","",'Consulta1'!G4224)</f>
        <v>20</v>
      </c>
      <c r="I132" s="86">
        <f>IF('Consulta1'!H4224="","",'Consulta1'!H4224)</f>
        <v>46293</v>
      </c>
      <c r="J132">
        <f t="shared" si="2"/>
        <v>40</v>
      </c>
      <c r="K132">
        <f>+IF(E132="","",VLOOKUP(E132,CATALOGO!G:I,2,0))</f>
        <v>4</v>
      </c>
      <c r="L132">
        <f>+IF(E132="","",VLOOKUP(E132,CATALOGO!G:I,3,0))</f>
        <v>96</v>
      </c>
      <c r="M132" s="87">
        <f>IF('Consulta1'!I4224="","",'Consulta1'!I4224)</f>
        <v>46298</v>
      </c>
      <c r="N132" s="88" t="str">
        <f>IF('Consulta1'!J4224="","",'Consulta1'!J4224)</f>
        <v>43273</v>
      </c>
      <c r="O132" t="str">
        <v>CHIAPAS|A04 083 SANTA MARIA|20260928|20261003|CIUDAD JUAREZ|SMART|CPR01103|20 CONVENCIONAL SCJ1</v>
      </c>
      <c r="P132">
        <v>1</v>
      </c>
      <c r="Q132" t="str">
        <v>CHIAPAS|A04 083 SANTA MARIA|20260928|20261003|CIUDAD JUAREZ|SMART|CPR01103|20 CONVENCIONAL SCJ1|1</v>
      </c>
      <c r="R132" t="str">
        <v>Programa Embarques 2026 S-40.xlsx</v>
      </c>
    </row>
    <row r="133" spans="1:18" ht="18.75" x14ac:dyDescent="0.25">
      <c r="A133" s="82" t="str">
        <f>IF('Consulta1'!A4225="","",'Consulta1'!A4225)</f>
        <v>Chanitos Premium EUA Tarima Americana</v>
      </c>
      <c r="B133" s="82" t="str">
        <f>IF('Consulta1'!B4225="","",'Consulta1'!B4225)</f>
        <v>CPR01104</v>
      </c>
      <c r="C133" s="83" t="str">
        <f>IF('Consulta1'!C4225="","",'Consulta1'!C4225)</f>
        <v>A11045-402809-1</v>
      </c>
      <c r="D133" s="84" t="str">
        <f>IF('Consulta1'!D4225="","",'Consulta1'!D4225)</f>
        <v>A11 045 Sector Mazatan</v>
      </c>
      <c r="E133" s="82" t="str">
        <f>IF('Consulta1'!E4225="","",'Consulta1'!E4225)</f>
        <v>McAllen</v>
      </c>
      <c r="F133">
        <f>+IF(E133="","",VLOOKUP(E133,CATALOGO!G:L,6,0))</f>
        <v>8</v>
      </c>
      <c r="G133" s="85">
        <f>IF('Consulta1'!F4225="","",'Consulta1'!F4225)</f>
        <v>480</v>
      </c>
      <c r="H133" s="85">
        <f>IF('Consulta1'!G4225="","",'Consulta1'!G4225)</f>
        <v>10</v>
      </c>
      <c r="I133" s="86">
        <f>IF('Consulta1'!H4225="","",'Consulta1'!H4225)</f>
        <v>46293</v>
      </c>
      <c r="J133">
        <f t="shared" si="2"/>
        <v>40</v>
      </c>
      <c r="K133">
        <f>+IF(E133="","",VLOOKUP(E133,CATALOGO!G:I,2,0))</f>
        <v>3</v>
      </c>
      <c r="L133">
        <f>+IF(E133="","",VLOOKUP(E133,CATALOGO!G:I,3,0))</f>
        <v>72</v>
      </c>
      <c r="M133" s="87">
        <f>IF('Consulta1'!I4225="","",'Consulta1'!I4225)</f>
        <v>46296</v>
      </c>
      <c r="N133" s="88" t="str">
        <f>IF('Consulta1'!J4225="","",'Consulta1'!J4225)</f>
        <v>45034</v>
      </c>
      <c r="O133" t="str">
        <v>CHIAPAS|A11 045 SECTOR MAZATAN|20260928|20261001|MCALLEN|CHANITOS INT|CPR01104|20 CONVENCIONAL F1-1</v>
      </c>
      <c r="P133">
        <v>1</v>
      </c>
      <c r="Q133" t="str">
        <v>CHIAPAS|A11 045 SECTOR MAZATAN|20260928|20261001|MCALLEN|CHANITOS INT|CPR01104|20 CONVENCIONAL F1-1|1</v>
      </c>
      <c r="R133" t="str">
        <v>Programa Embarques 2026 S-40.xlsx</v>
      </c>
    </row>
    <row r="134" spans="1:18" ht="18.75" x14ac:dyDescent="0.25">
      <c r="A134" s="82" t="str">
        <f>IF('Consulta1'!A4226="","",'Consulta1'!A4226)</f>
        <v>Chanitos Premium EUA Tarima Americana</v>
      </c>
      <c r="B134" s="82" t="str">
        <f>IF('Consulta1'!B4226="","",'Consulta1'!B4226)</f>
        <v>CPR01104</v>
      </c>
      <c r="C134" s="83" t="str">
        <f>IF('Consulta1'!C4226="","",'Consulta1'!C4226)</f>
        <v>A11045-402809-1</v>
      </c>
      <c r="D134" s="84" t="str">
        <f>IF('Consulta1'!D4226="","",'Consulta1'!D4226)</f>
        <v>A11 045 Sector Mazatan</v>
      </c>
      <c r="E134" s="82" t="str">
        <f>IF('Consulta1'!E4226="","",'Consulta1'!E4226)</f>
        <v>McAllen</v>
      </c>
      <c r="F134">
        <f>+IF(E134="","",VLOOKUP(E134,CATALOGO!G:L,6,0))</f>
        <v>8</v>
      </c>
      <c r="G134" s="85">
        <f>IF('Consulta1'!F4226="","",'Consulta1'!F4226)</f>
        <v>96</v>
      </c>
      <c r="H134" s="85">
        <f>IF('Consulta1'!G4226="","",'Consulta1'!G4226)</f>
        <v>2</v>
      </c>
      <c r="I134" s="86">
        <f>IF('Consulta1'!H4226="","",'Consulta1'!H4226)</f>
        <v>46293</v>
      </c>
      <c r="J134">
        <f t="shared" si="2"/>
        <v>40</v>
      </c>
      <c r="K134">
        <f>+IF(E134="","",VLOOKUP(E134,CATALOGO!G:I,2,0))</f>
        <v>3</v>
      </c>
      <c r="L134">
        <f>+IF(E134="","",VLOOKUP(E134,CATALOGO!G:I,3,0))</f>
        <v>72</v>
      </c>
      <c r="M134" s="87">
        <f>IF('Consulta1'!I4226="","",'Consulta1'!I4226)</f>
        <v>46297</v>
      </c>
      <c r="N134" s="88" t="str">
        <f>IF('Consulta1'!J4226="","",'Consulta1'!J4226)</f>
        <v>45036</v>
      </c>
      <c r="O134" t="str">
        <v>CHIAPAS|A11 045 SECTOR MAZATAN|20260928|20261002|MCALLEN|CHANITOS INT|CPR01104|20 CONVENCIONAL F1-2</v>
      </c>
      <c r="P134">
        <v>1</v>
      </c>
      <c r="Q134" t="str">
        <v>CHIAPAS|A11 045 SECTOR MAZATAN|20260928|20261002|MCALLEN|CHANITOS INT|CPR01104|20 CONVENCIONAL F1-2|1</v>
      </c>
      <c r="R134" t="str">
        <v>Programa Embarques 2026 S-40.xlsx</v>
      </c>
    </row>
    <row r="135" spans="1:18" ht="18.75" x14ac:dyDescent="0.25">
      <c r="A135" s="82" t="str">
        <f>IF('Consulta1'!A4227="","",'Consulta1'!A4227)</f>
        <v>Chanitos Premium EUA Tarima Americana</v>
      </c>
      <c r="B135" s="82" t="str">
        <f>IF('Consulta1'!B4227="","",'Consulta1'!B4227)</f>
        <v>CPR01104</v>
      </c>
      <c r="C135" s="83" t="str">
        <f>IF('Consulta1'!C4227="","",'Consulta1'!C4227)</f>
        <v>A11056-402809-1</v>
      </c>
      <c r="D135" s="84" t="str">
        <f>IF('Consulta1'!D4227="","",'Consulta1'!D4227)</f>
        <v>A11 056 San Isidro</v>
      </c>
      <c r="E135" s="82" t="str">
        <f>IF('Consulta1'!E4227="","",'Consulta1'!E4227)</f>
        <v>McAllen</v>
      </c>
      <c r="F135">
        <f>+IF(E135="","",VLOOKUP(E135,CATALOGO!G:L,6,0))</f>
        <v>8</v>
      </c>
      <c r="G135" s="85">
        <f>IF('Consulta1'!F4227="","",'Consulta1'!F4227)</f>
        <v>768</v>
      </c>
      <c r="H135" s="85">
        <f>IF('Consulta1'!G4227="","",'Consulta1'!G4227)</f>
        <v>16</v>
      </c>
      <c r="I135" s="86">
        <f>IF('Consulta1'!H4227="","",'Consulta1'!H4227)</f>
        <v>46293</v>
      </c>
      <c r="J135">
        <f t="shared" si="2"/>
        <v>40</v>
      </c>
      <c r="K135">
        <f>+IF(E135="","",VLOOKUP(E135,CATALOGO!G:I,2,0))</f>
        <v>3</v>
      </c>
      <c r="L135">
        <f>+IF(E135="","",VLOOKUP(E135,CATALOGO!G:I,3,0))</f>
        <v>72</v>
      </c>
      <c r="M135" s="87">
        <f>IF('Consulta1'!I4227="","",'Consulta1'!I4227)</f>
        <v>46297</v>
      </c>
      <c r="N135" s="88" t="str">
        <f>IF('Consulta1'!J4227="","",'Consulta1'!J4227)</f>
        <v>45036</v>
      </c>
      <c r="O135" t="str">
        <v>CHIAPAS|A11 056 SAN ISIDRO|20260928|20261002|MCALLEN|CHANITOS INT|CPR01104|20 CONVENCIONAL F1-2</v>
      </c>
      <c r="P135">
        <v>1</v>
      </c>
      <c r="Q135" t="str">
        <v>CHIAPAS|A11 056 SAN ISIDRO|20260928|20261002|MCALLEN|CHANITOS INT|CPR01104|20 CONVENCIONAL F1-2|1</v>
      </c>
      <c r="R135" t="str">
        <v>Programa Embarques 2026 S-40.xlsx</v>
      </c>
    </row>
    <row r="136" spans="1:18" ht="18.75" x14ac:dyDescent="0.25">
      <c r="A136" s="82" t="str">
        <f>IF('Consulta1'!A4228="","",'Consulta1'!A4228)</f>
        <v>Chanitos Premium EUA Tarima Americana</v>
      </c>
      <c r="B136" s="82" t="str">
        <f>IF('Consulta1'!B4228="","",'Consulta1'!B4228)</f>
        <v>CPR01104</v>
      </c>
      <c r="C136" s="83" t="str">
        <f>IF('Consulta1'!C4228="","",'Consulta1'!C4228)</f>
        <v>A04084-402809-1</v>
      </c>
      <c r="D136" s="84" t="str">
        <f>IF('Consulta1'!D4228="","",'Consulta1'!D4228)</f>
        <v>A04 084 Lisboa</v>
      </c>
      <c r="E136" s="82" t="str">
        <f>IF('Consulta1'!E4228="","",'Consulta1'!E4228)</f>
        <v>McAllen</v>
      </c>
      <c r="F136">
        <f>+IF(E136="","",VLOOKUP(E136,CATALOGO!G:L,6,0))</f>
        <v>8</v>
      </c>
      <c r="G136" s="85">
        <f>IF('Consulta1'!F4228="","",'Consulta1'!F4228)</f>
        <v>480</v>
      </c>
      <c r="H136" s="85">
        <f>IF('Consulta1'!G4228="","",'Consulta1'!G4228)</f>
        <v>10</v>
      </c>
      <c r="I136" s="86">
        <f>IF('Consulta1'!H4228="","",'Consulta1'!H4228)</f>
        <v>46293</v>
      </c>
      <c r="J136">
        <f t="shared" si="2"/>
        <v>40</v>
      </c>
      <c r="K136">
        <f>+IF(E136="","",VLOOKUP(E136,CATALOGO!G:I,2,0))</f>
        <v>3</v>
      </c>
      <c r="L136">
        <f>+IF(E136="","",VLOOKUP(E136,CATALOGO!G:I,3,0))</f>
        <v>72</v>
      </c>
      <c r="M136" s="87">
        <f>IF('Consulta1'!I4228="","",'Consulta1'!I4228)</f>
        <v>46297</v>
      </c>
      <c r="N136" s="88" t="str">
        <f>IF('Consulta1'!J4228="","",'Consulta1'!J4228)</f>
        <v>45037</v>
      </c>
      <c r="O136" t="str">
        <v>CHIAPAS|A04 084 LISBOA|20260928|20261002|MCALLEN|CHANITOS INT|CPR01104|20 CONVENCIONAL F2-1</v>
      </c>
      <c r="P136">
        <v>1</v>
      </c>
      <c r="Q136" t="str">
        <v>CHIAPAS|A04 084 LISBOA|20260928|20261002|MCALLEN|CHANITOS INT|CPR01104|20 CONVENCIONAL F2-1|1</v>
      </c>
      <c r="R136" t="str">
        <v>Programa Embarques 2026 S-40.xlsx</v>
      </c>
    </row>
    <row r="137" spans="1:18" ht="18.75" x14ac:dyDescent="0.25">
      <c r="A137" s="82" t="str">
        <f>IF('Consulta1'!A4229="","",'Consulta1'!A4229)</f>
        <v>Chanitos Premium EUA Tarima Americana</v>
      </c>
      <c r="B137" s="82" t="str">
        <f>IF('Consulta1'!B4229="","",'Consulta1'!B4229)</f>
        <v>CPR01104</v>
      </c>
      <c r="C137" s="83" t="str">
        <f>IF('Consulta1'!C4229="","",'Consulta1'!C4229)</f>
        <v>A04084-402809-1</v>
      </c>
      <c r="D137" s="84" t="str">
        <f>IF('Consulta1'!D4229="","",'Consulta1'!D4229)</f>
        <v>A04 084 Lisboa</v>
      </c>
      <c r="E137" s="82" t="str">
        <f>IF('Consulta1'!E4229="","",'Consulta1'!E4229)</f>
        <v>McAllen</v>
      </c>
      <c r="F137">
        <f>+IF(E137="","",VLOOKUP(E137,CATALOGO!G:L,6,0))</f>
        <v>8</v>
      </c>
      <c r="G137" s="85">
        <f>IF('Consulta1'!F4229="","",'Consulta1'!F4229)</f>
        <v>96</v>
      </c>
      <c r="H137" s="85">
        <f>IF('Consulta1'!G4229="","",'Consulta1'!G4229)</f>
        <v>2</v>
      </c>
      <c r="I137" s="86">
        <f>IF('Consulta1'!H4229="","",'Consulta1'!H4229)</f>
        <v>46293</v>
      </c>
      <c r="J137">
        <f t="shared" si="2"/>
        <v>40</v>
      </c>
      <c r="K137">
        <f>+IF(E137="","",VLOOKUP(E137,CATALOGO!G:I,2,0))</f>
        <v>3</v>
      </c>
      <c r="L137">
        <f>+IF(E137="","",VLOOKUP(E137,CATALOGO!G:I,3,0))</f>
        <v>72</v>
      </c>
      <c r="M137" s="87">
        <f>IF('Consulta1'!I4229="","",'Consulta1'!I4229)</f>
        <v>46300</v>
      </c>
      <c r="N137" s="88" t="str">
        <f>IF('Consulta1'!J4229="","",'Consulta1'!J4229)</f>
        <v>45740</v>
      </c>
      <c r="O137" t="str">
        <v>CHIAPAS|A04 084 LISBOA|20260928|20261005|MCALLEN|CHANITOS INT|CPR01104|20 CONVENCIONAL F3-2</v>
      </c>
      <c r="P137">
        <v>1</v>
      </c>
      <c r="Q137" t="str">
        <v>CHIAPAS|A04 084 LISBOA|20260928|20261005|MCALLEN|CHANITOS INT|CPR01104|20 CONVENCIONAL F3-2|1</v>
      </c>
      <c r="R137" t="str">
        <v>Programa Embarques 2026 S-40.xlsx</v>
      </c>
    </row>
    <row r="138" spans="1:18" ht="18.75" x14ac:dyDescent="0.25">
      <c r="A138" s="82" t="str">
        <f>IF('Consulta1'!A4230="","",'Consulta1'!A4230)</f>
        <v>Chanitos Premium Tarima Americana</v>
      </c>
      <c r="B138" s="82" t="str">
        <f>IF('Consulta1'!B4230="","",'Consulta1'!B4230)</f>
        <v>CPR01103</v>
      </c>
      <c r="C138" s="83" t="str">
        <f>IF('Consulta1'!C4230="","",'Consulta1'!C4230)</f>
        <v>A01003-402809-1</v>
      </c>
      <c r="D138" s="84" t="str">
        <f>IF('Consulta1'!D4230="","",'Consulta1'!D4230)</f>
        <v>A01 003 Doña Nelly</v>
      </c>
      <c r="E138" s="82" t="str">
        <f>IF('Consulta1'!E4230="","",'Consulta1'!E4230)</f>
        <v>S-MTY</v>
      </c>
      <c r="F138">
        <f>+IF(E138="","",VLOOKUP(E138,CATALOGO!G:L,6,0))</f>
        <v>1</v>
      </c>
      <c r="G138" s="85">
        <f>IF('Consulta1'!F4230="","",'Consulta1'!F4230)</f>
        <v>960</v>
      </c>
      <c r="H138" s="85">
        <f>IF('Consulta1'!G4230="","",'Consulta1'!G4230)</f>
        <v>20</v>
      </c>
      <c r="I138" s="86">
        <f>IF('Consulta1'!H4230="","",'Consulta1'!H4230)</f>
        <v>46293</v>
      </c>
      <c r="J138">
        <f t="shared" si="2"/>
        <v>40</v>
      </c>
      <c r="K138">
        <f>+IF(E138="","",VLOOKUP(E138,CATALOGO!G:I,2,0))</f>
        <v>3</v>
      </c>
      <c r="L138">
        <f>+IF(E138="","",VLOOKUP(E138,CATALOGO!G:I,3,0))</f>
        <v>72</v>
      </c>
      <c r="M138" s="87">
        <f>IF('Consulta1'!I4230="","",'Consulta1'!I4230)</f>
        <v>46296</v>
      </c>
      <c r="N138" s="88" t="str">
        <f>IF('Consulta1'!J4230="","",'Consulta1'!J4230)</f>
        <v>43807</v>
      </c>
      <c r="O138" t="str">
        <v>CHIAPAS|A01 003 DONA NELLY|20260928|20261001|S-MTY|SMART|CPR01103|20 CONVENCIONAL SM1</v>
      </c>
      <c r="P138">
        <v>1</v>
      </c>
      <c r="Q138" t="str">
        <v>CHIAPAS|A01 003 DONA NELLY|20260928|20261001|S-MTY|SMART|CPR01103|20 CONVENCIONAL SM1|1</v>
      </c>
      <c r="R138" t="str">
        <v>Programa Embarques 2026 S-40.xlsx</v>
      </c>
    </row>
    <row r="139" spans="1:18" ht="18.75" x14ac:dyDescent="0.25">
      <c r="A139" s="82" t="str">
        <f>IF('Consulta1'!A4231="","",'Consulta1'!A4231)</f>
        <v>Chanitos Premium Tarima Americana</v>
      </c>
      <c r="B139" s="82" t="str">
        <f>IF('Consulta1'!B4231="","",'Consulta1'!B4231)</f>
        <v>CPR01103</v>
      </c>
      <c r="C139" s="83" t="str">
        <f>IF('Consulta1'!C4231="","",'Consulta1'!C4231)</f>
        <v>A01003-402809-1</v>
      </c>
      <c r="D139" s="84" t="str">
        <f>IF('Consulta1'!D4231="","",'Consulta1'!D4231)</f>
        <v>A01 003 Doña Nelly</v>
      </c>
      <c r="E139" s="82" t="str">
        <f>IF('Consulta1'!E4231="","",'Consulta1'!E4231)</f>
        <v>S-MTY</v>
      </c>
      <c r="F139">
        <f>+IF(E139="","",VLOOKUP(E139,CATALOGO!G:L,6,0))</f>
        <v>1</v>
      </c>
      <c r="G139" s="85">
        <f>IF('Consulta1'!F4231="","",'Consulta1'!F4231)</f>
        <v>48</v>
      </c>
      <c r="H139" s="85">
        <f>IF('Consulta1'!G4231="","",'Consulta1'!G4231)</f>
        <v>1</v>
      </c>
      <c r="I139" s="86">
        <f>IF('Consulta1'!H4231="","",'Consulta1'!H4231)</f>
        <v>46293</v>
      </c>
      <c r="J139">
        <f t="shared" si="2"/>
        <v>40</v>
      </c>
      <c r="K139">
        <f>+IF(E139="","",VLOOKUP(E139,CATALOGO!G:I,2,0))</f>
        <v>3</v>
      </c>
      <c r="L139">
        <f>+IF(E139="","",VLOOKUP(E139,CATALOGO!G:I,3,0))</f>
        <v>72</v>
      </c>
      <c r="M139" s="87">
        <f>IF('Consulta1'!I4231="","",'Consulta1'!I4231)</f>
        <v>46296</v>
      </c>
      <c r="N139" s="88" t="str">
        <f>IF('Consulta1'!J4231="","",'Consulta1'!J4231)</f>
        <v>43807</v>
      </c>
      <c r="O139" t="str">
        <v>CHIAPAS|A01 003 DONA NELLY|20260928|20261001|S-MTY|SMART|CPR01103|20 CONVENCIONAL SM1</v>
      </c>
      <c r="P139">
        <v>2</v>
      </c>
      <c r="Q139" t="str">
        <v>CHIAPAS|A01 003 DONA NELLY|20260928|20261001|S-MTY|SMART|CPR01103|20 CONVENCIONAL SM1|2</v>
      </c>
      <c r="R139" t="str">
        <v>Programa Embarques 2026 S-40.xlsx</v>
      </c>
    </row>
    <row r="140" spans="1:18" ht="18.75" x14ac:dyDescent="0.25">
      <c r="A140" s="82" t="str">
        <f>IF('Consulta1'!A4232="","",'Consulta1'!A4232)</f>
        <v>Chanitos Premium Tarima Chep</v>
      </c>
      <c r="B140" s="82" t="str">
        <f>IF('Consulta1'!B4232="","",'Consulta1'!B4232)</f>
        <v>CPR01102</v>
      </c>
      <c r="C140" s="83" t="str">
        <f>IF('Consulta1'!C4232="","",'Consulta1'!C4232)</f>
        <v>A01003-402809-1</v>
      </c>
      <c r="D140" s="84" t="str">
        <f>IF('Consulta1'!D4232="","",'Consulta1'!D4232)</f>
        <v>A01 003 Doña Nelly</v>
      </c>
      <c r="E140" s="82" t="str">
        <f>IF('Consulta1'!E4232="","",'Consulta1'!E4232)</f>
        <v>VSA</v>
      </c>
      <c r="F140">
        <f>+IF(E140="","",VLOOKUP(E140,CATALOGO!G:L,6,0))</f>
        <v>6</v>
      </c>
      <c r="G140" s="85">
        <f>IF('Consulta1'!F4232="","",'Consulta1'!F4232)</f>
        <v>432</v>
      </c>
      <c r="H140" s="85">
        <f>IF('Consulta1'!G4232="","",'Consulta1'!G4232)</f>
        <v>9</v>
      </c>
      <c r="I140" s="86">
        <f>IF('Consulta1'!H4232="","",'Consulta1'!H4232)</f>
        <v>46293</v>
      </c>
      <c r="J140">
        <f t="shared" si="2"/>
        <v>40</v>
      </c>
      <c r="K140">
        <f>+IF(E140="","",VLOOKUP(E140,CATALOGO!G:I,2,0))</f>
        <v>1</v>
      </c>
      <c r="L140">
        <f>+IF(E140="","",VLOOKUP(E140,CATALOGO!G:I,3,0))</f>
        <v>24</v>
      </c>
      <c r="M140" s="87">
        <f>IF('Consulta1'!I4232="","",'Consulta1'!I4232)</f>
        <v>46296</v>
      </c>
      <c r="N140" s="88" t="str">
        <f>IF('Consulta1'!J4232="","",'Consulta1'!J4232)</f>
        <v>41955</v>
      </c>
      <c r="O140" t="str">
        <v>CHIAPAS|A01 003 DONA NELLY|20260928|20261001|VSA|WM|CPR01102|19 CONVENCIONAL Y 5 ORG</v>
      </c>
      <c r="P140">
        <v>1</v>
      </c>
      <c r="Q140" t="str">
        <v>CHIAPAS|A01 003 DONA NELLY|20260928|20261001|VSA|WM|CPR01102|19 CONVENCIONAL Y 5 ORG|1</v>
      </c>
      <c r="R140" t="str">
        <v>Programa Embarques 2026 S-40.xlsx</v>
      </c>
    </row>
    <row r="141" spans="1:18" ht="18.75" x14ac:dyDescent="0.25">
      <c r="A141" s="82" t="str">
        <f>IF('Consulta1'!A4233="","",'Consulta1'!A4233)</f>
        <v>Chanitos Premium Granel</v>
      </c>
      <c r="B141" s="82" t="str">
        <f>IF('Consulta1'!B4233="","",'Consulta1'!B4233)</f>
        <v>CPR01101</v>
      </c>
      <c r="C141" s="83" t="str">
        <f>IF('Consulta1'!C4233="","",'Consulta1'!C4233)</f>
        <v>A01003-402809-1</v>
      </c>
      <c r="D141" s="84" t="str">
        <f>IF('Consulta1'!D4233="","",'Consulta1'!D4233)</f>
        <v>A01 003 Doña Nelly</v>
      </c>
      <c r="E141" s="82" t="str">
        <f>IF('Consulta1'!E4233="","",'Consulta1'!E4233)</f>
        <v>CEDA</v>
      </c>
      <c r="F141">
        <f>+IF(E141="","",VLOOKUP(E141,CATALOGO!G:L,6,0))</f>
        <v>0</v>
      </c>
      <c r="G141" s="85">
        <f>IF('Consulta1'!F4233="","",'Consulta1'!F4233)</f>
        <v>1</v>
      </c>
      <c r="H141" s="85" t="str">
        <f>IF('Consulta1'!G4233="","",'Consulta1'!G4233)</f>
        <v>Granel</v>
      </c>
      <c r="I141" s="86">
        <f>IF('Consulta1'!H4233="","",'Consulta1'!H4233)</f>
        <v>46293</v>
      </c>
      <c r="J141">
        <f t="shared" si="2"/>
        <v>40</v>
      </c>
      <c r="K141">
        <f>+IF(E141="","",VLOOKUP(E141,CATALOGO!G:I,2,0))</f>
        <v>1.5</v>
      </c>
      <c r="L141">
        <f>+IF(E141="","",VLOOKUP(E141,CATALOGO!G:I,3,0))</f>
        <v>36</v>
      </c>
      <c r="M141" s="87">
        <f>IF('Consulta1'!I4233="","",'Consulta1'!I4233)</f>
        <v>46295</v>
      </c>
      <c r="N141" s="88" t="str">
        <f>IF('Consulta1'!J4233="","",'Consulta1'!J4233)</f>
        <v>0</v>
      </c>
      <c r="O141" t="str">
        <v>CHIAPAS|A01 003 DONA NELLY|20260928|20260930|CEDA|CEDA PISO|CPR01101|CEDA PISO PRODUCTORAS</v>
      </c>
      <c r="P141">
        <v>1</v>
      </c>
      <c r="Q141" t="str">
        <v>CHIAPAS|A01 003 DONA NELLY|20260928|20260930|CEDA|CEDA PISO|CPR01101|CEDA PISO PRODUCTORAS|1</v>
      </c>
      <c r="R141" t="str">
        <v>Programa Embarques 2026 S-40.xlsx</v>
      </c>
    </row>
    <row r="142" spans="1:18" ht="18.75" x14ac:dyDescent="0.25">
      <c r="A142" s="82" t="str">
        <f>IF('Consulta1'!A4234="","",'Consulta1'!A4234)</f>
        <v>Chanitos Plantain 20Kg Tarima Americana</v>
      </c>
      <c r="B142" s="82" t="str">
        <f>IF('Consulta1'!B4234="","",'Consulta1'!B4234)</f>
        <v>CPL08134</v>
      </c>
      <c r="C142" s="83" t="str">
        <f>IF('Consulta1'!C4234="","",'Consulta1'!C4234)</f>
        <v>A35082-402809-1</v>
      </c>
      <c r="D142" s="84" t="str">
        <f>IF('Consulta1'!D4234="","",'Consulta1'!D4234)</f>
        <v>A35 082 Empaque de Macho Ej Libertad</v>
      </c>
      <c r="E142" s="82" t="str">
        <f>IF('Consulta1'!E4234="","",'Consulta1'!E4234)</f>
        <v>Ciudad Juarez</v>
      </c>
      <c r="F142">
        <f>+IF(E142="","",VLOOKUP(E142,CATALOGO!G:L,6,0))</f>
        <v>1</v>
      </c>
      <c r="G142" s="85">
        <f>IF('Consulta1'!F4234="","",'Consulta1'!F4234)</f>
        <v>144</v>
      </c>
      <c r="H142" s="85">
        <f>IF('Consulta1'!G4234="","",'Consulta1'!G4234)</f>
        <v>3</v>
      </c>
      <c r="I142" s="86">
        <f>IF('Consulta1'!H4234="","",'Consulta1'!H4234)</f>
        <v>46293</v>
      </c>
      <c r="J142">
        <f t="shared" si="2"/>
        <v>40</v>
      </c>
      <c r="K142">
        <f>+IF(E142="","",VLOOKUP(E142,CATALOGO!G:I,2,0))</f>
        <v>4</v>
      </c>
      <c r="L142">
        <f>+IF(E142="","",VLOOKUP(E142,CATALOGO!G:I,3,0))</f>
        <v>96</v>
      </c>
      <c r="M142" s="87">
        <f>IF('Consulta1'!I4234="","",'Consulta1'!I4234)</f>
        <v>46298</v>
      </c>
      <c r="N142" s="88" t="str">
        <f>IF('Consulta1'!J4234="","",'Consulta1'!J4234)</f>
        <v>43273</v>
      </c>
      <c r="O142" t="str">
        <v>CHIAPAS|A35 082 EMPAQUE DE MACHO EJ LIBERTAD|20260928|20261003|CIUDAD JUAREZ|SMART|CPL08134|17 CONVENCIONAL Y 3 PLANTAIN</v>
      </c>
      <c r="P142">
        <v>1</v>
      </c>
      <c r="Q142" t="str">
        <v>CHIAPAS|A35 082 EMPAQUE DE MACHO EJ LIBERTAD|20260928|20261003|CIUDAD JUAREZ|SMART|CPL08134|17 CONVENCIONAL Y 3 PLANTAIN|1</v>
      </c>
      <c r="R142" t="str">
        <v>Programa Embarques 2026 S-40.xlsx</v>
      </c>
    </row>
    <row r="143" spans="1:18" ht="18.75" x14ac:dyDescent="0.25">
      <c r="A143" s="82" t="str">
        <f>IF('Consulta1'!A4235="","",'Consulta1'!A4235)</f>
        <v>Chanitos Plantain 20Kg Tarima Chep</v>
      </c>
      <c r="B143" s="82" t="str">
        <f>IF('Consulta1'!B4235="","",'Consulta1'!B4235)</f>
        <v>CPL08141</v>
      </c>
      <c r="C143" s="83" t="str">
        <f>IF('Consulta1'!C4235="","",'Consulta1'!C4235)</f>
        <v>A35082-402809-1</v>
      </c>
      <c r="D143" s="84" t="str">
        <f>IF('Consulta1'!D4235="","",'Consulta1'!D4235)</f>
        <v>A35 082 Empaque de Macho Ej Libertad</v>
      </c>
      <c r="E143" s="82" t="str">
        <f>IF('Consulta1'!E4235="","",'Consulta1'!E4235)</f>
        <v>CEDA</v>
      </c>
      <c r="F143">
        <f>+IF(E143="","",VLOOKUP(E143,CATALOGO!G:L,6,0))</f>
        <v>0</v>
      </c>
      <c r="G143" s="85">
        <f>IF('Consulta1'!F4235="","",'Consulta1'!F4235)</f>
        <v>144</v>
      </c>
      <c r="H143" s="85">
        <f>IF('Consulta1'!G4235="","",'Consulta1'!G4235)</f>
        <v>3</v>
      </c>
      <c r="I143" s="86">
        <f>IF('Consulta1'!H4235="","",'Consulta1'!H4235)</f>
        <v>46293</v>
      </c>
      <c r="J143">
        <f t="shared" si="2"/>
        <v>40</v>
      </c>
      <c r="K143">
        <f>+IF(E143="","",VLOOKUP(E143,CATALOGO!G:I,2,0))</f>
        <v>1.5</v>
      </c>
      <c r="L143">
        <f>+IF(E143="","",VLOOKUP(E143,CATALOGO!G:I,3,0))</f>
        <v>36</v>
      </c>
      <c r="M143" s="87">
        <f>IF('Consulta1'!I4235="","",'Consulta1'!I4235)</f>
        <v>46296</v>
      </c>
      <c r="N143" s="88" t="str">
        <f>IF('Consulta1'!J4235="","",'Consulta1'!J4235)</f>
        <v>0</v>
      </c>
      <c r="O143" t="str">
        <v>CHIAPAS|A35 082 EMPAQUE DE MACHO EJ LIBERTAD|20260928|20261001|CEDA|CEDA AUTOSERVICIO|CPL08141|CEDA PLANTAIN</v>
      </c>
      <c r="P143">
        <v>1</v>
      </c>
      <c r="Q143" t="str">
        <v>CHIAPAS|A35 082 EMPAQUE DE MACHO EJ LIBERTAD|20260928|20261001|CEDA|CEDA AUTOSERVICIO|CPL08141|CEDA PLANTAIN|1</v>
      </c>
      <c r="R143" t="str">
        <v>Programa Embarques 2026 S-40.xlsx</v>
      </c>
    </row>
    <row r="144" spans="1:18" ht="18.75" x14ac:dyDescent="0.25">
      <c r="A144" s="82" t="str">
        <f>IF('Consulta1'!A4236="","",'Consulta1'!A4236)</f>
        <v>Chiquita</v>
      </c>
      <c r="B144" s="82" t="str">
        <f>IF('Consulta1'!B4236="","",'Consulta1'!B4236)</f>
        <v>PRE0001</v>
      </c>
      <c r="C144" s="83" t="str">
        <f>IF('Consulta1'!C4236="","",'Consulta1'!C4236)</f>
        <v>A01001-402809-1</v>
      </c>
      <c r="D144" s="84" t="str">
        <f>IF('Consulta1'!D4236="","",'Consulta1'!D4236)</f>
        <v>A01 001 Marbella</v>
      </c>
      <c r="E144" s="82" t="str">
        <f>IF('Consulta1'!E4236="","",'Consulta1'!E4236)</f>
        <v>Chiquita</v>
      </c>
      <c r="F144">
        <f>+IF(E144="","",VLOOKUP(E144,CATALOGO!G:L,6,0))</f>
        <v>0</v>
      </c>
      <c r="G144" s="85">
        <f>IF('Consulta1'!F4236="","",'Consulta1'!F4236)</f>
        <v>960</v>
      </c>
      <c r="H144" s="85">
        <f>IF('Consulta1'!G4236="","",'Consulta1'!G4236)</f>
        <v>20</v>
      </c>
      <c r="I144" s="86">
        <f>IF('Consulta1'!H4236="","",'Consulta1'!H4236)</f>
        <v>46293</v>
      </c>
      <c r="J144">
        <f t="shared" si="2"/>
        <v>40</v>
      </c>
      <c r="K144">
        <f>+IF(E144="","",VLOOKUP(E144,CATALOGO!G:I,2,0))</f>
        <v>1</v>
      </c>
      <c r="L144">
        <f>+IF(E144="","",VLOOKUP(E144,CATALOGO!G:I,3,0))</f>
        <v>24</v>
      </c>
      <c r="M144" s="87">
        <f>IF('Consulta1'!I4236="","",'Consulta1'!I4236)</f>
        <v>46296</v>
      </c>
      <c r="N144" s="88" t="str">
        <f>IF('Consulta1'!J4236="","",'Consulta1'!J4236)</f>
        <v>Sin OV compatible con fecha, cliente, CEDIS, SKU, zona y cantidad</v>
      </c>
      <c r="O144" t="str">
        <v>CHIAPAS|A01 001 MARBELLA|20260928|20261001|CHIQUITA|CHIQUITA|PRE0001|CHIQUITA</v>
      </c>
      <c r="P144">
        <v>1</v>
      </c>
      <c r="Q144" t="str">
        <v>CHIAPAS|A01 001 MARBELLA|20260928|20261001|CHIQUITA|CHIQUITA|PRE0001|CHIQUITA|1</v>
      </c>
      <c r="R144" t="str">
        <v>Programa Embarques 2026 S-40.xlsx</v>
      </c>
    </row>
    <row r="145" spans="1:18" ht="18.75" x14ac:dyDescent="0.25">
      <c r="A145" s="82" t="str">
        <f>IF('Consulta1'!A4237="","",'Consulta1'!A4237)</f>
        <v>Chanitos Premium Tarima Chep</v>
      </c>
      <c r="B145" s="82" t="str">
        <f>IF('Consulta1'!B4237="","",'Consulta1'!B4237)</f>
        <v>CPR01102</v>
      </c>
      <c r="C145" s="83" t="str">
        <f>IF('Consulta1'!C4237="","",'Consulta1'!C4237)</f>
        <v>A01001-402809-1</v>
      </c>
      <c r="D145" s="84" t="str">
        <f>IF('Consulta1'!D4237="","",'Consulta1'!D4237)</f>
        <v>A01 001 Marbella</v>
      </c>
      <c r="E145" s="82" t="str">
        <f>IF('Consulta1'!E4237="","",'Consulta1'!E4237)</f>
        <v>CEDA</v>
      </c>
      <c r="F145">
        <f>+IF(E145="","",VLOOKUP(E145,CATALOGO!G:L,6,0))</f>
        <v>0</v>
      </c>
      <c r="G145" s="85">
        <f>IF('Consulta1'!F4237="","",'Consulta1'!F4237)</f>
        <v>528</v>
      </c>
      <c r="H145" s="85">
        <f>IF('Consulta1'!G4237="","",'Consulta1'!G4237)</f>
        <v>11</v>
      </c>
      <c r="I145" s="86">
        <f>IF('Consulta1'!H4237="","",'Consulta1'!H4237)</f>
        <v>46293</v>
      </c>
      <c r="J145">
        <f t="shared" si="2"/>
        <v>40</v>
      </c>
      <c r="K145">
        <f>+IF(E145="","",VLOOKUP(E145,CATALOGO!G:I,2,0))</f>
        <v>1.5</v>
      </c>
      <c r="L145">
        <f>+IF(E145="","",VLOOKUP(E145,CATALOGO!G:I,3,0))</f>
        <v>36</v>
      </c>
      <c r="M145" s="87">
        <f>IF('Consulta1'!I4237="","",'Consulta1'!I4237)</f>
        <v>46296</v>
      </c>
      <c r="N145" s="88" t="str">
        <f>IF('Consulta1'!J4237="","",'Consulta1'!J4237)</f>
        <v>0</v>
      </c>
      <c r="O145" t="str">
        <v>CHIAPAS|A01 001 MARBELLA|20260928|20261001|CEDA|CEDA AUTOSERVICIO|CPR01102|CEDA</v>
      </c>
      <c r="P145">
        <v>1</v>
      </c>
      <c r="Q145" t="str">
        <v>CHIAPAS|A01 001 MARBELLA|20260928|20261001|CEDA|CEDA AUTOSERVICIO|CPR01102|CEDA|1</v>
      </c>
      <c r="R145" t="str">
        <v>Programa Embarques 2026 S-40.xlsx</v>
      </c>
    </row>
    <row r="146" spans="1:18" ht="18.75" x14ac:dyDescent="0.25">
      <c r="A146" s="82" t="str">
        <f>IF('Consulta1'!A4238="","",'Consulta1'!A4238)</f>
        <v>Chanitos Premium Granel</v>
      </c>
      <c r="B146" s="82" t="str">
        <f>IF('Consulta1'!B4238="","",'Consulta1'!B4238)</f>
        <v>CPR01101</v>
      </c>
      <c r="C146" s="83" t="str">
        <f>IF('Consulta1'!C4238="","",'Consulta1'!C4238)</f>
        <v>A01001-402809-1</v>
      </c>
      <c r="D146" s="84" t="str">
        <f>IF('Consulta1'!D4238="","",'Consulta1'!D4238)</f>
        <v>A01 001 Marbella</v>
      </c>
      <c r="E146" s="82" t="str">
        <f>IF('Consulta1'!E4238="","",'Consulta1'!E4238)</f>
        <v>CEDA</v>
      </c>
      <c r="F146">
        <f>+IF(E146="","",VLOOKUP(E146,CATALOGO!G:L,6,0))</f>
        <v>0</v>
      </c>
      <c r="G146" s="85">
        <f>IF('Consulta1'!F4238="","",'Consulta1'!F4238)</f>
        <v>35</v>
      </c>
      <c r="H146" s="85" t="str">
        <f>IF('Consulta1'!G4238="","",'Consulta1'!G4238)</f>
        <v>Granel</v>
      </c>
      <c r="I146" s="86">
        <f>IF('Consulta1'!H4238="","",'Consulta1'!H4238)</f>
        <v>46293</v>
      </c>
      <c r="J146">
        <f t="shared" si="2"/>
        <v>40</v>
      </c>
      <c r="K146">
        <f>+IF(E146="","",VLOOKUP(E146,CATALOGO!G:I,2,0))</f>
        <v>1.5</v>
      </c>
      <c r="L146">
        <f>+IF(E146="","",VLOOKUP(E146,CATALOGO!G:I,3,0))</f>
        <v>36</v>
      </c>
      <c r="M146" s="87">
        <f>IF('Consulta1'!I4238="","",'Consulta1'!I4238)</f>
        <v>46295</v>
      </c>
      <c r="N146" s="88" t="str">
        <f>IF('Consulta1'!J4238="","",'Consulta1'!J4238)</f>
        <v>0</v>
      </c>
      <c r="O146" t="str">
        <v>CHIAPAS|A01 001 MARBELLA|20260928|20260930|CEDA|CEDA PISO|CPR01101|CEDA PISO PRODUCTORAS</v>
      </c>
      <c r="P146">
        <v>1</v>
      </c>
      <c r="Q146" t="str">
        <v>CHIAPAS|A01 001 MARBELLA|20260928|20260930|CEDA|CEDA PISO|CPR01101|CEDA PISO PRODUCTORAS|1</v>
      </c>
      <c r="R146" t="str">
        <v>Programa Embarques 2026 S-40.xlsx</v>
      </c>
    </row>
    <row r="147" spans="1:18" ht="18.75" x14ac:dyDescent="0.25">
      <c r="A147" s="82" t="str">
        <f>IF('Consulta1'!A4239="","",'Consulta1'!A4239)</f>
        <v>Chanitos Premium Granel</v>
      </c>
      <c r="B147" s="82" t="str">
        <f>IF('Consulta1'!B4239="","",'Consulta1'!B4239)</f>
        <v>CPR01101</v>
      </c>
      <c r="C147" s="83" t="str">
        <f>IF('Consulta1'!C4239="","",'Consulta1'!C4239)</f>
        <v>A01002-402809-1</v>
      </c>
      <c r="D147" s="84" t="str">
        <f>IF('Consulta1'!D4239="","",'Consulta1'!D4239)</f>
        <v>A01 002 Fortaleza</v>
      </c>
      <c r="E147" s="82" t="str">
        <f>IF('Consulta1'!E4239="","",'Consulta1'!E4239)</f>
        <v>CEDA</v>
      </c>
      <c r="F147">
        <f>+IF(E147="","",VLOOKUP(E147,CATALOGO!G:L,6,0))</f>
        <v>0</v>
      </c>
      <c r="G147" s="85">
        <f>IF('Consulta1'!F4239="","",'Consulta1'!F4239)</f>
        <v>12</v>
      </c>
      <c r="H147" s="85" t="str">
        <f>IF('Consulta1'!G4239="","",'Consulta1'!G4239)</f>
        <v>Granel</v>
      </c>
      <c r="I147" s="86">
        <f>IF('Consulta1'!H4239="","",'Consulta1'!H4239)</f>
        <v>46293</v>
      </c>
      <c r="J147">
        <f t="shared" si="2"/>
        <v>40</v>
      </c>
      <c r="K147">
        <f>+IF(E147="","",VLOOKUP(E147,CATALOGO!G:I,2,0))</f>
        <v>1.5</v>
      </c>
      <c r="L147">
        <f>+IF(E147="","",VLOOKUP(E147,CATALOGO!G:I,3,0))</f>
        <v>36</v>
      </c>
      <c r="M147" s="87">
        <f>IF('Consulta1'!I4239="","",'Consulta1'!I4239)</f>
        <v>46295</v>
      </c>
      <c r="N147" s="88" t="str">
        <f>IF('Consulta1'!J4239="","",'Consulta1'!J4239)</f>
        <v>0</v>
      </c>
      <c r="O147" t="str">
        <v>CHIAPAS|A01 002 FORTALEZA|20260928|20260930|CEDA|CEDA PISO|CPR01101|CEDA PISO PRODUCTORAS</v>
      </c>
      <c r="P147">
        <v>1</v>
      </c>
      <c r="Q147" t="str">
        <v>CHIAPAS|A01 002 FORTALEZA|20260928|20260930|CEDA|CEDA PISO|CPR01101|CEDA PISO PRODUCTORAS|1</v>
      </c>
      <c r="R147" t="str">
        <v>Programa Embarques 2026 S-40.xlsx</v>
      </c>
    </row>
    <row r="148" spans="1:18" ht="18.75" x14ac:dyDescent="0.25">
      <c r="A148" s="82" t="str">
        <f>IF('Consulta1'!A4240="","",'Consulta1'!A4240)</f>
        <v>Chanitos Premium Tarima Americana</v>
      </c>
      <c r="B148" s="82" t="str">
        <f>IF('Consulta1'!B4240="","",'Consulta1'!B4240)</f>
        <v>CPR01103</v>
      </c>
      <c r="C148" s="83" t="str">
        <f>IF('Consulta1'!C4240="","",'Consulta1'!C4240)</f>
        <v>A01002-402809-1</v>
      </c>
      <c r="D148" s="84" t="str">
        <f>IF('Consulta1'!D4240="","",'Consulta1'!D4240)</f>
        <v>A01 002 Fortaleza</v>
      </c>
      <c r="E148" s="82" t="str">
        <f>IF('Consulta1'!E4240="","",'Consulta1'!E4240)</f>
        <v>S-MTY</v>
      </c>
      <c r="F148">
        <f>+IF(E148="","",VLOOKUP(E148,CATALOGO!G:L,6,0))</f>
        <v>1</v>
      </c>
      <c r="G148" s="85">
        <f>IF('Consulta1'!F4240="","",'Consulta1'!F4240)</f>
        <v>144</v>
      </c>
      <c r="H148" s="85">
        <f>IF('Consulta1'!G4240="","",'Consulta1'!G4240)</f>
        <v>3</v>
      </c>
      <c r="I148" s="86">
        <f>IF('Consulta1'!H4240="","",'Consulta1'!H4240)</f>
        <v>46293</v>
      </c>
      <c r="J148">
        <f t="shared" si="2"/>
        <v>40</v>
      </c>
      <c r="K148">
        <f>+IF(E148="","",VLOOKUP(E148,CATALOGO!G:I,2,0))</f>
        <v>3</v>
      </c>
      <c r="L148">
        <f>+IF(E148="","",VLOOKUP(E148,CATALOGO!G:I,3,0))</f>
        <v>72</v>
      </c>
      <c r="M148" s="87">
        <f>IF('Consulta1'!I4240="","",'Consulta1'!I4240)</f>
        <v>46300</v>
      </c>
      <c r="N148" s="88" t="str">
        <f>IF('Consulta1'!J4240="","",'Consulta1'!J4240)</f>
        <v>46255</v>
      </c>
      <c r="O148" t="str">
        <v>CHIAPAS|A01 002 FORTALEZA|20260928|20261005|S-MTY|SMART|CPR01103|20 CONVENCIONAL SM1</v>
      </c>
      <c r="P148">
        <v>1</v>
      </c>
      <c r="Q148" t="str">
        <v>CHIAPAS|A01 002 FORTALEZA|20260928|20261005|S-MTY|SMART|CPR01103|20 CONVENCIONAL SM1|1</v>
      </c>
      <c r="R148" t="str">
        <v>Programa Embarques 2026 S-40.xlsx</v>
      </c>
    </row>
    <row r="149" spans="1:18" ht="18.75" x14ac:dyDescent="0.25">
      <c r="A149" s="82" t="str">
        <f>IF('Consulta1'!A4241="","",'Consulta1'!A4241)</f>
        <v>Chanitos Premium Tarima Americana</v>
      </c>
      <c r="B149" s="82" t="str">
        <f>IF('Consulta1'!B4241="","",'Consulta1'!B4241)</f>
        <v>CPR01103</v>
      </c>
      <c r="C149" s="83" t="str">
        <f>IF('Consulta1'!C4241="","",'Consulta1'!C4241)</f>
        <v>A01002-402809-1</v>
      </c>
      <c r="D149" s="84" t="str">
        <f>IF('Consulta1'!D4241="","",'Consulta1'!D4241)</f>
        <v>A01 002 Fortaleza</v>
      </c>
      <c r="E149" s="82" t="str">
        <f>IF('Consulta1'!E4241="","",'Consulta1'!E4241)</f>
        <v>Ciudad Juarez</v>
      </c>
      <c r="F149">
        <f>+IF(E149="","",VLOOKUP(E149,CATALOGO!G:L,6,0))</f>
        <v>1</v>
      </c>
      <c r="G149" s="85">
        <f>IF('Consulta1'!F4241="","",'Consulta1'!F4241)</f>
        <v>816</v>
      </c>
      <c r="H149" s="85">
        <f>IF('Consulta1'!G4241="","",'Consulta1'!G4241)</f>
        <v>17</v>
      </c>
      <c r="I149" s="86">
        <f>IF('Consulta1'!H4241="","",'Consulta1'!H4241)</f>
        <v>46293</v>
      </c>
      <c r="J149">
        <f t="shared" si="2"/>
        <v>40</v>
      </c>
      <c r="K149">
        <f>+IF(E149="","",VLOOKUP(E149,CATALOGO!G:I,2,0))</f>
        <v>4</v>
      </c>
      <c r="L149">
        <f>+IF(E149="","",VLOOKUP(E149,CATALOGO!G:I,3,0))</f>
        <v>96</v>
      </c>
      <c r="M149" s="87">
        <f>IF('Consulta1'!I4241="","",'Consulta1'!I4241)</f>
        <v>46298</v>
      </c>
      <c r="N149" s="88" t="str">
        <f>IF('Consulta1'!J4241="","",'Consulta1'!J4241)</f>
        <v>43273</v>
      </c>
      <c r="O149" t="str">
        <v>CHIAPAS|A01 002 FORTALEZA|20260928|20261003|CIUDAD JUAREZ|SMART|CPR01103|17 CONVENCIONAL Y 3 PLANTAIN</v>
      </c>
      <c r="P149">
        <v>1</v>
      </c>
      <c r="Q149" t="str">
        <v>CHIAPAS|A01 002 FORTALEZA|20260928|20261003|CIUDAD JUAREZ|SMART|CPR01103|17 CONVENCIONAL Y 3 PLANTAIN|1</v>
      </c>
      <c r="R149" t="str">
        <v>Programa Embarques 2026 S-40.xlsx</v>
      </c>
    </row>
    <row r="150" spans="1:18" ht="18.75" x14ac:dyDescent="0.25">
      <c r="A150" s="82" t="str">
        <f>IF('Consulta1'!A4242="","",'Consulta1'!A4242)</f>
        <v>Chanitos Premium Tarima Chep</v>
      </c>
      <c r="B150" s="82" t="str">
        <f>IF('Consulta1'!B4242="","",'Consulta1'!B4242)</f>
        <v>CPR01102</v>
      </c>
      <c r="C150" s="83" t="str">
        <f>IF('Consulta1'!C4242="","",'Consulta1'!C4242)</f>
        <v>A01002-402809-1</v>
      </c>
      <c r="D150" s="84" t="str">
        <f>IF('Consulta1'!D4242="","",'Consulta1'!D4242)</f>
        <v>A01 002 Fortaleza</v>
      </c>
      <c r="E150" s="82" t="str">
        <f>IF('Consulta1'!E4242="","",'Consulta1'!E4242)</f>
        <v>CEDA</v>
      </c>
      <c r="F150">
        <f>+IF(E150="","",VLOOKUP(E150,CATALOGO!G:L,6,0))</f>
        <v>0</v>
      </c>
      <c r="G150" s="85">
        <f>IF('Consulta1'!F4242="","",'Consulta1'!F4242)</f>
        <v>48</v>
      </c>
      <c r="H150" s="85">
        <f>IF('Consulta1'!G4242="","",'Consulta1'!G4242)</f>
        <v>1</v>
      </c>
      <c r="I150" s="86">
        <f>IF('Consulta1'!H4242="","",'Consulta1'!H4242)</f>
        <v>46293</v>
      </c>
      <c r="J150">
        <f t="shared" si="2"/>
        <v>40</v>
      </c>
      <c r="K150">
        <f>+IF(E150="","",VLOOKUP(E150,CATALOGO!G:I,2,0))</f>
        <v>1.5</v>
      </c>
      <c r="L150">
        <f>+IF(E150="","",VLOOKUP(E150,CATALOGO!G:I,3,0))</f>
        <v>36</v>
      </c>
      <c r="M150" s="87">
        <f>IF('Consulta1'!I4242="","",'Consulta1'!I4242)</f>
        <v>46296</v>
      </c>
      <c r="N150" s="88" t="str">
        <f>IF('Consulta1'!J4242="","",'Consulta1'!J4242)</f>
        <v>0</v>
      </c>
      <c r="O150" t="str">
        <v>CHIAPAS|A01 002 FORTALEZA|20260928|20261001|CEDA|CEDA AUTOSERVICIO|CPR01102|CEDA</v>
      </c>
      <c r="P150">
        <v>1</v>
      </c>
      <c r="Q150" t="str">
        <v>CHIAPAS|A01 002 FORTALEZA|20260928|20261001|CEDA|CEDA AUTOSERVICIO|CPR01102|CEDA|1</v>
      </c>
      <c r="R150" t="str">
        <v>Programa Embarques 2026 S-40.xlsx</v>
      </c>
    </row>
    <row r="151" spans="1:18" ht="18.75" x14ac:dyDescent="0.25">
      <c r="A151" s="82" t="str">
        <f>IF('Consulta1'!A4243="","",'Consulta1'!A4243)</f>
        <v>Chanitos Premium Tarima Chep</v>
      </c>
      <c r="B151" s="82" t="str">
        <f>IF('Consulta1'!B4243="","",'Consulta1'!B4243)</f>
        <v>CPR01102</v>
      </c>
      <c r="C151" s="83" t="str">
        <f>IF('Consulta1'!C4243="","",'Consulta1'!C4243)</f>
        <v>A01002-402809-1</v>
      </c>
      <c r="D151" s="84" t="str">
        <f>IF('Consulta1'!D4243="","",'Consulta1'!D4243)</f>
        <v>A01 002 Fortaleza</v>
      </c>
      <c r="E151" s="82" t="str">
        <f>IF('Consulta1'!E4243="","",'Consulta1'!E4243)</f>
        <v>Chalco</v>
      </c>
      <c r="F151">
        <f>+IF(E151="","",VLOOKUP(E151,CATALOGO!G:L,6,0))</f>
        <v>5</v>
      </c>
      <c r="G151" s="85">
        <f>IF('Consulta1'!F4243="","",'Consulta1'!F4243)</f>
        <v>420</v>
      </c>
      <c r="H151" s="85">
        <f>IF('Consulta1'!G4243="","",'Consulta1'!G4243)</f>
        <v>8.75</v>
      </c>
      <c r="I151" s="86">
        <f>IF('Consulta1'!H4243="","",'Consulta1'!H4243)</f>
        <v>46293</v>
      </c>
      <c r="J151">
        <f t="shared" si="2"/>
        <v>40</v>
      </c>
      <c r="K151">
        <f>+IF(E151="","",VLOOKUP(E151,CATALOGO!G:I,2,0))</f>
        <v>1</v>
      </c>
      <c r="L151">
        <f>+IF(E151="","",VLOOKUP(E151,CATALOGO!G:I,3,0))</f>
        <v>24</v>
      </c>
      <c r="M151" s="87">
        <f>IF('Consulta1'!I4243="","",'Consulta1'!I4243)</f>
        <v>46296</v>
      </c>
      <c r="N151" s="88" t="str">
        <f>IF('Consulta1'!J4243="","",'Consulta1'!J4243)</f>
        <v>45280</v>
      </c>
      <c r="O151" t="str">
        <v>CHIAPAS|A01 002 FORTALEZA|20260928|20261001|CHALCO|WM|CPR01102|1092 CAJAS CONV Y 60CAJAS BAE</v>
      </c>
      <c r="P151">
        <v>1</v>
      </c>
      <c r="Q151" t="str">
        <v>CHIAPAS|A01 002 FORTALEZA|20260928|20261001|CHALCO|WM|CPR01102|1092 CAJAS CONV Y 60CAJAS BAE|1</v>
      </c>
      <c r="R151" t="str">
        <v>Programa Embarques 2026 S-40.xlsx</v>
      </c>
    </row>
    <row r="152" spans="1:18" ht="18.75" x14ac:dyDescent="0.25">
      <c r="A152" s="82" t="str">
        <f>IF('Consulta1'!A4244="","",'Consulta1'!A4244)</f>
        <v>Platano de Chiapas BAE UPC 3237</v>
      </c>
      <c r="B152" s="82" t="str">
        <f>IF('Consulta1'!B4244="","",'Consulta1'!B4244)</f>
        <v>CPR01114</v>
      </c>
      <c r="C152" s="83" t="str">
        <f>IF('Consulta1'!C4244="","",'Consulta1'!C4244)</f>
        <v>A01002-402809-1</v>
      </c>
      <c r="D152" s="84" t="str">
        <f>IF('Consulta1'!D4244="","",'Consulta1'!D4244)</f>
        <v>A01 002 Fortaleza</v>
      </c>
      <c r="E152" s="82" t="str">
        <f>IF('Consulta1'!E4244="","",'Consulta1'!E4244)</f>
        <v>Chalco</v>
      </c>
      <c r="F152">
        <f>+IF(E152="","",VLOOKUP(E152,CATALOGO!G:L,6,0))</f>
        <v>5</v>
      </c>
      <c r="G152" s="85">
        <f>IF('Consulta1'!F4244="","",'Consulta1'!F4244)</f>
        <v>60</v>
      </c>
      <c r="H152" s="85">
        <f>IF('Consulta1'!G4244="","",'Consulta1'!G4244)</f>
        <v>1.25</v>
      </c>
      <c r="I152" s="86">
        <f>IF('Consulta1'!H4244="","",'Consulta1'!H4244)</f>
        <v>46293</v>
      </c>
      <c r="J152">
        <f t="shared" si="2"/>
        <v>40</v>
      </c>
      <c r="K152">
        <f>+IF(E152="","",VLOOKUP(E152,CATALOGO!G:I,2,0))</f>
        <v>1</v>
      </c>
      <c r="L152">
        <f>+IF(E152="","",VLOOKUP(E152,CATALOGO!G:I,3,0))</f>
        <v>24</v>
      </c>
      <c r="M152" s="87">
        <f>IF('Consulta1'!I4244="","",'Consulta1'!I4244)</f>
        <v>46296</v>
      </c>
      <c r="N152" s="88" t="str">
        <f>IF('Consulta1'!J4244="","",'Consulta1'!J4244)</f>
        <v>45280</v>
      </c>
      <c r="O152" t="str">
        <v>CHIAPAS|A01 002 FORTALEZA|20260928|20261001|CHALCO|WM|CPR01114|1092 CAJAS CONV Y 60CAJAS BAE</v>
      </c>
      <c r="P152">
        <v>1</v>
      </c>
      <c r="Q152" t="str">
        <v>CHIAPAS|A01 002 FORTALEZA|20260928|20261001|CHALCO|WM|CPR01114|1092 CAJAS CONV Y 60CAJAS BAE|1</v>
      </c>
      <c r="R152" t="str">
        <v>Programa Embarques 2026 S-40.xlsx</v>
      </c>
    </row>
    <row r="153" spans="1:18" ht="18.75" x14ac:dyDescent="0.25">
      <c r="A153" s="82" t="str">
        <f>IF('Consulta1'!A4245="","",'Consulta1'!A4245)</f>
        <v>Chanitos Plantain 20Kg Tarima Chep</v>
      </c>
      <c r="B153" s="82" t="str">
        <f>IF('Consulta1'!B4245="","",'Consulta1'!B4245)</f>
        <v>CPL08141</v>
      </c>
      <c r="C153" s="83" t="str">
        <f>IF('Consulta1'!C4245="","",'Consulta1'!C4245)</f>
        <v>A35082-402909-1</v>
      </c>
      <c r="D153" s="84" t="str">
        <f>IF('Consulta1'!D4245="","",'Consulta1'!D4245)</f>
        <v>A35 082 Empaque de Macho Ej Libertad</v>
      </c>
      <c r="E153" s="82" t="str">
        <f>IF('Consulta1'!E4245="","",'Consulta1'!E4245)</f>
        <v>CEDA</v>
      </c>
      <c r="F153">
        <f>+IF(E153="","",VLOOKUP(E153,CATALOGO!G:L,6,0))</f>
        <v>0</v>
      </c>
      <c r="G153" s="85">
        <f>IF('Consulta1'!F4245="","",'Consulta1'!F4245)</f>
        <v>336</v>
      </c>
      <c r="H153" s="85">
        <f>IF('Consulta1'!G4245="","",'Consulta1'!G4245)</f>
        <v>7</v>
      </c>
      <c r="I153" s="86">
        <f>IF('Consulta1'!H4245="","",'Consulta1'!H4245)</f>
        <v>46294</v>
      </c>
      <c r="J153">
        <f t="shared" si="2"/>
        <v>40</v>
      </c>
      <c r="K153">
        <f>+IF(E153="","",VLOOKUP(E153,CATALOGO!G:I,2,0))</f>
        <v>1.5</v>
      </c>
      <c r="L153">
        <f>+IF(E153="","",VLOOKUP(E153,CATALOGO!G:I,3,0))</f>
        <v>36</v>
      </c>
      <c r="M153" s="87">
        <f>IF('Consulta1'!I4245="","",'Consulta1'!I4245)</f>
        <v>46296</v>
      </c>
      <c r="N153" s="88" t="str">
        <f>IF('Consulta1'!J4245="","",'Consulta1'!J4245)</f>
        <v>0</v>
      </c>
      <c r="O153" t="str">
        <v>CHIAPAS|A35 082 EMPAQUE DE MACHO EJ LIBERTAD|20260929|20261001|CEDA|CEDA AUTOSERVICIO|CPL08141|CEDA PLANTAIN</v>
      </c>
      <c r="P153">
        <v>1</v>
      </c>
      <c r="Q153" t="str">
        <v>CHIAPAS|A35 082 EMPAQUE DE MACHO EJ LIBERTAD|20260929|20261001|CEDA|CEDA AUTOSERVICIO|CPL08141|CEDA PLANTAIN|1</v>
      </c>
      <c r="R153" t="str">
        <v>Programa Embarques 2026 S-40.xlsx</v>
      </c>
    </row>
    <row r="154" spans="1:18" ht="18.75" x14ac:dyDescent="0.25">
      <c r="A154" s="82" t="str">
        <f>IF('Consulta1'!A4246="","",'Consulta1'!A4246)</f>
        <v>Chanitos Premium EUA Tarima Americana</v>
      </c>
      <c r="B154" s="82" t="str">
        <f>IF('Consulta1'!B4246="","",'Consulta1'!B4246)</f>
        <v>CPR01104</v>
      </c>
      <c r="C154" s="83" t="str">
        <f>IF('Consulta1'!C4246="","",'Consulta1'!C4246)</f>
        <v>A11045-402909-1</v>
      </c>
      <c r="D154" s="84" t="str">
        <f>IF('Consulta1'!D4246="","",'Consulta1'!D4246)</f>
        <v>A11 045 Sector Mazatan</v>
      </c>
      <c r="E154" s="82" t="str">
        <f>IF('Consulta1'!E4246="","",'Consulta1'!E4246)</f>
        <v>McAllen</v>
      </c>
      <c r="F154">
        <f>+IF(E154="","",VLOOKUP(E154,CATALOGO!G:L,6,0))</f>
        <v>8</v>
      </c>
      <c r="G154" s="85">
        <f>IF('Consulta1'!F4246="","",'Consulta1'!F4246)</f>
        <v>384</v>
      </c>
      <c r="H154" s="85">
        <f>IF('Consulta1'!G4246="","",'Consulta1'!G4246)</f>
        <v>8</v>
      </c>
      <c r="I154" s="86">
        <f>IF('Consulta1'!H4246="","",'Consulta1'!H4246)</f>
        <v>46294</v>
      </c>
      <c r="J154">
        <f t="shared" si="2"/>
        <v>40</v>
      </c>
      <c r="K154">
        <f>+IF(E154="","",VLOOKUP(E154,CATALOGO!G:I,2,0))</f>
        <v>3</v>
      </c>
      <c r="L154">
        <f>+IF(E154="","",VLOOKUP(E154,CATALOGO!G:I,3,0))</f>
        <v>72</v>
      </c>
      <c r="M154" s="87">
        <f>IF('Consulta1'!I4246="","",'Consulta1'!I4246)</f>
        <v>46297</v>
      </c>
      <c r="N154" s="88" t="str">
        <f>IF('Consulta1'!J4246="","",'Consulta1'!J4246)</f>
        <v>45037</v>
      </c>
      <c r="O154" t="str">
        <v>CHIAPAS|A11 045 SECTOR MAZATAN|20260929|20261002|MCALLEN|CHANITOS INT|CPR01104|20 CONVENCIONAL F2-1</v>
      </c>
      <c r="P154">
        <v>1</v>
      </c>
      <c r="Q154" t="str">
        <v>CHIAPAS|A11 045 SECTOR MAZATAN|20260929|20261002|MCALLEN|CHANITOS INT|CPR01104|20 CONVENCIONAL F2-1|1</v>
      </c>
      <c r="R154" t="str">
        <v>Programa Embarques 2026 S-40.xlsx</v>
      </c>
    </row>
    <row r="155" spans="1:18" ht="18.75" x14ac:dyDescent="0.25">
      <c r="A155" s="82" t="str">
        <f>IF('Consulta1'!A4247="","",'Consulta1'!A4247)</f>
        <v>Chanitos Premium EUA Tarima Americana</v>
      </c>
      <c r="B155" s="82" t="str">
        <f>IF('Consulta1'!B4247="","",'Consulta1'!B4247)</f>
        <v>CPR01104</v>
      </c>
      <c r="C155" s="83" t="str">
        <f>IF('Consulta1'!C4247="","",'Consulta1'!C4247)</f>
        <v>A11045-402909-1</v>
      </c>
      <c r="D155" s="84" t="str">
        <f>IF('Consulta1'!D4247="","",'Consulta1'!D4247)</f>
        <v>A11 045 Sector Mazatan</v>
      </c>
      <c r="E155" s="82" t="str">
        <f>IF('Consulta1'!E4247="","",'Consulta1'!E4247)</f>
        <v>McAllen</v>
      </c>
      <c r="F155">
        <f>+IF(E155="","",VLOOKUP(E155,CATALOGO!G:L,6,0))</f>
        <v>8</v>
      </c>
      <c r="G155" s="85">
        <f>IF('Consulta1'!F4247="","",'Consulta1'!F4247)</f>
        <v>96</v>
      </c>
      <c r="H155" s="85">
        <f>IF('Consulta1'!G4247="","",'Consulta1'!G4247)</f>
        <v>2</v>
      </c>
      <c r="I155" s="86">
        <f>IF('Consulta1'!H4247="","",'Consulta1'!H4247)</f>
        <v>46294</v>
      </c>
      <c r="J155">
        <f t="shared" si="2"/>
        <v>40</v>
      </c>
      <c r="K155">
        <f>+IF(E155="","",VLOOKUP(E155,CATALOGO!G:I,2,0))</f>
        <v>3</v>
      </c>
      <c r="L155">
        <f>+IF(E155="","",VLOOKUP(E155,CATALOGO!G:I,3,0))</f>
        <v>72</v>
      </c>
      <c r="M155" s="87">
        <f>IF('Consulta1'!I4247="","",'Consulta1'!I4247)</f>
        <v>46297</v>
      </c>
      <c r="N155" s="88" t="str">
        <f>IF('Consulta1'!J4247="","",'Consulta1'!J4247)</f>
        <v>45037</v>
      </c>
      <c r="O155" t="str">
        <v>CHIAPAS|A11 045 SECTOR MAZATAN|20260929|20261002|MCALLEN|CHANITOS INT|CPR01104|20 CONVENCIONAL F2-1</v>
      </c>
      <c r="P155">
        <v>2</v>
      </c>
      <c r="Q155" t="str">
        <v>CHIAPAS|A11 045 SECTOR MAZATAN|20260929|20261002|MCALLEN|CHANITOS INT|CPR01104|20 CONVENCIONAL F2-1|2</v>
      </c>
      <c r="R155" t="str">
        <v>Programa Embarques 2026 S-40.xlsx</v>
      </c>
    </row>
    <row r="156" spans="1:18" ht="18.75" x14ac:dyDescent="0.25">
      <c r="A156" s="82" t="str">
        <f>IF('Consulta1'!A4248="","",'Consulta1'!A4248)</f>
        <v>Chanitos Premium EUA Tarima Americana</v>
      </c>
      <c r="B156" s="82" t="str">
        <f>IF('Consulta1'!B4248="","",'Consulta1'!B4248)</f>
        <v>CPR01104</v>
      </c>
      <c r="C156" s="83" t="str">
        <f>IF('Consulta1'!C4248="","",'Consulta1'!C4248)</f>
        <v>A11045-402909-1</v>
      </c>
      <c r="D156" s="84" t="str">
        <f>IF('Consulta1'!D4248="","",'Consulta1'!D4248)</f>
        <v>A11 045 Sector Mazatan</v>
      </c>
      <c r="E156" s="82" t="str">
        <f>IF('Consulta1'!E4248="","",'Consulta1'!E4248)</f>
        <v>McAllen</v>
      </c>
      <c r="F156">
        <f>+IF(E156="","",VLOOKUP(E156,CATALOGO!G:L,6,0))</f>
        <v>8</v>
      </c>
      <c r="G156" s="85">
        <f>IF('Consulta1'!F4248="","",'Consulta1'!F4248)</f>
        <v>96</v>
      </c>
      <c r="H156" s="85">
        <f>IF('Consulta1'!G4248="","",'Consulta1'!G4248)</f>
        <v>2</v>
      </c>
      <c r="I156" s="86">
        <f>IF('Consulta1'!H4248="","",'Consulta1'!H4248)</f>
        <v>46294</v>
      </c>
      <c r="J156">
        <f t="shared" si="2"/>
        <v>40</v>
      </c>
      <c r="K156">
        <f>+IF(E156="","",VLOOKUP(E156,CATALOGO!G:I,2,0))</f>
        <v>3</v>
      </c>
      <c r="L156">
        <f>+IF(E156="","",VLOOKUP(E156,CATALOGO!G:I,3,0))</f>
        <v>72</v>
      </c>
      <c r="M156" s="87">
        <f>IF('Consulta1'!I4248="","",'Consulta1'!I4248)</f>
        <v>46297</v>
      </c>
      <c r="N156" s="88" t="str">
        <f>IF('Consulta1'!J4248="","",'Consulta1'!J4248)</f>
        <v>45036</v>
      </c>
      <c r="O156" t="str">
        <v>CHIAPAS|A11 045 SECTOR MAZATAN|20260929|20261002|MCALLEN|CHANITOS INT|CPR01104|20 CONVENCIONAL F1-2</v>
      </c>
      <c r="P156">
        <v>1</v>
      </c>
      <c r="Q156" t="str">
        <v>CHIAPAS|A11 045 SECTOR MAZATAN|20260929|20261002|MCALLEN|CHANITOS INT|CPR01104|20 CONVENCIONAL F1-2|1</v>
      </c>
      <c r="R156" t="str">
        <v>Programa Embarques 2026 S-40.xlsx</v>
      </c>
    </row>
    <row r="157" spans="1:18" ht="18.75" x14ac:dyDescent="0.25">
      <c r="A157" s="82" t="str">
        <f>IF('Consulta1'!A4249="","",'Consulta1'!A4249)</f>
        <v>Chanitos Premium Tarima Chep</v>
      </c>
      <c r="B157" s="82" t="str">
        <f>IF('Consulta1'!B4249="","",'Consulta1'!B4249)</f>
        <v>CPR01102</v>
      </c>
      <c r="C157" s="83" t="str">
        <f>IF('Consulta1'!C4249="","",'Consulta1'!C4249)</f>
        <v>A01003-402909-1</v>
      </c>
      <c r="D157" s="84" t="str">
        <f>IF('Consulta1'!D4249="","",'Consulta1'!D4249)</f>
        <v>A01 003 Doña Nelly</v>
      </c>
      <c r="E157" s="82" t="str">
        <f>IF('Consulta1'!E4249="","",'Consulta1'!E4249)</f>
        <v>VSA</v>
      </c>
      <c r="F157">
        <f>+IF(E157="","",VLOOKUP(E157,CATALOGO!G:L,6,0))</f>
        <v>6</v>
      </c>
      <c r="G157" s="85">
        <f>IF('Consulta1'!F4249="","",'Consulta1'!F4249)</f>
        <v>480</v>
      </c>
      <c r="H157" s="85">
        <f>IF('Consulta1'!G4249="","",'Consulta1'!G4249)</f>
        <v>10</v>
      </c>
      <c r="I157" s="86">
        <f>IF('Consulta1'!H4249="","",'Consulta1'!H4249)</f>
        <v>46294</v>
      </c>
      <c r="J157">
        <f t="shared" si="2"/>
        <v>40</v>
      </c>
      <c r="K157">
        <f>+IF(E157="","",VLOOKUP(E157,CATALOGO!G:I,2,0))</f>
        <v>1</v>
      </c>
      <c r="L157">
        <f>+IF(E157="","",VLOOKUP(E157,CATALOGO!G:I,3,0))</f>
        <v>24</v>
      </c>
      <c r="M157" s="87">
        <f>IF('Consulta1'!I4249="","",'Consulta1'!I4249)</f>
        <v>46296</v>
      </c>
      <c r="N157" s="88" t="str">
        <f>IF('Consulta1'!J4249="","",'Consulta1'!J4249)</f>
        <v>41955</v>
      </c>
      <c r="O157" t="str">
        <v>CHIAPAS|A01 003 DONA NELLY|20260929|20261001|VSA|WM|CPR01102|19 CONVENCIONAL Y 5 ORG</v>
      </c>
      <c r="P157">
        <v>1</v>
      </c>
      <c r="Q157" t="str">
        <v>CHIAPAS|A01 003 DONA NELLY|20260929|20261001|VSA|WM|CPR01102|19 CONVENCIONAL Y 5 ORG|1</v>
      </c>
      <c r="R157" t="str">
        <v>Programa Embarques 2026 S-40.xlsx</v>
      </c>
    </row>
    <row r="158" spans="1:18" ht="18.75" x14ac:dyDescent="0.25">
      <c r="A158" s="82" t="str">
        <f>IF('Consulta1'!A4250="","",'Consulta1'!A4250)</f>
        <v>Chanitos Premium EUA Tarima Americana</v>
      </c>
      <c r="B158" s="82" t="str">
        <f>IF('Consulta1'!B4250="","",'Consulta1'!B4250)</f>
        <v>CPR01104</v>
      </c>
      <c r="C158" s="83" t="str">
        <f>IF('Consulta1'!C4250="","",'Consulta1'!C4250)</f>
        <v>A01003-402909-1</v>
      </c>
      <c r="D158" s="84" t="str">
        <f>IF('Consulta1'!D4250="","",'Consulta1'!D4250)</f>
        <v>A01 003 Doña Nelly</v>
      </c>
      <c r="E158" s="82" t="str">
        <f>IF('Consulta1'!E4250="","",'Consulta1'!E4250)</f>
        <v>McAllen</v>
      </c>
      <c r="F158">
        <f>+IF(E158="","",VLOOKUP(E158,CATALOGO!G:L,6,0))</f>
        <v>8</v>
      </c>
      <c r="G158" s="85">
        <f>IF('Consulta1'!F4250="","",'Consulta1'!F4250)</f>
        <v>960</v>
      </c>
      <c r="H158" s="85">
        <f>IF('Consulta1'!G4250="","",'Consulta1'!G4250)</f>
        <v>20</v>
      </c>
      <c r="I158" s="86">
        <f>IF('Consulta1'!H4250="","",'Consulta1'!H4250)</f>
        <v>46294</v>
      </c>
      <c r="J158">
        <f t="shared" si="2"/>
        <v>40</v>
      </c>
      <c r="K158">
        <f>+IF(E158="","",VLOOKUP(E158,CATALOGO!G:I,2,0))</f>
        <v>3</v>
      </c>
      <c r="L158">
        <f>+IF(E158="","",VLOOKUP(E158,CATALOGO!G:I,3,0))</f>
        <v>72</v>
      </c>
      <c r="M158" s="87">
        <f>IF('Consulta1'!I4250="","",'Consulta1'!I4250)</f>
        <v>46298</v>
      </c>
      <c r="N158" s="88" t="str">
        <f>IF('Consulta1'!J4250="","",'Consulta1'!J4250)</f>
        <v>45738</v>
      </c>
      <c r="O158" t="str">
        <v>CHIAPAS|A01 003 DONA NELLY|20260929|20261003|MCALLEN|CHANITOS INT|CPR01104|20 CONVENCIONAL F2-2</v>
      </c>
      <c r="P158">
        <v>1</v>
      </c>
      <c r="Q158" t="str">
        <v>CHIAPAS|A01 003 DONA NELLY|20260929|20261003|MCALLEN|CHANITOS INT|CPR01104|20 CONVENCIONAL F2-2|1</v>
      </c>
      <c r="R158" t="str">
        <v>Programa Embarques 2026 S-40.xlsx</v>
      </c>
    </row>
    <row r="159" spans="1:18" ht="18.75" x14ac:dyDescent="0.25">
      <c r="A159" s="82" t="str">
        <f>IF('Consulta1'!A4251="","",'Consulta1'!A4251)</f>
        <v>Chanitos Premium Tarima Chep</v>
      </c>
      <c r="B159" s="82" t="str">
        <f>IF('Consulta1'!B4251="","",'Consulta1'!B4251)</f>
        <v>CPR01102</v>
      </c>
      <c r="C159" s="83" t="str">
        <f>IF('Consulta1'!C4251="","",'Consulta1'!C4251)</f>
        <v>A01003-402909-1</v>
      </c>
      <c r="D159" s="84" t="str">
        <f>IF('Consulta1'!D4251="","",'Consulta1'!D4251)</f>
        <v>A01 003 Doña Nelly</v>
      </c>
      <c r="E159" s="82" t="str">
        <f>IF('Consulta1'!E4251="","",'Consulta1'!E4251)</f>
        <v>CEDA</v>
      </c>
      <c r="F159">
        <f>+IF(E159="","",VLOOKUP(E159,CATALOGO!G:L,6,0))</f>
        <v>0</v>
      </c>
      <c r="G159" s="85">
        <f>IF('Consulta1'!F4251="","",'Consulta1'!F4251)</f>
        <v>384</v>
      </c>
      <c r="H159" s="85">
        <f>IF('Consulta1'!G4251="","",'Consulta1'!G4251)</f>
        <v>8</v>
      </c>
      <c r="I159" s="86">
        <f>IF('Consulta1'!H4251="","",'Consulta1'!H4251)</f>
        <v>46294</v>
      </c>
      <c r="J159">
        <f t="shared" si="2"/>
        <v>40</v>
      </c>
      <c r="K159">
        <f>+IF(E159="","",VLOOKUP(E159,CATALOGO!G:I,2,0))</f>
        <v>1.5</v>
      </c>
      <c r="L159">
        <f>+IF(E159="","",VLOOKUP(E159,CATALOGO!G:I,3,0))</f>
        <v>36</v>
      </c>
      <c r="M159" s="87">
        <f>IF('Consulta1'!I4251="","",'Consulta1'!I4251)</f>
        <v>46296</v>
      </c>
      <c r="N159" s="88" t="str">
        <f>IF('Consulta1'!J4251="","",'Consulta1'!J4251)</f>
        <v>0</v>
      </c>
      <c r="O159" t="str">
        <v>CHIAPAS|A01 003 DONA NELLY|20260929|20261001|CEDA|CEDA AUTOSERVICIO|CPR01102|CEDA</v>
      </c>
      <c r="P159">
        <v>1</v>
      </c>
      <c r="Q159" t="str">
        <v>CHIAPAS|A01 003 DONA NELLY|20260929|20261001|CEDA|CEDA AUTOSERVICIO|CPR01102|CEDA|1</v>
      </c>
      <c r="R159" t="str">
        <v>Programa Embarques 2026 S-40.xlsx</v>
      </c>
    </row>
    <row r="160" spans="1:18" ht="18.75" x14ac:dyDescent="0.25">
      <c r="A160" s="82" t="str">
        <f>IF('Consulta1'!A4252="","",'Consulta1'!A4252)</f>
        <v>Chanitos Premium Granel</v>
      </c>
      <c r="B160" s="82" t="str">
        <f>IF('Consulta1'!B4252="","",'Consulta1'!B4252)</f>
        <v>CPR01101</v>
      </c>
      <c r="C160" s="83" t="str">
        <f>IF('Consulta1'!C4252="","",'Consulta1'!C4252)</f>
        <v>A01003-402909-1</v>
      </c>
      <c r="D160" s="84" t="str">
        <f>IF('Consulta1'!D4252="","",'Consulta1'!D4252)</f>
        <v>A01 003 Doña Nelly</v>
      </c>
      <c r="E160" s="82" t="str">
        <f>IF('Consulta1'!E4252="","",'Consulta1'!E4252)</f>
        <v>CEDA</v>
      </c>
      <c r="F160">
        <f>+IF(E160="","",VLOOKUP(E160,CATALOGO!G:L,6,0))</f>
        <v>0</v>
      </c>
      <c r="G160" s="85">
        <f>IF('Consulta1'!F4252="","",'Consulta1'!F4252)</f>
        <v>51</v>
      </c>
      <c r="H160" s="85" t="str">
        <f>IF('Consulta1'!G4252="","",'Consulta1'!G4252)</f>
        <v>Granel</v>
      </c>
      <c r="I160" s="86">
        <f>IF('Consulta1'!H4252="","",'Consulta1'!H4252)</f>
        <v>46294</v>
      </c>
      <c r="J160">
        <f t="shared" si="2"/>
        <v>40</v>
      </c>
      <c r="K160">
        <f>+IF(E160="","",VLOOKUP(E160,CATALOGO!G:I,2,0))</f>
        <v>1.5</v>
      </c>
      <c r="L160">
        <f>+IF(E160="","",VLOOKUP(E160,CATALOGO!G:I,3,0))</f>
        <v>36</v>
      </c>
      <c r="M160" s="87">
        <f>IF('Consulta1'!I4252="","",'Consulta1'!I4252)</f>
        <v>46296</v>
      </c>
      <c r="N160" s="88" t="str">
        <f>IF('Consulta1'!J4252="","",'Consulta1'!J4252)</f>
        <v>0</v>
      </c>
      <c r="O160" t="str">
        <v>CHIAPAS|A01 003 DONA NELLY|20260929|20261001|CEDA|CEDA PISO|CPR01101|CEDA PISO PRODUCTORAS</v>
      </c>
      <c r="P160">
        <v>1</v>
      </c>
      <c r="Q160" t="str">
        <v>CHIAPAS|A01 003 DONA NELLY|20260929|20261001|CEDA|CEDA PISO|CPR01101|CEDA PISO PRODUCTORAS|1</v>
      </c>
      <c r="R160" t="str">
        <v>Programa Embarques 2026 S-40.xlsx</v>
      </c>
    </row>
    <row r="161" spans="1:18" ht="18.75" x14ac:dyDescent="0.25">
      <c r="A161" s="82" t="str">
        <f>IF('Consulta1'!A4253="","",'Consulta1'!A4253)</f>
        <v>Chiquita</v>
      </c>
      <c r="B161" s="82" t="str">
        <f>IF('Consulta1'!B4253="","",'Consulta1'!B4253)</f>
        <v>PRE0001</v>
      </c>
      <c r="C161" s="83" t="str">
        <f>IF('Consulta1'!C4253="","",'Consulta1'!C4253)</f>
        <v>A01002-402909-1</v>
      </c>
      <c r="D161" s="84" t="str">
        <f>IF('Consulta1'!D4253="","",'Consulta1'!D4253)</f>
        <v>A01 002 Fortaleza</v>
      </c>
      <c r="E161" s="82" t="str">
        <f>IF('Consulta1'!E4253="","",'Consulta1'!E4253)</f>
        <v>Chiquita</v>
      </c>
      <c r="F161">
        <f>+IF(E161="","",VLOOKUP(E161,CATALOGO!G:L,6,0))</f>
        <v>0</v>
      </c>
      <c r="G161" s="85">
        <f>IF('Consulta1'!F4253="","",'Consulta1'!F4253)</f>
        <v>960</v>
      </c>
      <c r="H161" s="85">
        <f>IF('Consulta1'!G4253="","",'Consulta1'!G4253)</f>
        <v>20</v>
      </c>
      <c r="I161" s="86">
        <f>IF('Consulta1'!H4253="","",'Consulta1'!H4253)</f>
        <v>46294</v>
      </c>
      <c r="J161">
        <f t="shared" si="2"/>
        <v>40</v>
      </c>
      <c r="K161">
        <f>+IF(E161="","",VLOOKUP(E161,CATALOGO!G:I,2,0))</f>
        <v>1</v>
      </c>
      <c r="L161">
        <f>+IF(E161="","",VLOOKUP(E161,CATALOGO!G:I,3,0))</f>
        <v>24</v>
      </c>
      <c r="M161" s="87">
        <f>IF('Consulta1'!I4253="","",'Consulta1'!I4253)</f>
        <v>46296</v>
      </c>
      <c r="N161" s="88" t="str">
        <f>IF('Consulta1'!J4253="","",'Consulta1'!J4253)</f>
        <v>Sin OV compatible con fecha, cliente, CEDIS, SKU, zona y cantidad</v>
      </c>
      <c r="O161" t="str">
        <v>CHIAPAS|A01 002 FORTALEZA|20260929|20261001|CHIQUITA|CHIQUITA|PRE0001|CHIQUITA</v>
      </c>
      <c r="P161">
        <v>1</v>
      </c>
      <c r="Q161" t="str">
        <v>CHIAPAS|A01 002 FORTALEZA|20260929|20261001|CHIQUITA|CHIQUITA|PRE0001|CHIQUITA|1</v>
      </c>
      <c r="R161" t="str">
        <v>Programa Embarques 2026 S-40.xlsx</v>
      </c>
    </row>
    <row r="162" spans="1:18" ht="18.75" x14ac:dyDescent="0.25">
      <c r="A162" s="82" t="str">
        <f>IF('Consulta1'!A4254="","",'Consulta1'!A4254)</f>
        <v>Chanitos Organic Banded Market Side Mexico</v>
      </c>
      <c r="B162" s="82" t="str">
        <f>IF('Consulta1'!B4254="","",'Consulta1'!B4254)</f>
        <v>CRG07128</v>
      </c>
      <c r="C162" s="83" t="str">
        <f>IF('Consulta1'!C4254="","",'Consulta1'!C4254)</f>
        <v>A01002-402909-1</v>
      </c>
      <c r="D162" s="84" t="str">
        <f>IF('Consulta1'!D4254="","",'Consulta1'!D4254)</f>
        <v>A01 002 Fortaleza</v>
      </c>
      <c r="E162" s="82" t="str">
        <f>IF('Consulta1'!E4254="","",'Consulta1'!E4254)</f>
        <v>VSA</v>
      </c>
      <c r="F162">
        <f>+IF(E162="","",VLOOKUP(E162,CATALOGO!G:L,6,0))</f>
        <v>6</v>
      </c>
      <c r="G162" s="85">
        <f>IF('Consulta1'!F4254="","",'Consulta1'!F4254)</f>
        <v>240</v>
      </c>
      <c r="H162" s="85">
        <f>IF('Consulta1'!G4254="","",'Consulta1'!G4254)</f>
        <v>5</v>
      </c>
      <c r="I162" s="86">
        <f>IF('Consulta1'!H4254="","",'Consulta1'!H4254)</f>
        <v>46294</v>
      </c>
      <c r="J162">
        <f t="shared" si="2"/>
        <v>40</v>
      </c>
      <c r="K162">
        <f>+IF(E162="","",VLOOKUP(E162,CATALOGO!G:I,2,0))</f>
        <v>1</v>
      </c>
      <c r="L162">
        <f>+IF(E162="","",VLOOKUP(E162,CATALOGO!G:I,3,0))</f>
        <v>24</v>
      </c>
      <c r="M162" s="87">
        <f>IF('Consulta1'!I4254="","",'Consulta1'!I4254)</f>
        <v>46296</v>
      </c>
      <c r="N162" s="88" t="str">
        <f>IF('Consulta1'!J4254="","",'Consulta1'!J4254)</f>
        <v>43795</v>
      </c>
      <c r="O162" t="str">
        <v>CHIAPAS|A01 002 FORTALEZA|20260929|20261001|VSA|WM|CRG07128|19 CONVENCIONAL Y 5 ORG</v>
      </c>
      <c r="P162">
        <v>1</v>
      </c>
      <c r="Q162" t="str">
        <v>CHIAPAS|A01 002 FORTALEZA|20260929|20261001|VSA|WM|CRG07128|19 CONVENCIONAL Y 5 ORG|1</v>
      </c>
      <c r="R162" t="str">
        <v>Programa Embarques 2026 S-40.xlsx</v>
      </c>
    </row>
    <row r="163" spans="1:18" ht="18.75" x14ac:dyDescent="0.25">
      <c r="A163" s="82" t="str">
        <f>IF('Consulta1'!A4255="","",'Consulta1'!A4255)</f>
        <v>Chanitos Premium Tarima Chep</v>
      </c>
      <c r="B163" s="82" t="str">
        <f>IF('Consulta1'!B4255="","",'Consulta1'!B4255)</f>
        <v>CPR01102</v>
      </c>
      <c r="C163" s="83" t="str">
        <f>IF('Consulta1'!C4255="","",'Consulta1'!C4255)</f>
        <v>A01002-402909-1</v>
      </c>
      <c r="D163" s="84" t="str">
        <f>IF('Consulta1'!D4255="","",'Consulta1'!D4255)</f>
        <v>A01 002 Fortaleza</v>
      </c>
      <c r="E163" s="82" t="str">
        <f>IF('Consulta1'!E4255="","",'Consulta1'!E4255)</f>
        <v>CEDA</v>
      </c>
      <c r="F163">
        <f>+IF(E163="","",VLOOKUP(E163,CATALOGO!G:L,6,0))</f>
        <v>0</v>
      </c>
      <c r="G163" s="85">
        <f>IF('Consulta1'!F4255="","",'Consulta1'!F4255)</f>
        <v>48</v>
      </c>
      <c r="H163" s="85">
        <f>IF('Consulta1'!G4255="","",'Consulta1'!G4255)</f>
        <v>1</v>
      </c>
      <c r="I163" s="86">
        <f>IF('Consulta1'!H4255="","",'Consulta1'!H4255)</f>
        <v>46294</v>
      </c>
      <c r="J163">
        <f t="shared" si="2"/>
        <v>40</v>
      </c>
      <c r="K163">
        <f>+IF(E163="","",VLOOKUP(E163,CATALOGO!G:I,2,0))</f>
        <v>1.5</v>
      </c>
      <c r="L163">
        <f>+IF(E163="","",VLOOKUP(E163,CATALOGO!G:I,3,0))</f>
        <v>36</v>
      </c>
      <c r="M163" s="87">
        <f>IF('Consulta1'!I4255="","",'Consulta1'!I4255)</f>
        <v>46296</v>
      </c>
      <c r="N163" s="88" t="str">
        <f>IF('Consulta1'!J4255="","",'Consulta1'!J4255)</f>
        <v>0</v>
      </c>
      <c r="O163" t="str">
        <v>CHIAPAS|A01 002 FORTALEZA|20260929|20261001|CEDA|CEDA AUTOSERVICIO|CPR01102|CEDA</v>
      </c>
      <c r="P163">
        <v>1</v>
      </c>
      <c r="Q163" t="str">
        <v>CHIAPAS|A01 002 FORTALEZA|20260929|20261001|CEDA|CEDA AUTOSERVICIO|CPR01102|CEDA|1</v>
      </c>
      <c r="R163" t="str">
        <v>Programa Embarques 2026 S-40.xlsx</v>
      </c>
    </row>
    <row r="164" spans="1:18" ht="18.75" x14ac:dyDescent="0.25">
      <c r="A164" s="82" t="str">
        <f>IF('Consulta1'!A4256="","",'Consulta1'!A4256)</f>
        <v>Chanitos Premium Granel</v>
      </c>
      <c r="B164" s="82" t="str">
        <f>IF('Consulta1'!B4256="","",'Consulta1'!B4256)</f>
        <v>CPR01101</v>
      </c>
      <c r="C164" s="83" t="str">
        <f>IF('Consulta1'!C4256="","",'Consulta1'!C4256)</f>
        <v>A01002-402909-1</v>
      </c>
      <c r="D164" s="84" t="str">
        <f>IF('Consulta1'!D4256="","",'Consulta1'!D4256)</f>
        <v>A01 002 Fortaleza</v>
      </c>
      <c r="E164" s="82" t="str">
        <f>IF('Consulta1'!E4256="","",'Consulta1'!E4256)</f>
        <v>CEDA</v>
      </c>
      <c r="F164">
        <f>+IF(E164="","",VLOOKUP(E164,CATALOGO!G:L,6,0))</f>
        <v>0</v>
      </c>
      <c r="G164" s="85">
        <f>IF('Consulta1'!F4256="","",'Consulta1'!F4256)</f>
        <v>23</v>
      </c>
      <c r="H164" s="85" t="str">
        <f>IF('Consulta1'!G4256="","",'Consulta1'!G4256)</f>
        <v>Granel</v>
      </c>
      <c r="I164" s="86">
        <f>IF('Consulta1'!H4256="","",'Consulta1'!H4256)</f>
        <v>46294</v>
      </c>
      <c r="J164">
        <f t="shared" si="2"/>
        <v>40</v>
      </c>
      <c r="K164">
        <f>+IF(E164="","",VLOOKUP(E164,CATALOGO!G:I,2,0))</f>
        <v>1.5</v>
      </c>
      <c r="L164">
        <f>+IF(E164="","",VLOOKUP(E164,CATALOGO!G:I,3,0))</f>
        <v>36</v>
      </c>
      <c r="M164" s="87">
        <f>IF('Consulta1'!I4256="","",'Consulta1'!I4256)</f>
        <v>46296</v>
      </c>
      <c r="N164" s="88" t="str">
        <f>IF('Consulta1'!J4256="","",'Consulta1'!J4256)</f>
        <v>0</v>
      </c>
      <c r="O164" t="str">
        <v>CHIAPAS|A01 002 FORTALEZA|20260929|20261001|CEDA|CEDA PISO|CPR01101|CEDA PISO PRODUCTORAS</v>
      </c>
      <c r="P164">
        <v>1</v>
      </c>
      <c r="Q164" t="str">
        <v>CHIAPAS|A01 002 FORTALEZA|20260929|20261001|CEDA|CEDA PISO|CPR01101|CEDA PISO PRODUCTORAS|1</v>
      </c>
      <c r="R164" t="str">
        <v>Programa Embarques 2026 S-40.xlsx</v>
      </c>
    </row>
    <row r="165" spans="1:18" ht="18.75" x14ac:dyDescent="0.25">
      <c r="A165" s="82" t="str">
        <f>IF('Consulta1'!A4257="","",'Consulta1'!A4257)</f>
        <v>Chanitos Premium EUA Tarima Americana</v>
      </c>
      <c r="B165" s="82" t="str">
        <f>IF('Consulta1'!B4257="","",'Consulta1'!B4257)</f>
        <v>CPR01104</v>
      </c>
      <c r="C165" s="83" t="str">
        <f>IF('Consulta1'!C4257="","",'Consulta1'!C4257)</f>
        <v>A05041-402909-1</v>
      </c>
      <c r="D165" s="84" t="str">
        <f>IF('Consulta1'!D4257="","",'Consulta1'!D4257)</f>
        <v>A05 041 Plataneros Unidos 2 Cotan o Micros</v>
      </c>
      <c r="E165" s="82" t="str">
        <f>IF('Consulta1'!E4257="","",'Consulta1'!E4257)</f>
        <v>McAllen</v>
      </c>
      <c r="F165">
        <f>+IF(E165="","",VLOOKUP(E165,CATALOGO!G:L,6,0))</f>
        <v>8</v>
      </c>
      <c r="G165" s="85">
        <f>IF('Consulta1'!F4257="","",'Consulta1'!F4257)</f>
        <v>960</v>
      </c>
      <c r="H165" s="85">
        <f>IF('Consulta1'!G4257="","",'Consulta1'!G4257)</f>
        <v>20</v>
      </c>
      <c r="I165" s="86">
        <f>IF('Consulta1'!H4257="","",'Consulta1'!H4257)</f>
        <v>46294</v>
      </c>
      <c r="J165">
        <f t="shared" si="2"/>
        <v>40</v>
      </c>
      <c r="K165">
        <f>+IF(E165="","",VLOOKUP(E165,CATALOGO!G:I,2,0))</f>
        <v>3</v>
      </c>
      <c r="L165">
        <f>+IF(E165="","",VLOOKUP(E165,CATALOGO!G:I,3,0))</f>
        <v>72</v>
      </c>
      <c r="M165" s="87">
        <f>IF('Consulta1'!I4257="","",'Consulta1'!I4257)</f>
        <v>46298</v>
      </c>
      <c r="N165" s="88" t="str">
        <f>IF('Consulta1'!J4257="","",'Consulta1'!J4257)</f>
        <v>45739</v>
      </c>
      <c r="O165" t="str">
        <v>CHIAPAS|A05 041 PLATANEROS UNIDOS 2 COTAN O MICROS|20260929|20261003|MCALLEN|CHANITOS INT|CPR01104|20 CONVENCIONAL F3-1</v>
      </c>
      <c r="P165">
        <v>1</v>
      </c>
      <c r="Q165" t="str">
        <v>CHIAPAS|A05 041 PLATANEROS UNIDOS 2 COTAN O MICROS|20260929|20261003|MCALLEN|CHANITOS INT|CPR01104|20 CONVENCIONAL F3-1|1</v>
      </c>
      <c r="R165" t="str">
        <v>Programa Embarques 2026 S-40.xlsx</v>
      </c>
    </row>
    <row r="166" spans="1:18" ht="18.75" x14ac:dyDescent="0.25">
      <c r="A166" s="82" t="str">
        <f>IF('Consulta1'!A4258="","",'Consulta1'!A4258)</f>
        <v>Chanitos Premium EUA Tarima Americana</v>
      </c>
      <c r="B166" s="82" t="str">
        <f>IF('Consulta1'!B4258="","",'Consulta1'!B4258)</f>
        <v>CPR01104</v>
      </c>
      <c r="C166" s="83" t="str">
        <f>IF('Consulta1'!C4258="","",'Consulta1'!C4258)</f>
        <v>A04084-402909-1</v>
      </c>
      <c r="D166" s="84" t="str">
        <f>IF('Consulta1'!D4258="","",'Consulta1'!D4258)</f>
        <v>A04 084 Lisboa</v>
      </c>
      <c r="E166" s="82" t="str">
        <f>IF('Consulta1'!E4258="","",'Consulta1'!E4258)</f>
        <v>McAllen</v>
      </c>
      <c r="F166">
        <f>+IF(E166="","",VLOOKUP(E166,CATALOGO!G:L,6,0))</f>
        <v>8</v>
      </c>
      <c r="G166" s="85">
        <f>IF('Consulta1'!F4258="","",'Consulta1'!F4258)</f>
        <v>816</v>
      </c>
      <c r="H166" s="85">
        <f>IF('Consulta1'!G4258="","",'Consulta1'!G4258)</f>
        <v>17</v>
      </c>
      <c r="I166" s="86">
        <f>IF('Consulta1'!H4258="","",'Consulta1'!H4258)</f>
        <v>46294</v>
      </c>
      <c r="J166">
        <f t="shared" si="2"/>
        <v>40</v>
      </c>
      <c r="K166">
        <f>+IF(E166="","",VLOOKUP(E166,CATALOGO!G:I,2,0))</f>
        <v>3</v>
      </c>
      <c r="L166">
        <f>+IF(E166="","",VLOOKUP(E166,CATALOGO!G:I,3,0))</f>
        <v>72</v>
      </c>
      <c r="M166" s="87">
        <f>IF('Consulta1'!I4258="","",'Consulta1'!I4258)</f>
        <v>46300</v>
      </c>
      <c r="N166" s="88" t="str">
        <f>IF('Consulta1'!J4258="","",'Consulta1'!J4258)</f>
        <v>45740</v>
      </c>
      <c r="O166" t="str">
        <v>CHIAPAS|A04 084 LISBOA|20260929|20261005|MCALLEN|CHANITOS INT|CPR01104|20 CONVENCIONAL F3-2</v>
      </c>
      <c r="P166">
        <v>1</v>
      </c>
      <c r="Q166" t="str">
        <v>CHIAPAS|A04 084 LISBOA|20260929|20261005|MCALLEN|CHANITOS INT|CPR01104|20 CONVENCIONAL F3-2|1</v>
      </c>
      <c r="R166" t="str">
        <v>Programa Embarques 2026 S-40.xlsx</v>
      </c>
    </row>
    <row r="167" spans="1:18" ht="18.75" x14ac:dyDescent="0.25">
      <c r="A167" s="82" t="str">
        <f>IF('Consulta1'!A4259="","",'Consulta1'!A4259)</f>
        <v>Chanitos Cha Cha Cha 22XU  CP34 Mar Kodawari</v>
      </c>
      <c r="B167" s="82" t="str">
        <f>IF('Consulta1'!B4259="","",'Consulta1'!B4259)</f>
        <v>CPR03119</v>
      </c>
      <c r="C167" s="83" t="str">
        <f>IF('Consulta1'!C4259="","",'Consulta1'!C4259)</f>
        <v>A01001-402909-1</v>
      </c>
      <c r="D167" s="84" t="str">
        <f>IF('Consulta1'!D4259="","",'Consulta1'!D4259)</f>
        <v>A01 001 Marbella</v>
      </c>
      <c r="E167" s="82" t="str">
        <f>IF('Consulta1'!E4259="","",'Consulta1'!E4259)</f>
        <v>Japon</v>
      </c>
      <c r="F167">
        <f>+IF(E167="","",VLOOKUP(E167,CATALOGO!G:L,6,0))</f>
        <v>0</v>
      </c>
      <c r="G167" s="85">
        <f>IF('Consulta1'!F4259="","",'Consulta1'!F4259)</f>
        <v>324</v>
      </c>
      <c r="H167" s="85">
        <f>IF('Consulta1'!G4259="","",'Consulta1'!G4259)</f>
        <v>6</v>
      </c>
      <c r="I167" s="86">
        <f>IF('Consulta1'!H4259="","",'Consulta1'!H4259)</f>
        <v>46294</v>
      </c>
      <c r="J167">
        <f t="shared" si="2"/>
        <v>40</v>
      </c>
      <c r="K167">
        <f>+IF(E167="","",VLOOKUP(E167,CATALOGO!G:I,2,0))</f>
        <v>2</v>
      </c>
      <c r="L167">
        <f>+IF(E167="","",VLOOKUP(E167,CATALOGO!G:I,3,0))</f>
        <v>48</v>
      </c>
      <c r="M167" s="87">
        <f>IF('Consulta1'!I4259="","",'Consulta1'!I4259)</f>
        <v>46298</v>
      </c>
      <c r="N167" s="88" t="str">
        <f>IF('Consulta1'!J4259="","",'Consulta1'!J4259)</f>
        <v>46052</v>
      </c>
      <c r="O167" t="str">
        <v>CHIAPAS|A01 001 MARBELLA|20260929|20261003|JAPON|MAR|CPR03119|CP27-14 CP34-6</v>
      </c>
      <c r="P167">
        <v>1</v>
      </c>
      <c r="Q167" t="str">
        <v>CHIAPAS|A01 001 MARBELLA|20260929|20261003|JAPON|MAR|CPR03119|CP27-14 CP34-6|1</v>
      </c>
      <c r="R167" t="str">
        <v>Programa Embarques 2026 S-40.xlsx</v>
      </c>
    </row>
    <row r="168" spans="1:18" ht="18.75" x14ac:dyDescent="0.25">
      <c r="A168" s="82" t="str">
        <f>IF('Consulta1'!A4260="","",'Consulta1'!A4260)</f>
        <v>Chanitos Cha Cha Cha 22XU CP27 Mar Kodawari</v>
      </c>
      <c r="B168" s="82" t="str">
        <f>IF('Consulta1'!B4260="","",'Consulta1'!B4260)</f>
        <v>CPR03124</v>
      </c>
      <c r="C168" s="83" t="str">
        <f>IF('Consulta1'!C4260="","",'Consulta1'!C4260)</f>
        <v>A01001-402909-1</v>
      </c>
      <c r="D168" s="84" t="str">
        <f>IF('Consulta1'!D4260="","",'Consulta1'!D4260)</f>
        <v>A01 001 Marbella</v>
      </c>
      <c r="E168" s="82" t="str">
        <f>IF('Consulta1'!E4260="","",'Consulta1'!E4260)</f>
        <v>Japon</v>
      </c>
      <c r="F168">
        <f>+IF(E168="","",VLOOKUP(E168,CATALOGO!G:L,6,0))</f>
        <v>0</v>
      </c>
      <c r="G168" s="85">
        <f>IF('Consulta1'!F4260="","",'Consulta1'!F4260)</f>
        <v>756</v>
      </c>
      <c r="H168" s="85">
        <f>IF('Consulta1'!G4260="","",'Consulta1'!G4260)</f>
        <v>14</v>
      </c>
      <c r="I168" s="86">
        <f>IF('Consulta1'!H4260="","",'Consulta1'!H4260)</f>
        <v>46294</v>
      </c>
      <c r="J168">
        <f t="shared" si="2"/>
        <v>40</v>
      </c>
      <c r="K168">
        <f>+IF(E168="","",VLOOKUP(E168,CATALOGO!G:I,2,0))</f>
        <v>2</v>
      </c>
      <c r="L168">
        <f>+IF(E168="","",VLOOKUP(E168,CATALOGO!G:I,3,0))</f>
        <v>48</v>
      </c>
      <c r="M168" s="87">
        <f>IF('Consulta1'!I4260="","",'Consulta1'!I4260)</f>
        <v>46298</v>
      </c>
      <c r="N168" s="88" t="str">
        <f>IF('Consulta1'!J4260="","",'Consulta1'!J4260)</f>
        <v>46052</v>
      </c>
      <c r="O168" t="str">
        <v>CHIAPAS|A01 001 MARBELLA|20260929|20261003|JAPON|MAR|CPR03124|CP27-14 CP34-6</v>
      </c>
      <c r="P168">
        <v>1</v>
      </c>
      <c r="Q168" t="str">
        <v>CHIAPAS|A01 001 MARBELLA|20260929|20261003|JAPON|MAR|CPR03124|CP27-14 CP34-6|1</v>
      </c>
      <c r="R168" t="str">
        <v>Programa Embarques 2026 S-40.xlsx</v>
      </c>
    </row>
    <row r="169" spans="1:18" ht="18.75" x14ac:dyDescent="0.25">
      <c r="A169" s="82" t="str">
        <f>IF('Consulta1'!A4261="","",'Consulta1'!A4261)</f>
        <v>Chanitos Premium Granel</v>
      </c>
      <c r="B169" s="82" t="str">
        <f>IF('Consulta1'!B4261="","",'Consulta1'!B4261)</f>
        <v>CPR01101</v>
      </c>
      <c r="C169" s="83" t="str">
        <f>IF('Consulta1'!C4261="","",'Consulta1'!C4261)</f>
        <v>A01001-402909-1</v>
      </c>
      <c r="D169" s="84" t="str">
        <f>IF('Consulta1'!D4261="","",'Consulta1'!D4261)</f>
        <v>A01 001 Marbella</v>
      </c>
      <c r="E169" s="82" t="str">
        <f>IF('Consulta1'!E4261="","",'Consulta1'!E4261)</f>
        <v>CEDA</v>
      </c>
      <c r="F169">
        <f>+IF(E169="","",VLOOKUP(E169,CATALOGO!G:L,6,0))</f>
        <v>0</v>
      </c>
      <c r="G169" s="85">
        <f>IF('Consulta1'!F4261="","",'Consulta1'!F4261)</f>
        <v>370</v>
      </c>
      <c r="H169" s="85" t="str">
        <f>IF('Consulta1'!G4261="","",'Consulta1'!G4261)</f>
        <v>Granel</v>
      </c>
      <c r="I169" s="86">
        <f>IF('Consulta1'!H4261="","",'Consulta1'!H4261)</f>
        <v>46294</v>
      </c>
      <c r="J169">
        <f t="shared" si="2"/>
        <v>40</v>
      </c>
      <c r="K169">
        <f>+IF(E169="","",VLOOKUP(E169,CATALOGO!G:I,2,0))</f>
        <v>1.5</v>
      </c>
      <c r="L169">
        <f>+IF(E169="","",VLOOKUP(E169,CATALOGO!G:I,3,0))</f>
        <v>36</v>
      </c>
      <c r="M169" s="87">
        <f>IF('Consulta1'!I4261="","",'Consulta1'!I4261)</f>
        <v>46296</v>
      </c>
      <c r="N169" s="88" t="str">
        <f>IF('Consulta1'!J4261="","",'Consulta1'!J4261)</f>
        <v>0</v>
      </c>
      <c r="O169" t="str">
        <v>CHIAPAS|A01 001 MARBELLA|20260929|20261001|CEDA|CEDA PISO|CPR01101|CEDA PISO PRODUCTORAS</v>
      </c>
      <c r="P169">
        <v>1</v>
      </c>
      <c r="Q169" t="str">
        <v>CHIAPAS|A01 001 MARBELLA|20260929|20261001|CEDA|CEDA PISO|CPR01101|CEDA PISO PRODUCTORAS|1</v>
      </c>
      <c r="R169" t="str">
        <v>Programa Embarques 2026 S-40.xlsx</v>
      </c>
    </row>
    <row r="170" spans="1:18" ht="18.75" x14ac:dyDescent="0.25">
      <c r="A170" s="82" t="str">
        <f>IF('Consulta1'!A4262="","",'Consulta1'!A4262)</f>
        <v>Chanitos Premium Tarima Americana</v>
      </c>
      <c r="B170" s="82" t="str">
        <f>IF('Consulta1'!B4262="","",'Consulta1'!B4262)</f>
        <v>CPR01103</v>
      </c>
      <c r="C170" s="83" t="str">
        <f>IF('Consulta1'!C4262="","",'Consulta1'!C4262)</f>
        <v>A12057-402909-1</v>
      </c>
      <c r="D170" s="84" t="str">
        <f>IF('Consulta1'!D4262="","",'Consulta1'!D4262)</f>
        <v>A12 057 Tiquisate 1</v>
      </c>
      <c r="E170" s="82" t="str">
        <f>IF('Consulta1'!E4262="","",'Consulta1'!E4262)</f>
        <v>S-MTY</v>
      </c>
      <c r="F170">
        <f>+IF(E170="","",VLOOKUP(E170,CATALOGO!G:L,6,0))</f>
        <v>1</v>
      </c>
      <c r="G170" s="85">
        <f>IF('Consulta1'!F4262="","",'Consulta1'!F4262)</f>
        <v>816</v>
      </c>
      <c r="H170" s="85">
        <f>IF('Consulta1'!G4262="","",'Consulta1'!G4262)</f>
        <v>17</v>
      </c>
      <c r="I170" s="86">
        <f>IF('Consulta1'!H4262="","",'Consulta1'!H4262)</f>
        <v>46294</v>
      </c>
      <c r="J170">
        <f t="shared" si="2"/>
        <v>40</v>
      </c>
      <c r="K170">
        <f>+IF(E170="","",VLOOKUP(E170,CATALOGO!G:I,2,0))</f>
        <v>3</v>
      </c>
      <c r="L170">
        <f>+IF(E170="","",VLOOKUP(E170,CATALOGO!G:I,3,0))</f>
        <v>72</v>
      </c>
      <c r="M170" s="87">
        <f>IF('Consulta1'!I4262="","",'Consulta1'!I4262)</f>
        <v>46300</v>
      </c>
      <c r="N170" s="88" t="str">
        <f>IF('Consulta1'!J4262="","",'Consulta1'!J4262)</f>
        <v>46255</v>
      </c>
      <c r="O170" t="str">
        <v>CHIAPAS|A12 057 TIQUISATE 1|20260929|20261005|S-MTY|SMART|CPR01103|20 CONVENCIONAL SM1</v>
      </c>
      <c r="P170">
        <v>1</v>
      </c>
      <c r="Q170" t="str">
        <v>CHIAPAS|A12 057 TIQUISATE 1|20260929|20261005|S-MTY|SMART|CPR01103|20 CONVENCIONAL SM1|1</v>
      </c>
      <c r="R170" t="str">
        <v>Programa Embarques 2026 S-40.xlsx</v>
      </c>
    </row>
    <row r="171" spans="1:18" ht="18.75" x14ac:dyDescent="0.25">
      <c r="A171" s="82" t="str">
        <f>IF('Consulta1'!A4263="","",'Consulta1'!A4263)</f>
        <v>Chanitos Premium Tarima Americana</v>
      </c>
      <c r="B171" s="82" t="str">
        <f>IF('Consulta1'!B4263="","",'Consulta1'!B4263)</f>
        <v>CPR01103</v>
      </c>
      <c r="C171" s="83" t="str">
        <f>IF('Consulta1'!C4263="","",'Consulta1'!C4263)</f>
        <v>A12057-402909-1</v>
      </c>
      <c r="D171" s="84" t="str">
        <f>IF('Consulta1'!D4263="","",'Consulta1'!D4263)</f>
        <v>A12 057 Tiquisate 1</v>
      </c>
      <c r="E171" s="82" t="str">
        <f>IF('Consulta1'!E4263="","",'Consulta1'!E4263)</f>
        <v>Ciudad Juarez</v>
      </c>
      <c r="F171">
        <f>+IF(E171="","",VLOOKUP(E171,CATALOGO!G:L,6,0))</f>
        <v>1</v>
      </c>
      <c r="G171" s="85">
        <f>IF('Consulta1'!F4263="","",'Consulta1'!F4263)</f>
        <v>144</v>
      </c>
      <c r="H171" s="85">
        <f>IF('Consulta1'!G4263="","",'Consulta1'!G4263)</f>
        <v>3</v>
      </c>
      <c r="I171" s="86">
        <f>IF('Consulta1'!H4263="","",'Consulta1'!H4263)</f>
        <v>46294</v>
      </c>
      <c r="J171">
        <f t="shared" si="2"/>
        <v>40</v>
      </c>
      <c r="K171">
        <f>+IF(E171="","",VLOOKUP(E171,CATALOGO!G:I,2,0))</f>
        <v>4</v>
      </c>
      <c r="L171">
        <f>+IF(E171="","",VLOOKUP(E171,CATALOGO!G:I,3,0))</f>
        <v>96</v>
      </c>
      <c r="M171" s="87">
        <f>IF('Consulta1'!I4263="","",'Consulta1'!I4263)</f>
        <v>46302</v>
      </c>
      <c r="N171" s="88" t="str">
        <f>IF('Consulta1'!J4263="","",'Consulta1'!J4263)</f>
        <v>46040</v>
      </c>
      <c r="O171" t="str">
        <v>CHIAPAS|A12 057 TIQUISATE 1|20260929|20261007|CIUDAD JUAREZ|SMART|CPR01103|20 CONVENCIONAL SCJ1</v>
      </c>
      <c r="P171">
        <v>1</v>
      </c>
      <c r="Q171" t="str">
        <v>CHIAPAS|A12 057 TIQUISATE 1|20260929|20261007|CIUDAD JUAREZ|SMART|CPR01103|20 CONVENCIONAL SCJ1|1</v>
      </c>
      <c r="R171" t="str">
        <v>Programa Embarques 2026 S-40.xlsx</v>
      </c>
    </row>
    <row r="172" spans="1:18" ht="18.75" x14ac:dyDescent="0.25">
      <c r="A172" s="82" t="str">
        <f>IF('Consulta1'!A4264="","",'Consulta1'!A4264)</f>
        <v>Chanitos Premium Tarima Americana</v>
      </c>
      <c r="B172" s="82" t="str">
        <f>IF('Consulta1'!B4264="","",'Consulta1'!B4264)</f>
        <v>CPR01103</v>
      </c>
      <c r="C172" s="83" t="str">
        <f>IF('Consulta1'!C4264="","",'Consulta1'!C4264)</f>
        <v>A04039-403009-1</v>
      </c>
      <c r="D172" s="84" t="str">
        <f>IF('Consulta1'!D4264="","",'Consulta1'!D4264)</f>
        <v>A04 039 San Jose Morelia Nava</v>
      </c>
      <c r="E172" s="82" t="str">
        <f>IF('Consulta1'!E4264="","",'Consulta1'!E4264)</f>
        <v>Ciudad Juarez</v>
      </c>
      <c r="F172">
        <f>+IF(E172="","",VLOOKUP(E172,CATALOGO!G:L,6,0))</f>
        <v>1</v>
      </c>
      <c r="G172" s="85" t="str">
        <f>IF('Consulta1'!F4264="","",'Consulta1'!F4264)</f>
        <v/>
      </c>
      <c r="H172" s="85" t="str">
        <f>IF('Consulta1'!G4264="","",'Consulta1'!G4264)</f>
        <v/>
      </c>
      <c r="I172" s="86">
        <f>IF('Consulta1'!H4264="","",'Consulta1'!H4264)</f>
        <v>46295</v>
      </c>
      <c r="J172">
        <f t="shared" si="2"/>
        <v>40</v>
      </c>
      <c r="K172">
        <f>+IF(E172="","",VLOOKUP(E172,CATALOGO!G:I,2,0))</f>
        <v>4</v>
      </c>
      <c r="L172">
        <f>+IF(E172="","",VLOOKUP(E172,CATALOGO!G:I,3,0))</f>
        <v>96</v>
      </c>
      <c r="M172" s="87">
        <f>IF('Consulta1'!I4264="","",'Consulta1'!I4264)</f>
        <v>46300</v>
      </c>
      <c r="N172" s="88" t="str">
        <f>IF('Consulta1'!J4264="","",'Consulta1'!J4264)</f>
        <v>0</v>
      </c>
      <c r="O172" t="str">
        <v>CHIAPAS|A04 039 SAN JOSE MORELIA NAVA|20260930|20261005|CIUDAD JUAREZ|SMART|CPR01103|24 CONVENCIONAL</v>
      </c>
      <c r="P172">
        <v>1</v>
      </c>
      <c r="Q172" t="str">
        <v>CHIAPAS|A04 039 SAN JOSE MORELIA NAVA|20260930|20261005|CIUDAD JUAREZ|SMART|CPR01103|24 CONVENCIONAL|1</v>
      </c>
      <c r="R172" t="str">
        <v>Programa Embarques 2026 S-40.xlsx</v>
      </c>
    </row>
    <row r="173" spans="1:18" ht="18.75" x14ac:dyDescent="0.25">
      <c r="A173" s="82" t="str">
        <f>IF('Consulta1'!A4265="","",'Consulta1'!A4265)</f>
        <v>Chanitos Premium Tarima Americana</v>
      </c>
      <c r="B173" s="82" t="str">
        <f>IF('Consulta1'!B4265="","",'Consulta1'!B4265)</f>
        <v>CPR01103</v>
      </c>
      <c r="C173" s="83" t="str">
        <f>IF('Consulta1'!C4265="","",'Consulta1'!C4265)</f>
        <v>A04039-403009-1</v>
      </c>
      <c r="D173" s="84" t="str">
        <f>IF('Consulta1'!D4265="","",'Consulta1'!D4265)</f>
        <v>A04 039 San Jose Morelia Nava</v>
      </c>
      <c r="E173" s="82" t="str">
        <f>IF('Consulta1'!E4265="","",'Consulta1'!E4265)</f>
        <v>S-MTY</v>
      </c>
      <c r="F173">
        <f>+IF(E173="","",VLOOKUP(E173,CATALOGO!G:L,6,0))</f>
        <v>1</v>
      </c>
      <c r="G173" s="85">
        <f>IF('Consulta1'!F4265="","",'Consulta1'!F4265)</f>
        <v>960</v>
      </c>
      <c r="H173" s="85">
        <f>IF('Consulta1'!G4265="","",'Consulta1'!G4265)</f>
        <v>20</v>
      </c>
      <c r="I173" s="86">
        <f>IF('Consulta1'!H4265="","",'Consulta1'!H4265)</f>
        <v>46295</v>
      </c>
      <c r="J173">
        <f t="shared" si="2"/>
        <v>40</v>
      </c>
      <c r="K173">
        <f>+IF(E173="","",VLOOKUP(E173,CATALOGO!G:I,2,0))</f>
        <v>3</v>
      </c>
      <c r="L173">
        <f>+IF(E173="","",VLOOKUP(E173,CATALOGO!G:I,3,0))</f>
        <v>72</v>
      </c>
      <c r="M173" s="87">
        <f>IF('Consulta1'!I4265="","",'Consulta1'!I4265)</f>
        <v>46300</v>
      </c>
      <c r="N173" s="88" t="str">
        <f>IF('Consulta1'!J4265="","",'Consulta1'!J4265)</f>
        <v>46255</v>
      </c>
      <c r="O173" t="str">
        <v>CHIAPAS|A04 039 SAN JOSE MORELIA NAVA|20260930|20261005|S-MTY|SMART|CPR01103|</v>
      </c>
      <c r="P173">
        <v>1</v>
      </c>
      <c r="Q173" t="str">
        <v>CHIAPAS|A04 039 SAN JOSE MORELIA NAVA|20260930|20261005|S-MTY|SMART|CPR01103||1</v>
      </c>
      <c r="R173" t="str">
        <v>Programa Embarques 2026 S-40.xlsx</v>
      </c>
    </row>
    <row r="174" spans="1:18" ht="18.75" x14ac:dyDescent="0.25">
      <c r="A174" s="82" t="str">
        <f>IF('Consulta1'!A4266="","",'Consulta1'!A4266)</f>
        <v>Chanitos Premium Tarima Americana</v>
      </c>
      <c r="B174" s="82" t="str">
        <f>IF('Consulta1'!B4266="","",'Consulta1'!B4266)</f>
        <v>CPR01103</v>
      </c>
      <c r="C174" s="83" t="str">
        <f>IF('Consulta1'!C4266="","",'Consulta1'!C4266)</f>
        <v>A12057-403009-1</v>
      </c>
      <c r="D174" s="84" t="str">
        <f>IF('Consulta1'!D4266="","",'Consulta1'!D4266)</f>
        <v>A12 057 Tiquisate 1</v>
      </c>
      <c r="E174" s="82" t="str">
        <f>IF('Consulta1'!E4266="","",'Consulta1'!E4266)</f>
        <v>Ciudad Juarez</v>
      </c>
      <c r="F174">
        <f>+IF(E174="","",VLOOKUP(E174,CATALOGO!G:L,6,0))</f>
        <v>1</v>
      </c>
      <c r="G174" s="85">
        <f>IF('Consulta1'!F4266="","",'Consulta1'!F4266)</f>
        <v>48</v>
      </c>
      <c r="H174" s="85">
        <f>IF('Consulta1'!G4266="","",'Consulta1'!G4266)</f>
        <v>1</v>
      </c>
      <c r="I174" s="86">
        <f>IF('Consulta1'!H4266="","",'Consulta1'!H4266)</f>
        <v>46295</v>
      </c>
      <c r="J174">
        <f t="shared" si="2"/>
        <v>40</v>
      </c>
      <c r="K174">
        <f>+IF(E174="","",VLOOKUP(E174,CATALOGO!G:I,2,0))</f>
        <v>4</v>
      </c>
      <c r="L174">
        <f>+IF(E174="","",VLOOKUP(E174,CATALOGO!G:I,3,0))</f>
        <v>96</v>
      </c>
      <c r="M174" s="87">
        <f>IF('Consulta1'!I4266="","",'Consulta1'!I4266)</f>
        <v>46302</v>
      </c>
      <c r="N174" s="88" t="str">
        <f>IF('Consulta1'!J4266="","",'Consulta1'!J4266)</f>
        <v>46040</v>
      </c>
      <c r="O174" t="str">
        <v>CHIAPAS|A12 057 TIQUISATE 1|20260930|20261007|CIUDAD JUAREZ|SMART|CPR01103|</v>
      </c>
      <c r="P174">
        <v>1</v>
      </c>
      <c r="Q174" t="str">
        <v>CHIAPAS|A12 057 TIQUISATE 1|20260930|20261007|CIUDAD JUAREZ|SMART|CPR01103||1</v>
      </c>
      <c r="R174" t="str">
        <v>Programa Embarques 2026 S-40.xlsx</v>
      </c>
    </row>
    <row r="175" spans="1:18" ht="18.75" x14ac:dyDescent="0.25">
      <c r="A175" s="82" t="str">
        <f>IF('Consulta1'!A4267="","",'Consulta1'!A4267)</f>
        <v>Chanitos Premium Tarima Americana</v>
      </c>
      <c r="B175" s="82" t="str">
        <f>IF('Consulta1'!B4267="","",'Consulta1'!B4267)</f>
        <v>CPR01103</v>
      </c>
      <c r="C175" s="83" t="str">
        <f>IF('Consulta1'!C4267="","",'Consulta1'!C4267)</f>
        <v>A12057-403009-1</v>
      </c>
      <c r="D175" s="84" t="str">
        <f>IF('Consulta1'!D4267="","",'Consulta1'!D4267)</f>
        <v>A12 057 Tiquisate 1</v>
      </c>
      <c r="E175" s="82" t="str">
        <f>IF('Consulta1'!E4267="","",'Consulta1'!E4267)</f>
        <v>S-MTY</v>
      </c>
      <c r="F175">
        <f>+IF(E175="","",VLOOKUP(E175,CATALOGO!G:L,6,0))</f>
        <v>1</v>
      </c>
      <c r="G175" s="85">
        <f>IF('Consulta1'!F4267="","",'Consulta1'!F4267)</f>
        <v>144</v>
      </c>
      <c r="H175" s="85">
        <f>IF('Consulta1'!G4267="","",'Consulta1'!G4267)</f>
        <v>3</v>
      </c>
      <c r="I175" s="86">
        <f>IF('Consulta1'!H4267="","",'Consulta1'!H4267)</f>
        <v>46295</v>
      </c>
      <c r="J175">
        <f t="shared" si="2"/>
        <v>40</v>
      </c>
      <c r="K175">
        <f>+IF(E175="","",VLOOKUP(E175,CATALOGO!G:I,2,0))</f>
        <v>3</v>
      </c>
      <c r="L175">
        <f>+IF(E175="","",VLOOKUP(E175,CATALOGO!G:I,3,0))</f>
        <v>72</v>
      </c>
      <c r="M175" s="87">
        <f>IF('Consulta1'!I4267="","",'Consulta1'!I4267)</f>
        <v>46302</v>
      </c>
      <c r="N175" s="88" t="str">
        <f>IF('Consulta1'!J4267="","",'Consulta1'!J4267)</f>
        <v>46256</v>
      </c>
      <c r="O175" t="str">
        <v>CHIAPAS|A12 057 TIQUISATE 1|20260930|20261007|S-MTY|SMART|CPR01103|</v>
      </c>
      <c r="P175">
        <v>1</v>
      </c>
      <c r="Q175" t="str">
        <v>CHIAPAS|A12 057 TIQUISATE 1|20260930|20261007|S-MTY|SMART|CPR01103||1</v>
      </c>
      <c r="R175" t="str">
        <v>Programa Embarques 2026 S-40.xlsx</v>
      </c>
    </row>
    <row r="176" spans="1:18" ht="18.75" x14ac:dyDescent="0.25">
      <c r="A176" s="82" t="str">
        <f>IF('Consulta1'!A4268="","",'Consulta1'!A4268)</f>
        <v>Chanitos Premium EUA Tarima Americana</v>
      </c>
      <c r="B176" s="82" t="str">
        <f>IF('Consulta1'!B4268="","",'Consulta1'!B4268)</f>
        <v>CPR01104</v>
      </c>
      <c r="C176" s="83" t="str">
        <f>IF('Consulta1'!C4268="","",'Consulta1'!C4268)</f>
        <v>A04084-403009-1</v>
      </c>
      <c r="D176" s="84" t="str">
        <f>IF('Consulta1'!D4268="","",'Consulta1'!D4268)</f>
        <v>A04 084 Lisboa</v>
      </c>
      <c r="E176" s="82" t="str">
        <f>IF('Consulta1'!E4268="","",'Consulta1'!E4268)</f>
        <v>McAllen</v>
      </c>
      <c r="F176">
        <f>+IF(E176="","",VLOOKUP(E176,CATALOGO!G:L,6,0))</f>
        <v>8</v>
      </c>
      <c r="G176" s="85">
        <f>IF('Consulta1'!F4268="","",'Consulta1'!F4268)</f>
        <v>48</v>
      </c>
      <c r="H176" s="85">
        <f>IF('Consulta1'!G4268="","",'Consulta1'!G4268)</f>
        <v>1</v>
      </c>
      <c r="I176" s="86">
        <f>IF('Consulta1'!H4268="","",'Consulta1'!H4268)</f>
        <v>46295</v>
      </c>
      <c r="J176">
        <f t="shared" si="2"/>
        <v>40</v>
      </c>
      <c r="K176">
        <f>+IF(E176="","",VLOOKUP(E176,CATALOGO!G:I,2,0))</f>
        <v>3</v>
      </c>
      <c r="L176">
        <f>+IF(E176="","",VLOOKUP(E176,CATALOGO!G:I,3,0))</f>
        <v>72</v>
      </c>
      <c r="M176" s="87">
        <f>IF('Consulta1'!I4268="","",'Consulta1'!I4268)</f>
        <v>46300</v>
      </c>
      <c r="N176" s="88" t="str">
        <f>IF('Consulta1'!J4268="","",'Consulta1'!J4268)</f>
        <v>45740</v>
      </c>
      <c r="O176" t="str">
        <v>CHIAPAS|A04 084 LISBOA|20260930|20261005|MCALLEN|CHANITOS INT|CPR01104|20 CONVENCIONAL F3-2</v>
      </c>
      <c r="P176">
        <v>1</v>
      </c>
      <c r="Q176" t="str">
        <v>CHIAPAS|A04 084 LISBOA|20260930|20261005|MCALLEN|CHANITOS INT|CPR01104|20 CONVENCIONAL F3-2|1</v>
      </c>
      <c r="R176" t="str">
        <v>Programa Embarques 2026 S-40.xlsx</v>
      </c>
    </row>
    <row r="177" spans="1:18" ht="18.75" x14ac:dyDescent="0.25">
      <c r="A177" s="82" t="str">
        <f>IF('Consulta1'!A4269="","",'Consulta1'!A4269)</f>
        <v>Chanitos Premium EUA Tarima Americana</v>
      </c>
      <c r="B177" s="82" t="str">
        <f>IF('Consulta1'!B4269="","",'Consulta1'!B4269)</f>
        <v>CPR01104</v>
      </c>
      <c r="C177" s="83" t="str">
        <f>IF('Consulta1'!C4269="","",'Consulta1'!C4269)</f>
        <v>A04084-403009-1</v>
      </c>
      <c r="D177" s="84" t="str">
        <f>IF('Consulta1'!D4269="","",'Consulta1'!D4269)</f>
        <v>A04 084 Lisboa</v>
      </c>
      <c r="E177" s="82" t="str">
        <f>IF('Consulta1'!E4269="","",'Consulta1'!E4269)</f>
        <v>McAllen</v>
      </c>
      <c r="F177">
        <f>+IF(E177="","",VLOOKUP(E177,CATALOGO!G:L,6,0))</f>
        <v>8</v>
      </c>
      <c r="G177" s="85">
        <f>IF('Consulta1'!F4269="","",'Consulta1'!F4269)</f>
        <v>96</v>
      </c>
      <c r="H177" s="85">
        <f>IF('Consulta1'!G4269="","",'Consulta1'!G4269)</f>
        <v>2</v>
      </c>
      <c r="I177" s="86">
        <f>IF('Consulta1'!H4269="","",'Consulta1'!H4269)</f>
        <v>46295</v>
      </c>
      <c r="J177">
        <f t="shared" si="2"/>
        <v>40</v>
      </c>
      <c r="K177">
        <f>+IF(E177="","",VLOOKUP(E177,CATALOGO!G:I,2,0))</f>
        <v>3</v>
      </c>
      <c r="L177">
        <f>+IF(E177="","",VLOOKUP(E177,CATALOGO!G:I,3,0))</f>
        <v>72</v>
      </c>
      <c r="M177" s="87">
        <f>IF('Consulta1'!I4269="","",'Consulta1'!I4269)</f>
        <v>46300</v>
      </c>
      <c r="N177" s="88" t="str">
        <f>IF('Consulta1'!J4269="","",'Consulta1'!J4269)</f>
        <v>45742</v>
      </c>
      <c r="O177" t="str">
        <v>CHIAPAS|A04 084 LISBOA|20260930|20261005|MCALLEN|CHANITOS INT|CPR01104|20 CONVENCIONAL F4-1</v>
      </c>
      <c r="P177">
        <v>1</v>
      </c>
      <c r="Q177" t="str">
        <v>CHIAPAS|A04 084 LISBOA|20260930|20261005|MCALLEN|CHANITOS INT|CPR01104|20 CONVENCIONAL F4-1|1</v>
      </c>
      <c r="R177" t="str">
        <v>Programa Embarques 2026 S-40.xlsx</v>
      </c>
    </row>
    <row r="178" spans="1:18" ht="18.75" x14ac:dyDescent="0.25">
      <c r="A178" s="82" t="str">
        <f>IF('Consulta1'!A4270="","",'Consulta1'!A4270)</f>
        <v>Chanitos Premium Tarima Chep</v>
      </c>
      <c r="B178" s="82" t="str">
        <f>IF('Consulta1'!B4270="","",'Consulta1'!B4270)</f>
        <v>CPR01102</v>
      </c>
      <c r="C178" s="83" t="str">
        <f>IF('Consulta1'!C4270="","",'Consulta1'!C4270)</f>
        <v>A04084-403009-1</v>
      </c>
      <c r="D178" s="84" t="str">
        <f>IF('Consulta1'!D4270="","",'Consulta1'!D4270)</f>
        <v>A04 084 Lisboa</v>
      </c>
      <c r="E178" s="82" t="str">
        <f>IF('Consulta1'!E4270="","",'Consulta1'!E4270)</f>
        <v>VSA</v>
      </c>
      <c r="F178">
        <f>+IF(E178="","",VLOOKUP(E178,CATALOGO!G:L,6,0))</f>
        <v>6</v>
      </c>
      <c r="G178" s="85">
        <f>IF('Consulta1'!F4270="","",'Consulta1'!F4270)</f>
        <v>480</v>
      </c>
      <c r="H178" s="85">
        <f>IF('Consulta1'!G4270="","",'Consulta1'!G4270)</f>
        <v>10</v>
      </c>
      <c r="I178" s="86">
        <f>IF('Consulta1'!H4270="","",'Consulta1'!H4270)</f>
        <v>46295</v>
      </c>
      <c r="J178">
        <f t="shared" si="2"/>
        <v>40</v>
      </c>
      <c r="K178">
        <f>+IF(E178="","",VLOOKUP(E178,CATALOGO!G:I,2,0))</f>
        <v>1</v>
      </c>
      <c r="L178">
        <f>+IF(E178="","",VLOOKUP(E178,CATALOGO!G:I,3,0))</f>
        <v>24</v>
      </c>
      <c r="M178" s="87">
        <f>IF('Consulta1'!I4270="","",'Consulta1'!I4270)</f>
        <v>46298</v>
      </c>
      <c r="N178" s="88" t="str">
        <f>IF('Consulta1'!J4270="","",'Consulta1'!J4270)</f>
        <v>41956</v>
      </c>
      <c r="O178" t="str">
        <v>CHIAPAS|A04 084 LISBOA|20260930|20261003|VSA|WM|CPR01102|19 CONVENCIONAL Y 5 ORG</v>
      </c>
      <c r="P178">
        <v>1</v>
      </c>
      <c r="Q178" t="str">
        <v>CHIAPAS|A04 084 LISBOA|20260930|20261003|VSA|WM|CPR01102|19 CONVENCIONAL Y 5 ORG|1</v>
      </c>
      <c r="R178" t="str">
        <v>Programa Embarques 2026 S-40.xlsx</v>
      </c>
    </row>
    <row r="179" spans="1:18" ht="18.75" x14ac:dyDescent="0.25">
      <c r="A179" s="82" t="str">
        <f>IF('Consulta1'!A4271="","",'Consulta1'!A4271)</f>
        <v>Chanitos Premium Tarima Americana</v>
      </c>
      <c r="B179" s="82" t="str">
        <f>IF('Consulta1'!B4271="","",'Consulta1'!B4271)</f>
        <v>CPR01103</v>
      </c>
      <c r="C179" s="83" t="str">
        <f>IF('Consulta1'!C4271="","",'Consulta1'!C4271)</f>
        <v>A36090-403009-1</v>
      </c>
      <c r="D179" s="84" t="str">
        <f>IF('Consulta1'!D4271="","",'Consulta1'!D4271)</f>
        <v>A36 090 Heavy</v>
      </c>
      <c r="E179" s="82" t="str">
        <f>IF('Consulta1'!E4271="","",'Consulta1'!E4271)</f>
        <v>Ciudad Juarez</v>
      </c>
      <c r="F179">
        <f>+IF(E179="","",VLOOKUP(E179,CATALOGO!G:L,6,0))</f>
        <v>1</v>
      </c>
      <c r="G179" s="85">
        <f>IF('Consulta1'!F4271="","",'Consulta1'!F4271)</f>
        <v>960</v>
      </c>
      <c r="H179" s="85">
        <f>IF('Consulta1'!G4271="","",'Consulta1'!G4271)</f>
        <v>20</v>
      </c>
      <c r="I179" s="86">
        <f>IF('Consulta1'!H4271="","",'Consulta1'!H4271)</f>
        <v>46295</v>
      </c>
      <c r="J179">
        <f t="shared" si="2"/>
        <v>40</v>
      </c>
      <c r="K179">
        <f>+IF(E179="","",VLOOKUP(E179,CATALOGO!G:I,2,0))</f>
        <v>4</v>
      </c>
      <c r="L179">
        <f>+IF(E179="","",VLOOKUP(E179,CATALOGO!G:I,3,0))</f>
        <v>96</v>
      </c>
      <c r="M179" s="87">
        <f>IF('Consulta1'!I4271="","",'Consulta1'!I4271)</f>
        <v>46302</v>
      </c>
      <c r="N179" s="88" t="str">
        <f>IF('Consulta1'!J4271="","",'Consulta1'!J4271)</f>
        <v>46040</v>
      </c>
      <c r="O179" t="str">
        <v>CHIAPAS|A36 090 HEAVY|20260930|20261007|CIUDAD JUAREZ|SMART|CPR01103|20 CONVENCIONAL SCJ1</v>
      </c>
      <c r="P179">
        <v>1</v>
      </c>
      <c r="Q179" t="str">
        <v>CHIAPAS|A36 090 HEAVY|20260930|20261007|CIUDAD JUAREZ|SMART|CPR01103|20 CONVENCIONAL SCJ1|1</v>
      </c>
      <c r="R179" t="str">
        <v>Programa Embarques 2026 S-40.xlsx</v>
      </c>
    </row>
    <row r="180" spans="1:18" ht="18.75" x14ac:dyDescent="0.25">
      <c r="A180" s="82" t="str">
        <f>IF('Consulta1'!A4272="","",'Consulta1'!A4272)</f>
        <v>Chanitos Premium EUA Tarima Americana</v>
      </c>
      <c r="B180" s="82" t="str">
        <f>IF('Consulta1'!B4272="","",'Consulta1'!B4272)</f>
        <v>CPR01104</v>
      </c>
      <c r="C180" s="83" t="str">
        <f>IF('Consulta1'!C4272="","",'Consulta1'!C4272)</f>
        <v>A36090-403009-1</v>
      </c>
      <c r="D180" s="84" t="str">
        <f>IF('Consulta1'!D4272="","",'Consulta1'!D4272)</f>
        <v>A36 090 Heavy</v>
      </c>
      <c r="E180" s="82" t="str">
        <f>IF('Consulta1'!E4272="","",'Consulta1'!E4272)</f>
        <v>McAllen</v>
      </c>
      <c r="F180">
        <f>+IF(E180="","",VLOOKUP(E180,CATALOGO!G:L,6,0))</f>
        <v>8</v>
      </c>
      <c r="G180" s="85">
        <f>IF('Consulta1'!F4272="","",'Consulta1'!F4272)</f>
        <v>432</v>
      </c>
      <c r="H180" s="85">
        <f>IF('Consulta1'!G4272="","",'Consulta1'!G4272)</f>
        <v>9</v>
      </c>
      <c r="I180" s="86">
        <f>IF('Consulta1'!H4272="","",'Consulta1'!H4272)</f>
        <v>46295</v>
      </c>
      <c r="J180">
        <f t="shared" si="2"/>
        <v>40</v>
      </c>
      <c r="K180">
        <f>+IF(E180="","",VLOOKUP(E180,CATALOGO!G:I,2,0))</f>
        <v>3</v>
      </c>
      <c r="L180">
        <f>+IF(E180="","",VLOOKUP(E180,CATALOGO!G:I,3,0))</f>
        <v>72</v>
      </c>
      <c r="M180" s="87">
        <f>IF('Consulta1'!I4272="","",'Consulta1'!I4272)</f>
        <v>46302</v>
      </c>
      <c r="N180" s="88" t="str">
        <f>IF('Consulta1'!J4272="","",'Consulta1'!J4272)</f>
        <v>45746</v>
      </c>
      <c r="O180" t="str">
        <v>CHIAPAS|A36 090 HEAVY|20260930|20261007|MCALLEN|CHANITOS INT|CPR01104|20 CONVENCIONAL F5-2</v>
      </c>
      <c r="P180">
        <v>1</v>
      </c>
      <c r="Q180" t="str">
        <v>CHIAPAS|A36 090 HEAVY|20260930|20261007|MCALLEN|CHANITOS INT|CPR01104|20 CONVENCIONAL F5-2|1</v>
      </c>
      <c r="R180" t="str">
        <v>Programa Embarques 2026 S-40.xlsx</v>
      </c>
    </row>
    <row r="181" spans="1:18" ht="18.75" x14ac:dyDescent="0.25">
      <c r="A181" s="82" t="str">
        <f>IF('Consulta1'!A4273="","",'Consulta1'!A4273)</f>
        <v>Chanitos Premium EUA Tarima Americana</v>
      </c>
      <c r="B181" s="82" t="str">
        <f>IF('Consulta1'!B4273="","",'Consulta1'!B4273)</f>
        <v>CPR01104</v>
      </c>
      <c r="C181" s="83" t="str">
        <f>IF('Consulta1'!C4273="","",'Consulta1'!C4273)</f>
        <v>A04039-403009-1</v>
      </c>
      <c r="D181" s="84" t="str">
        <f>IF('Consulta1'!D4273="","",'Consulta1'!D4273)</f>
        <v>A04 039 San Jose Morelia Nava</v>
      </c>
      <c r="E181" s="82" t="str">
        <f>IF('Consulta1'!E4273="","",'Consulta1'!E4273)</f>
        <v>McAllen</v>
      </c>
      <c r="F181">
        <f>+IF(E181="","",VLOOKUP(E181,CATALOGO!G:L,6,0))</f>
        <v>8</v>
      </c>
      <c r="G181" s="85">
        <f>IF('Consulta1'!F4273="","",'Consulta1'!F4273)</f>
        <v>288</v>
      </c>
      <c r="H181" s="85">
        <f>IF('Consulta1'!G4273="","",'Consulta1'!G4273)</f>
        <v>6</v>
      </c>
      <c r="I181" s="86">
        <f>IF('Consulta1'!H4273="","",'Consulta1'!H4273)</f>
        <v>46295</v>
      </c>
      <c r="J181">
        <f t="shared" si="2"/>
        <v>40</v>
      </c>
      <c r="K181">
        <f>+IF(E181="","",VLOOKUP(E181,CATALOGO!G:I,2,0))</f>
        <v>3</v>
      </c>
      <c r="L181">
        <f>+IF(E181="","",VLOOKUP(E181,CATALOGO!G:I,3,0))</f>
        <v>72</v>
      </c>
      <c r="M181" s="87">
        <f>IF('Consulta1'!I4273="","",'Consulta1'!I4273)</f>
        <v>46301</v>
      </c>
      <c r="N181" s="88" t="str">
        <f>IF('Consulta1'!J4273="","",'Consulta1'!J4273)</f>
        <v>45744</v>
      </c>
      <c r="O181" t="str">
        <v>CHIAPAS|A04 039 SAN JOSE MORELIA NAVA|20260930|20261006|MCALLEN|CHANITOS INT|CPR01104|20 CONVENCIONAL F4-2</v>
      </c>
      <c r="P181">
        <v>1</v>
      </c>
      <c r="Q181" t="str">
        <v>CHIAPAS|A04 039 SAN JOSE MORELIA NAVA|20260930|20261006|MCALLEN|CHANITOS INT|CPR01104|20 CONVENCIONAL F4-2|1</v>
      </c>
      <c r="R181" t="str">
        <v>Programa Embarques 2026 S-40.xlsx</v>
      </c>
    </row>
    <row r="182" spans="1:18" ht="18.75" x14ac:dyDescent="0.25">
      <c r="A182" s="82" t="str">
        <f>IF('Consulta1'!A4274="","",'Consulta1'!A4274)</f>
        <v>Chanitos Premium Tarima Chep</v>
      </c>
      <c r="B182" s="82" t="str">
        <f>IF('Consulta1'!B4274="","",'Consulta1'!B4274)</f>
        <v>CPR01102</v>
      </c>
      <c r="C182" s="83" t="str">
        <f>IF('Consulta1'!C4274="","",'Consulta1'!C4274)</f>
        <v>A04038-403009-1</v>
      </c>
      <c r="D182" s="84" t="str">
        <f>IF('Consulta1'!D4274="","",'Consulta1'!D4274)</f>
        <v>A04 038 El Triunfo Nava</v>
      </c>
      <c r="E182" s="82" t="str">
        <f>IF('Consulta1'!E4274="","",'Consulta1'!E4274)</f>
        <v>VSA</v>
      </c>
      <c r="F182">
        <f>+IF(E182="","",VLOOKUP(E182,CATALOGO!G:L,6,0))</f>
        <v>6</v>
      </c>
      <c r="G182" s="85">
        <f>IF('Consulta1'!F4274="","",'Consulta1'!F4274)</f>
        <v>624</v>
      </c>
      <c r="H182" s="85">
        <f>IF('Consulta1'!G4274="","",'Consulta1'!G4274)</f>
        <v>13</v>
      </c>
      <c r="I182" s="86">
        <f>IF('Consulta1'!H4274="","",'Consulta1'!H4274)</f>
        <v>46295</v>
      </c>
      <c r="J182">
        <f t="shared" si="2"/>
        <v>40</v>
      </c>
      <c r="K182">
        <f>+IF(E182="","",VLOOKUP(E182,CATALOGO!G:I,2,0))</f>
        <v>1</v>
      </c>
      <c r="L182">
        <f>+IF(E182="","",VLOOKUP(E182,CATALOGO!G:I,3,0))</f>
        <v>24</v>
      </c>
      <c r="M182" s="87">
        <f>IF('Consulta1'!I4274="","",'Consulta1'!I4274)</f>
        <v>46299</v>
      </c>
      <c r="N182" s="88" t="str">
        <f>IF('Consulta1'!J4274="","",'Consulta1'!J4274)</f>
        <v>45091</v>
      </c>
      <c r="O182" t="str">
        <v>CHIAPAS|A04 038 EL TRIUNFO NAVA|20260930|20261004|VSA|WM|CPR01102|24 CONVENCIONAL</v>
      </c>
      <c r="P182">
        <v>1</v>
      </c>
      <c r="Q182" t="str">
        <v>CHIAPAS|A04 038 EL TRIUNFO NAVA|20260930|20261004|VSA|WM|CPR01102|24 CONVENCIONAL|1</v>
      </c>
      <c r="R182" t="str">
        <v>Programa Embarques 2026 S-40.xlsx</v>
      </c>
    </row>
    <row r="183" spans="1:18" ht="18.75" x14ac:dyDescent="0.25">
      <c r="A183" s="82" t="str">
        <f>IF('Consulta1'!A4275="","",'Consulta1'!A4275)</f>
        <v>Chiquita</v>
      </c>
      <c r="B183" s="82" t="str">
        <f>IF('Consulta1'!B4275="","",'Consulta1'!B4275)</f>
        <v>PRE0001</v>
      </c>
      <c r="C183" s="83" t="str">
        <f>IF('Consulta1'!C4275="","",'Consulta1'!C4275)</f>
        <v>A01004-403009-1</v>
      </c>
      <c r="D183" s="84" t="str">
        <f>IF('Consulta1'!D4275="","",'Consulta1'!D4275)</f>
        <v>A01 004 La Ceiba</v>
      </c>
      <c r="E183" s="82" t="str">
        <f>IF('Consulta1'!E4275="","",'Consulta1'!E4275)</f>
        <v>Chiquita</v>
      </c>
      <c r="F183">
        <f>+IF(E183="","",VLOOKUP(E183,CATALOGO!G:L,6,0))</f>
        <v>0</v>
      </c>
      <c r="G183" s="85">
        <f>IF('Consulta1'!F4275="","",'Consulta1'!F4275)</f>
        <v>960</v>
      </c>
      <c r="H183" s="85">
        <f>IF('Consulta1'!G4275="","",'Consulta1'!G4275)</f>
        <v>20</v>
      </c>
      <c r="I183" s="86">
        <f>IF('Consulta1'!H4275="","",'Consulta1'!H4275)</f>
        <v>46295</v>
      </c>
      <c r="J183">
        <f t="shared" si="2"/>
        <v>40</v>
      </c>
      <c r="K183">
        <f>+IF(E183="","",VLOOKUP(E183,CATALOGO!G:I,2,0))</f>
        <v>1</v>
      </c>
      <c r="L183">
        <f>+IF(E183="","",VLOOKUP(E183,CATALOGO!G:I,3,0))</f>
        <v>24</v>
      </c>
      <c r="M183" s="87">
        <f>IF('Consulta1'!I4275="","",'Consulta1'!I4275)</f>
        <v>46296</v>
      </c>
      <c r="N183" s="88" t="str">
        <f>IF('Consulta1'!J4275="","",'Consulta1'!J4275)</f>
        <v>Sin OV compatible con fecha, cliente, CEDIS, SKU, zona y cantidad</v>
      </c>
      <c r="O183" t="str">
        <v>CHIAPAS|A01 004 LA CEIBA|20260930|20261001|CHIQUITA|CHIQUITA|PRE0001|CHIQUITA</v>
      </c>
      <c r="P183">
        <v>1</v>
      </c>
      <c r="Q183" t="str">
        <v>CHIAPAS|A01 004 LA CEIBA|20260930|20261001|CHIQUITA|CHIQUITA|PRE0001|CHIQUITA|1</v>
      </c>
      <c r="R183" t="str">
        <v>Programa Embarques 2026 S-40.xlsx</v>
      </c>
    </row>
    <row r="184" spans="1:18" ht="18.75" x14ac:dyDescent="0.25">
      <c r="A184" s="82" t="str">
        <f>IF('Consulta1'!A4276="","",'Consulta1'!A4276)</f>
        <v>Chanitos Premium Tarima Chep</v>
      </c>
      <c r="B184" s="82" t="str">
        <f>IF('Consulta1'!B4276="","",'Consulta1'!B4276)</f>
        <v>CPR01102</v>
      </c>
      <c r="C184" s="83" t="str">
        <f>IF('Consulta1'!C4276="","",'Consulta1'!C4276)</f>
        <v>A01004-403009-1</v>
      </c>
      <c r="D184" s="84" t="str">
        <f>IF('Consulta1'!D4276="","",'Consulta1'!D4276)</f>
        <v>A01 004 La Ceiba</v>
      </c>
      <c r="E184" s="82" t="str">
        <f>IF('Consulta1'!E4276="","",'Consulta1'!E4276)</f>
        <v>CEDA</v>
      </c>
      <c r="F184">
        <f>+IF(E184="","",VLOOKUP(E184,CATALOGO!G:L,6,0))</f>
        <v>0</v>
      </c>
      <c r="G184" s="85">
        <f>IF('Consulta1'!F4276="","",'Consulta1'!F4276)</f>
        <v>240</v>
      </c>
      <c r="H184" s="85">
        <f>IF('Consulta1'!G4276="","",'Consulta1'!G4276)</f>
        <v>5</v>
      </c>
      <c r="I184" s="86">
        <f>IF('Consulta1'!H4276="","",'Consulta1'!H4276)</f>
        <v>46295</v>
      </c>
      <c r="J184">
        <f t="shared" si="2"/>
        <v>40</v>
      </c>
      <c r="K184">
        <f>+IF(E184="","",VLOOKUP(E184,CATALOGO!G:I,2,0))</f>
        <v>1.5</v>
      </c>
      <c r="L184">
        <f>+IF(E184="","",VLOOKUP(E184,CATALOGO!G:I,3,0))</f>
        <v>36</v>
      </c>
      <c r="M184" s="87">
        <f>IF('Consulta1'!I4276="","",'Consulta1'!I4276)</f>
        <v>46298</v>
      </c>
      <c r="N184" s="88" t="str">
        <f>IF('Consulta1'!J4276="","",'Consulta1'!J4276)</f>
        <v>0</v>
      </c>
      <c r="O184" t="str">
        <v>CHIAPAS|A01 004 LA CEIBA|20260930|20261003|CEDA|CEDA AUTOSERVICIO|CPR01102|CEDA</v>
      </c>
      <c r="P184">
        <v>1</v>
      </c>
      <c r="Q184" t="str">
        <v>CHIAPAS|A01 004 LA CEIBA|20260930|20261003|CEDA|CEDA AUTOSERVICIO|CPR01102|CEDA|1</v>
      </c>
      <c r="R184" t="str">
        <v>Programa Embarques 2026 S-40.xlsx</v>
      </c>
    </row>
    <row r="185" spans="1:18" ht="18.75" x14ac:dyDescent="0.25">
      <c r="A185" s="82" t="str">
        <f>IF('Consulta1'!A4277="","",'Consulta1'!A4277)</f>
        <v>Chanitos Premium Granel</v>
      </c>
      <c r="B185" s="82" t="str">
        <f>IF('Consulta1'!B4277="","",'Consulta1'!B4277)</f>
        <v>CPR01101</v>
      </c>
      <c r="C185" s="83" t="str">
        <f>IF('Consulta1'!C4277="","",'Consulta1'!C4277)</f>
        <v>A01004-403009-1</v>
      </c>
      <c r="D185" s="84" t="str">
        <f>IF('Consulta1'!D4277="","",'Consulta1'!D4277)</f>
        <v>A01 004 La Ceiba</v>
      </c>
      <c r="E185" s="82" t="str">
        <f>IF('Consulta1'!E4277="","",'Consulta1'!E4277)</f>
        <v>CEDA</v>
      </c>
      <c r="F185">
        <f>+IF(E185="","",VLOOKUP(E185,CATALOGO!G:L,6,0))</f>
        <v>0</v>
      </c>
      <c r="G185" s="85">
        <f>IF('Consulta1'!F4277="","",'Consulta1'!F4277)</f>
        <v>8</v>
      </c>
      <c r="H185" s="85" t="str">
        <f>IF('Consulta1'!G4277="","",'Consulta1'!G4277)</f>
        <v>Granel</v>
      </c>
      <c r="I185" s="86">
        <f>IF('Consulta1'!H4277="","",'Consulta1'!H4277)</f>
        <v>46295</v>
      </c>
      <c r="J185">
        <f t="shared" si="2"/>
        <v>40</v>
      </c>
      <c r="K185">
        <f>+IF(E185="","",VLOOKUP(E185,CATALOGO!G:I,2,0))</f>
        <v>1.5</v>
      </c>
      <c r="L185">
        <f>+IF(E185="","",VLOOKUP(E185,CATALOGO!G:I,3,0))</f>
        <v>36</v>
      </c>
      <c r="M185" s="87">
        <f>IF('Consulta1'!I4277="","",'Consulta1'!I4277)</f>
        <v>46298</v>
      </c>
      <c r="N185" s="88" t="str">
        <f>IF('Consulta1'!J4277="","",'Consulta1'!J4277)</f>
        <v>0</v>
      </c>
      <c r="O185" t="str">
        <v>CHIAPAS|A01 004 LA CEIBA|20260930|20261003|CEDA|CEDA PISO|CPR01101|CEDA PISO PRODUCTORAS</v>
      </c>
      <c r="P185">
        <v>1</v>
      </c>
      <c r="Q185" t="str">
        <v>CHIAPAS|A01 004 LA CEIBA|20260930|20261003|CEDA|CEDA PISO|CPR01101|CEDA PISO PRODUCTORAS|1</v>
      </c>
      <c r="R185" t="str">
        <v>Programa Embarques 2026 S-40.xlsx</v>
      </c>
    </row>
    <row r="186" spans="1:18" ht="18.75" x14ac:dyDescent="0.25">
      <c r="A186" s="82" t="str">
        <f>IF('Consulta1'!A4278="","",'Consulta1'!A4278)</f>
        <v>Chanitos Premium Tarima Chep</v>
      </c>
      <c r="B186" s="82" t="str">
        <f>IF('Consulta1'!B4278="","",'Consulta1'!B4278)</f>
        <v>CPR01102</v>
      </c>
      <c r="C186" s="83" t="str">
        <f>IF('Consulta1'!C4278="","",'Consulta1'!C4278)</f>
        <v>A01001-403009-1</v>
      </c>
      <c r="D186" s="84" t="str">
        <f>IF('Consulta1'!D4278="","",'Consulta1'!D4278)</f>
        <v>A01 001 Marbella</v>
      </c>
      <c r="E186" s="82" t="str">
        <f>IF('Consulta1'!E4278="","",'Consulta1'!E4278)</f>
        <v>VSA</v>
      </c>
      <c r="F186">
        <f>+IF(E186="","",VLOOKUP(E186,CATALOGO!G:L,6,0))</f>
        <v>6</v>
      </c>
      <c r="G186" s="85">
        <f>IF('Consulta1'!F4278="","",'Consulta1'!F4278)</f>
        <v>432</v>
      </c>
      <c r="H186" s="85">
        <f>IF('Consulta1'!G4278="","",'Consulta1'!G4278)</f>
        <v>9</v>
      </c>
      <c r="I186" s="86">
        <f>IF('Consulta1'!H4278="","",'Consulta1'!H4278)</f>
        <v>46295</v>
      </c>
      <c r="J186">
        <f t="shared" si="2"/>
        <v>40</v>
      </c>
      <c r="K186">
        <f>+IF(E186="","",VLOOKUP(E186,CATALOGO!G:I,2,0))</f>
        <v>1</v>
      </c>
      <c r="L186">
        <f>+IF(E186="","",VLOOKUP(E186,CATALOGO!G:I,3,0))</f>
        <v>24</v>
      </c>
      <c r="M186" s="87">
        <f>IF('Consulta1'!I4278="","",'Consulta1'!I4278)</f>
        <v>46298</v>
      </c>
      <c r="N186" s="88" t="str">
        <f>IF('Consulta1'!J4278="","",'Consulta1'!J4278)</f>
        <v>41956</v>
      </c>
      <c r="O186" t="str">
        <v>CHIAPAS|A01 001 MARBELLA|20260930|20261003|VSA|WM|CPR01102|19 CONVENCIONAL Y 5 ORG</v>
      </c>
      <c r="P186">
        <v>1</v>
      </c>
      <c r="Q186" t="str">
        <v>CHIAPAS|A01 001 MARBELLA|20260930|20261003|VSA|WM|CPR01102|19 CONVENCIONAL Y 5 ORG|1</v>
      </c>
      <c r="R186" t="str">
        <v>Programa Embarques 2026 S-40.xlsx</v>
      </c>
    </row>
    <row r="187" spans="1:18" ht="18.75" x14ac:dyDescent="0.25">
      <c r="A187" s="82" t="str">
        <f>IF('Consulta1'!A4279="","",'Consulta1'!A4279)</f>
        <v>Chanitos Premium EUA Tarima Americana</v>
      </c>
      <c r="B187" s="82" t="str">
        <f>IF('Consulta1'!B4279="","",'Consulta1'!B4279)</f>
        <v>CPR01104</v>
      </c>
      <c r="C187" s="83" t="str">
        <f>IF('Consulta1'!C4279="","",'Consulta1'!C4279)</f>
        <v>A01001-403009-1</v>
      </c>
      <c r="D187" s="84" t="str">
        <f>IF('Consulta1'!D4279="","",'Consulta1'!D4279)</f>
        <v>A01 001 Marbella</v>
      </c>
      <c r="E187" s="82" t="str">
        <f>IF('Consulta1'!E4279="","",'Consulta1'!E4279)</f>
        <v>McAllen</v>
      </c>
      <c r="F187">
        <f>+IF(E187="","",VLOOKUP(E187,CATALOGO!G:L,6,0))</f>
        <v>8</v>
      </c>
      <c r="G187" s="85">
        <f>IF('Consulta1'!F4279="","",'Consulta1'!F4279)</f>
        <v>864</v>
      </c>
      <c r="H187" s="85">
        <f>IF('Consulta1'!G4279="","",'Consulta1'!G4279)</f>
        <v>18</v>
      </c>
      <c r="I187" s="86">
        <f>IF('Consulta1'!H4279="","",'Consulta1'!H4279)</f>
        <v>46295</v>
      </c>
      <c r="J187">
        <f t="shared" si="2"/>
        <v>40</v>
      </c>
      <c r="K187">
        <f>+IF(E187="","",VLOOKUP(E187,CATALOGO!G:I,2,0))</f>
        <v>3</v>
      </c>
      <c r="L187">
        <f>+IF(E187="","",VLOOKUP(E187,CATALOGO!G:I,3,0))</f>
        <v>72</v>
      </c>
      <c r="M187" s="87">
        <f>IF('Consulta1'!I4279="","",'Consulta1'!I4279)</f>
        <v>46300</v>
      </c>
      <c r="N187" s="88" t="str">
        <f>IF('Consulta1'!J4279="","",'Consulta1'!J4279)</f>
        <v>45742</v>
      </c>
      <c r="O187" t="str">
        <v>CHIAPAS|A01 001 MARBELLA|20260930|20261005|MCALLEN|CHANITOS INT|CPR01104|20 CONVENCIONAL F4-1</v>
      </c>
      <c r="P187">
        <v>1</v>
      </c>
      <c r="Q187" t="str">
        <v>CHIAPAS|A01 001 MARBELLA|20260930|20261005|MCALLEN|CHANITOS INT|CPR01104|20 CONVENCIONAL F4-1|1</v>
      </c>
      <c r="R187" t="str">
        <v>Programa Embarques 2026 S-40.xlsx</v>
      </c>
    </row>
    <row r="188" spans="1:18" ht="18.75" x14ac:dyDescent="0.25">
      <c r="A188" s="82" t="str">
        <f>IF('Consulta1'!A4280="","",'Consulta1'!A4280)</f>
        <v>Chanitos Premium Granel</v>
      </c>
      <c r="B188" s="82" t="str">
        <f>IF('Consulta1'!B4280="","",'Consulta1'!B4280)</f>
        <v>CPR01101</v>
      </c>
      <c r="C188" s="83" t="str">
        <f>IF('Consulta1'!C4280="","",'Consulta1'!C4280)</f>
        <v>A01001-403009-1</v>
      </c>
      <c r="D188" s="84" t="str">
        <f>IF('Consulta1'!D4280="","",'Consulta1'!D4280)</f>
        <v>A01 001 Marbella</v>
      </c>
      <c r="E188" s="82" t="str">
        <f>IF('Consulta1'!E4280="","",'Consulta1'!E4280)</f>
        <v>CEDA</v>
      </c>
      <c r="F188">
        <f>+IF(E188="","",VLOOKUP(E188,CATALOGO!G:L,6,0))</f>
        <v>0</v>
      </c>
      <c r="G188" s="85">
        <f>IF('Consulta1'!F4280="","",'Consulta1'!F4280)</f>
        <v>212</v>
      </c>
      <c r="H188" s="85" t="str">
        <f>IF('Consulta1'!G4280="","",'Consulta1'!G4280)</f>
        <v>Granel</v>
      </c>
      <c r="I188" s="86">
        <f>IF('Consulta1'!H4280="","",'Consulta1'!H4280)</f>
        <v>46295</v>
      </c>
      <c r="J188">
        <f t="shared" si="2"/>
        <v>40</v>
      </c>
      <c r="K188">
        <f>+IF(E188="","",VLOOKUP(E188,CATALOGO!G:I,2,0))</f>
        <v>1.5</v>
      </c>
      <c r="L188">
        <f>+IF(E188="","",VLOOKUP(E188,CATALOGO!G:I,3,0))</f>
        <v>36</v>
      </c>
      <c r="M188" s="87">
        <f>IF('Consulta1'!I4280="","",'Consulta1'!I4280)</f>
        <v>46298</v>
      </c>
      <c r="N188" s="88" t="str">
        <f>IF('Consulta1'!J4280="","",'Consulta1'!J4280)</f>
        <v>0</v>
      </c>
      <c r="O188" t="str">
        <v>CHIAPAS|A01 001 MARBELLA|20260930|20261003|CEDA|CEDA PISO|CPR01101|CEDA PISO PRODUCTORAS</v>
      </c>
      <c r="P188">
        <v>1</v>
      </c>
      <c r="Q188" t="str">
        <v>CHIAPAS|A01 001 MARBELLA|20260930|20261003|CEDA|CEDA PISO|CPR01101|CEDA PISO PRODUCTORAS|1</v>
      </c>
      <c r="R188" t="str">
        <v>Programa Embarques 2026 S-40.xlsx</v>
      </c>
    </row>
    <row r="189" spans="1:18" ht="18.75" x14ac:dyDescent="0.25">
      <c r="A189" s="82" t="str">
        <f>IF('Consulta1'!A4281="","",'Consulta1'!A4281)</f>
        <v>Platano de Chiapas BAE UPC 3237</v>
      </c>
      <c r="B189" s="82" t="str">
        <f>IF('Consulta1'!B4281="","",'Consulta1'!B4281)</f>
        <v>CPR01114</v>
      </c>
      <c r="C189" s="83" t="str">
        <f>IF('Consulta1'!C4281="","",'Consulta1'!C4281)</f>
        <v>A01002-403009-1</v>
      </c>
      <c r="D189" s="84" t="str">
        <f>IF('Consulta1'!D4281="","",'Consulta1'!D4281)</f>
        <v>A01 002 Fortaleza</v>
      </c>
      <c r="E189" s="82" t="str">
        <f>IF('Consulta1'!E4281="","",'Consulta1'!E4281)</f>
        <v>Chalco</v>
      </c>
      <c r="F189">
        <f>+IF(E189="","",VLOOKUP(E189,CATALOGO!G:L,6,0))</f>
        <v>5</v>
      </c>
      <c r="G189" s="85">
        <f>IF('Consulta1'!F4281="","",'Consulta1'!F4281)</f>
        <v>96</v>
      </c>
      <c r="H189" s="85">
        <f>IF('Consulta1'!G4281="","",'Consulta1'!G4281)</f>
        <v>2</v>
      </c>
      <c r="I189" s="86">
        <f>IF('Consulta1'!H4281="","",'Consulta1'!H4281)</f>
        <v>46295</v>
      </c>
      <c r="J189">
        <f t="shared" si="2"/>
        <v>40</v>
      </c>
      <c r="K189">
        <f>+IF(E189="","",VLOOKUP(E189,CATALOGO!G:I,2,0))</f>
        <v>1</v>
      </c>
      <c r="L189">
        <f>+IF(E189="","",VLOOKUP(E189,CATALOGO!G:I,3,0))</f>
        <v>24</v>
      </c>
      <c r="M189" s="87">
        <f>IF('Consulta1'!I4281="","",'Consulta1'!I4281)</f>
        <v>46300</v>
      </c>
      <c r="N189" s="88" t="str">
        <f>IF('Consulta1'!J4281="","",'Consulta1'!J4281)</f>
        <v>45906</v>
      </c>
      <c r="O189" t="str">
        <v>CHIAPAS|A01 002 FORTALEZA|20260930|20261005|CHALCO|WM|CPR01114|22 CONVENCIONAL Y 96 CAJAS BAE</v>
      </c>
      <c r="P189">
        <v>1</v>
      </c>
      <c r="Q189" t="str">
        <v>CHIAPAS|A01 002 FORTALEZA|20260930|20261005|CHALCO|WM|CPR01114|22 CONVENCIONAL Y 96 CAJAS BAE|1</v>
      </c>
      <c r="R189" t="str">
        <v>Programa Embarques 2026 S-40.xlsx</v>
      </c>
    </row>
    <row r="190" spans="1:18" ht="18.75" x14ac:dyDescent="0.25">
      <c r="A190" s="82" t="str">
        <f>IF('Consulta1'!A4282="","",'Consulta1'!A4282)</f>
        <v>Chanitos Premium Tarima Chep</v>
      </c>
      <c r="B190" s="82" t="str">
        <f>IF('Consulta1'!B4282="","",'Consulta1'!B4282)</f>
        <v>CPR01102</v>
      </c>
      <c r="C190" s="83" t="str">
        <f>IF('Consulta1'!C4282="","",'Consulta1'!C4282)</f>
        <v>A01002-403009-1</v>
      </c>
      <c r="D190" s="84" t="str">
        <f>IF('Consulta1'!D4282="","",'Consulta1'!D4282)</f>
        <v>A01 002 Fortaleza</v>
      </c>
      <c r="E190" s="82" t="str">
        <f>IF('Consulta1'!E4282="","",'Consulta1'!E4282)</f>
        <v>QRO</v>
      </c>
      <c r="F190">
        <f>+IF(E190="","",VLOOKUP(E190,CATALOGO!G:L,6,0))</f>
        <v>3</v>
      </c>
      <c r="G190" s="85">
        <f>IF('Consulta1'!F4282="","",'Consulta1'!F4282)</f>
        <v>1056</v>
      </c>
      <c r="H190" s="85">
        <f>IF('Consulta1'!G4282="","",'Consulta1'!G4282)</f>
        <v>22</v>
      </c>
      <c r="I190" s="86">
        <f>IF('Consulta1'!H4282="","",'Consulta1'!H4282)</f>
        <v>46295</v>
      </c>
      <c r="J190">
        <f t="shared" si="2"/>
        <v>40</v>
      </c>
      <c r="K190">
        <f>+IF(E190="","",VLOOKUP(E190,CATALOGO!G:I,2,0))</f>
        <v>1.5</v>
      </c>
      <c r="L190">
        <f>+IF(E190="","",VLOOKUP(E190,CATALOGO!G:I,3,0))</f>
        <v>36</v>
      </c>
      <c r="M190" s="87">
        <f>IF('Consulta1'!I4282="","",'Consulta1'!I4282)</f>
        <v>46300</v>
      </c>
      <c r="N190" s="88" t="str">
        <f>IF('Consulta1'!J4282="","",'Consulta1'!J4282)</f>
        <v>45769</v>
      </c>
      <c r="O190" t="str">
        <v>CHIAPAS|A01 002 FORTALEZA|20260930|20261005|QRO|WM|CPR01102|22 CONVENCIONAL Y 2 ORG</v>
      </c>
      <c r="P190">
        <v>1</v>
      </c>
      <c r="Q190" t="str">
        <v>CHIAPAS|A01 002 FORTALEZA|20260930|20261005|QRO|WM|CPR01102|22 CONVENCIONAL Y 2 ORG|1</v>
      </c>
      <c r="R190" t="str">
        <v>Programa Embarques 2026 S-40.xlsx</v>
      </c>
    </row>
    <row r="191" spans="1:18" ht="18.75" x14ac:dyDescent="0.25">
      <c r="A191" s="82" t="str">
        <f>IF('Consulta1'!A4283="","",'Consulta1'!A4283)</f>
        <v>Chanitos Organic Banded Market Side Mexico</v>
      </c>
      <c r="B191" s="82" t="str">
        <f>IF('Consulta1'!B4283="","",'Consulta1'!B4283)</f>
        <v>CRG07128</v>
      </c>
      <c r="C191" s="83" t="str">
        <f>IF('Consulta1'!C4283="","",'Consulta1'!C4283)</f>
        <v>A01002-403009-1</v>
      </c>
      <c r="D191" s="84" t="str">
        <f>IF('Consulta1'!D4283="","",'Consulta1'!D4283)</f>
        <v>A01 002 Fortaleza</v>
      </c>
      <c r="E191" s="82" t="str">
        <f>IF('Consulta1'!E4283="","",'Consulta1'!E4283)</f>
        <v>VSA</v>
      </c>
      <c r="F191">
        <f>+IF(E191="","",VLOOKUP(E191,CATALOGO!G:L,6,0))</f>
        <v>6</v>
      </c>
      <c r="G191" s="85">
        <f>IF('Consulta1'!F4283="","",'Consulta1'!F4283)</f>
        <v>240</v>
      </c>
      <c r="H191" s="85">
        <f>IF('Consulta1'!G4283="","",'Consulta1'!G4283)</f>
        <v>5</v>
      </c>
      <c r="I191" s="86">
        <f>IF('Consulta1'!H4283="","",'Consulta1'!H4283)</f>
        <v>46295</v>
      </c>
      <c r="J191">
        <f t="shared" si="2"/>
        <v>40</v>
      </c>
      <c r="K191">
        <f>+IF(E191="","",VLOOKUP(E191,CATALOGO!G:I,2,0))</f>
        <v>1</v>
      </c>
      <c r="L191">
        <f>+IF(E191="","",VLOOKUP(E191,CATALOGO!G:I,3,0))</f>
        <v>24</v>
      </c>
      <c r="M191" s="87">
        <f>IF('Consulta1'!I4283="","",'Consulta1'!I4283)</f>
        <v>46298</v>
      </c>
      <c r="N191" s="88" t="str">
        <f>IF('Consulta1'!J4283="","",'Consulta1'!J4283)</f>
        <v>43796</v>
      </c>
      <c r="O191" t="str">
        <v>CHIAPAS|A01 002 FORTALEZA|20260930|20261003|VSA|WM|CRG07128|19 CONVENCIONAL Y 5 ORG</v>
      </c>
      <c r="P191">
        <v>1</v>
      </c>
      <c r="Q191" t="str">
        <v>CHIAPAS|A01 002 FORTALEZA|20260930|20261003|VSA|WM|CRG07128|19 CONVENCIONAL Y 5 ORG|1</v>
      </c>
      <c r="R191" t="str">
        <v>Programa Embarques 2026 S-40.xlsx</v>
      </c>
    </row>
    <row r="192" spans="1:18" ht="18.75" x14ac:dyDescent="0.25">
      <c r="A192" s="82" t="str">
        <f>IF('Consulta1'!A4284="","",'Consulta1'!A4284)</f>
        <v>Chanitos Premium Tarima Chep</v>
      </c>
      <c r="B192" s="82" t="str">
        <f>IF('Consulta1'!B4284="","",'Consulta1'!B4284)</f>
        <v>CPR01102</v>
      </c>
      <c r="C192" s="83" t="str">
        <f>IF('Consulta1'!C4284="","",'Consulta1'!C4284)</f>
        <v>A01002-403009-1</v>
      </c>
      <c r="D192" s="84" t="str">
        <f>IF('Consulta1'!D4284="","",'Consulta1'!D4284)</f>
        <v>A01 002 Fortaleza</v>
      </c>
      <c r="E192" s="82" t="str">
        <f>IF('Consulta1'!E4284="","",'Consulta1'!E4284)</f>
        <v>CEDA</v>
      </c>
      <c r="F192">
        <f>+IF(E192="","",VLOOKUP(E192,CATALOGO!G:L,6,0))</f>
        <v>0</v>
      </c>
      <c r="G192" s="85">
        <f>IF('Consulta1'!F4284="","",'Consulta1'!F4284)</f>
        <v>48</v>
      </c>
      <c r="H192" s="85">
        <f>IF('Consulta1'!G4284="","",'Consulta1'!G4284)</f>
        <v>1</v>
      </c>
      <c r="I192" s="86">
        <f>IF('Consulta1'!H4284="","",'Consulta1'!H4284)</f>
        <v>46295</v>
      </c>
      <c r="J192">
        <f t="shared" si="2"/>
        <v>40</v>
      </c>
      <c r="K192">
        <f>+IF(E192="","",VLOOKUP(E192,CATALOGO!G:I,2,0))</f>
        <v>1.5</v>
      </c>
      <c r="L192">
        <f>+IF(E192="","",VLOOKUP(E192,CATALOGO!G:I,3,0))</f>
        <v>36</v>
      </c>
      <c r="M192" s="87">
        <f>IF('Consulta1'!I4284="","",'Consulta1'!I4284)</f>
        <v>46297</v>
      </c>
      <c r="N192" s="88" t="str">
        <f>IF('Consulta1'!J4284="","",'Consulta1'!J4284)</f>
        <v>0</v>
      </c>
      <c r="O192" t="str">
        <v>CHIAPAS|A01 002 FORTALEZA|20260930|20261002|CEDA|CEDA AUTOSERVICIO|CPR01102|CEDA</v>
      </c>
      <c r="P192">
        <v>1</v>
      </c>
      <c r="Q192" t="str">
        <v>CHIAPAS|A01 002 FORTALEZA|20260930|20261002|CEDA|CEDA AUTOSERVICIO|CPR01102|CEDA|1</v>
      </c>
      <c r="R192" t="str">
        <v>Programa Embarques 2026 S-40.xlsx</v>
      </c>
    </row>
    <row r="193" spans="1:18" ht="18.75" x14ac:dyDescent="0.25">
      <c r="A193" s="82" t="str">
        <f>IF('Consulta1'!A4285="","",'Consulta1'!A4285)</f>
        <v>Chanitos Premium Granel</v>
      </c>
      <c r="B193" s="82" t="str">
        <f>IF('Consulta1'!B4285="","",'Consulta1'!B4285)</f>
        <v>CPR01101</v>
      </c>
      <c r="C193" s="83" t="str">
        <f>IF('Consulta1'!C4285="","",'Consulta1'!C4285)</f>
        <v>A01002-403009-1</v>
      </c>
      <c r="D193" s="84" t="str">
        <f>IF('Consulta1'!D4285="","",'Consulta1'!D4285)</f>
        <v>A01 002 Fortaleza</v>
      </c>
      <c r="E193" s="82" t="str">
        <f>IF('Consulta1'!E4285="","",'Consulta1'!E4285)</f>
        <v>CEDA</v>
      </c>
      <c r="F193">
        <f>+IF(E193="","",VLOOKUP(E193,CATALOGO!G:L,6,0))</f>
        <v>0</v>
      </c>
      <c r="G193" s="85">
        <f>IF('Consulta1'!F4285="","",'Consulta1'!F4285)</f>
        <v>20</v>
      </c>
      <c r="H193" s="85" t="str">
        <f>IF('Consulta1'!G4285="","",'Consulta1'!G4285)</f>
        <v>Granel</v>
      </c>
      <c r="I193" s="86">
        <f>IF('Consulta1'!H4285="","",'Consulta1'!H4285)</f>
        <v>46295</v>
      </c>
      <c r="J193">
        <f t="shared" si="2"/>
        <v>40</v>
      </c>
      <c r="K193">
        <f>+IF(E193="","",VLOOKUP(E193,CATALOGO!G:I,2,0))</f>
        <v>1.5</v>
      </c>
      <c r="L193">
        <f>+IF(E193="","",VLOOKUP(E193,CATALOGO!G:I,3,0))</f>
        <v>36</v>
      </c>
      <c r="M193" s="87">
        <f>IF('Consulta1'!I4285="","",'Consulta1'!I4285)</f>
        <v>46297</v>
      </c>
      <c r="N193" s="88" t="str">
        <f>IF('Consulta1'!J4285="","",'Consulta1'!J4285)</f>
        <v>0</v>
      </c>
      <c r="O193" t="str">
        <v>CHIAPAS|A01 002 FORTALEZA|20260930|20261002|CEDA|CEDA PISO|CPR01101|CEDA PISO PRODUCTORAS</v>
      </c>
      <c r="P193">
        <v>1</v>
      </c>
      <c r="Q193" t="str">
        <v>CHIAPAS|A01 002 FORTALEZA|20260930|20261002|CEDA|CEDA PISO|CPR01101|CEDA PISO PRODUCTORAS|1</v>
      </c>
      <c r="R193" t="str">
        <v>Programa Embarques 2026 S-40.xlsx</v>
      </c>
    </row>
    <row r="194" spans="1:18" ht="18.75" x14ac:dyDescent="0.25">
      <c r="A194" s="82" t="str">
        <f>IF('Consulta1'!A4286="","",'Consulta1'!A4286)</f>
        <v>Chanitos Plantain 20Kg Tarima Chep</v>
      </c>
      <c r="B194" s="82" t="str">
        <f>IF('Consulta1'!B4286="","",'Consulta1'!B4286)</f>
        <v>CPL08141</v>
      </c>
      <c r="C194" s="83" t="str">
        <f>IF('Consulta1'!C4286="","",'Consulta1'!C4286)</f>
        <v>A41100-400110-1</v>
      </c>
      <c r="D194" s="84" t="str">
        <f>IF('Consulta1'!D4286="","",'Consulta1'!D4286)</f>
        <v>A41 100 Doña Lupe JV</v>
      </c>
      <c r="E194" s="82" t="str">
        <f>IF('Consulta1'!E4286="","",'Consulta1'!E4286)</f>
        <v>CEDA</v>
      </c>
      <c r="F194">
        <f>+IF(E194="","",VLOOKUP(E194,CATALOGO!G:L,6,0))</f>
        <v>0</v>
      </c>
      <c r="G194" s="85">
        <f>IF('Consulta1'!F4286="","",'Consulta1'!F4286)</f>
        <v>480</v>
      </c>
      <c r="H194" s="85">
        <f>IF('Consulta1'!G4286="","",'Consulta1'!G4286)</f>
        <v>10</v>
      </c>
      <c r="I194" s="86">
        <f>IF('Consulta1'!H4286="","",'Consulta1'!H4286)</f>
        <v>46296</v>
      </c>
      <c r="J194">
        <f t="shared" si="2"/>
        <v>40</v>
      </c>
      <c r="K194">
        <f>+IF(E194="","",VLOOKUP(E194,CATALOGO!G:I,2,0))</f>
        <v>1.5</v>
      </c>
      <c r="L194">
        <f>+IF(E194="","",VLOOKUP(E194,CATALOGO!G:I,3,0))</f>
        <v>36</v>
      </c>
      <c r="M194" s="87">
        <f>IF('Consulta1'!I4286="","",'Consulta1'!I4286)</f>
        <v>46298</v>
      </c>
      <c r="N194" s="88" t="str">
        <f>IF('Consulta1'!J4286="","",'Consulta1'!J4286)</f>
        <v>0</v>
      </c>
      <c r="O194" t="str">
        <v>CHIAPAS|A41 100 DONA LUPE JV|20261001|20261003|CEDA|CEDA AUTOSERVICIO|CPL08141|CEDA PLANTAIN</v>
      </c>
      <c r="P194">
        <v>1</v>
      </c>
      <c r="Q194" t="str">
        <v>CHIAPAS|A41 100 DONA LUPE JV|20261001|20261003|CEDA|CEDA AUTOSERVICIO|CPL08141|CEDA PLANTAIN|1</v>
      </c>
      <c r="R194" t="str">
        <v>Programa Embarques 2026 S-40.xlsx</v>
      </c>
    </row>
    <row r="195" spans="1:18" ht="18.75" x14ac:dyDescent="0.25">
      <c r="A195" s="82" t="str">
        <f>IF('Consulta1'!A4287="","",'Consulta1'!A4287)</f>
        <v>Chanitos Plantain 20Kg Tarima Americana</v>
      </c>
      <c r="B195" s="82" t="str">
        <f>IF('Consulta1'!B4287="","",'Consulta1'!B4287)</f>
        <v>CPL08134</v>
      </c>
      <c r="C195" s="83" t="str">
        <f>IF('Consulta1'!C4287="","",'Consulta1'!C4287)</f>
        <v>A41100-400110-1</v>
      </c>
      <c r="D195" s="84" t="str">
        <f>IF('Consulta1'!D4287="","",'Consulta1'!D4287)</f>
        <v>A41 100 Doña Lupe JV</v>
      </c>
      <c r="E195" s="82" t="str">
        <f>IF('Consulta1'!E4287="","",'Consulta1'!E4287)</f>
        <v>CEDA</v>
      </c>
      <c r="F195">
        <f>+IF(E195="","",VLOOKUP(E195,CATALOGO!G:L,6,0))</f>
        <v>0</v>
      </c>
      <c r="G195" s="85">
        <f>IF('Consulta1'!F4287="","",'Consulta1'!F4287)</f>
        <v>144</v>
      </c>
      <c r="H195" s="85">
        <f>IF('Consulta1'!G4287="","",'Consulta1'!G4287)</f>
        <v>3</v>
      </c>
      <c r="I195" s="86">
        <f>IF('Consulta1'!H4287="","",'Consulta1'!H4287)</f>
        <v>46296</v>
      </c>
      <c r="J195">
        <f t="shared" ref="J195:J258" si="3">+IF(E195="","",WEEKNUM(I195))</f>
        <v>40</v>
      </c>
      <c r="K195">
        <f>+IF(E195="","",VLOOKUP(E195,CATALOGO!G:I,2,0))</f>
        <v>1.5</v>
      </c>
      <c r="L195">
        <f>+IF(E195="","",VLOOKUP(E195,CATALOGO!G:I,3,0))</f>
        <v>36</v>
      </c>
      <c r="M195" s="87">
        <f>IF('Consulta1'!I4287="","",'Consulta1'!I4287)</f>
        <v>46298</v>
      </c>
      <c r="N195" s="88" t="str">
        <f>IF('Consulta1'!J4287="","",'Consulta1'!J4287)</f>
        <v/>
      </c>
      <c r="O195" t="str">
        <v>CHIAPAS|A41 100 DONA LUPE JV|20261001|20261003|CEDA|CEDA AUTOSERVICIO|CPL08134|CEDA PLANTAIN</v>
      </c>
      <c r="P195">
        <v>1</v>
      </c>
      <c r="Q195" t="str">
        <v>CHIAPAS|A41 100 DONA LUPE JV|20261001|20261003|CEDA|CEDA AUTOSERVICIO|CPL08134|CEDA PLANTAIN|1</v>
      </c>
      <c r="R195" t="str">
        <v>Programa Embarques 2026 S-40.xlsx</v>
      </c>
    </row>
    <row r="196" spans="1:18" ht="18.75" x14ac:dyDescent="0.25">
      <c r="A196" s="82" t="str">
        <f>IF('Consulta1'!A4288="","",'Consulta1'!A4288)</f>
        <v>Chanitos Premium Tarima Chep</v>
      </c>
      <c r="B196" s="82" t="str">
        <f>IF('Consulta1'!B4288="","",'Consulta1'!B4288)</f>
        <v>CPR01102</v>
      </c>
      <c r="C196" s="83" t="str">
        <f>IF('Consulta1'!C4288="","",'Consulta1'!C4288)</f>
        <v>A04038-400110-1</v>
      </c>
      <c r="D196" s="84" t="str">
        <f>IF('Consulta1'!D4288="","",'Consulta1'!D4288)</f>
        <v>A04 038 El Triunfo Nava</v>
      </c>
      <c r="E196" s="82" t="str">
        <f>IF('Consulta1'!E4288="","",'Consulta1'!E4288)</f>
        <v>VSA</v>
      </c>
      <c r="F196">
        <f>+IF(E196="","",VLOOKUP(E196,CATALOGO!G:L,6,0))</f>
        <v>6</v>
      </c>
      <c r="G196" s="85">
        <f>IF('Consulta1'!F4288="","",'Consulta1'!F4288)</f>
        <v>528</v>
      </c>
      <c r="H196" s="85">
        <f>IF('Consulta1'!G4288="","",'Consulta1'!G4288)</f>
        <v>11</v>
      </c>
      <c r="I196" s="86">
        <f>IF('Consulta1'!H4288="","",'Consulta1'!H4288)</f>
        <v>46296</v>
      </c>
      <c r="J196">
        <f t="shared" si="3"/>
        <v>40</v>
      </c>
      <c r="K196">
        <f>+IF(E196="","",VLOOKUP(E196,CATALOGO!G:I,2,0))</f>
        <v>1</v>
      </c>
      <c r="L196">
        <f>+IF(E196="","",VLOOKUP(E196,CATALOGO!G:I,3,0))</f>
        <v>24</v>
      </c>
      <c r="M196" s="87">
        <f>IF('Consulta1'!I4288="","",'Consulta1'!I4288)</f>
        <v>46299</v>
      </c>
      <c r="N196" s="88" t="str">
        <f>IF('Consulta1'!J4288="","",'Consulta1'!J4288)</f>
        <v>45091</v>
      </c>
      <c r="O196" t="str">
        <v>CHIAPAS|A04 038 EL TRIUNFO NAVA|20261001|20261004|VSA|WM|CPR01102|24 CONVENCIONAL</v>
      </c>
      <c r="P196">
        <v>1</v>
      </c>
      <c r="Q196" t="str">
        <v>CHIAPAS|A04 038 EL TRIUNFO NAVA|20261001|20261004|VSA|WM|CPR01102|24 CONVENCIONAL|1</v>
      </c>
      <c r="R196" t="str">
        <v>Programa Embarques 2026 S-40.xlsx</v>
      </c>
    </row>
    <row r="197" spans="1:18" ht="18.75" x14ac:dyDescent="0.25">
      <c r="A197" s="82" t="str">
        <f>IF('Consulta1'!A4289="","",'Consulta1'!A4289)</f>
        <v>Chanitos Premium EUA Tarima Americana</v>
      </c>
      <c r="B197" s="82" t="str">
        <f>IF('Consulta1'!B4289="","",'Consulta1'!B4289)</f>
        <v>CPR01104</v>
      </c>
      <c r="C197" s="83" t="str">
        <f>IF('Consulta1'!C4289="","",'Consulta1'!C4289)</f>
        <v>A25067-400110-1</v>
      </c>
      <c r="D197" s="84" t="str">
        <f>IF('Consulta1'!D4289="","",'Consulta1'!D4289)</f>
        <v>A25 067 El Cuerudo GT</v>
      </c>
      <c r="E197" s="82" t="str">
        <f>IF('Consulta1'!E4289="","",'Consulta1'!E4289)</f>
        <v>McAllen</v>
      </c>
      <c r="F197">
        <f>+IF(E197="","",VLOOKUP(E197,CATALOGO!G:L,6,0))</f>
        <v>8</v>
      </c>
      <c r="G197" s="85">
        <f>IF('Consulta1'!F4289="","",'Consulta1'!F4289)</f>
        <v>960</v>
      </c>
      <c r="H197" s="85">
        <f>IF('Consulta1'!G4289="","",'Consulta1'!G4289)</f>
        <v>20</v>
      </c>
      <c r="I197" s="86">
        <f>IF('Consulta1'!H4289="","",'Consulta1'!H4289)</f>
        <v>46296</v>
      </c>
      <c r="J197">
        <f t="shared" si="3"/>
        <v>40</v>
      </c>
      <c r="K197">
        <f>+IF(E197="","",VLOOKUP(E197,CATALOGO!G:I,2,0))</f>
        <v>3</v>
      </c>
      <c r="L197">
        <f>+IF(E197="","",VLOOKUP(E197,CATALOGO!G:I,3,0))</f>
        <v>72</v>
      </c>
      <c r="M197" s="87">
        <f>IF('Consulta1'!I4289="","",'Consulta1'!I4289)</f>
        <v>46301</v>
      </c>
      <c r="N197" s="88" t="str">
        <f>IF('Consulta1'!J4289="","",'Consulta1'!J4289)</f>
        <v>45743</v>
      </c>
      <c r="O197" t="str">
        <v>CHIAPAS|A25 067 EL CUERUDO GT|20261001|20261006|MCALLEN|CHANITOS INT|CPR01104|20 CONVENCIONAL F5-1</v>
      </c>
      <c r="P197">
        <v>1</v>
      </c>
      <c r="Q197" t="str">
        <v>CHIAPAS|A25 067 EL CUERUDO GT|20261001|20261006|MCALLEN|CHANITOS INT|CPR01104|20 CONVENCIONAL F5-1|1</v>
      </c>
      <c r="R197" t="str">
        <v>Programa Embarques 2026 S-40.xlsx</v>
      </c>
    </row>
    <row r="198" spans="1:18" ht="18.75" x14ac:dyDescent="0.25">
      <c r="A198" s="82" t="str">
        <f>IF('Consulta1'!A4290="","",'Consulta1'!A4290)</f>
        <v>Chanitos Premium EUA Tarima Americana</v>
      </c>
      <c r="B198" s="82" t="str">
        <f>IF('Consulta1'!B4290="","",'Consulta1'!B4290)</f>
        <v>CPR01104</v>
      </c>
      <c r="C198" s="83" t="str">
        <f>IF('Consulta1'!C4290="","",'Consulta1'!C4290)</f>
        <v>A06043-400110-1</v>
      </c>
      <c r="D198" s="84" t="str">
        <f>IF('Consulta1'!D4290="","",'Consulta1'!D4290)</f>
        <v>A06 043 Nuestra señora</v>
      </c>
      <c r="E198" s="82" t="str">
        <f>IF('Consulta1'!E4290="","",'Consulta1'!E4290)</f>
        <v>McAllen</v>
      </c>
      <c r="F198">
        <f>+IF(E198="","",VLOOKUP(E198,CATALOGO!G:L,6,0))</f>
        <v>8</v>
      </c>
      <c r="G198" s="85">
        <f>IF('Consulta1'!F4290="","",'Consulta1'!F4290)</f>
        <v>528</v>
      </c>
      <c r="H198" s="85">
        <f>IF('Consulta1'!G4290="","",'Consulta1'!G4290)</f>
        <v>11</v>
      </c>
      <c r="I198" s="86">
        <f>IF('Consulta1'!H4290="","",'Consulta1'!H4290)</f>
        <v>46296</v>
      </c>
      <c r="J198">
        <f t="shared" si="3"/>
        <v>40</v>
      </c>
      <c r="K198">
        <f>+IF(E198="","",VLOOKUP(E198,CATALOGO!G:I,2,0))</f>
        <v>3</v>
      </c>
      <c r="L198">
        <f>+IF(E198="","",VLOOKUP(E198,CATALOGO!G:I,3,0))</f>
        <v>72</v>
      </c>
      <c r="M198" s="87">
        <f>IF('Consulta1'!I4290="","",'Consulta1'!I4290)</f>
        <v>46302</v>
      </c>
      <c r="N198" s="88" t="str">
        <f>IF('Consulta1'!J4290="","",'Consulta1'!J4290)</f>
        <v>45746</v>
      </c>
      <c r="O198" t="str">
        <v>CHIAPAS|A06 043 NUESTRA SENORA|20261001|20261007|MCALLEN|CHANITOS INT|CPR01104|20 CONVENCIONAL F5-2</v>
      </c>
      <c r="P198">
        <v>1</v>
      </c>
      <c r="Q198" t="str">
        <v>CHIAPAS|A06 043 NUESTRA SENORA|20261001|20261007|MCALLEN|CHANITOS INT|CPR01104|20 CONVENCIONAL F5-2|1</v>
      </c>
      <c r="R198" t="str">
        <v>Programa Embarques 2026 S-40.xlsx</v>
      </c>
    </row>
    <row r="199" spans="1:18" ht="18.75" x14ac:dyDescent="0.25">
      <c r="A199" s="82" t="str">
        <f>IF('Consulta1'!A4291="","",'Consulta1'!A4291)</f>
        <v>Chanitos Premium EUA Tarima Americana</v>
      </c>
      <c r="B199" s="82" t="str">
        <f>IF('Consulta1'!B4291="","",'Consulta1'!B4291)</f>
        <v>CPR01104</v>
      </c>
      <c r="C199" s="83" t="str">
        <f>IF('Consulta1'!C4291="","",'Consulta1'!C4291)</f>
        <v>A04039-400110-1</v>
      </c>
      <c r="D199" s="84" t="str">
        <f>IF('Consulta1'!D4291="","",'Consulta1'!D4291)</f>
        <v>A04 039 San Jose Morelia Nava</v>
      </c>
      <c r="E199" s="82" t="str">
        <f>IF('Consulta1'!E4291="","",'Consulta1'!E4291)</f>
        <v>McAllen</v>
      </c>
      <c r="F199">
        <f>+IF(E199="","",VLOOKUP(E199,CATALOGO!G:L,6,0))</f>
        <v>8</v>
      </c>
      <c r="G199" s="85">
        <f>IF('Consulta1'!F4291="","",'Consulta1'!F4291)</f>
        <v>672</v>
      </c>
      <c r="H199" s="85">
        <f>IF('Consulta1'!G4291="","",'Consulta1'!G4291)</f>
        <v>14</v>
      </c>
      <c r="I199" s="86">
        <f>IF('Consulta1'!H4291="","",'Consulta1'!H4291)</f>
        <v>46296</v>
      </c>
      <c r="J199">
        <f t="shared" si="3"/>
        <v>40</v>
      </c>
      <c r="K199">
        <f>+IF(E199="","",VLOOKUP(E199,CATALOGO!G:I,2,0))</f>
        <v>3</v>
      </c>
      <c r="L199">
        <f>+IF(E199="","",VLOOKUP(E199,CATALOGO!G:I,3,0))</f>
        <v>72</v>
      </c>
      <c r="M199" s="87">
        <f>IF('Consulta1'!I4291="","",'Consulta1'!I4291)</f>
        <v>46301</v>
      </c>
      <c r="N199" s="88" t="str">
        <f>IF('Consulta1'!J4291="","",'Consulta1'!J4291)</f>
        <v>45744</v>
      </c>
      <c r="O199" t="str">
        <v>CHIAPAS|A04 039 SAN JOSE MORELIA NAVA|20261001|20261006|MCALLEN|CHANITOS INT|CPR01104|20 CONVENCIONAL F4-2</v>
      </c>
      <c r="P199">
        <v>1</v>
      </c>
      <c r="Q199" t="str">
        <v>CHIAPAS|A04 039 SAN JOSE MORELIA NAVA|20261001|20261006|MCALLEN|CHANITOS INT|CPR01104|20 CONVENCIONAL F4-2|1</v>
      </c>
      <c r="R199" t="str">
        <v>Programa Embarques 2026 S-40.xlsx</v>
      </c>
    </row>
    <row r="200" spans="1:18" ht="18.75" x14ac:dyDescent="0.25">
      <c r="A200" s="82" t="str">
        <f>IF('Consulta1'!A4292="","",'Consulta1'!A4292)</f>
        <v>Chanitos Premium Tarima Americana</v>
      </c>
      <c r="B200" s="82" t="str">
        <f>IF('Consulta1'!B4292="","",'Consulta1'!B4292)</f>
        <v>CPR01103</v>
      </c>
      <c r="C200" s="83" t="str">
        <f>IF('Consulta1'!C4292="","",'Consulta1'!C4292)</f>
        <v>A12057-400110-1</v>
      </c>
      <c r="D200" s="84" t="str">
        <f>IF('Consulta1'!D4292="","",'Consulta1'!D4292)</f>
        <v>A12 057 Tiquisate 1</v>
      </c>
      <c r="E200" s="82" t="str">
        <f>IF('Consulta1'!E4292="","",'Consulta1'!E4292)</f>
        <v>Ciudad Juarez</v>
      </c>
      <c r="F200">
        <f>+IF(E200="","",VLOOKUP(E200,CATALOGO!G:L,6,0))</f>
        <v>1</v>
      </c>
      <c r="G200" s="85">
        <f>IF('Consulta1'!F4292="","",'Consulta1'!F4292)</f>
        <v>768</v>
      </c>
      <c r="H200" s="85">
        <f>IF('Consulta1'!G4292="","",'Consulta1'!G4292)</f>
        <v>16</v>
      </c>
      <c r="I200" s="86">
        <f>IF('Consulta1'!H4292="","",'Consulta1'!H4292)</f>
        <v>46296</v>
      </c>
      <c r="J200">
        <f t="shared" si="3"/>
        <v>40</v>
      </c>
      <c r="K200">
        <f>+IF(E200="","",VLOOKUP(E200,CATALOGO!G:I,2,0))</f>
        <v>4</v>
      </c>
      <c r="L200">
        <f>+IF(E200="","",VLOOKUP(E200,CATALOGO!G:I,3,0))</f>
        <v>96</v>
      </c>
      <c r="M200" s="87">
        <f>IF('Consulta1'!I4292="","",'Consulta1'!I4292)</f>
        <v>46302</v>
      </c>
      <c r="N200" s="88" t="str">
        <f>IF('Consulta1'!J4292="","",'Consulta1'!J4292)</f>
        <v>46040</v>
      </c>
      <c r="O200" t="str">
        <v>CHIAPAS|A12 057 TIQUISATE 1|20261001|20261007|CIUDAD JUAREZ|SMART|CPR01103|</v>
      </c>
      <c r="P200">
        <v>1</v>
      </c>
      <c r="Q200" t="str">
        <v>CHIAPAS|A12 057 TIQUISATE 1|20261001|20261007|CIUDAD JUAREZ|SMART|CPR01103||1</v>
      </c>
      <c r="R200" t="str">
        <v>Programa Embarques 2026 S-40.xlsx</v>
      </c>
    </row>
    <row r="201" spans="1:18" ht="18.75" x14ac:dyDescent="0.25">
      <c r="A201" s="82" t="str">
        <f>IF('Consulta1'!A4293="","",'Consulta1'!A4293)</f>
        <v>Chanitos Premium Tarima Americana</v>
      </c>
      <c r="B201" s="82" t="str">
        <f>IF('Consulta1'!B4293="","",'Consulta1'!B4293)</f>
        <v>CPR01103</v>
      </c>
      <c r="C201" s="83" t="str">
        <f>IF('Consulta1'!C4293="","",'Consulta1'!C4293)</f>
        <v>A12057-400110-1</v>
      </c>
      <c r="D201" s="84" t="str">
        <f>IF('Consulta1'!D4293="","",'Consulta1'!D4293)</f>
        <v>A12 057 Tiquisate 1</v>
      </c>
      <c r="E201" s="82" t="str">
        <f>IF('Consulta1'!E4293="","",'Consulta1'!E4293)</f>
        <v>S-MTY</v>
      </c>
      <c r="F201">
        <f>+IF(E201="","",VLOOKUP(E201,CATALOGO!G:L,6,0))</f>
        <v>1</v>
      </c>
      <c r="G201" s="85">
        <f>IF('Consulta1'!F4293="","",'Consulta1'!F4293)</f>
        <v>192</v>
      </c>
      <c r="H201" s="85">
        <f>IF('Consulta1'!G4293="","",'Consulta1'!G4293)</f>
        <v>4</v>
      </c>
      <c r="I201" s="86">
        <f>IF('Consulta1'!H4293="","",'Consulta1'!H4293)</f>
        <v>46296</v>
      </c>
      <c r="J201">
        <f t="shared" si="3"/>
        <v>40</v>
      </c>
      <c r="K201">
        <f>+IF(E201="","",VLOOKUP(E201,CATALOGO!G:I,2,0))</f>
        <v>3</v>
      </c>
      <c r="L201">
        <f>+IF(E201="","",VLOOKUP(E201,CATALOGO!G:I,3,0))</f>
        <v>72</v>
      </c>
      <c r="M201" s="87">
        <f>IF('Consulta1'!I4293="","",'Consulta1'!I4293)</f>
        <v>46302</v>
      </c>
      <c r="N201" s="88" t="str">
        <f>IF('Consulta1'!J4293="","",'Consulta1'!J4293)</f>
        <v>46256</v>
      </c>
      <c r="O201" t="str">
        <v>CHIAPAS|A12 057 TIQUISATE 1|20261001|20261007|S-MTY|SMART|CPR01103|</v>
      </c>
      <c r="P201">
        <v>1</v>
      </c>
      <c r="Q201" t="str">
        <v>CHIAPAS|A12 057 TIQUISATE 1|20261001|20261007|S-MTY|SMART|CPR01103||1</v>
      </c>
      <c r="R201" t="str">
        <v>Programa Embarques 2026 S-40.xlsx</v>
      </c>
    </row>
    <row r="202" spans="1:18" ht="18.75" x14ac:dyDescent="0.25">
      <c r="A202" s="82" t="str">
        <f>IF('Consulta1'!A4294="","",'Consulta1'!A4294)</f>
        <v>Chanitos Premium Tarima Americana</v>
      </c>
      <c r="B202" s="82" t="str">
        <f>IF('Consulta1'!B4294="","",'Consulta1'!B4294)</f>
        <v>CPR01103</v>
      </c>
      <c r="C202" s="83" t="str">
        <f>IF('Consulta1'!C4294="","",'Consulta1'!C4294)</f>
        <v>A04039-400110-1</v>
      </c>
      <c r="D202" s="84" t="str">
        <f>IF('Consulta1'!D4294="","",'Consulta1'!D4294)</f>
        <v>A04 039 San Jose Morelia Nava</v>
      </c>
      <c r="E202" s="82" t="str">
        <f>IF('Consulta1'!E4294="","",'Consulta1'!E4294)</f>
        <v>S-MTY</v>
      </c>
      <c r="F202">
        <f>+IF(E202="","",VLOOKUP(E202,CATALOGO!G:L,6,0))</f>
        <v>1</v>
      </c>
      <c r="G202" s="85">
        <f>IF('Consulta1'!F4294="","",'Consulta1'!F4294)</f>
        <v>960</v>
      </c>
      <c r="H202" s="85">
        <f>IF('Consulta1'!G4294="","",'Consulta1'!G4294)</f>
        <v>20</v>
      </c>
      <c r="I202" s="86">
        <f>IF('Consulta1'!H4294="","",'Consulta1'!H4294)</f>
        <v>46296</v>
      </c>
      <c r="J202">
        <f t="shared" si="3"/>
        <v>40</v>
      </c>
      <c r="K202">
        <f>+IF(E202="","",VLOOKUP(E202,CATALOGO!G:I,2,0))</f>
        <v>3</v>
      </c>
      <c r="L202">
        <f>+IF(E202="","",VLOOKUP(E202,CATALOGO!G:I,3,0))</f>
        <v>72</v>
      </c>
      <c r="M202" s="87">
        <f>IF('Consulta1'!I4294="","",'Consulta1'!I4294)</f>
        <v>46302</v>
      </c>
      <c r="N202" s="88" t="str">
        <f>IF('Consulta1'!J4294="","",'Consulta1'!J4294)</f>
        <v>46256</v>
      </c>
      <c r="O202" t="str">
        <v>CHIAPAS|A04 039 SAN JOSE MORELIA NAVA|20261001|20261007|S-MTY|SMART|CPR01103|</v>
      </c>
      <c r="P202">
        <v>1</v>
      </c>
      <c r="Q202" t="str">
        <v>CHIAPAS|A04 039 SAN JOSE MORELIA NAVA|20261001|20261007|S-MTY|SMART|CPR01103||1</v>
      </c>
      <c r="R202" t="str">
        <v>Programa Embarques 2026 S-40.xlsx</v>
      </c>
    </row>
    <row r="203" spans="1:18" ht="18.75" x14ac:dyDescent="0.25">
      <c r="A203" s="82" t="str">
        <f>IF('Consulta1'!A4295="","",'Consulta1'!A4295)</f>
        <v>Chanitos Premium EUA Tarima Americana</v>
      </c>
      <c r="B203" s="82" t="str">
        <f>IF('Consulta1'!B4295="","",'Consulta1'!B4295)</f>
        <v>CPR01104</v>
      </c>
      <c r="C203" s="83" t="str">
        <f>IF('Consulta1'!C4295="","",'Consulta1'!C4295)</f>
        <v>A36090-400110-1</v>
      </c>
      <c r="D203" s="84" t="str">
        <f>IF('Consulta1'!D4295="","",'Consulta1'!D4295)</f>
        <v>A36 090 Heavy</v>
      </c>
      <c r="E203" s="82" t="str">
        <f>IF('Consulta1'!E4295="","",'Consulta1'!E4295)</f>
        <v>McAllen</v>
      </c>
      <c r="F203">
        <f>+IF(E203="","",VLOOKUP(E203,CATALOGO!G:L,6,0))</f>
        <v>8</v>
      </c>
      <c r="G203" s="85">
        <f>IF('Consulta1'!F4295="","",'Consulta1'!F4295)</f>
        <v>528</v>
      </c>
      <c r="H203" s="85">
        <f>IF('Consulta1'!G4295="","",'Consulta1'!G4295)</f>
        <v>11</v>
      </c>
      <c r="I203" s="86">
        <f>IF('Consulta1'!H4295="","",'Consulta1'!H4295)</f>
        <v>46296</v>
      </c>
      <c r="J203">
        <f t="shared" si="3"/>
        <v>40</v>
      </c>
      <c r="K203">
        <f>+IF(E203="","",VLOOKUP(E203,CATALOGO!G:I,2,0))</f>
        <v>3</v>
      </c>
      <c r="L203">
        <f>+IF(E203="","",VLOOKUP(E203,CATALOGO!G:I,3,0))</f>
        <v>72</v>
      </c>
      <c r="M203" s="87">
        <f>IF('Consulta1'!I4295="","",'Consulta1'!I4295)</f>
        <v>46302</v>
      </c>
      <c r="N203" s="88" t="str">
        <f>IF('Consulta1'!J4295="","",'Consulta1'!J4295)</f>
        <v>45747</v>
      </c>
      <c r="O203" t="str">
        <v>CHIAPAS|A36 090 HEAVY|20261001|20261007|MCALLEN|CHANITOS INT|CPR01104|20 CONVENCIONAL F6-1</v>
      </c>
      <c r="P203">
        <v>1</v>
      </c>
      <c r="Q203" t="str">
        <v>CHIAPAS|A36 090 HEAVY|20261001|20261007|MCALLEN|CHANITOS INT|CPR01104|20 CONVENCIONAL F6-1|1</v>
      </c>
      <c r="R203" t="str">
        <v>Programa Embarques 2026 S-40.xlsx</v>
      </c>
    </row>
    <row r="204" spans="1:18" ht="18.75" x14ac:dyDescent="0.25">
      <c r="A204" s="82" t="str">
        <f>IF('Consulta1'!A4296="","",'Consulta1'!A4296)</f>
        <v>Chanitos Premium Tarima Americana</v>
      </c>
      <c r="B204" s="82" t="str">
        <f>IF('Consulta1'!B4296="","",'Consulta1'!B4296)</f>
        <v>CPR01103</v>
      </c>
      <c r="C204" s="83" t="str">
        <f>IF('Consulta1'!C4296="","",'Consulta1'!C4296)</f>
        <v>A36090-400110-1</v>
      </c>
      <c r="D204" s="84" t="str">
        <f>IF('Consulta1'!D4296="","",'Consulta1'!D4296)</f>
        <v>A36 090 Heavy</v>
      </c>
      <c r="E204" s="82" t="str">
        <f>IF('Consulta1'!E4296="","",'Consulta1'!E4296)</f>
        <v>S-MTY</v>
      </c>
      <c r="F204">
        <f>+IF(E204="","",VLOOKUP(E204,CATALOGO!G:L,6,0))</f>
        <v>1</v>
      </c>
      <c r="G204" s="85">
        <f>IF('Consulta1'!F4296="","",'Consulta1'!F4296)</f>
        <v>960</v>
      </c>
      <c r="H204" s="85">
        <f>IF('Consulta1'!G4296="","",'Consulta1'!G4296)</f>
        <v>20</v>
      </c>
      <c r="I204" s="86">
        <f>IF('Consulta1'!H4296="","",'Consulta1'!H4296)</f>
        <v>46296</v>
      </c>
      <c r="J204">
        <f t="shared" si="3"/>
        <v>40</v>
      </c>
      <c r="K204">
        <f>+IF(E204="","",VLOOKUP(E204,CATALOGO!G:I,2,0))</f>
        <v>3</v>
      </c>
      <c r="L204">
        <f>+IF(E204="","",VLOOKUP(E204,CATALOGO!G:I,3,0))</f>
        <v>72</v>
      </c>
      <c r="M204" s="87">
        <f>IF('Consulta1'!I4296="","",'Consulta1'!I4296)</f>
        <v>46302</v>
      </c>
      <c r="N204" s="88" t="str">
        <f>IF('Consulta1'!J4296="","",'Consulta1'!J4296)</f>
        <v>46821</v>
      </c>
      <c r="O204" t="str">
        <v>CHIAPAS|A36 090 HEAVY|20261001|20261007|S-MTY|SMART|CPR01103|</v>
      </c>
      <c r="P204">
        <v>1</v>
      </c>
      <c r="Q204" t="str">
        <v>CHIAPAS|A36 090 HEAVY|20261001|20261007|S-MTY|SMART|CPR01103||1</v>
      </c>
      <c r="R204" t="str">
        <v>Programa Embarques 2026 S-40.xlsx</v>
      </c>
    </row>
    <row r="205" spans="1:18" ht="18.75" x14ac:dyDescent="0.25">
      <c r="A205" s="82" t="str">
        <f>IF('Consulta1'!A4297="","",'Consulta1'!A4297)</f>
        <v>Chanitos Premium Tarima Chep</v>
      </c>
      <c r="B205" s="82" t="str">
        <f>IF('Consulta1'!B4297="","",'Consulta1'!B4297)</f>
        <v>CPR01102</v>
      </c>
      <c r="C205" s="83" t="str">
        <f>IF('Consulta1'!C4297="","",'Consulta1'!C4297)</f>
        <v>A04038-400110-1</v>
      </c>
      <c r="D205" s="84" t="str">
        <f>IF('Consulta1'!D4297="","",'Consulta1'!D4297)</f>
        <v>A04 038 El Triunfo Nava</v>
      </c>
      <c r="E205" s="82" t="str">
        <f>IF('Consulta1'!E4297="","",'Consulta1'!E4297)</f>
        <v>Chalco</v>
      </c>
      <c r="F205">
        <f>+IF(E205="","",VLOOKUP(E205,CATALOGO!G:L,6,0))</f>
        <v>5</v>
      </c>
      <c r="G205" s="85">
        <f>IF('Consulta1'!F4297="","",'Consulta1'!F4297)</f>
        <v>864</v>
      </c>
      <c r="H205" s="85">
        <f>IF('Consulta1'!G4297="","",'Consulta1'!G4297)</f>
        <v>18</v>
      </c>
      <c r="I205" s="86">
        <f>IF('Consulta1'!H4297="","",'Consulta1'!H4297)</f>
        <v>46296</v>
      </c>
      <c r="J205">
        <f t="shared" si="3"/>
        <v>40</v>
      </c>
      <c r="K205">
        <f>+IF(E205="","",VLOOKUP(E205,CATALOGO!G:I,2,0))</f>
        <v>1</v>
      </c>
      <c r="L205">
        <f>+IF(E205="","",VLOOKUP(E205,CATALOGO!G:I,3,0))</f>
        <v>24</v>
      </c>
      <c r="M205" s="87">
        <f>IF('Consulta1'!I4297="","",'Consulta1'!I4297)</f>
        <v>46303</v>
      </c>
      <c r="N205" s="88" t="str">
        <f>IF('Consulta1'!J4297="","",'Consulta1'!J4297)</f>
        <v>45929</v>
      </c>
      <c r="O205" t="str">
        <v>CHIAPAS|A04 038 EL TRIUNFO NAVA|20261001|20261008|CHALCO|WM|CPR01102|1092 CAJAS CONV Y 60CAJAS BAE</v>
      </c>
      <c r="P205">
        <v>1</v>
      </c>
      <c r="Q205" t="str">
        <v>CHIAPAS|A04 038 EL TRIUNFO NAVA|20261001|20261008|CHALCO|WM|CPR01102|1092 CAJAS CONV Y 60CAJAS BAE|1</v>
      </c>
      <c r="R205" t="str">
        <v>Programa Embarques 2026 S-40.xlsx</v>
      </c>
    </row>
    <row r="206" spans="1:18" ht="18.75" x14ac:dyDescent="0.25">
      <c r="A206" s="82" t="str">
        <f>IF('Consulta1'!A4298="","",'Consulta1'!A4298)</f>
        <v>Chanitos Premium Tarima Chep</v>
      </c>
      <c r="B206" s="82" t="str">
        <f>IF('Consulta1'!B4298="","",'Consulta1'!B4298)</f>
        <v>CPR01102</v>
      </c>
      <c r="C206" s="83" t="str">
        <f>IF('Consulta1'!C4298="","",'Consulta1'!C4298)</f>
        <v>A01003-400110-1</v>
      </c>
      <c r="D206" s="84" t="str">
        <f>IF('Consulta1'!D4298="","",'Consulta1'!D4298)</f>
        <v>A01 003 Doña Nelly</v>
      </c>
      <c r="E206" s="82" t="str">
        <f>IF('Consulta1'!E4298="","",'Consulta1'!E4298)</f>
        <v>SMO</v>
      </c>
      <c r="F206">
        <f>+IF(E206="","",VLOOKUP(E206,CATALOGO!G:L,6,0))</f>
        <v>4</v>
      </c>
      <c r="G206" s="85">
        <f>IF('Consulta1'!F4298="","",'Consulta1'!F4298)</f>
        <v>1152</v>
      </c>
      <c r="H206" s="85">
        <f>IF('Consulta1'!G4298="","",'Consulta1'!G4298)</f>
        <v>24</v>
      </c>
      <c r="I206" s="86">
        <f>IF('Consulta1'!H4298="","",'Consulta1'!H4298)</f>
        <v>46296</v>
      </c>
      <c r="J206">
        <f t="shared" si="3"/>
        <v>40</v>
      </c>
      <c r="K206">
        <f>+IF(E206="","",VLOOKUP(E206,CATALOGO!G:I,2,0))</f>
        <v>1.5</v>
      </c>
      <c r="L206">
        <f>+IF(E206="","",VLOOKUP(E206,CATALOGO!G:I,3,0))</f>
        <v>36</v>
      </c>
      <c r="M206" s="87">
        <f>IF('Consulta1'!I4298="","",'Consulta1'!I4298)</f>
        <v>46301</v>
      </c>
      <c r="N206" s="88" t="str">
        <f>IF('Consulta1'!J4298="","",'Consulta1'!J4298)</f>
        <v>45773</v>
      </c>
      <c r="O206" t="str">
        <v>CHIAPAS|A01 003 DONA NELLY|20261001|20261006|SMO|WM|CPR01102|24 CONVENCIONAL</v>
      </c>
      <c r="P206">
        <v>1</v>
      </c>
      <c r="Q206" t="str">
        <v>CHIAPAS|A01 003 DONA NELLY|20261001|20261006|SMO|WM|CPR01102|24 CONVENCIONAL|1</v>
      </c>
      <c r="R206" t="str">
        <v>Programa Embarques 2026 S-40.xlsx</v>
      </c>
    </row>
    <row r="207" spans="1:18" ht="18.75" x14ac:dyDescent="0.25">
      <c r="A207" s="82" t="str">
        <f>IF('Consulta1'!A4299="","",'Consulta1'!A4299)</f>
        <v>Chanitos Premium Tarima Chep</v>
      </c>
      <c r="B207" s="82" t="str">
        <f>IF('Consulta1'!B4299="","",'Consulta1'!B4299)</f>
        <v>CPR01102</v>
      </c>
      <c r="C207" s="83" t="str">
        <f>IF('Consulta1'!C4299="","",'Consulta1'!C4299)</f>
        <v>A01003-400110-1</v>
      </c>
      <c r="D207" s="84" t="str">
        <f>IF('Consulta1'!D4299="","",'Consulta1'!D4299)</f>
        <v>A01 003 Doña Nelly</v>
      </c>
      <c r="E207" s="82" t="str">
        <f>IF('Consulta1'!E4299="","",'Consulta1'!E4299)</f>
        <v>CEDA</v>
      </c>
      <c r="F207">
        <f>+IF(E207="","",VLOOKUP(E207,CATALOGO!G:L,6,0))</f>
        <v>0</v>
      </c>
      <c r="G207" s="85">
        <f>IF('Consulta1'!F4299="","",'Consulta1'!F4299)</f>
        <v>672</v>
      </c>
      <c r="H207" s="85">
        <f>IF('Consulta1'!G4299="","",'Consulta1'!G4299)</f>
        <v>14</v>
      </c>
      <c r="I207" s="86">
        <f>IF('Consulta1'!H4299="","",'Consulta1'!H4299)</f>
        <v>46296</v>
      </c>
      <c r="J207">
        <f t="shared" si="3"/>
        <v>40</v>
      </c>
      <c r="K207">
        <f>+IF(E207="","",VLOOKUP(E207,CATALOGO!G:I,2,0))</f>
        <v>1.5</v>
      </c>
      <c r="L207">
        <f>+IF(E207="","",VLOOKUP(E207,CATALOGO!G:I,3,0))</f>
        <v>36</v>
      </c>
      <c r="M207" s="87">
        <f>IF('Consulta1'!I4299="","",'Consulta1'!I4299)</f>
        <v>46298</v>
      </c>
      <c r="N207" s="88" t="str">
        <f>IF('Consulta1'!J4299="","",'Consulta1'!J4299)</f>
        <v>0</v>
      </c>
      <c r="O207" t="str">
        <v>CHIAPAS|A01 003 DONA NELLY|20261001|20261003|CEDA|CEDA AUTOSERVICIO|CPR01102|CEDA</v>
      </c>
      <c r="P207">
        <v>1</v>
      </c>
      <c r="Q207" t="str">
        <v>CHIAPAS|A01 003 DONA NELLY|20261001|20261003|CEDA|CEDA AUTOSERVICIO|CPR01102|CEDA|1</v>
      </c>
      <c r="R207" t="str">
        <v>Programa Embarques 2026 S-40.xlsx</v>
      </c>
    </row>
    <row r="208" spans="1:18" ht="18.75" x14ac:dyDescent="0.25">
      <c r="A208" s="82" t="str">
        <f>IF('Consulta1'!A4300="","",'Consulta1'!A4300)</f>
        <v>Chanitos Premium Granel</v>
      </c>
      <c r="B208" s="82" t="str">
        <f>IF('Consulta1'!B4300="","",'Consulta1'!B4300)</f>
        <v>CPR01101</v>
      </c>
      <c r="C208" s="83" t="str">
        <f>IF('Consulta1'!C4300="","",'Consulta1'!C4300)</f>
        <v>A01003-400110-1</v>
      </c>
      <c r="D208" s="84" t="str">
        <f>IF('Consulta1'!D4300="","",'Consulta1'!D4300)</f>
        <v>A01 003 Doña Nelly</v>
      </c>
      <c r="E208" s="82" t="str">
        <f>IF('Consulta1'!E4300="","",'Consulta1'!E4300)</f>
        <v>CEDA</v>
      </c>
      <c r="F208">
        <f>+IF(E208="","",VLOOKUP(E208,CATALOGO!G:L,6,0))</f>
        <v>0</v>
      </c>
      <c r="G208" s="85">
        <f>IF('Consulta1'!F4300="","",'Consulta1'!F4300)</f>
        <v>20</v>
      </c>
      <c r="H208" s="85" t="str">
        <f>IF('Consulta1'!G4300="","",'Consulta1'!G4300)</f>
        <v>Granel</v>
      </c>
      <c r="I208" s="86">
        <f>IF('Consulta1'!H4300="","",'Consulta1'!H4300)</f>
        <v>46296</v>
      </c>
      <c r="J208">
        <f t="shared" si="3"/>
        <v>40</v>
      </c>
      <c r="K208">
        <f>+IF(E208="","",VLOOKUP(E208,CATALOGO!G:I,2,0))</f>
        <v>1.5</v>
      </c>
      <c r="L208">
        <f>+IF(E208="","",VLOOKUP(E208,CATALOGO!G:I,3,0))</f>
        <v>36</v>
      </c>
      <c r="M208" s="87">
        <f>IF('Consulta1'!I4300="","",'Consulta1'!I4300)</f>
        <v>46298</v>
      </c>
      <c r="N208" s="88" t="str">
        <f>IF('Consulta1'!J4300="","",'Consulta1'!J4300)</f>
        <v>0</v>
      </c>
      <c r="O208" t="str">
        <v>CHIAPAS|A01 003 DONA NELLY|20261001|20261003|CEDA|CEDA PISO|CPR01101|CEDA PISO PRODUCTORAS</v>
      </c>
      <c r="P208">
        <v>1</v>
      </c>
      <c r="Q208" t="str">
        <v>CHIAPAS|A01 003 DONA NELLY|20261001|20261003|CEDA|CEDA PISO|CPR01101|CEDA PISO PRODUCTORAS|1</v>
      </c>
      <c r="R208" t="str">
        <v>Programa Embarques 2026 S-40.xlsx</v>
      </c>
    </row>
    <row r="209" spans="1:18" ht="18.75" x14ac:dyDescent="0.25">
      <c r="A209" s="82" t="str">
        <f>IF('Consulta1'!A4301="","",'Consulta1'!A4301)</f>
        <v>Chiquita</v>
      </c>
      <c r="B209" s="82" t="str">
        <f>IF('Consulta1'!B4301="","",'Consulta1'!B4301)</f>
        <v>PRE0001</v>
      </c>
      <c r="C209" s="83" t="str">
        <f>IF('Consulta1'!C4301="","",'Consulta1'!C4301)</f>
        <v>A01001-400110-1</v>
      </c>
      <c r="D209" s="84" t="str">
        <f>IF('Consulta1'!D4301="","",'Consulta1'!D4301)</f>
        <v>A01 001 Marbella</v>
      </c>
      <c r="E209" s="82" t="str">
        <f>IF('Consulta1'!E4301="","",'Consulta1'!E4301)</f>
        <v>Chiquita</v>
      </c>
      <c r="F209">
        <f>+IF(E209="","",VLOOKUP(E209,CATALOGO!G:L,6,0))</f>
        <v>0</v>
      </c>
      <c r="G209" s="85">
        <f>IF('Consulta1'!F4301="","",'Consulta1'!F4301)</f>
        <v>960</v>
      </c>
      <c r="H209" s="85">
        <f>IF('Consulta1'!G4301="","",'Consulta1'!G4301)</f>
        <v>20</v>
      </c>
      <c r="I209" s="86">
        <f>IF('Consulta1'!H4301="","",'Consulta1'!H4301)</f>
        <v>46296</v>
      </c>
      <c r="J209">
        <f t="shared" si="3"/>
        <v>40</v>
      </c>
      <c r="K209">
        <f>+IF(E209="","",VLOOKUP(E209,CATALOGO!G:I,2,0))</f>
        <v>1</v>
      </c>
      <c r="L209">
        <f>+IF(E209="","",VLOOKUP(E209,CATALOGO!G:I,3,0))</f>
        <v>24</v>
      </c>
      <c r="M209" s="87">
        <f>IF('Consulta1'!I4301="","",'Consulta1'!I4301)</f>
        <v>46296</v>
      </c>
      <c r="N209" s="88" t="str">
        <f>IF('Consulta1'!J4301="","",'Consulta1'!J4301)</f>
        <v>Sin OV compatible con fecha, cliente, CEDIS, SKU, zona y cantidad</v>
      </c>
      <c r="O209" t="str">
        <v>CHIAPAS|A01 001 MARBELLA|20261001|20261001|CHIQUITA|CHIQUITA|PRE0001|CHIQUITA</v>
      </c>
      <c r="P209">
        <v>1</v>
      </c>
      <c r="Q209" t="str">
        <v>CHIAPAS|A01 001 MARBELLA|20261001|20261001|CHIQUITA|CHIQUITA|PRE0001|CHIQUITA|1</v>
      </c>
      <c r="R209" t="str">
        <v>Programa Embarques 2026 S-40.xlsx</v>
      </c>
    </row>
    <row r="210" spans="1:18" ht="18.75" x14ac:dyDescent="0.25">
      <c r="A210" s="82" t="str">
        <f>IF('Consulta1'!A4302="","",'Consulta1'!A4302)</f>
        <v>Chanitos Premium Tarima Chep</v>
      </c>
      <c r="B210" s="82" t="str">
        <f>IF('Consulta1'!B4302="","",'Consulta1'!B4302)</f>
        <v>CPR01102</v>
      </c>
      <c r="C210" s="83" t="str">
        <f>IF('Consulta1'!C4302="","",'Consulta1'!C4302)</f>
        <v>A01001-400110-1</v>
      </c>
      <c r="D210" s="84" t="str">
        <f>IF('Consulta1'!D4302="","",'Consulta1'!D4302)</f>
        <v>A01 001 Marbella</v>
      </c>
      <c r="E210" s="82" t="str">
        <f>IF('Consulta1'!E4302="","",'Consulta1'!E4302)</f>
        <v>CEDA</v>
      </c>
      <c r="F210">
        <f>+IF(E210="","",VLOOKUP(E210,CATALOGO!G:L,6,0))</f>
        <v>0</v>
      </c>
      <c r="G210" s="85">
        <f>IF('Consulta1'!F4302="","",'Consulta1'!F4302)</f>
        <v>96</v>
      </c>
      <c r="H210" s="85">
        <f>IF('Consulta1'!G4302="","",'Consulta1'!G4302)</f>
        <v>2</v>
      </c>
      <c r="I210" s="86">
        <f>IF('Consulta1'!H4302="","",'Consulta1'!H4302)</f>
        <v>46296</v>
      </c>
      <c r="J210">
        <f t="shared" si="3"/>
        <v>40</v>
      </c>
      <c r="K210">
        <f>+IF(E210="","",VLOOKUP(E210,CATALOGO!G:I,2,0))</f>
        <v>1.5</v>
      </c>
      <c r="L210">
        <f>+IF(E210="","",VLOOKUP(E210,CATALOGO!G:I,3,0))</f>
        <v>36</v>
      </c>
      <c r="M210" s="87">
        <f>IF('Consulta1'!I4302="","",'Consulta1'!I4302)</f>
        <v>46300</v>
      </c>
      <c r="N210" s="88" t="str">
        <f>IF('Consulta1'!J4302="","",'Consulta1'!J4302)</f>
        <v>0</v>
      </c>
      <c r="O210" t="str">
        <v>CHIAPAS|A01 001 MARBELLA|20261001|20261005|CEDA|CEDA AUTOSERVICIO|CPR01102|CEDA</v>
      </c>
      <c r="P210">
        <v>1</v>
      </c>
      <c r="Q210" t="str">
        <v>CHIAPAS|A01 001 MARBELLA|20261001|20261005|CEDA|CEDA AUTOSERVICIO|CPR01102|CEDA|1</v>
      </c>
      <c r="R210" t="str">
        <v>Programa Embarques 2026 S-40.xlsx</v>
      </c>
    </row>
    <row r="211" spans="1:18" ht="18.75" x14ac:dyDescent="0.25">
      <c r="A211" s="82" t="str">
        <f>IF('Consulta1'!A4303="","",'Consulta1'!A4303)</f>
        <v>Chanitos Premium Granel</v>
      </c>
      <c r="B211" s="82" t="str">
        <f>IF('Consulta1'!B4303="","",'Consulta1'!B4303)</f>
        <v>CPR01101</v>
      </c>
      <c r="C211" s="83" t="str">
        <f>IF('Consulta1'!C4303="","",'Consulta1'!C4303)</f>
        <v>A01001-400110-1</v>
      </c>
      <c r="D211" s="84" t="str">
        <f>IF('Consulta1'!D4303="","",'Consulta1'!D4303)</f>
        <v>A01 001 Marbella</v>
      </c>
      <c r="E211" s="82" t="str">
        <f>IF('Consulta1'!E4303="","",'Consulta1'!E4303)</f>
        <v>CEDA</v>
      </c>
      <c r="F211">
        <f>+IF(E211="","",VLOOKUP(E211,CATALOGO!G:L,6,0))</f>
        <v>0</v>
      </c>
      <c r="G211" s="85">
        <f>IF('Consulta1'!F4303="","",'Consulta1'!F4303)</f>
        <v>338</v>
      </c>
      <c r="H211" s="85" t="str">
        <f>IF('Consulta1'!G4303="","",'Consulta1'!G4303)</f>
        <v>Granel</v>
      </c>
      <c r="I211" s="86">
        <f>IF('Consulta1'!H4303="","",'Consulta1'!H4303)</f>
        <v>46296</v>
      </c>
      <c r="J211">
        <f t="shared" si="3"/>
        <v>40</v>
      </c>
      <c r="K211">
        <f>+IF(E211="","",VLOOKUP(E211,CATALOGO!G:I,2,0))</f>
        <v>1.5</v>
      </c>
      <c r="L211">
        <f>+IF(E211="","",VLOOKUP(E211,CATALOGO!G:I,3,0))</f>
        <v>36</v>
      </c>
      <c r="M211" s="87">
        <f>IF('Consulta1'!I4303="","",'Consulta1'!I4303)</f>
        <v>46300</v>
      </c>
      <c r="N211" s="88" t="str">
        <f>IF('Consulta1'!J4303="","",'Consulta1'!J4303)</f>
        <v>0</v>
      </c>
      <c r="O211" t="str">
        <v>CHIAPAS|A01 001 MARBELLA|20261001|20261005|CEDA|CEDA PISO|CPR01101|CEDA PISO PRODUCTORAS</v>
      </c>
      <c r="P211">
        <v>1</v>
      </c>
      <c r="Q211" t="str">
        <v>CHIAPAS|A01 001 MARBELLA|20261001|20261005|CEDA|CEDA PISO|CPR01101|CEDA PISO PRODUCTORAS|1</v>
      </c>
      <c r="R211" t="str">
        <v>Programa Embarques 2026 S-40.xlsx</v>
      </c>
    </row>
    <row r="212" spans="1:18" ht="18.75" x14ac:dyDescent="0.25">
      <c r="A212" s="82" t="str">
        <f>IF('Consulta1'!A4304="","",'Consulta1'!A4304)</f>
        <v>Chanitos Premium Tarima Chep</v>
      </c>
      <c r="B212" s="82" t="str">
        <f>IF('Consulta1'!B4304="","",'Consulta1'!B4304)</f>
        <v>CPR01102</v>
      </c>
      <c r="C212" s="83" t="str">
        <f>IF('Consulta1'!C4304="","",'Consulta1'!C4304)</f>
        <v>A01002-400110-1</v>
      </c>
      <c r="D212" s="84" t="str">
        <f>IF('Consulta1'!D4304="","",'Consulta1'!D4304)</f>
        <v>A01 002 Fortaleza</v>
      </c>
      <c r="E212" s="82" t="str">
        <f>IF('Consulta1'!E4304="","",'Consulta1'!E4304)</f>
        <v>Chalco</v>
      </c>
      <c r="F212">
        <f>+IF(E212="","",VLOOKUP(E212,CATALOGO!G:L,6,0))</f>
        <v>5</v>
      </c>
      <c r="G212" s="85">
        <f>IF('Consulta1'!F4304="","",'Consulta1'!F4304)</f>
        <v>192</v>
      </c>
      <c r="H212" s="85">
        <f>IF('Consulta1'!G4304="","",'Consulta1'!G4304)</f>
        <v>4</v>
      </c>
      <c r="I212" s="86">
        <f>IF('Consulta1'!H4304="","",'Consulta1'!H4304)</f>
        <v>46296</v>
      </c>
      <c r="J212">
        <f t="shared" si="3"/>
        <v>40</v>
      </c>
      <c r="K212">
        <f>+IF(E212="","",VLOOKUP(E212,CATALOGO!G:I,2,0))</f>
        <v>1</v>
      </c>
      <c r="L212">
        <f>+IF(E212="","",VLOOKUP(E212,CATALOGO!G:I,3,0))</f>
        <v>24</v>
      </c>
      <c r="M212" s="87">
        <f>IF('Consulta1'!I4304="","",'Consulta1'!I4304)</f>
        <v>46300</v>
      </c>
      <c r="N212" s="88" t="str">
        <f>IF('Consulta1'!J4304="","",'Consulta1'!J4304)</f>
        <v>45906</v>
      </c>
      <c r="O212" t="str">
        <v>CHIAPAS|A01 002 FORTALEZA|20261001|20261005|CHALCO|WM|CPR01102|22 CONVENCIONAL Y 96 CAJAS BAE</v>
      </c>
      <c r="P212">
        <v>1</v>
      </c>
      <c r="Q212" t="str">
        <v>CHIAPAS|A01 002 FORTALEZA|20261001|20261005|CHALCO|WM|CPR01102|22 CONVENCIONAL Y 96 CAJAS BAE|1</v>
      </c>
      <c r="R212" t="str">
        <v>Programa Embarques 2026 S-40.xlsx</v>
      </c>
    </row>
    <row r="213" spans="1:18" ht="18.75" x14ac:dyDescent="0.25">
      <c r="A213" s="82" t="str">
        <f>IF('Consulta1'!A4305="","",'Consulta1'!A4305)</f>
        <v>Chanitos Premium Tarima Chep</v>
      </c>
      <c r="B213" s="82" t="str">
        <f>IF('Consulta1'!B4305="","",'Consulta1'!B4305)</f>
        <v>CPR01102</v>
      </c>
      <c r="C213" s="83" t="str">
        <f>IF('Consulta1'!C4305="","",'Consulta1'!C4305)</f>
        <v>A01002-400110-1</v>
      </c>
      <c r="D213" s="84" t="str">
        <f>IF('Consulta1'!D4305="","",'Consulta1'!D4305)</f>
        <v>A01 002 Fortaleza</v>
      </c>
      <c r="E213" s="82" t="str">
        <f>IF('Consulta1'!E4305="","",'Consulta1'!E4305)</f>
        <v>Chalco</v>
      </c>
      <c r="F213">
        <f>+IF(E213="","",VLOOKUP(E213,CATALOGO!G:L,6,0))</f>
        <v>5</v>
      </c>
      <c r="G213" s="85">
        <f>IF('Consulta1'!F4305="","",'Consulta1'!F4305)</f>
        <v>864</v>
      </c>
      <c r="H213" s="85">
        <f>IF('Consulta1'!G4305="","",'Consulta1'!G4305)</f>
        <v>18</v>
      </c>
      <c r="I213" s="86">
        <f>IF('Consulta1'!H4305="","",'Consulta1'!H4305)</f>
        <v>46296</v>
      </c>
      <c r="J213">
        <f t="shared" si="3"/>
        <v>40</v>
      </c>
      <c r="K213">
        <f>+IF(E213="","",VLOOKUP(E213,CATALOGO!G:I,2,0))</f>
        <v>1</v>
      </c>
      <c r="L213">
        <f>+IF(E213="","",VLOOKUP(E213,CATALOGO!G:I,3,0))</f>
        <v>24</v>
      </c>
      <c r="M213" s="87">
        <f>IF('Consulta1'!I4305="","",'Consulta1'!I4305)</f>
        <v>46300</v>
      </c>
      <c r="N213" s="88" t="str">
        <f>IF('Consulta1'!J4305="","",'Consulta1'!J4305)</f>
        <v>45906</v>
      </c>
      <c r="O213" t="str">
        <v>CHIAPAS|A01 002 FORTALEZA|20261001|20261005|CHALCO|WM|CPR01102|22 CONVENCIONAL Y 96 CAJAS BAE</v>
      </c>
      <c r="P213">
        <v>2</v>
      </c>
      <c r="Q213" t="str">
        <v>CHIAPAS|A01 002 FORTALEZA|20261001|20261005|CHALCO|WM|CPR01102|22 CONVENCIONAL Y 96 CAJAS BAE|2</v>
      </c>
      <c r="R213" t="str">
        <v>Programa Embarques 2026 S-40.xlsx</v>
      </c>
    </row>
    <row r="214" spans="1:18" ht="18.75" x14ac:dyDescent="0.25">
      <c r="A214" s="82" t="str">
        <f>IF('Consulta1'!A4306="","",'Consulta1'!A4306)</f>
        <v>Chanitos Premium Tarima Chep</v>
      </c>
      <c r="B214" s="82" t="str">
        <f>IF('Consulta1'!B4306="","",'Consulta1'!B4306)</f>
        <v>CPR01102</v>
      </c>
      <c r="C214" s="83" t="str">
        <f>IF('Consulta1'!C4306="","",'Consulta1'!C4306)</f>
        <v>A01002-400110-1</v>
      </c>
      <c r="D214" s="84" t="str">
        <f>IF('Consulta1'!D4306="","",'Consulta1'!D4306)</f>
        <v>A01 002 Fortaleza</v>
      </c>
      <c r="E214" s="82" t="str">
        <f>IF('Consulta1'!E4306="","",'Consulta1'!E4306)</f>
        <v>Chalco</v>
      </c>
      <c r="F214">
        <f>+IF(E214="","",VLOOKUP(E214,CATALOGO!G:L,6,0))</f>
        <v>5</v>
      </c>
      <c r="G214" s="85">
        <f>IF('Consulta1'!F4306="","",'Consulta1'!F4306)</f>
        <v>96</v>
      </c>
      <c r="H214" s="85">
        <f>IF('Consulta1'!G4306="","",'Consulta1'!G4306)</f>
        <v>2</v>
      </c>
      <c r="I214" s="86">
        <f>IF('Consulta1'!H4306="","",'Consulta1'!H4306)</f>
        <v>46296</v>
      </c>
      <c r="J214">
        <f t="shared" si="3"/>
        <v>40</v>
      </c>
      <c r="K214">
        <f>+IF(E214="","",VLOOKUP(E214,CATALOGO!G:I,2,0))</f>
        <v>1</v>
      </c>
      <c r="L214">
        <f>+IF(E214="","",VLOOKUP(E214,CATALOGO!G:I,3,0))</f>
        <v>24</v>
      </c>
      <c r="M214" s="87">
        <f>IF('Consulta1'!I4306="","",'Consulta1'!I4306)</f>
        <v>46303</v>
      </c>
      <c r="N214" s="88" t="str">
        <f>IF('Consulta1'!J4306="","",'Consulta1'!J4306)</f>
        <v>45929</v>
      </c>
      <c r="O214" t="str">
        <v>CHIAPAS|A01 002 FORTALEZA|20261001|20261008|CHALCO|WM|CPR01102|1092 CAJAS CONV Y 60CAJAS BAE</v>
      </c>
      <c r="P214">
        <v>1</v>
      </c>
      <c r="Q214" t="str">
        <v>CHIAPAS|A01 002 FORTALEZA|20261001|20261008|CHALCO|WM|CPR01102|1092 CAJAS CONV Y 60CAJAS BAE|1</v>
      </c>
      <c r="R214" t="str">
        <v>Programa Embarques 2026 S-40.xlsx</v>
      </c>
    </row>
    <row r="215" spans="1:18" ht="18.75" x14ac:dyDescent="0.25">
      <c r="A215" s="82" t="str">
        <f>IF('Consulta1'!A4307="","",'Consulta1'!A4307)</f>
        <v>Chanitos Organic Banded Market Side Mexico</v>
      </c>
      <c r="B215" s="82" t="str">
        <f>IF('Consulta1'!B4307="","",'Consulta1'!B4307)</f>
        <v>CRG07128</v>
      </c>
      <c r="C215" s="83" t="str">
        <f>IF('Consulta1'!C4307="","",'Consulta1'!C4307)</f>
        <v>A01002-400110-1</v>
      </c>
      <c r="D215" s="84" t="str">
        <f>IF('Consulta1'!D4307="","",'Consulta1'!D4307)</f>
        <v>A01 002 Fortaleza</v>
      </c>
      <c r="E215" s="82" t="str">
        <f>IF('Consulta1'!E4307="","",'Consulta1'!E4307)</f>
        <v>QRO</v>
      </c>
      <c r="F215">
        <f>+IF(E215="","",VLOOKUP(E215,CATALOGO!G:L,6,0))</f>
        <v>3</v>
      </c>
      <c r="G215" s="85">
        <f>IF('Consulta1'!F4307="","",'Consulta1'!F4307)</f>
        <v>96</v>
      </c>
      <c r="H215" s="85">
        <f>IF('Consulta1'!G4307="","",'Consulta1'!G4307)</f>
        <v>2</v>
      </c>
      <c r="I215" s="86">
        <f>IF('Consulta1'!H4307="","",'Consulta1'!H4307)</f>
        <v>46296</v>
      </c>
      <c r="J215">
        <f t="shared" si="3"/>
        <v>40</v>
      </c>
      <c r="K215">
        <f>+IF(E215="","",VLOOKUP(E215,CATALOGO!G:I,2,0))</f>
        <v>1.5</v>
      </c>
      <c r="L215">
        <f>+IF(E215="","",VLOOKUP(E215,CATALOGO!G:I,3,0))</f>
        <v>36</v>
      </c>
      <c r="M215" s="87">
        <f>IF('Consulta1'!I4307="","",'Consulta1'!I4307)</f>
        <v>46300</v>
      </c>
      <c r="N215" s="88" t="str">
        <f>IF('Consulta1'!J4307="","",'Consulta1'!J4307)</f>
        <v>45769</v>
      </c>
      <c r="O215" t="str">
        <v>CHIAPAS|A01 002 FORTALEZA|20261001|20261005|QRO|WM|CRG07128|22 CONVENCIONAL Y 2 ORG</v>
      </c>
      <c r="P215">
        <v>1</v>
      </c>
      <c r="Q215" t="str">
        <v>CHIAPAS|A01 002 FORTALEZA|20261001|20261005|QRO|WM|CRG07128|22 CONVENCIONAL Y 2 ORG|1</v>
      </c>
      <c r="R215" t="str">
        <v>Programa Embarques 2026 S-40.xlsx</v>
      </c>
    </row>
    <row r="216" spans="1:18" ht="18.75" x14ac:dyDescent="0.25">
      <c r="A216" s="82" t="str">
        <f>IF('Consulta1'!A4308="","",'Consulta1'!A4308)</f>
        <v>Chanitos Organic Banded Market Side Mexico</v>
      </c>
      <c r="B216" s="82" t="str">
        <f>IF('Consulta1'!B4308="","",'Consulta1'!B4308)</f>
        <v>CRG07128</v>
      </c>
      <c r="C216" s="83" t="str">
        <f>IF('Consulta1'!C4308="","",'Consulta1'!C4308)</f>
        <v>A01002-400110-1</v>
      </c>
      <c r="D216" s="84" t="str">
        <f>IF('Consulta1'!D4308="","",'Consulta1'!D4308)</f>
        <v>A01 002 Fortaleza</v>
      </c>
      <c r="E216" s="82" t="str">
        <f>IF('Consulta1'!E4308="","",'Consulta1'!E4308)</f>
        <v>VSA</v>
      </c>
      <c r="F216">
        <f>+IF(E216="","",VLOOKUP(E216,CATALOGO!G:L,6,0))</f>
        <v>6</v>
      </c>
      <c r="G216" s="85">
        <f>IF('Consulta1'!F4308="","",'Consulta1'!F4308)</f>
        <v>288</v>
      </c>
      <c r="H216" s="85">
        <f>IF('Consulta1'!G4308="","",'Consulta1'!G4308)</f>
        <v>6</v>
      </c>
      <c r="I216" s="86">
        <f>IF('Consulta1'!H4308="","",'Consulta1'!H4308)</f>
        <v>46296</v>
      </c>
      <c r="J216">
        <f t="shared" si="3"/>
        <v>40</v>
      </c>
      <c r="K216">
        <f>+IF(E216="","",VLOOKUP(E216,CATALOGO!G:I,2,0))</f>
        <v>1</v>
      </c>
      <c r="L216">
        <f>+IF(E216="","",VLOOKUP(E216,CATALOGO!G:I,3,0))</f>
        <v>24</v>
      </c>
      <c r="M216" s="87">
        <f>IF('Consulta1'!I4308="","",'Consulta1'!I4308)</f>
        <v>46300</v>
      </c>
      <c r="N216" s="88" t="str">
        <f>IF('Consulta1'!J4308="","",'Consulta1'!J4308)</f>
        <v>43797</v>
      </c>
      <c r="O216" t="str">
        <v>CHIAPAS|A01 002 FORTALEZA|20261001|20261005|VSA|WM|CRG07128|18 CONVENCIONAL Y 6 ORGANICO</v>
      </c>
      <c r="P216">
        <v>1</v>
      </c>
      <c r="Q216" t="str">
        <v>CHIAPAS|A01 002 FORTALEZA|20261001|20261005|VSA|WM|CRG07128|18 CONVENCIONAL Y 6 ORGANICO|1</v>
      </c>
      <c r="R216" t="str">
        <v>Programa Embarques 2026 S-40.xlsx</v>
      </c>
    </row>
    <row r="217" spans="1:18" ht="18.75" x14ac:dyDescent="0.25">
      <c r="A217" s="82" t="str">
        <f>IF('Consulta1'!A4309="","",'Consulta1'!A4309)</f>
        <v>Chanitos Premium Granel</v>
      </c>
      <c r="B217" s="82" t="str">
        <f>IF('Consulta1'!B4309="","",'Consulta1'!B4309)</f>
        <v>CPR01101</v>
      </c>
      <c r="C217" s="83" t="str">
        <f>IF('Consulta1'!C4309="","",'Consulta1'!C4309)</f>
        <v>A01002-400110-1</v>
      </c>
      <c r="D217" s="84" t="str">
        <f>IF('Consulta1'!D4309="","",'Consulta1'!D4309)</f>
        <v>A01 002 Fortaleza</v>
      </c>
      <c r="E217" s="82" t="str">
        <f>IF('Consulta1'!E4309="","",'Consulta1'!E4309)</f>
        <v>CEDA</v>
      </c>
      <c r="F217">
        <f>+IF(E217="","",VLOOKUP(E217,CATALOGO!G:L,6,0))</f>
        <v>0</v>
      </c>
      <c r="G217" s="85">
        <f>IF('Consulta1'!F4309="","",'Consulta1'!F4309)</f>
        <v>26</v>
      </c>
      <c r="H217" s="85" t="str">
        <f>IF('Consulta1'!G4309="","",'Consulta1'!G4309)</f>
        <v>Granel</v>
      </c>
      <c r="I217" s="86">
        <f>IF('Consulta1'!H4309="","",'Consulta1'!H4309)</f>
        <v>46296</v>
      </c>
      <c r="J217">
        <f t="shared" si="3"/>
        <v>40</v>
      </c>
      <c r="K217">
        <f>+IF(E217="","",VLOOKUP(E217,CATALOGO!G:I,2,0))</f>
        <v>1.5</v>
      </c>
      <c r="L217">
        <f>+IF(E217="","",VLOOKUP(E217,CATALOGO!G:I,3,0))</f>
        <v>36</v>
      </c>
      <c r="M217" s="87">
        <f>IF('Consulta1'!I4309="","",'Consulta1'!I4309)</f>
        <v>46300</v>
      </c>
      <c r="N217" s="88" t="str">
        <f>IF('Consulta1'!J4309="","",'Consulta1'!J4309)</f>
        <v>0</v>
      </c>
      <c r="O217" t="str">
        <v>CHIAPAS|A01 002 FORTALEZA|20261001|20261005|CEDA|CEDA PISO|CPR01101|CEDA PISO PRODUCTORAS</v>
      </c>
      <c r="P217">
        <v>1</v>
      </c>
      <c r="Q217" t="str">
        <v>CHIAPAS|A01 002 FORTALEZA|20261001|20261005|CEDA|CEDA PISO|CPR01101|CEDA PISO PRODUCTORAS|1</v>
      </c>
      <c r="R217" t="str">
        <v>Programa Embarques 2026 S-40.xlsx</v>
      </c>
    </row>
    <row r="218" spans="1:18" ht="18.75" x14ac:dyDescent="0.25">
      <c r="A218" s="82" t="str">
        <f>IF('Consulta1'!A4310="","",'Consulta1'!A4310)</f>
        <v>Chanitos Premium Tarima Chep</v>
      </c>
      <c r="B218" s="82" t="str">
        <f>IF('Consulta1'!B4310="","",'Consulta1'!B4310)</f>
        <v>CPR01102</v>
      </c>
      <c r="C218" s="83" t="str">
        <f>IF('Consulta1'!C4310="","",'Consulta1'!C4310)</f>
        <v>A04038-400210-1</v>
      </c>
      <c r="D218" s="84" t="str">
        <f>IF('Consulta1'!D4310="","",'Consulta1'!D4310)</f>
        <v>A04 038 El Triunfo Nava</v>
      </c>
      <c r="E218" s="82" t="str">
        <f>IF('Consulta1'!E4310="","",'Consulta1'!E4310)</f>
        <v>VSA</v>
      </c>
      <c r="F218">
        <f>+IF(E218="","",VLOOKUP(E218,CATALOGO!G:L,6,0))</f>
        <v>6</v>
      </c>
      <c r="G218" s="85">
        <f>IF('Consulta1'!F4310="","",'Consulta1'!F4310)</f>
        <v>864</v>
      </c>
      <c r="H218" s="85">
        <f>IF('Consulta1'!G4310="","",'Consulta1'!G4310)</f>
        <v>18</v>
      </c>
      <c r="I218" s="86">
        <f>IF('Consulta1'!H4310="","",'Consulta1'!H4310)</f>
        <v>46297</v>
      </c>
      <c r="J218">
        <f t="shared" si="3"/>
        <v>40</v>
      </c>
      <c r="K218">
        <f>+IF(E218="","",VLOOKUP(E218,CATALOGO!G:I,2,0))</f>
        <v>1</v>
      </c>
      <c r="L218">
        <f>+IF(E218="","",VLOOKUP(E218,CATALOGO!G:I,3,0))</f>
        <v>24</v>
      </c>
      <c r="M218" s="87">
        <f>IF('Consulta1'!I4310="","",'Consulta1'!I4310)</f>
        <v>46300</v>
      </c>
      <c r="N218" s="88" t="str">
        <f>IF('Consulta1'!J4310="","",'Consulta1'!J4310)</f>
        <v>41957</v>
      </c>
      <c r="O218" t="str">
        <v>CHIAPAS|A04 038 EL TRIUNFO NAVA|20261002|20261005|VSA|WM|CPR01102|18 CONVENCIONAL Y 6 ORGANICO</v>
      </c>
      <c r="P218">
        <v>1</v>
      </c>
      <c r="Q218" t="str">
        <v>CHIAPAS|A04 038 EL TRIUNFO NAVA|20261002|20261005|VSA|WM|CPR01102|18 CONVENCIONAL Y 6 ORGANICO|1</v>
      </c>
      <c r="R218" t="str">
        <v>Programa Embarques 2026 S-40.xlsx</v>
      </c>
    </row>
    <row r="219" spans="1:18" ht="18.75" x14ac:dyDescent="0.25">
      <c r="A219" s="82" t="str">
        <f>IF('Consulta1'!A4311="","",'Consulta1'!A4311)</f>
        <v>Chanitos Premium Tarima Americana</v>
      </c>
      <c r="B219" s="82" t="str">
        <f>IF('Consulta1'!B4311="","",'Consulta1'!B4311)</f>
        <v>CPR01103</v>
      </c>
      <c r="C219" s="83" t="str">
        <f>IF('Consulta1'!C4311="","",'Consulta1'!C4311)</f>
        <v>A25022-400210-1</v>
      </c>
      <c r="D219" s="84" t="str">
        <f>IF('Consulta1'!D4311="","",'Consulta1'!D4311)</f>
        <v>A25 022 Doña Mildred</v>
      </c>
      <c r="E219" s="82" t="str">
        <f>IF('Consulta1'!E4311="","",'Consulta1'!E4311)</f>
        <v>Ciudad Juarez</v>
      </c>
      <c r="F219">
        <f>+IF(E219="","",VLOOKUP(E219,CATALOGO!G:L,6,0))</f>
        <v>1</v>
      </c>
      <c r="G219" s="85">
        <f>IF('Consulta1'!F4311="","",'Consulta1'!F4311)</f>
        <v>960</v>
      </c>
      <c r="H219" s="85">
        <f>IF('Consulta1'!G4311="","",'Consulta1'!G4311)</f>
        <v>20</v>
      </c>
      <c r="I219" s="86">
        <f>IF('Consulta1'!H4311="","",'Consulta1'!H4311)</f>
        <v>46297</v>
      </c>
      <c r="J219">
        <f t="shared" si="3"/>
        <v>40</v>
      </c>
      <c r="K219">
        <f>+IF(E219="","",VLOOKUP(E219,CATALOGO!G:I,2,0))</f>
        <v>4</v>
      </c>
      <c r="L219">
        <f>+IF(E219="","",VLOOKUP(E219,CATALOGO!G:I,3,0))</f>
        <v>96</v>
      </c>
      <c r="M219" s="87">
        <f>IF('Consulta1'!I4311="","",'Consulta1'!I4311)</f>
        <v>46304</v>
      </c>
      <c r="N219" s="88" t="str">
        <f>IF('Consulta1'!J4311="","",'Consulta1'!J4311)</f>
        <v>46822</v>
      </c>
      <c r="O219" t="str">
        <v>CHIAPAS|A25 022 DONA MILDRED|20261002|20261009|CIUDAD JUAREZ|SMART|CPR01103|</v>
      </c>
      <c r="P219">
        <v>1</v>
      </c>
      <c r="Q219" t="str">
        <v>CHIAPAS|A25 022 DONA MILDRED|20261002|20261009|CIUDAD JUAREZ|SMART|CPR01103||1</v>
      </c>
      <c r="R219" t="str">
        <v>Programa Embarques 2026 S-40.xlsx</v>
      </c>
    </row>
    <row r="220" spans="1:18" ht="18.75" x14ac:dyDescent="0.25">
      <c r="A220" s="82" t="str">
        <f>IF('Consulta1'!A4312="","",'Consulta1'!A4312)</f>
        <v>Chanitos Premium Tarima Americana</v>
      </c>
      <c r="B220" s="82" t="str">
        <f>IF('Consulta1'!B4312="","",'Consulta1'!B4312)</f>
        <v>CPR01103</v>
      </c>
      <c r="C220" s="83" t="str">
        <f>IF('Consulta1'!C4312="","",'Consulta1'!C4312)</f>
        <v>A05042-400210-1</v>
      </c>
      <c r="D220" s="84" t="str">
        <f>IF('Consulta1'!D4312="","",'Consulta1'!D4312)</f>
        <v>A05 042 El Conde</v>
      </c>
      <c r="E220" s="82" t="str">
        <f>IF('Consulta1'!E4312="","",'Consulta1'!E4312)</f>
        <v>S-MTY</v>
      </c>
      <c r="F220">
        <f>+IF(E220="","",VLOOKUP(E220,CATALOGO!G:L,6,0))</f>
        <v>1</v>
      </c>
      <c r="G220" s="85">
        <f>IF('Consulta1'!F4312="","",'Consulta1'!F4312)</f>
        <v>768</v>
      </c>
      <c r="H220" s="85">
        <f>IF('Consulta1'!G4312="","",'Consulta1'!G4312)</f>
        <v>16</v>
      </c>
      <c r="I220" s="86">
        <f>IF('Consulta1'!H4312="","",'Consulta1'!H4312)</f>
        <v>46297</v>
      </c>
      <c r="J220">
        <f t="shared" si="3"/>
        <v>40</v>
      </c>
      <c r="K220">
        <f>+IF(E220="","",VLOOKUP(E220,CATALOGO!G:I,2,0))</f>
        <v>3</v>
      </c>
      <c r="L220">
        <f>+IF(E220="","",VLOOKUP(E220,CATALOGO!G:I,3,0))</f>
        <v>72</v>
      </c>
      <c r="M220" s="87">
        <f>IF('Consulta1'!I4312="","",'Consulta1'!I4312)</f>
        <v>46302</v>
      </c>
      <c r="N220" s="88" t="str">
        <f>IF('Consulta1'!J4312="","",'Consulta1'!J4312)</f>
        <v>46821</v>
      </c>
      <c r="O220" t="str">
        <v>CHIAPAS|A05 042 EL CONDE|20261002|20261007|S-MTY|SMART|CPR01103|</v>
      </c>
      <c r="P220">
        <v>1</v>
      </c>
      <c r="Q220" t="str">
        <v>CHIAPAS|A05 042 EL CONDE|20261002|20261007|S-MTY|SMART|CPR01103||1</v>
      </c>
      <c r="R220" t="str">
        <v>Programa Embarques 2026 S-40.xlsx</v>
      </c>
    </row>
    <row r="221" spans="1:18" ht="18.75" x14ac:dyDescent="0.25">
      <c r="A221" s="82" t="str">
        <f>IF('Consulta1'!A4313="","",'Consulta1'!A4313)</f>
        <v>Chanitos Premium Tarima Americana</v>
      </c>
      <c r="B221" s="82" t="str">
        <f>IF('Consulta1'!B4313="","",'Consulta1'!B4313)</f>
        <v>CPR01103</v>
      </c>
      <c r="C221" s="83" t="str">
        <f>IF('Consulta1'!C4313="","",'Consulta1'!C4313)</f>
        <v>A05042-400210-1</v>
      </c>
      <c r="D221" s="84" t="str">
        <f>IF('Consulta1'!D4313="","",'Consulta1'!D4313)</f>
        <v>A05 042 El Conde</v>
      </c>
      <c r="E221" s="82" t="str">
        <f>IF('Consulta1'!E4313="","",'Consulta1'!E4313)</f>
        <v>S-MTY</v>
      </c>
      <c r="F221">
        <f>+IF(E221="","",VLOOKUP(E221,CATALOGO!G:L,6,0))</f>
        <v>1</v>
      </c>
      <c r="G221" s="85">
        <f>IF('Consulta1'!F4313="","",'Consulta1'!F4313)</f>
        <v>192</v>
      </c>
      <c r="H221" s="85">
        <f>IF('Consulta1'!G4313="","",'Consulta1'!G4313)</f>
        <v>4</v>
      </c>
      <c r="I221" s="86">
        <f>IF('Consulta1'!H4313="","",'Consulta1'!H4313)</f>
        <v>46297</v>
      </c>
      <c r="J221">
        <f t="shared" si="3"/>
        <v>40</v>
      </c>
      <c r="K221">
        <f>+IF(E221="","",VLOOKUP(E221,CATALOGO!G:I,2,0))</f>
        <v>3</v>
      </c>
      <c r="L221">
        <f>+IF(E221="","",VLOOKUP(E221,CATALOGO!G:I,3,0))</f>
        <v>72</v>
      </c>
      <c r="M221" s="87">
        <f>IF('Consulta1'!I4313="","",'Consulta1'!I4313)</f>
        <v>46302</v>
      </c>
      <c r="N221" s="88" t="str">
        <f>IF('Consulta1'!J4313="","",'Consulta1'!J4313)</f>
        <v>46821</v>
      </c>
      <c r="O221" t="str">
        <v>CHIAPAS|A05 042 EL CONDE|20261002|20261007|S-MTY|SMART|CPR01103|</v>
      </c>
      <c r="P221">
        <v>2</v>
      </c>
      <c r="Q221" t="str">
        <v>CHIAPAS|A05 042 EL CONDE|20261002|20261007|S-MTY|SMART|CPR01103||2</v>
      </c>
      <c r="R221" t="str">
        <v>Programa Embarques 2026 S-40.xlsx</v>
      </c>
    </row>
    <row r="222" spans="1:18" ht="18.75" x14ac:dyDescent="0.25">
      <c r="A222" s="82" t="str">
        <f>IF('Consulta1'!A4314="","",'Consulta1'!A4314)</f>
        <v>Chanitos Premium EUA Tarima Americana</v>
      </c>
      <c r="B222" s="82" t="str">
        <f>IF('Consulta1'!B4314="","",'Consulta1'!B4314)</f>
        <v>CPR01104</v>
      </c>
      <c r="C222" s="83" t="str">
        <f>IF('Consulta1'!C4314="","",'Consulta1'!C4314)</f>
        <v>A06043-400210-1</v>
      </c>
      <c r="D222" s="84" t="str">
        <f>IF('Consulta1'!D4314="","",'Consulta1'!D4314)</f>
        <v>A06 043 Nuestra señora</v>
      </c>
      <c r="E222" s="82" t="str">
        <f>IF('Consulta1'!E4314="","",'Consulta1'!E4314)</f>
        <v>McAllen</v>
      </c>
      <c r="F222">
        <f>+IF(E222="","",VLOOKUP(E222,CATALOGO!G:L,6,0))</f>
        <v>8</v>
      </c>
      <c r="G222" s="85">
        <f>IF('Consulta1'!F4314="","",'Consulta1'!F4314)</f>
        <v>432</v>
      </c>
      <c r="H222" s="85">
        <f>IF('Consulta1'!G4314="","",'Consulta1'!G4314)</f>
        <v>9</v>
      </c>
      <c r="I222" s="86">
        <f>IF('Consulta1'!H4314="","",'Consulta1'!H4314)</f>
        <v>46297</v>
      </c>
      <c r="J222">
        <f t="shared" si="3"/>
        <v>40</v>
      </c>
      <c r="K222">
        <f>+IF(E222="","",VLOOKUP(E222,CATALOGO!G:I,2,0))</f>
        <v>3</v>
      </c>
      <c r="L222">
        <f>+IF(E222="","",VLOOKUP(E222,CATALOGO!G:I,3,0))</f>
        <v>72</v>
      </c>
      <c r="M222" s="87">
        <f>IF('Consulta1'!I4314="","",'Consulta1'!I4314)</f>
        <v>46302</v>
      </c>
      <c r="N222" s="88" t="str">
        <f>IF('Consulta1'!J4314="","",'Consulta1'!J4314)</f>
        <v>45747</v>
      </c>
      <c r="O222" t="str">
        <v>CHIAPAS|A06 043 NUESTRA SENORA|20261002|20261007|MCALLEN|CHANITOS INT|CPR01104|20 CONVENCIONAL F6-1</v>
      </c>
      <c r="P222">
        <v>1</v>
      </c>
      <c r="Q222" t="str">
        <v>CHIAPAS|A06 043 NUESTRA SENORA|20261002|20261007|MCALLEN|CHANITOS INT|CPR01104|20 CONVENCIONAL F6-1|1</v>
      </c>
      <c r="R222" t="str">
        <v>Programa Embarques 2026 S-40.xlsx</v>
      </c>
    </row>
    <row r="223" spans="1:18" ht="18.75" x14ac:dyDescent="0.25">
      <c r="A223" s="82" t="str">
        <f>IF('Consulta1'!A4315="","",'Consulta1'!A4315)</f>
        <v>Chanitos Premium Tarima Chep</v>
      </c>
      <c r="B223" s="82" t="str">
        <f>IF('Consulta1'!B4315="","",'Consulta1'!B4315)</f>
        <v>CPR01102</v>
      </c>
      <c r="C223" s="83" t="str">
        <f>IF('Consulta1'!C4315="","",'Consulta1'!C4315)</f>
        <v>A04039-400210-1</v>
      </c>
      <c r="D223" s="84" t="str">
        <f>IF('Consulta1'!D4315="","",'Consulta1'!D4315)</f>
        <v>A04 039 San Jose Morelia Nava</v>
      </c>
      <c r="E223" s="82" t="str">
        <f>IF('Consulta1'!E4315="","",'Consulta1'!E4315)</f>
        <v>QRO</v>
      </c>
      <c r="F223">
        <f>+IF(E223="","",VLOOKUP(E223,CATALOGO!G:L,6,0))</f>
        <v>3</v>
      </c>
      <c r="G223" s="85">
        <f>IF('Consulta1'!F4315="","",'Consulta1'!F4315)</f>
        <v>288</v>
      </c>
      <c r="H223" s="85">
        <f>IF('Consulta1'!G4315="","",'Consulta1'!G4315)</f>
        <v>6</v>
      </c>
      <c r="I223" s="86">
        <f>IF('Consulta1'!H4315="","",'Consulta1'!H4315)</f>
        <v>46297</v>
      </c>
      <c r="J223">
        <f t="shared" si="3"/>
        <v>40</v>
      </c>
      <c r="K223">
        <f>+IF(E223="","",VLOOKUP(E223,CATALOGO!G:I,2,0))</f>
        <v>1.5</v>
      </c>
      <c r="L223">
        <f>+IF(E223="","",VLOOKUP(E223,CATALOGO!G:I,3,0))</f>
        <v>36</v>
      </c>
      <c r="M223" s="87">
        <f>IF('Consulta1'!I4315="","",'Consulta1'!I4315)</f>
        <v>46302</v>
      </c>
      <c r="N223" s="88" t="str">
        <f>IF('Consulta1'!J4315="","",'Consulta1'!J4315)</f>
        <v>45912</v>
      </c>
      <c r="O223" t="str">
        <v>CHIAPAS|A04 039 SAN JOSE MORELIA NAVA|20261002|20261007|QRO|WM|CPR01102|22 CONVENCIONAL Y 2 ORG</v>
      </c>
      <c r="P223">
        <v>1</v>
      </c>
      <c r="Q223" t="str">
        <v>CHIAPAS|A04 039 SAN JOSE MORELIA NAVA|20261002|20261007|QRO|WM|CPR01102|22 CONVENCIONAL Y 2 ORG|1</v>
      </c>
      <c r="R223" t="str">
        <v>Programa Embarques 2026 S-40.xlsx</v>
      </c>
    </row>
    <row r="224" spans="1:18" ht="18.75" x14ac:dyDescent="0.25">
      <c r="A224" s="82" t="str">
        <f>IF('Consulta1'!A4316="","",'Consulta1'!A4316)</f>
        <v>Chanitos Premium EUA Tarima Americana</v>
      </c>
      <c r="B224" s="82" t="str">
        <f>IF('Consulta1'!B4316="","",'Consulta1'!B4316)</f>
        <v>CPR01104</v>
      </c>
      <c r="C224" s="83" t="str">
        <f>IF('Consulta1'!C4316="","",'Consulta1'!C4316)</f>
        <v>A04084-400210-1</v>
      </c>
      <c r="D224" s="84" t="str">
        <f>IF('Consulta1'!D4316="","",'Consulta1'!D4316)</f>
        <v>A04 084 Lisboa</v>
      </c>
      <c r="E224" s="82" t="str">
        <f>IF('Consulta1'!E4316="","",'Consulta1'!E4316)</f>
        <v>McAllen</v>
      </c>
      <c r="F224">
        <f>+IF(E224="","",VLOOKUP(E224,CATALOGO!G:L,6,0))</f>
        <v>8</v>
      </c>
      <c r="G224" s="85">
        <f>IF('Consulta1'!F4316="","",'Consulta1'!F4316)</f>
        <v>960</v>
      </c>
      <c r="H224" s="85">
        <f>IF('Consulta1'!G4316="","",'Consulta1'!G4316)</f>
        <v>20</v>
      </c>
      <c r="I224" s="86">
        <f>IF('Consulta1'!H4316="","",'Consulta1'!H4316)</f>
        <v>46297</v>
      </c>
      <c r="J224">
        <f t="shared" si="3"/>
        <v>40</v>
      </c>
      <c r="K224">
        <f>+IF(E224="","",VLOOKUP(E224,CATALOGO!G:I,2,0))</f>
        <v>3</v>
      </c>
      <c r="L224">
        <f>+IF(E224="","",VLOOKUP(E224,CATALOGO!G:I,3,0))</f>
        <v>72</v>
      </c>
      <c r="M224" s="87">
        <f>IF('Consulta1'!I4316="","",'Consulta1'!I4316)</f>
        <v>46303</v>
      </c>
      <c r="N224" s="88" t="str">
        <f>IF('Consulta1'!J4316="","",'Consulta1'!J4316)</f>
        <v>45748</v>
      </c>
      <c r="O224" t="str">
        <v>CHIAPAS|A04 084 LISBOA|20261002|20261008|MCALLEN|CHANITOS INT|CPR01104|20 CONVENCIONAL F6-2</v>
      </c>
      <c r="P224">
        <v>1</v>
      </c>
      <c r="Q224" t="str">
        <v>CHIAPAS|A04 084 LISBOA|20261002|20261008|MCALLEN|CHANITOS INT|CPR01104|20 CONVENCIONAL F6-2|1</v>
      </c>
      <c r="R224" t="str">
        <v>Programa Embarques 2026 S-40.xlsx</v>
      </c>
    </row>
    <row r="225" spans="1:18" ht="18.75" x14ac:dyDescent="0.25">
      <c r="A225" s="82" t="str">
        <f>IF('Consulta1'!A4317="","",'Consulta1'!A4317)</f>
        <v>Chanitos Plantain 50lb Tarima Americana</v>
      </c>
      <c r="B225" s="82" t="str">
        <f>IF('Consulta1'!B4317="","",'Consulta1'!B4317)</f>
        <v>CPL08133</v>
      </c>
      <c r="C225" s="83" t="str">
        <f>IF('Consulta1'!C4317="","",'Consulta1'!C4317)</f>
        <v>A27073-400210-1</v>
      </c>
      <c r="D225" s="84" t="str">
        <f>IF('Consulta1'!D4317="","",'Consulta1'!D4317)</f>
        <v>A27 073 Plantacion</v>
      </c>
      <c r="E225" s="82" t="str">
        <f>IF('Consulta1'!E4317="","",'Consulta1'!E4317)</f>
        <v>McAllen</v>
      </c>
      <c r="F225">
        <f>+IF(E225="","",VLOOKUP(E225,CATALOGO!G:L,6,0))</f>
        <v>8</v>
      </c>
      <c r="G225" s="85">
        <f>IF('Consulta1'!F4317="","",'Consulta1'!F4317)</f>
        <v>840</v>
      </c>
      <c r="H225" s="85">
        <f>IF('Consulta1'!G4317="","",'Consulta1'!G4317)</f>
        <v>20</v>
      </c>
      <c r="I225" s="86">
        <f>IF('Consulta1'!H4317="","",'Consulta1'!H4317)</f>
        <v>46297</v>
      </c>
      <c r="J225">
        <f t="shared" si="3"/>
        <v>40</v>
      </c>
      <c r="K225">
        <f>+IF(E225="","",VLOOKUP(E225,CATALOGO!G:I,2,0))</f>
        <v>3</v>
      </c>
      <c r="L225">
        <f>+IF(E225="","",VLOOKUP(E225,CATALOGO!G:I,3,0))</f>
        <v>72</v>
      </c>
      <c r="M225" s="87">
        <f>IF('Consulta1'!I4317="","",'Consulta1'!I4317)</f>
        <v>46301</v>
      </c>
      <c r="N225" s="88" t="str">
        <f>IF('Consulta1'!J4317="","",'Consulta1'!J4317)</f>
        <v>45762</v>
      </c>
      <c r="O225" t="str">
        <v>CHIAPAS|A27 073 PLANTACION|20261002|20261006|MCALLEN|CHANITOS INT|CPL08133|20 PLANTAIN</v>
      </c>
      <c r="P225">
        <v>1</v>
      </c>
      <c r="Q225" t="str">
        <v>CHIAPAS|A27 073 PLANTACION|20261002|20261006|MCALLEN|CHANITOS INT|CPL08133|20 PLANTAIN|1</v>
      </c>
      <c r="R225" t="str">
        <v>Programa Embarques 2026 S-40.xlsx</v>
      </c>
    </row>
    <row r="226" spans="1:18" ht="18.75" x14ac:dyDescent="0.25">
      <c r="A226" s="82" t="str">
        <f>IF('Consulta1'!A4318="","",'Consulta1'!A4318)</f>
        <v>Chanitos Premium Tarima Chep</v>
      </c>
      <c r="B226" s="82" t="str">
        <f>IF('Consulta1'!B4318="","",'Consulta1'!B4318)</f>
        <v>CPR01102</v>
      </c>
      <c r="C226" s="83" t="str">
        <f>IF('Consulta1'!C4318="","",'Consulta1'!C4318)</f>
        <v>A01001-400210-1</v>
      </c>
      <c r="D226" s="84" t="str">
        <f>IF('Consulta1'!D4318="","",'Consulta1'!D4318)</f>
        <v>A01 001 Marbella</v>
      </c>
      <c r="E226" s="82" t="str">
        <f>IF('Consulta1'!E4318="","",'Consulta1'!E4318)</f>
        <v>SMO</v>
      </c>
      <c r="F226">
        <f>+IF(E226="","",VLOOKUP(E226,CATALOGO!G:L,6,0))</f>
        <v>4</v>
      </c>
      <c r="G226" s="85">
        <f>IF('Consulta1'!F4318="","",'Consulta1'!F4318)</f>
        <v>192</v>
      </c>
      <c r="H226" s="85">
        <f>IF('Consulta1'!G4318="","",'Consulta1'!G4318)</f>
        <v>4</v>
      </c>
      <c r="I226" s="86">
        <f>IF('Consulta1'!H4318="","",'Consulta1'!H4318)</f>
        <v>46297</v>
      </c>
      <c r="J226">
        <f t="shared" si="3"/>
        <v>40</v>
      </c>
      <c r="K226">
        <f>+IF(E226="","",VLOOKUP(E226,CATALOGO!G:I,2,0))</f>
        <v>1.5</v>
      </c>
      <c r="L226">
        <f>+IF(E226="","",VLOOKUP(E226,CATALOGO!G:I,3,0))</f>
        <v>36</v>
      </c>
      <c r="M226" s="87">
        <f>IF('Consulta1'!I4318="","",'Consulta1'!I4318)</f>
        <v>46303</v>
      </c>
      <c r="N226" s="88" t="str">
        <f>IF('Consulta1'!J4318="","",'Consulta1'!J4318)</f>
        <v>45922</v>
      </c>
      <c r="O226" t="str">
        <v>CHIAPAS|A01 001 MARBELLA|20261002|20261008|SMO|WM|CPR01102|24 CONVENCIONAL</v>
      </c>
      <c r="P226">
        <v>1</v>
      </c>
      <c r="Q226" t="str">
        <v>CHIAPAS|A01 001 MARBELLA|20261002|20261008|SMO|WM|CPR01102|24 CONVENCIONAL|1</v>
      </c>
      <c r="R226" t="str">
        <v>Programa Embarques 2026 S-40.xlsx</v>
      </c>
    </row>
    <row r="227" spans="1:18" ht="18.75" x14ac:dyDescent="0.25">
      <c r="A227" s="82" t="str">
        <f>IF('Consulta1'!A4319="","",'Consulta1'!A4319)</f>
        <v>Chanitos Premium Tarima Chep</v>
      </c>
      <c r="B227" s="82" t="str">
        <f>IF('Consulta1'!B4319="","",'Consulta1'!B4319)</f>
        <v>CPR01102</v>
      </c>
      <c r="C227" s="83" t="str">
        <f>IF('Consulta1'!C4319="","",'Consulta1'!C4319)</f>
        <v>A01001-400210-1</v>
      </c>
      <c r="D227" s="84" t="str">
        <f>IF('Consulta1'!D4319="","",'Consulta1'!D4319)</f>
        <v>A01 001 Marbella</v>
      </c>
      <c r="E227" s="82" t="str">
        <f>IF('Consulta1'!E4319="","",'Consulta1'!E4319)</f>
        <v>Chalco</v>
      </c>
      <c r="F227">
        <f>+IF(E227="","",VLOOKUP(E227,CATALOGO!G:L,6,0))</f>
        <v>5</v>
      </c>
      <c r="G227" s="85">
        <f>IF('Consulta1'!F4319="","",'Consulta1'!F4319)</f>
        <v>240</v>
      </c>
      <c r="H227" s="85">
        <f>IF('Consulta1'!G4319="","",'Consulta1'!G4319)</f>
        <v>5</v>
      </c>
      <c r="I227" s="86">
        <f>IF('Consulta1'!H4319="","",'Consulta1'!H4319)</f>
        <v>46297</v>
      </c>
      <c r="J227">
        <f t="shared" si="3"/>
        <v>40</v>
      </c>
      <c r="K227">
        <f>+IF(E227="","",VLOOKUP(E227,CATALOGO!G:I,2,0))</f>
        <v>1</v>
      </c>
      <c r="L227">
        <f>+IF(E227="","",VLOOKUP(E227,CATALOGO!G:I,3,0))</f>
        <v>24</v>
      </c>
      <c r="M227" s="87">
        <f>IF('Consulta1'!I4319="","",'Consulta1'!I4319)</f>
        <v>46302</v>
      </c>
      <c r="N227" s="88" t="str">
        <f>IF('Consulta1'!J4319="","",'Consulta1'!J4319)</f>
        <v>45920</v>
      </c>
      <c r="O227" t="str">
        <v>CHIAPAS|A01 001 MARBELLA|20261002|20261007|CHALCO|WM|CPR01102|1098 CAJAS CONVENCIONAL Y 54 CAJAS BAE</v>
      </c>
      <c r="P227">
        <v>1</v>
      </c>
      <c r="Q227" t="str">
        <v>CHIAPAS|A01 001 MARBELLA|20261002|20261007|CHALCO|WM|CPR01102|1098 CAJAS CONVENCIONAL Y 54 CAJAS BAE|1</v>
      </c>
      <c r="R227" t="str">
        <v>Programa Embarques 2026 S-40.xlsx</v>
      </c>
    </row>
    <row r="228" spans="1:18" ht="18.75" x14ac:dyDescent="0.25">
      <c r="A228" s="82" t="str">
        <f>IF('Consulta1'!A4320="","",'Consulta1'!A4320)</f>
        <v>Chanitos Premium EUA Tarima Americana</v>
      </c>
      <c r="B228" s="82" t="str">
        <f>IF('Consulta1'!B4320="","",'Consulta1'!B4320)</f>
        <v>CPR01104</v>
      </c>
      <c r="C228" s="83" t="str">
        <f>IF('Consulta1'!C4320="","",'Consulta1'!C4320)</f>
        <v>A01001-400210-1</v>
      </c>
      <c r="D228" s="84" t="str">
        <f>IF('Consulta1'!D4320="","",'Consulta1'!D4320)</f>
        <v>A01 001 Marbella</v>
      </c>
      <c r="E228" s="82" t="str">
        <f>IF('Consulta1'!E4320="","",'Consulta1'!E4320)</f>
        <v>McAllen</v>
      </c>
      <c r="F228">
        <f>+IF(E228="","",VLOOKUP(E228,CATALOGO!G:L,6,0))</f>
        <v>8</v>
      </c>
      <c r="G228" s="85">
        <f>IF('Consulta1'!F4320="","",'Consulta1'!F4320)</f>
        <v>816</v>
      </c>
      <c r="H228" s="85">
        <f>IF('Consulta1'!G4320="","",'Consulta1'!G4320)</f>
        <v>17</v>
      </c>
      <c r="I228" s="86">
        <f>IF('Consulta1'!H4320="","",'Consulta1'!H4320)</f>
        <v>46297</v>
      </c>
      <c r="J228">
        <f t="shared" si="3"/>
        <v>40</v>
      </c>
      <c r="K228">
        <f>+IF(E228="","",VLOOKUP(E228,CATALOGO!G:I,2,0))</f>
        <v>3</v>
      </c>
      <c r="L228">
        <f>+IF(E228="","",VLOOKUP(E228,CATALOGO!G:I,3,0))</f>
        <v>72</v>
      </c>
      <c r="M228" s="87">
        <f>IF('Consulta1'!I4320="","",'Consulta1'!I4320)</f>
        <v>46303</v>
      </c>
      <c r="N228" s="88" t="str">
        <f>IF('Consulta1'!J4320="","",'Consulta1'!J4320)</f>
        <v>45750</v>
      </c>
      <c r="O228" t="str">
        <v>CHIAPAS|A01 001 MARBELLA|20261002|20261008|MCALLEN|CHANITOS INT|CPR01104|20 CONVENCIONAL F7-1</v>
      </c>
      <c r="P228">
        <v>1</v>
      </c>
      <c r="Q228" t="str">
        <v>CHIAPAS|A01 001 MARBELLA|20261002|20261008|MCALLEN|CHANITOS INT|CPR01104|20 CONVENCIONAL F7-1|1</v>
      </c>
      <c r="R228" t="str">
        <v>Programa Embarques 2026 S-40.xlsx</v>
      </c>
    </row>
    <row r="229" spans="1:18" ht="18.75" x14ac:dyDescent="0.25">
      <c r="A229" s="82" t="str">
        <f>IF('Consulta1'!A4321="","",'Consulta1'!A4321)</f>
        <v>Chanitos Premium Granel</v>
      </c>
      <c r="B229" s="82" t="str">
        <f>IF('Consulta1'!B4321="","",'Consulta1'!B4321)</f>
        <v>CPR01101</v>
      </c>
      <c r="C229" s="83" t="str">
        <f>IF('Consulta1'!C4321="","",'Consulta1'!C4321)</f>
        <v>A01001-400210-1</v>
      </c>
      <c r="D229" s="84" t="str">
        <f>IF('Consulta1'!D4321="","",'Consulta1'!D4321)</f>
        <v>A01 001 Marbella</v>
      </c>
      <c r="E229" s="82" t="str">
        <f>IF('Consulta1'!E4321="","",'Consulta1'!E4321)</f>
        <v>CEDA</v>
      </c>
      <c r="F229">
        <f>+IF(E229="","",VLOOKUP(E229,CATALOGO!G:L,6,0))</f>
        <v>0</v>
      </c>
      <c r="G229" s="85">
        <f>IF('Consulta1'!F4321="","",'Consulta1'!F4321)</f>
        <v>85</v>
      </c>
      <c r="H229" s="85" t="str">
        <f>IF('Consulta1'!G4321="","",'Consulta1'!G4321)</f>
        <v>Granel</v>
      </c>
      <c r="I229" s="86">
        <f>IF('Consulta1'!H4321="","",'Consulta1'!H4321)</f>
        <v>46297</v>
      </c>
      <c r="J229">
        <f t="shared" si="3"/>
        <v>40</v>
      </c>
      <c r="K229">
        <f>+IF(E229="","",VLOOKUP(E229,CATALOGO!G:I,2,0))</f>
        <v>1.5</v>
      </c>
      <c r="L229">
        <f>+IF(E229="","",VLOOKUP(E229,CATALOGO!G:I,3,0))</f>
        <v>36</v>
      </c>
      <c r="M229" s="87">
        <f>IF('Consulta1'!I4321="","",'Consulta1'!I4321)</f>
        <v>46303</v>
      </c>
      <c r="N229" s="88" t="str">
        <f>IF('Consulta1'!J4321="","",'Consulta1'!J4321)</f>
        <v/>
      </c>
      <c r="O229" t="str">
        <v>CHIAPAS|A01 001 MARBELLA|20261002|20261008|CEDA|CEDA PISO|CPR01101|CEDA PISO PRODUCTORAS</v>
      </c>
      <c r="P229">
        <v>1</v>
      </c>
      <c r="Q229" t="str">
        <v>CHIAPAS|A01 001 MARBELLA|20261002|20261008|CEDA|CEDA PISO|CPR01101|CEDA PISO PRODUCTORAS|1</v>
      </c>
      <c r="R229" t="str">
        <v>Programa Embarques 2026 S-40.xlsx</v>
      </c>
    </row>
    <row r="230" spans="1:18" ht="18.75" x14ac:dyDescent="0.25">
      <c r="A230" s="82" t="str">
        <f>IF('Consulta1'!A4322="","",'Consulta1'!A4322)</f>
        <v>Chiquita</v>
      </c>
      <c r="B230" s="82" t="str">
        <f>IF('Consulta1'!B4322="","",'Consulta1'!B4322)</f>
        <v>PRE0001</v>
      </c>
      <c r="C230" s="83" t="str">
        <f>IF('Consulta1'!C4322="","",'Consulta1'!C4322)</f>
        <v>A01004-400210-1</v>
      </c>
      <c r="D230" s="84" t="str">
        <f>IF('Consulta1'!D4322="","",'Consulta1'!D4322)</f>
        <v>A01 004 La Ceiba</v>
      </c>
      <c r="E230" s="82" t="str">
        <f>IF('Consulta1'!E4322="","",'Consulta1'!E4322)</f>
        <v>Chiquita</v>
      </c>
      <c r="F230">
        <f>+IF(E230="","",VLOOKUP(E230,CATALOGO!G:L,6,0))</f>
        <v>0</v>
      </c>
      <c r="G230" s="85">
        <f>IF('Consulta1'!F4322="","",'Consulta1'!F4322)</f>
        <v>960</v>
      </c>
      <c r="H230" s="85">
        <f>IF('Consulta1'!G4322="","",'Consulta1'!G4322)</f>
        <v>20</v>
      </c>
      <c r="I230" s="86">
        <f>IF('Consulta1'!H4322="","",'Consulta1'!H4322)</f>
        <v>46297</v>
      </c>
      <c r="J230">
        <f t="shared" si="3"/>
        <v>40</v>
      </c>
      <c r="K230">
        <f>+IF(E230="","",VLOOKUP(E230,CATALOGO!G:I,2,0))</f>
        <v>1</v>
      </c>
      <c r="L230">
        <f>+IF(E230="","",VLOOKUP(E230,CATALOGO!G:I,3,0))</f>
        <v>24</v>
      </c>
      <c r="M230" s="87">
        <f>IF('Consulta1'!I4322="","",'Consulta1'!I4322)</f>
        <v>46297</v>
      </c>
      <c r="N230" s="88" t="str">
        <f>IF('Consulta1'!J4322="","",'Consulta1'!J4322)</f>
        <v>Sin OV compatible con fecha, cliente, CEDIS, SKU, zona y cantidad</v>
      </c>
      <c r="O230" t="str">
        <v>CHIAPAS|A01 004 LA CEIBA|20261002|20261002|CHIQUITA|CHIQUITA|PRE0001|CHIQUITA</v>
      </c>
      <c r="P230">
        <v>1</v>
      </c>
      <c r="Q230" t="str">
        <v>CHIAPAS|A01 004 LA CEIBA|20261002|20261002|CHIQUITA|CHIQUITA|PRE0001|CHIQUITA|1</v>
      </c>
      <c r="R230" t="str">
        <v>Programa Embarques 2026 S-40.xlsx</v>
      </c>
    </row>
    <row r="231" spans="1:18" ht="18.75" x14ac:dyDescent="0.25">
      <c r="A231" s="82" t="str">
        <f>IF('Consulta1'!A4323="","",'Consulta1'!A4323)</f>
        <v>Chanitos Premium Tarima Chep</v>
      </c>
      <c r="B231" s="82" t="str">
        <f>IF('Consulta1'!B4323="","",'Consulta1'!B4323)</f>
        <v>CPR01102</v>
      </c>
      <c r="C231" s="83" t="str">
        <f>IF('Consulta1'!C4323="","",'Consulta1'!C4323)</f>
        <v>A01004-400210-1</v>
      </c>
      <c r="D231" s="84" t="str">
        <f>IF('Consulta1'!D4323="","",'Consulta1'!D4323)</f>
        <v>A01 004 La Ceiba</v>
      </c>
      <c r="E231" s="82" t="str">
        <f>IF('Consulta1'!E4323="","",'Consulta1'!E4323)</f>
        <v>CEDA</v>
      </c>
      <c r="F231">
        <f>+IF(E231="","",VLOOKUP(E231,CATALOGO!G:L,6,0))</f>
        <v>0</v>
      </c>
      <c r="G231" s="85">
        <f>IF('Consulta1'!F4323="","",'Consulta1'!F4323)</f>
        <v>96</v>
      </c>
      <c r="H231" s="85">
        <f>IF('Consulta1'!G4323="","",'Consulta1'!G4323)</f>
        <v>2</v>
      </c>
      <c r="I231" s="86">
        <f>IF('Consulta1'!H4323="","",'Consulta1'!H4323)</f>
        <v>46297</v>
      </c>
      <c r="J231">
        <f t="shared" si="3"/>
        <v>40</v>
      </c>
      <c r="K231">
        <f>+IF(E231="","",VLOOKUP(E231,CATALOGO!G:I,2,0))</f>
        <v>1.5</v>
      </c>
      <c r="L231">
        <f>+IF(E231="","",VLOOKUP(E231,CATALOGO!G:I,3,0))</f>
        <v>36</v>
      </c>
      <c r="M231" s="87">
        <f>IF('Consulta1'!I4323="","",'Consulta1'!I4323)</f>
        <v>46303</v>
      </c>
      <c r="N231" s="88" t="str">
        <f>IF('Consulta1'!J4323="","",'Consulta1'!J4323)</f>
        <v/>
      </c>
      <c r="O231" t="str">
        <v>CHIAPAS|A01 004 LA CEIBA|20261002|20261008|CEDA|CEDA AUTOSERVICIO|CPR01102|CEDA</v>
      </c>
      <c r="P231">
        <v>1</v>
      </c>
      <c r="Q231" t="str">
        <v>CHIAPAS|A01 004 LA CEIBA|20261002|20261008|CEDA|CEDA AUTOSERVICIO|CPR01102|CEDA|1</v>
      </c>
      <c r="R231" t="str">
        <v>Programa Embarques 2026 S-40.xlsx</v>
      </c>
    </row>
    <row r="232" spans="1:18" ht="18.75" x14ac:dyDescent="0.25">
      <c r="A232" s="82" t="str">
        <f>IF('Consulta1'!A4324="","",'Consulta1'!A4324)</f>
        <v>Chanitos Premium Granel</v>
      </c>
      <c r="B232" s="82" t="str">
        <f>IF('Consulta1'!B4324="","",'Consulta1'!B4324)</f>
        <v>CPR01101</v>
      </c>
      <c r="C232" s="83" t="str">
        <f>IF('Consulta1'!C4324="","",'Consulta1'!C4324)</f>
        <v>A01004-400210-1</v>
      </c>
      <c r="D232" s="84" t="str">
        <f>IF('Consulta1'!D4324="","",'Consulta1'!D4324)</f>
        <v>A01 004 La Ceiba</v>
      </c>
      <c r="E232" s="82" t="str">
        <f>IF('Consulta1'!E4324="","",'Consulta1'!E4324)</f>
        <v>CEDA</v>
      </c>
      <c r="F232">
        <f>+IF(E232="","",VLOOKUP(E232,CATALOGO!G:L,6,0))</f>
        <v>0</v>
      </c>
      <c r="G232" s="85">
        <f>IF('Consulta1'!F4324="","",'Consulta1'!F4324)</f>
        <v>40</v>
      </c>
      <c r="H232" s="85" t="str">
        <f>IF('Consulta1'!G4324="","",'Consulta1'!G4324)</f>
        <v>Granel</v>
      </c>
      <c r="I232" s="86">
        <f>IF('Consulta1'!H4324="","",'Consulta1'!H4324)</f>
        <v>46297</v>
      </c>
      <c r="J232">
        <f t="shared" si="3"/>
        <v>40</v>
      </c>
      <c r="K232">
        <f>+IF(E232="","",VLOOKUP(E232,CATALOGO!G:I,2,0))</f>
        <v>1.5</v>
      </c>
      <c r="L232">
        <f>+IF(E232="","",VLOOKUP(E232,CATALOGO!G:I,3,0))</f>
        <v>36</v>
      </c>
      <c r="M232" s="87">
        <f>IF('Consulta1'!I4324="","",'Consulta1'!I4324)</f>
        <v>46303</v>
      </c>
      <c r="N232" s="88" t="str">
        <f>IF('Consulta1'!J4324="","",'Consulta1'!J4324)</f>
        <v/>
      </c>
      <c r="O232" t="str">
        <v>CHIAPAS|A01 004 LA CEIBA|20261002|20261008|CEDA|CEDA PISO|CPR01101|CEDA PISO PRODUCTORAS</v>
      </c>
      <c r="P232">
        <v>1</v>
      </c>
      <c r="Q232" t="str">
        <v>CHIAPAS|A01 004 LA CEIBA|20261002|20261008|CEDA|CEDA PISO|CPR01101|CEDA PISO PRODUCTORAS|1</v>
      </c>
      <c r="R232" t="str">
        <v>Programa Embarques 2026 S-40.xlsx</v>
      </c>
    </row>
    <row r="233" spans="1:18" ht="18.75" x14ac:dyDescent="0.25">
      <c r="A233" s="82" t="str">
        <f>IF('Consulta1'!A4325="","",'Consulta1'!A4325)</f>
        <v>Platano de Chiapas BAE UPC 3237</v>
      </c>
      <c r="B233" s="82" t="str">
        <f>IF('Consulta1'!B4325="","",'Consulta1'!B4325)</f>
        <v>CPR01114</v>
      </c>
      <c r="C233" s="83" t="str">
        <f>IF('Consulta1'!C4325="","",'Consulta1'!C4325)</f>
        <v>A01002-400210-1</v>
      </c>
      <c r="D233" s="84" t="str">
        <f>IF('Consulta1'!D4325="","",'Consulta1'!D4325)</f>
        <v>A01 002 Fortaleza</v>
      </c>
      <c r="E233" s="82" t="str">
        <f>IF('Consulta1'!E4325="","",'Consulta1'!E4325)</f>
        <v>Chalco</v>
      </c>
      <c r="F233">
        <f>+IF(E233="","",VLOOKUP(E233,CATALOGO!G:L,6,0))</f>
        <v>5</v>
      </c>
      <c r="G233" s="85">
        <f>IF('Consulta1'!F4325="","",'Consulta1'!F4325)</f>
        <v>60</v>
      </c>
      <c r="H233" s="85">
        <f>IF('Consulta1'!G4325="","",'Consulta1'!G4325)</f>
        <v>1.25</v>
      </c>
      <c r="I233" s="86">
        <f>IF('Consulta1'!H4325="","",'Consulta1'!H4325)</f>
        <v>46297</v>
      </c>
      <c r="J233">
        <f t="shared" si="3"/>
        <v>40</v>
      </c>
      <c r="K233">
        <f>+IF(E233="","",VLOOKUP(E233,CATALOGO!G:I,2,0))</f>
        <v>1</v>
      </c>
      <c r="L233">
        <f>+IF(E233="","",VLOOKUP(E233,CATALOGO!G:I,3,0))</f>
        <v>24</v>
      </c>
      <c r="M233" s="87">
        <f>IF('Consulta1'!I4325="","",'Consulta1'!I4325)</f>
        <v>46303</v>
      </c>
      <c r="N233" s="88" t="str">
        <f>IF('Consulta1'!J4325="","",'Consulta1'!J4325)</f>
        <v>45929</v>
      </c>
      <c r="O233" t="str">
        <v>CHIAPAS|A01 002 FORTALEZA|20261002|20261008|CHALCO|WM|CPR01114|1092 CAJAS CONV Y 60CAJAS BAE</v>
      </c>
      <c r="P233">
        <v>1</v>
      </c>
      <c r="Q233" t="str">
        <v>CHIAPAS|A01 002 FORTALEZA|20261002|20261008|CHALCO|WM|CPR01114|1092 CAJAS CONV Y 60CAJAS BAE|1</v>
      </c>
      <c r="R233" t="str">
        <v>Programa Embarques 2026 S-40.xlsx</v>
      </c>
    </row>
    <row r="234" spans="1:18" ht="18.75" x14ac:dyDescent="0.25">
      <c r="A234" s="82" t="str">
        <f>IF('Consulta1'!A4326="","",'Consulta1'!A4326)</f>
        <v>Chanitos Premium Tarima Chep</v>
      </c>
      <c r="B234" s="82" t="str">
        <f>IF('Consulta1'!B4326="","",'Consulta1'!B4326)</f>
        <v>CPR01102</v>
      </c>
      <c r="C234" s="83" t="str">
        <f>IF('Consulta1'!C4326="","",'Consulta1'!C4326)</f>
        <v>A01002-400210-1</v>
      </c>
      <c r="D234" s="84" t="str">
        <f>IF('Consulta1'!D4326="","",'Consulta1'!D4326)</f>
        <v>A01 002 Fortaleza</v>
      </c>
      <c r="E234" s="82" t="str">
        <f>IF('Consulta1'!E4326="","",'Consulta1'!E4326)</f>
        <v>Chalco</v>
      </c>
      <c r="F234">
        <f>+IF(E234="","",VLOOKUP(E234,CATALOGO!G:L,6,0))</f>
        <v>5</v>
      </c>
      <c r="G234" s="85">
        <f>IF('Consulta1'!F4326="","",'Consulta1'!F4326)</f>
        <v>132</v>
      </c>
      <c r="H234" s="85">
        <f>IF('Consulta1'!G4326="","",'Consulta1'!G4326)</f>
        <v>2.75</v>
      </c>
      <c r="I234" s="86">
        <f>IF('Consulta1'!H4326="","",'Consulta1'!H4326)</f>
        <v>46297</v>
      </c>
      <c r="J234">
        <f t="shared" si="3"/>
        <v>40</v>
      </c>
      <c r="K234">
        <f>+IF(E234="","",VLOOKUP(E234,CATALOGO!G:I,2,0))</f>
        <v>1</v>
      </c>
      <c r="L234">
        <f>+IF(E234="","",VLOOKUP(E234,CATALOGO!G:I,3,0))</f>
        <v>24</v>
      </c>
      <c r="M234" s="87">
        <f>IF('Consulta1'!I4326="","",'Consulta1'!I4326)</f>
        <v>46303</v>
      </c>
      <c r="N234" s="88" t="str">
        <f>IF('Consulta1'!J4326="","",'Consulta1'!J4326)</f>
        <v>45929</v>
      </c>
      <c r="O234" t="str">
        <v>CHIAPAS|A01 002 FORTALEZA|20261002|20261008|CHALCO|WM|CPR01102|1092 CAJAS CONV Y 60CAJAS BAE</v>
      </c>
      <c r="P234">
        <v>1</v>
      </c>
      <c r="Q234" t="str">
        <v>CHIAPAS|A01 002 FORTALEZA|20261002|20261008|CHALCO|WM|CPR01102|1092 CAJAS CONV Y 60CAJAS BAE|1</v>
      </c>
      <c r="R234" t="str">
        <v>Programa Embarques 2026 S-40.xlsx</v>
      </c>
    </row>
    <row r="235" spans="1:18" ht="18.75" x14ac:dyDescent="0.25">
      <c r="A235" s="82" t="str">
        <f>IF('Consulta1'!A4327="","",'Consulta1'!A4327)</f>
        <v>Chanitos Premium Tarima Americana</v>
      </c>
      <c r="B235" s="82" t="str">
        <f>IF('Consulta1'!B4327="","",'Consulta1'!B4327)</f>
        <v>CPR01103</v>
      </c>
      <c r="C235" s="83" t="str">
        <f>IF('Consulta1'!C4327="","",'Consulta1'!C4327)</f>
        <v>A01002-400210-1</v>
      </c>
      <c r="D235" s="84" t="str">
        <f>IF('Consulta1'!D4327="","",'Consulta1'!D4327)</f>
        <v>A01 002 Fortaleza</v>
      </c>
      <c r="E235" s="82" t="str">
        <f>IF('Consulta1'!E4327="","",'Consulta1'!E4327)</f>
        <v>S-MTY</v>
      </c>
      <c r="F235">
        <f>+IF(E235="","",VLOOKUP(E235,CATALOGO!G:L,6,0))</f>
        <v>1</v>
      </c>
      <c r="G235" s="85">
        <f>IF('Consulta1'!F4327="","",'Consulta1'!F4327)</f>
        <v>624</v>
      </c>
      <c r="H235" s="85">
        <f>IF('Consulta1'!G4327="","",'Consulta1'!G4327)</f>
        <v>13</v>
      </c>
      <c r="I235" s="86">
        <f>IF('Consulta1'!H4327="","",'Consulta1'!H4327)</f>
        <v>46297</v>
      </c>
      <c r="J235">
        <f t="shared" si="3"/>
        <v>40</v>
      </c>
      <c r="K235">
        <f>+IF(E235="","",VLOOKUP(E235,CATALOGO!G:I,2,0))</f>
        <v>3</v>
      </c>
      <c r="L235">
        <f>+IF(E235="","",VLOOKUP(E235,CATALOGO!G:I,3,0))</f>
        <v>72</v>
      </c>
      <c r="M235" s="87">
        <f>IF('Consulta1'!I4327="","",'Consulta1'!I4327)</f>
        <v>46302</v>
      </c>
      <c r="N235" s="88" t="str">
        <f>IF('Consulta1'!J4327="","",'Consulta1'!J4327)</f>
        <v>46256</v>
      </c>
      <c r="O235" t="str">
        <v>CHIAPAS|A01 002 FORTALEZA|20261002|20261007|S-MTY|SMART|CPR01103|</v>
      </c>
      <c r="P235">
        <v>1</v>
      </c>
      <c r="Q235" t="str">
        <v>CHIAPAS|A01 002 FORTALEZA|20261002|20261007|S-MTY|SMART|CPR01103||1</v>
      </c>
      <c r="R235" t="str">
        <v>Programa Embarques 2026 S-40.xlsx</v>
      </c>
    </row>
    <row r="236" spans="1:18" ht="18.75" x14ac:dyDescent="0.25">
      <c r="A236" s="82" t="str">
        <f>IF('Consulta1'!A4328="","",'Consulta1'!A4328)</f>
        <v>Chanitos Premium Tarima Chep</v>
      </c>
      <c r="B236" s="82" t="str">
        <f>IF('Consulta1'!B4328="","",'Consulta1'!B4328)</f>
        <v>CPR01102</v>
      </c>
      <c r="C236" s="83" t="str">
        <f>IF('Consulta1'!C4328="","",'Consulta1'!C4328)</f>
        <v>A01002-400210-1</v>
      </c>
      <c r="D236" s="84" t="str">
        <f>IF('Consulta1'!D4328="","",'Consulta1'!D4328)</f>
        <v>A01 002 Fortaleza</v>
      </c>
      <c r="E236" s="82" t="str">
        <f>IF('Consulta1'!E4328="","",'Consulta1'!E4328)</f>
        <v>SMO</v>
      </c>
      <c r="F236">
        <f>+IF(E236="","",VLOOKUP(E236,CATALOGO!G:L,6,0))</f>
        <v>4</v>
      </c>
      <c r="G236" s="85">
        <f>IF('Consulta1'!F4328="","",'Consulta1'!F4328)</f>
        <v>336</v>
      </c>
      <c r="H236" s="85">
        <f>IF('Consulta1'!G4328="","",'Consulta1'!G4328)</f>
        <v>7</v>
      </c>
      <c r="I236" s="86">
        <f>IF('Consulta1'!H4328="","",'Consulta1'!H4328)</f>
        <v>46297</v>
      </c>
      <c r="J236">
        <f t="shared" si="3"/>
        <v>40</v>
      </c>
      <c r="K236">
        <f>+IF(E236="","",VLOOKUP(E236,CATALOGO!G:I,2,0))</f>
        <v>1.5</v>
      </c>
      <c r="L236">
        <f>+IF(E236="","",VLOOKUP(E236,CATALOGO!G:I,3,0))</f>
        <v>36</v>
      </c>
      <c r="M236" s="87">
        <f>IF('Consulta1'!I4328="","",'Consulta1'!I4328)</f>
        <v>46303</v>
      </c>
      <c r="N236" s="88" t="str">
        <f>IF('Consulta1'!J4328="","",'Consulta1'!J4328)</f>
        <v>45922</v>
      </c>
      <c r="O236" t="str">
        <v>CHIAPAS|A01 002 FORTALEZA|20261002|20261008|SMO|WM|CPR01102|24 CONVENCIONAL</v>
      </c>
      <c r="P236">
        <v>1</v>
      </c>
      <c r="Q236" t="str">
        <v>CHIAPAS|A01 002 FORTALEZA|20261002|20261008|SMO|WM|CPR01102|24 CONVENCIONAL|1</v>
      </c>
      <c r="R236" t="str">
        <v>Programa Embarques 2026 S-40.xlsx</v>
      </c>
    </row>
    <row r="237" spans="1:18" ht="18.75" x14ac:dyDescent="0.25">
      <c r="A237" s="82" t="str">
        <f>IF('Consulta1'!A4329="","",'Consulta1'!A4329)</f>
        <v>Chanitos Premium Tarima Chep</v>
      </c>
      <c r="B237" s="82" t="str">
        <f>IF('Consulta1'!B4329="","",'Consulta1'!B4329)</f>
        <v>CPR01102</v>
      </c>
      <c r="C237" s="83" t="str">
        <f>IF('Consulta1'!C4329="","",'Consulta1'!C4329)</f>
        <v>A01002-400210-1</v>
      </c>
      <c r="D237" s="84" t="str">
        <f>IF('Consulta1'!D4329="","",'Consulta1'!D4329)</f>
        <v>A01 002 Fortaleza</v>
      </c>
      <c r="E237" s="82" t="str">
        <f>IF('Consulta1'!E4329="","",'Consulta1'!E4329)</f>
        <v>CEDA</v>
      </c>
      <c r="F237">
        <f>+IF(E237="","",VLOOKUP(E237,CATALOGO!G:L,6,0))</f>
        <v>0</v>
      </c>
      <c r="G237" s="85">
        <f>IF('Consulta1'!F4329="","",'Consulta1'!F4329)</f>
        <v>432</v>
      </c>
      <c r="H237" s="85">
        <f>IF('Consulta1'!G4329="","",'Consulta1'!G4329)</f>
        <v>9</v>
      </c>
      <c r="I237" s="86">
        <f>IF('Consulta1'!H4329="","",'Consulta1'!H4329)</f>
        <v>46297</v>
      </c>
      <c r="J237">
        <f t="shared" si="3"/>
        <v>40</v>
      </c>
      <c r="K237">
        <f>+IF(E237="","",VLOOKUP(E237,CATALOGO!G:I,2,0))</f>
        <v>1.5</v>
      </c>
      <c r="L237">
        <f>+IF(E237="","",VLOOKUP(E237,CATALOGO!G:I,3,0))</f>
        <v>36</v>
      </c>
      <c r="M237" s="87">
        <f>IF('Consulta1'!I4329="","",'Consulta1'!I4329)</f>
        <v>46299</v>
      </c>
      <c r="N237" s="88" t="str">
        <f>IF('Consulta1'!J4329="","",'Consulta1'!J4329)</f>
        <v>0</v>
      </c>
      <c r="O237" t="str">
        <v>CHIAPAS|A01 002 FORTALEZA|20261002|20261004|CEDA|CEDA AUTOSERVICIO|CPR01102|CEDA</v>
      </c>
      <c r="P237">
        <v>1</v>
      </c>
      <c r="Q237" t="str">
        <v>CHIAPAS|A01 002 FORTALEZA|20261002|20261004|CEDA|CEDA AUTOSERVICIO|CPR01102|CEDA|1</v>
      </c>
      <c r="R237" t="str">
        <v>Programa Embarques 2026 S-40.xlsx</v>
      </c>
    </row>
    <row r="238" spans="1:18" ht="18.75" x14ac:dyDescent="0.25">
      <c r="A238" s="82" t="str">
        <f>IF('Consulta1'!A4330="","",'Consulta1'!A4330)</f>
        <v>Chanitos Premium Granel</v>
      </c>
      <c r="B238" s="82" t="str">
        <f>IF('Consulta1'!B4330="","",'Consulta1'!B4330)</f>
        <v>CPR01101</v>
      </c>
      <c r="C238" s="83" t="str">
        <f>IF('Consulta1'!C4330="","",'Consulta1'!C4330)</f>
        <v>A01002-400210-1</v>
      </c>
      <c r="D238" s="84" t="str">
        <f>IF('Consulta1'!D4330="","",'Consulta1'!D4330)</f>
        <v>A01 002 Fortaleza</v>
      </c>
      <c r="E238" s="82" t="str">
        <f>IF('Consulta1'!E4330="","",'Consulta1'!E4330)</f>
        <v>CEDA</v>
      </c>
      <c r="F238">
        <f>+IF(E238="","",VLOOKUP(E238,CATALOGO!G:L,6,0))</f>
        <v>0</v>
      </c>
      <c r="G238" s="85">
        <f>IF('Consulta1'!F4330="","",'Consulta1'!F4330)</f>
        <v>11</v>
      </c>
      <c r="H238" s="85" t="str">
        <f>IF('Consulta1'!G4330="","",'Consulta1'!G4330)</f>
        <v>Granel</v>
      </c>
      <c r="I238" s="86">
        <f>IF('Consulta1'!H4330="","",'Consulta1'!H4330)</f>
        <v>46297</v>
      </c>
      <c r="J238">
        <f t="shared" si="3"/>
        <v>40</v>
      </c>
      <c r="K238">
        <f>+IF(E238="","",VLOOKUP(E238,CATALOGO!G:I,2,0))</f>
        <v>1.5</v>
      </c>
      <c r="L238">
        <f>+IF(E238="","",VLOOKUP(E238,CATALOGO!G:I,3,0))</f>
        <v>36</v>
      </c>
      <c r="M238" s="87">
        <f>IF('Consulta1'!I4330="","",'Consulta1'!I4330)</f>
        <v>46299</v>
      </c>
      <c r="N238" s="88" t="str">
        <f>IF('Consulta1'!J4330="","",'Consulta1'!J4330)</f>
        <v/>
      </c>
      <c r="O238" t="str">
        <v>CHIAPAS|A01 002 FORTALEZA|20261002|20261004|CEDA|CEDA PISO|CPR01101|CEDA PISO PRODUCTORAS</v>
      </c>
      <c r="P238">
        <v>1</v>
      </c>
      <c r="Q238" t="str">
        <v>CHIAPAS|A01 002 FORTALEZA|20261002|20261004|CEDA|CEDA PISO|CPR01101|CEDA PISO PRODUCTORAS|1</v>
      </c>
      <c r="R238" t="str">
        <v>Programa Embarques 2026 S-40.xlsx</v>
      </c>
    </row>
    <row r="239" spans="1:18" ht="18.75" x14ac:dyDescent="0.25">
      <c r="A239" s="82" t="str">
        <f>IF('Consulta1'!A4331="","",'Consulta1'!A4331)</f>
        <v>Chanitos Premium EUA Tarima Americana</v>
      </c>
      <c r="B239" s="82" t="str">
        <f>IF('Consulta1'!B4331="","",'Consulta1'!B4331)</f>
        <v>CPR01104</v>
      </c>
      <c r="C239" s="83" t="str">
        <f>IF('Consulta1'!C4331="","",'Consulta1'!C4331)</f>
        <v>A01001-400310-1</v>
      </c>
      <c r="D239" s="84" t="str">
        <f>IF('Consulta1'!D4331="","",'Consulta1'!D4331)</f>
        <v>A01 001 Marbella</v>
      </c>
      <c r="E239" s="82" t="str">
        <f>IF('Consulta1'!E4331="","",'Consulta1'!E4331)</f>
        <v>McAllen</v>
      </c>
      <c r="F239">
        <f>+IF(E239="","",VLOOKUP(E239,CATALOGO!G:L,6,0))</f>
        <v>8</v>
      </c>
      <c r="G239" s="85">
        <f>IF('Consulta1'!F4331="","",'Consulta1'!F4331)</f>
        <v>144</v>
      </c>
      <c r="H239" s="85">
        <f>IF('Consulta1'!G4331="","",'Consulta1'!G4331)</f>
        <v>3</v>
      </c>
      <c r="I239" s="86">
        <f>IF('Consulta1'!H4331="","",'Consulta1'!H4331)</f>
        <v>46298</v>
      </c>
      <c r="J239">
        <f t="shared" si="3"/>
        <v>40</v>
      </c>
      <c r="K239">
        <f>+IF(E239="","",VLOOKUP(E239,CATALOGO!G:I,2,0))</f>
        <v>3</v>
      </c>
      <c r="L239">
        <f>+IF(E239="","",VLOOKUP(E239,CATALOGO!G:I,3,0))</f>
        <v>72</v>
      </c>
      <c r="M239" s="87">
        <f>IF('Consulta1'!I4331="","",'Consulta1'!I4331)</f>
        <v>46303</v>
      </c>
      <c r="N239" s="88" t="str">
        <f>IF('Consulta1'!J4331="","",'Consulta1'!J4331)</f>
        <v>45750</v>
      </c>
      <c r="O239" t="str">
        <v>CHIAPAS|A01 001 MARBELLA|20261003|20261008|MCALLEN|CHANITOS INT|CPR01104|20 CONVENCIONAL F7-1</v>
      </c>
      <c r="P239">
        <v>1</v>
      </c>
      <c r="Q239" t="str">
        <v>CHIAPAS|A01 001 MARBELLA|20261003|20261008|MCALLEN|CHANITOS INT|CPR01104|20 CONVENCIONAL F7-1|1</v>
      </c>
      <c r="R239" t="str">
        <v>Programa Embarques 2026 S-40.xlsx</v>
      </c>
    </row>
    <row r="240" spans="1:18" ht="18.75" x14ac:dyDescent="0.25">
      <c r="A240" s="82" t="str">
        <f>IF('Consulta1'!A4332="","",'Consulta1'!A4332)</f>
        <v>Chanitos Premium Tarima Chep</v>
      </c>
      <c r="B240" s="82" t="str">
        <f>IF('Consulta1'!B4332="","",'Consulta1'!B4332)</f>
        <v>CPR01102</v>
      </c>
      <c r="C240" s="83" t="str">
        <f>IF('Consulta1'!C4332="","",'Consulta1'!C4332)</f>
        <v>A01001-400310-1</v>
      </c>
      <c r="D240" s="84" t="str">
        <f>IF('Consulta1'!D4332="","",'Consulta1'!D4332)</f>
        <v>A01 001 Marbella</v>
      </c>
      <c r="E240" s="82" t="str">
        <f>IF('Consulta1'!E4332="","",'Consulta1'!E4332)</f>
        <v>VSA</v>
      </c>
      <c r="F240">
        <f>+IF(E240="","",VLOOKUP(E240,CATALOGO!G:L,6,0))</f>
        <v>6</v>
      </c>
      <c r="G240" s="85">
        <f>IF('Consulta1'!F4332="","",'Consulta1'!F4332)</f>
        <v>96</v>
      </c>
      <c r="H240" s="85">
        <f>IF('Consulta1'!G4332="","",'Consulta1'!G4332)</f>
        <v>2</v>
      </c>
      <c r="I240" s="86">
        <f>IF('Consulta1'!H4332="","",'Consulta1'!H4332)</f>
        <v>46298</v>
      </c>
      <c r="J240">
        <f t="shared" si="3"/>
        <v>40</v>
      </c>
      <c r="K240">
        <f>+IF(E240="","",VLOOKUP(E240,CATALOGO!G:I,2,0))</f>
        <v>1</v>
      </c>
      <c r="L240">
        <f>+IF(E240="","",VLOOKUP(E240,CATALOGO!G:I,3,0))</f>
        <v>24</v>
      </c>
      <c r="M240" s="87">
        <f>IF('Consulta1'!I4332="","",'Consulta1'!I4332)</f>
        <v>46303</v>
      </c>
      <c r="N240" s="88" t="str">
        <f>IF('Consulta1'!J4332="","",'Consulta1'!J4332)</f>
        <v>41958</v>
      </c>
      <c r="O240" t="str">
        <v>CHIAPAS|A01 001 MARBELLA|20261003|20261008|VSA|WM|CPR01102|19 CONVENCIONAL Y 5 ORG</v>
      </c>
      <c r="P240">
        <v>1</v>
      </c>
      <c r="Q240" t="str">
        <v>CHIAPAS|A01 001 MARBELLA|20261003|20261008|VSA|WM|CPR01102|19 CONVENCIONAL Y 5 ORG|1</v>
      </c>
      <c r="R240" t="str">
        <v>Programa Embarques 2026 S-40.xlsx</v>
      </c>
    </row>
    <row r="241" spans="1:18" ht="18.75" x14ac:dyDescent="0.25">
      <c r="A241" s="82" t="str">
        <f>IF('Consulta1'!A4333="","",'Consulta1'!A4333)</f>
        <v>Chanitos Premium Tarima Chep</v>
      </c>
      <c r="B241" s="82" t="str">
        <f>IF('Consulta1'!B4333="","",'Consulta1'!B4333)</f>
        <v>CPR01102</v>
      </c>
      <c r="C241" s="83" t="str">
        <f>IF('Consulta1'!C4333="","",'Consulta1'!C4333)</f>
        <v>A01001-400310-1</v>
      </c>
      <c r="D241" s="84" t="str">
        <f>IF('Consulta1'!D4333="","",'Consulta1'!D4333)</f>
        <v>A01 001 Marbella</v>
      </c>
      <c r="E241" s="82" t="str">
        <f>IF('Consulta1'!E4333="","",'Consulta1'!E4333)</f>
        <v>Chalco</v>
      </c>
      <c r="F241">
        <f>+IF(E241="","",VLOOKUP(E241,CATALOGO!G:L,6,0))</f>
        <v>5</v>
      </c>
      <c r="G241" s="85">
        <f>IF('Consulta1'!F4333="","",'Consulta1'!F4333)</f>
        <v>186</v>
      </c>
      <c r="H241" s="85">
        <f>IF('Consulta1'!G4333="","",'Consulta1'!G4333)</f>
        <v>4</v>
      </c>
      <c r="I241" s="86">
        <f>IF('Consulta1'!H4333="","",'Consulta1'!H4333)</f>
        <v>46298</v>
      </c>
      <c r="J241">
        <f t="shared" si="3"/>
        <v>40</v>
      </c>
      <c r="K241">
        <f>+IF(E241="","",VLOOKUP(E241,CATALOGO!G:I,2,0))</f>
        <v>1</v>
      </c>
      <c r="L241">
        <f>+IF(E241="","",VLOOKUP(E241,CATALOGO!G:I,3,0))</f>
        <v>24</v>
      </c>
      <c r="M241" s="87">
        <f>IF('Consulta1'!I4333="","",'Consulta1'!I4333)</f>
        <v>46302</v>
      </c>
      <c r="N241" s="88" t="str">
        <f>IF('Consulta1'!J4333="","",'Consulta1'!J4333)</f>
        <v>45920</v>
      </c>
      <c r="O241" t="str">
        <v>CHIAPAS|A01 001 MARBELLA|20261003|20261007|CHALCO|WM|CPR01102|1098 CAJAS CONVENCIONAL Y 54 CAJAS BAE</v>
      </c>
      <c r="P241">
        <v>1</v>
      </c>
      <c r="Q241" t="str">
        <v>CHIAPAS|A01 001 MARBELLA|20261003|20261007|CHALCO|WM|CPR01102|1098 CAJAS CONVENCIONAL Y 54 CAJAS BAE|1</v>
      </c>
      <c r="R241" t="str">
        <v>Programa Embarques 2026 S-40.xlsx</v>
      </c>
    </row>
    <row r="242" spans="1:18" ht="18.75" x14ac:dyDescent="0.25">
      <c r="A242" s="82" t="str">
        <f>IF('Consulta1'!A4334="","",'Consulta1'!A4334)</f>
        <v>Platano de Chiapas BAE UPC 3237</v>
      </c>
      <c r="B242" s="82" t="str">
        <f>IF('Consulta1'!B4334="","",'Consulta1'!B4334)</f>
        <v>CPR01114</v>
      </c>
      <c r="C242" s="83" t="str">
        <f>IF('Consulta1'!C4334="","",'Consulta1'!C4334)</f>
        <v>A01001-400310-1</v>
      </c>
      <c r="D242" s="84" t="str">
        <f>IF('Consulta1'!D4334="","",'Consulta1'!D4334)</f>
        <v>A01 001 Marbella</v>
      </c>
      <c r="E242" s="82" t="str">
        <f>IF('Consulta1'!E4334="","",'Consulta1'!E4334)</f>
        <v>Chalco</v>
      </c>
      <c r="F242">
        <f>+IF(E242="","",VLOOKUP(E242,CATALOGO!G:L,6,0))</f>
        <v>5</v>
      </c>
      <c r="G242" s="85">
        <f>IF('Consulta1'!F4334="","",'Consulta1'!F4334)</f>
        <v>54</v>
      </c>
      <c r="H242" s="85">
        <f>IF('Consulta1'!G4334="","",'Consulta1'!G4334)</f>
        <v>1.125</v>
      </c>
      <c r="I242" s="86">
        <f>IF('Consulta1'!H4334="","",'Consulta1'!H4334)</f>
        <v>46298</v>
      </c>
      <c r="J242">
        <f t="shared" si="3"/>
        <v>40</v>
      </c>
      <c r="K242">
        <f>+IF(E242="","",VLOOKUP(E242,CATALOGO!G:I,2,0))</f>
        <v>1</v>
      </c>
      <c r="L242">
        <f>+IF(E242="","",VLOOKUP(E242,CATALOGO!G:I,3,0))</f>
        <v>24</v>
      </c>
      <c r="M242" s="87">
        <f>IF('Consulta1'!I4334="","",'Consulta1'!I4334)</f>
        <v>46302</v>
      </c>
      <c r="N242" s="88" t="str">
        <f>IF('Consulta1'!J4334="","",'Consulta1'!J4334)</f>
        <v>45920</v>
      </c>
      <c r="O242" t="str">
        <v>CHIAPAS|A01 001 MARBELLA|20261003|20261007|CHALCO|WM|CPR01114|1098 CAJAS CONVENCIONAL Y 54 CAJAS BAE</v>
      </c>
      <c r="P242">
        <v>1</v>
      </c>
      <c r="Q242" t="str">
        <v>CHIAPAS|A01 001 MARBELLA|20261003|20261007|CHALCO|WM|CPR01114|1098 CAJAS CONVENCIONAL Y 54 CAJAS BAE|1</v>
      </c>
      <c r="R242" t="str">
        <v>Programa Embarques 2026 S-40.xlsx</v>
      </c>
    </row>
    <row r="243" spans="1:18" ht="18.75" x14ac:dyDescent="0.25">
      <c r="A243" s="82" t="str">
        <f>IF('Consulta1'!A4335="","",'Consulta1'!A4335)</f>
        <v>Chanitos Premium Tarima Chep</v>
      </c>
      <c r="B243" s="82" t="str">
        <f>IF('Consulta1'!B4335="","",'Consulta1'!B4335)</f>
        <v>CPR01102</v>
      </c>
      <c r="C243" s="83" t="str">
        <f>IF('Consulta1'!C4335="","",'Consulta1'!C4335)</f>
        <v>A01001-400310-1</v>
      </c>
      <c r="D243" s="84" t="str">
        <f>IF('Consulta1'!D4335="","",'Consulta1'!D4335)</f>
        <v>A01 001 Marbella</v>
      </c>
      <c r="E243" s="82" t="str">
        <f>IF('Consulta1'!E4335="","",'Consulta1'!E4335)</f>
        <v>CEDA</v>
      </c>
      <c r="F243">
        <f>+IF(E243="","",VLOOKUP(E243,CATALOGO!G:L,6,0))</f>
        <v>0</v>
      </c>
      <c r="G243" s="85">
        <f>IF('Consulta1'!F4335="","",'Consulta1'!F4335)</f>
        <v>720</v>
      </c>
      <c r="H243" s="85">
        <f>IF('Consulta1'!G4335="","",'Consulta1'!G4335)</f>
        <v>15</v>
      </c>
      <c r="I243" s="86">
        <f>IF('Consulta1'!H4335="","",'Consulta1'!H4335)</f>
        <v>46298</v>
      </c>
      <c r="J243">
        <f t="shared" si="3"/>
        <v>40</v>
      </c>
      <c r="K243">
        <f>+IF(E243="","",VLOOKUP(E243,CATALOGO!G:I,2,0))</f>
        <v>1.5</v>
      </c>
      <c r="L243">
        <f>+IF(E243="","",VLOOKUP(E243,CATALOGO!G:I,3,0))</f>
        <v>36</v>
      </c>
      <c r="M243" s="87">
        <f>IF('Consulta1'!I4335="","",'Consulta1'!I4335)</f>
        <v>46302</v>
      </c>
      <c r="N243" s="88" t="str">
        <f>IF('Consulta1'!J4335="","",'Consulta1'!J4335)</f>
        <v>0</v>
      </c>
      <c r="O243" t="str">
        <v>CHIAPAS|A01 001 MARBELLA|20261003|20261007|CEDA|CEDA AUTOSERVICIO|CPR01102|CEDA</v>
      </c>
      <c r="P243">
        <v>1</v>
      </c>
      <c r="Q243" t="str">
        <v>CHIAPAS|A01 001 MARBELLA|20261003|20261007|CEDA|CEDA AUTOSERVICIO|CPR01102|CEDA|1</v>
      </c>
      <c r="R243" t="str">
        <v>Programa Embarques 2026 S-40.xlsx</v>
      </c>
    </row>
    <row r="244" spans="1:18" ht="18.75" x14ac:dyDescent="0.25">
      <c r="A244" s="82" t="str">
        <f>IF('Consulta1'!A4336="","",'Consulta1'!A4336)</f>
        <v>Chanitos Premium Tarima Americana</v>
      </c>
      <c r="B244" s="82" t="str">
        <f>IF('Consulta1'!B4336="","",'Consulta1'!B4336)</f>
        <v>CPR01103</v>
      </c>
      <c r="C244" s="83" t="str">
        <f>IF('Consulta1'!C4336="","",'Consulta1'!C4336)</f>
        <v>A01003-400310-1</v>
      </c>
      <c r="D244" s="84" t="str">
        <f>IF('Consulta1'!D4336="","",'Consulta1'!D4336)</f>
        <v>A01 003 Doña Nelly</v>
      </c>
      <c r="E244" s="82" t="str">
        <f>IF('Consulta1'!E4336="","",'Consulta1'!E4336)</f>
        <v>Ciudad Juarez</v>
      </c>
      <c r="F244">
        <f>+IF(E244="","",VLOOKUP(E244,CATALOGO!G:L,6,0))</f>
        <v>1</v>
      </c>
      <c r="G244" s="85">
        <f>IF('Consulta1'!F4336="","",'Consulta1'!F4336)</f>
        <v>960</v>
      </c>
      <c r="H244" s="85">
        <f>IF('Consulta1'!G4336="","",'Consulta1'!G4336)</f>
        <v>20</v>
      </c>
      <c r="I244" s="86">
        <f>IF('Consulta1'!H4336="","",'Consulta1'!H4336)</f>
        <v>46298</v>
      </c>
      <c r="J244">
        <f t="shared" si="3"/>
        <v>40</v>
      </c>
      <c r="K244">
        <f>+IF(E244="","",VLOOKUP(E244,CATALOGO!G:I,2,0))</f>
        <v>4</v>
      </c>
      <c r="L244">
        <f>+IF(E244="","",VLOOKUP(E244,CATALOGO!G:I,3,0))</f>
        <v>96</v>
      </c>
      <c r="M244" s="87">
        <f>IF('Consulta1'!I4336="","",'Consulta1'!I4336)</f>
        <v>46304</v>
      </c>
      <c r="N244" s="88" t="str">
        <f>IF('Consulta1'!J4336="","",'Consulta1'!J4336)</f>
        <v>46822</v>
      </c>
      <c r="O244" t="str">
        <v>CHIAPAS|A01 003 DONA NELLY|20261003|20261009|CIUDAD JUAREZ|SMART|CPR01103|</v>
      </c>
      <c r="P244">
        <v>1</v>
      </c>
      <c r="Q244" t="str">
        <v>CHIAPAS|A01 003 DONA NELLY|20261003|20261009|CIUDAD JUAREZ|SMART|CPR01103||1</v>
      </c>
      <c r="R244" t="str">
        <v>Programa Embarques 2026 S-40.xlsx</v>
      </c>
    </row>
    <row r="245" spans="1:18" ht="18.75" x14ac:dyDescent="0.25">
      <c r="A245" s="82" t="str">
        <f>IF('Consulta1'!A4337="","",'Consulta1'!A4337)</f>
        <v>Chanitos Premium Tarima Chep</v>
      </c>
      <c r="B245" s="82" t="str">
        <f>IF('Consulta1'!B4337="","",'Consulta1'!B4337)</f>
        <v>CPR01102</v>
      </c>
      <c r="C245" s="83" t="str">
        <f>IF('Consulta1'!C4337="","",'Consulta1'!C4337)</f>
        <v>A01003-400310-1</v>
      </c>
      <c r="D245" s="84" t="str">
        <f>IF('Consulta1'!D4337="","",'Consulta1'!D4337)</f>
        <v>A01 003 Doña Nelly</v>
      </c>
      <c r="E245" s="82" t="str">
        <f>IF('Consulta1'!E4337="","",'Consulta1'!E4337)</f>
        <v>SMO</v>
      </c>
      <c r="F245">
        <f>+IF(E245="","",VLOOKUP(E245,CATALOGO!G:L,6,0))</f>
        <v>4</v>
      </c>
      <c r="G245" s="85">
        <f>IF('Consulta1'!F4337="","",'Consulta1'!F4337)</f>
        <v>384</v>
      </c>
      <c r="H245" s="85">
        <f>IF('Consulta1'!G4337="","",'Consulta1'!G4337)</f>
        <v>8</v>
      </c>
      <c r="I245" s="86">
        <f>IF('Consulta1'!H4337="","",'Consulta1'!H4337)</f>
        <v>46298</v>
      </c>
      <c r="J245">
        <f t="shared" si="3"/>
        <v>40</v>
      </c>
      <c r="K245">
        <f>+IF(E245="","",VLOOKUP(E245,CATALOGO!G:I,2,0))</f>
        <v>1.5</v>
      </c>
      <c r="L245">
        <f>+IF(E245="","",VLOOKUP(E245,CATALOGO!G:I,3,0))</f>
        <v>36</v>
      </c>
      <c r="M245" s="87">
        <f>IF('Consulta1'!I4337="","",'Consulta1'!I4337)</f>
        <v>46303</v>
      </c>
      <c r="N245" s="88" t="str">
        <f>IF('Consulta1'!J4337="","",'Consulta1'!J4337)</f>
        <v>45922</v>
      </c>
      <c r="O245" t="str">
        <v>CHIAPAS|A01 003 DONA NELLY|20261003|20261008|SMO|WM|CPR01102|24 CONVENCIONAL</v>
      </c>
      <c r="P245">
        <v>1</v>
      </c>
      <c r="Q245" t="str">
        <v>CHIAPAS|A01 003 DONA NELLY|20261003|20261008|SMO|WM|CPR01102|24 CONVENCIONAL|1</v>
      </c>
      <c r="R245" t="str">
        <v>Programa Embarques 2026 S-40.xlsx</v>
      </c>
    </row>
    <row r="246" spans="1:18" ht="18.75" x14ac:dyDescent="0.25">
      <c r="A246" s="82" t="str">
        <f>IF('Consulta1'!A4338="","",'Consulta1'!A4338)</f>
        <v>Chanitos Premium Tarima Chep</v>
      </c>
      <c r="B246" s="82" t="str">
        <f>IF('Consulta1'!B4338="","",'Consulta1'!B4338)</f>
        <v>CPR01102</v>
      </c>
      <c r="C246" s="83" t="str">
        <f>IF('Consulta1'!C4338="","",'Consulta1'!C4338)</f>
        <v>A01002-400310-1</v>
      </c>
      <c r="D246" s="84" t="str">
        <f>IF('Consulta1'!D4338="","",'Consulta1'!D4338)</f>
        <v>A01 002 Fortaleza</v>
      </c>
      <c r="E246" s="82" t="str">
        <f>IF('Consulta1'!E4338="","",'Consulta1'!E4338)</f>
        <v>SMO</v>
      </c>
      <c r="F246">
        <f>+IF(E246="","",VLOOKUP(E246,CATALOGO!G:L,6,0))</f>
        <v>4</v>
      </c>
      <c r="G246" s="85">
        <f>IF('Consulta1'!F4338="","",'Consulta1'!F4338)</f>
        <v>240</v>
      </c>
      <c r="H246" s="85">
        <f>IF('Consulta1'!G4338="","",'Consulta1'!G4338)</f>
        <v>5</v>
      </c>
      <c r="I246" s="86">
        <f>IF('Consulta1'!H4338="","",'Consulta1'!H4338)</f>
        <v>46298</v>
      </c>
      <c r="J246">
        <f t="shared" si="3"/>
        <v>40</v>
      </c>
      <c r="K246">
        <f>+IF(E246="","",VLOOKUP(E246,CATALOGO!G:I,2,0))</f>
        <v>1.5</v>
      </c>
      <c r="L246">
        <f>+IF(E246="","",VLOOKUP(E246,CATALOGO!G:I,3,0))</f>
        <v>36</v>
      </c>
      <c r="M246" s="87">
        <f>IF('Consulta1'!I4338="","",'Consulta1'!I4338)</f>
        <v>46303</v>
      </c>
      <c r="N246" s="88" t="str">
        <f>IF('Consulta1'!J4338="","",'Consulta1'!J4338)</f>
        <v>45922</v>
      </c>
      <c r="O246" t="str">
        <v>CHIAPAS|A01 002 FORTALEZA|20261003|20261008|SMO|WM|CPR01102|24 CONVENCIONAL</v>
      </c>
      <c r="P246">
        <v>1</v>
      </c>
      <c r="Q246" t="str">
        <v>CHIAPAS|A01 002 FORTALEZA|20261003|20261008|SMO|WM|CPR01102|24 CONVENCIONAL|1</v>
      </c>
      <c r="R246" t="str">
        <v>Programa Embarques 2026 S-40.xlsx</v>
      </c>
    </row>
    <row r="247" spans="1:18" ht="18.75" x14ac:dyDescent="0.25">
      <c r="A247" s="82" t="str">
        <f>IF('Consulta1'!A4339="","",'Consulta1'!A4339)</f>
        <v>Chanitos Premium Tarima Chep</v>
      </c>
      <c r="B247" s="82" t="str">
        <f>IF('Consulta1'!B4339="","",'Consulta1'!B4339)</f>
        <v>CPR01102</v>
      </c>
      <c r="C247" s="83" t="str">
        <f>IF('Consulta1'!C4339="","",'Consulta1'!C4339)</f>
        <v>A01002-400310-1</v>
      </c>
      <c r="D247" s="84" t="str">
        <f>IF('Consulta1'!D4339="","",'Consulta1'!D4339)</f>
        <v>A01 002 Fortaleza</v>
      </c>
      <c r="E247" s="82" t="str">
        <f>IF('Consulta1'!E4339="","",'Consulta1'!E4339)</f>
        <v>VSA</v>
      </c>
      <c r="F247">
        <f>+IF(E247="","",VLOOKUP(E247,CATALOGO!G:L,6,0))</f>
        <v>6</v>
      </c>
      <c r="G247" s="85">
        <f>IF('Consulta1'!F4339="","",'Consulta1'!F4339)</f>
        <v>816</v>
      </c>
      <c r="H247" s="85">
        <f>IF('Consulta1'!G4339="","",'Consulta1'!G4339)</f>
        <v>17</v>
      </c>
      <c r="I247" s="86">
        <f>IF('Consulta1'!H4339="","",'Consulta1'!H4339)</f>
        <v>46298</v>
      </c>
      <c r="J247">
        <f t="shared" si="3"/>
        <v>40</v>
      </c>
      <c r="K247">
        <f>+IF(E247="","",VLOOKUP(E247,CATALOGO!G:I,2,0))</f>
        <v>1</v>
      </c>
      <c r="L247">
        <f>+IF(E247="","",VLOOKUP(E247,CATALOGO!G:I,3,0))</f>
        <v>24</v>
      </c>
      <c r="M247" s="87">
        <f>IF('Consulta1'!I4339="","",'Consulta1'!I4339)</f>
        <v>46303</v>
      </c>
      <c r="N247" s="88" t="str">
        <f>IF('Consulta1'!J4339="","",'Consulta1'!J4339)</f>
        <v>41958</v>
      </c>
      <c r="O247" t="str">
        <v>CHIAPAS|A01 002 FORTALEZA|20261003|20261008|VSA|WM|CPR01102|19 CONVENCIONAL Y 5 ORG</v>
      </c>
      <c r="P247">
        <v>1</v>
      </c>
      <c r="Q247" t="str">
        <v>CHIAPAS|A01 002 FORTALEZA|20261003|20261008|VSA|WM|CPR01102|19 CONVENCIONAL Y 5 ORG|1</v>
      </c>
      <c r="R247" t="str">
        <v>Programa Embarques 2026 S-40.xlsx</v>
      </c>
    </row>
    <row r="248" spans="1:18" ht="18.75" x14ac:dyDescent="0.25">
      <c r="A248" s="82" t="str">
        <f>IF('Consulta1'!A4340="","",'Consulta1'!A4340)</f>
        <v>Chanitos Organic Banded Market Side Mexico</v>
      </c>
      <c r="B248" s="82" t="str">
        <f>IF('Consulta1'!B4340="","",'Consulta1'!B4340)</f>
        <v>CRG07128</v>
      </c>
      <c r="C248" s="83" t="str">
        <f>IF('Consulta1'!C4340="","",'Consulta1'!C4340)</f>
        <v>A01002-400310-1</v>
      </c>
      <c r="D248" s="84" t="str">
        <f>IF('Consulta1'!D4340="","",'Consulta1'!D4340)</f>
        <v>A01 002 Fortaleza</v>
      </c>
      <c r="E248" s="82" t="str">
        <f>IF('Consulta1'!E4340="","",'Consulta1'!E4340)</f>
        <v>VSA</v>
      </c>
      <c r="F248">
        <f>+IF(E248="","",VLOOKUP(E248,CATALOGO!G:L,6,0))</f>
        <v>6</v>
      </c>
      <c r="G248" s="85">
        <f>IF('Consulta1'!F4340="","",'Consulta1'!F4340)</f>
        <v>240</v>
      </c>
      <c r="H248" s="85">
        <f>IF('Consulta1'!G4340="","",'Consulta1'!G4340)</f>
        <v>5</v>
      </c>
      <c r="I248" s="86">
        <f>IF('Consulta1'!H4340="","",'Consulta1'!H4340)</f>
        <v>46298</v>
      </c>
      <c r="J248">
        <f t="shared" si="3"/>
        <v>40</v>
      </c>
      <c r="K248">
        <f>+IF(E248="","",VLOOKUP(E248,CATALOGO!G:I,2,0))</f>
        <v>1</v>
      </c>
      <c r="L248">
        <f>+IF(E248="","",VLOOKUP(E248,CATALOGO!G:I,3,0))</f>
        <v>24</v>
      </c>
      <c r="M248" s="87">
        <f>IF('Consulta1'!I4340="","",'Consulta1'!I4340)</f>
        <v>46303</v>
      </c>
      <c r="N248" s="88" t="str">
        <f>IF('Consulta1'!J4340="","",'Consulta1'!J4340)</f>
        <v>43798</v>
      </c>
      <c r="O248" t="str">
        <v>CHIAPAS|A01 002 FORTALEZA|20261003|20261008|VSA|WM|CRG07128|19 CONVENCIONAL Y 5 ORG</v>
      </c>
      <c r="P248">
        <v>1</v>
      </c>
      <c r="Q248" t="str">
        <v>CHIAPAS|A01 002 FORTALEZA|20261003|20261008|VSA|WM|CRG07128|19 CONVENCIONAL Y 5 ORG|1</v>
      </c>
      <c r="R248" t="str">
        <v>Programa Embarques 2026 S-40.xlsx</v>
      </c>
    </row>
    <row r="249" spans="1:18" ht="18.75" x14ac:dyDescent="0.25">
      <c r="A249" s="82" t="str">
        <f>IF('Consulta1'!A4341="","",'Consulta1'!A4341)</f>
        <v>Chanitos Organic Banded Market Side Mexico</v>
      </c>
      <c r="B249" s="82" t="str">
        <f>IF('Consulta1'!B4341="","",'Consulta1'!B4341)</f>
        <v>CRG07128</v>
      </c>
      <c r="C249" s="83" t="str">
        <f>IF('Consulta1'!C4341="","",'Consulta1'!C4341)</f>
        <v>A01002-400310-1</v>
      </c>
      <c r="D249" s="84" t="str">
        <f>IF('Consulta1'!D4341="","",'Consulta1'!D4341)</f>
        <v>A01 002 Fortaleza</v>
      </c>
      <c r="E249" s="82" t="str">
        <f>IF('Consulta1'!E4341="","",'Consulta1'!E4341)</f>
        <v>QRO</v>
      </c>
      <c r="F249">
        <f>+IF(E249="","",VLOOKUP(E249,CATALOGO!G:L,6,0))</f>
        <v>3</v>
      </c>
      <c r="G249" s="85">
        <f>IF('Consulta1'!F4341="","",'Consulta1'!F4341)</f>
        <v>96</v>
      </c>
      <c r="H249" s="85">
        <f>IF('Consulta1'!G4341="","",'Consulta1'!G4341)</f>
        <v>2</v>
      </c>
      <c r="I249" s="86">
        <f>IF('Consulta1'!H4341="","",'Consulta1'!H4341)</f>
        <v>46298</v>
      </c>
      <c r="J249">
        <f t="shared" si="3"/>
        <v>40</v>
      </c>
      <c r="K249">
        <f>+IF(E249="","",VLOOKUP(E249,CATALOGO!G:I,2,0))</f>
        <v>1.5</v>
      </c>
      <c r="L249">
        <f>+IF(E249="","",VLOOKUP(E249,CATALOGO!G:I,3,0))</f>
        <v>36</v>
      </c>
      <c r="M249" s="87">
        <f>IF('Consulta1'!I4341="","",'Consulta1'!I4341)</f>
        <v>46302</v>
      </c>
      <c r="N249" s="88" t="str">
        <f>IF('Consulta1'!J4341="","",'Consulta1'!J4341)</f>
        <v>45912</v>
      </c>
      <c r="O249" t="str">
        <v>CHIAPAS|A01 002 FORTALEZA|20261003|20261007|QRO|WM|CRG07128|22 CONVENCIONAL Y 2 ORG</v>
      </c>
      <c r="P249">
        <v>1</v>
      </c>
      <c r="Q249" t="str">
        <v>CHIAPAS|A01 002 FORTALEZA|20261003|20261007|QRO|WM|CRG07128|22 CONVENCIONAL Y 2 ORG|1</v>
      </c>
      <c r="R249" t="str">
        <v>Programa Embarques 2026 S-40.xlsx</v>
      </c>
    </row>
    <row r="250" spans="1:18" ht="18.75" x14ac:dyDescent="0.25">
      <c r="A250" s="82" t="str">
        <f>IF('Consulta1'!A4342="","",'Consulta1'!A4342)</f>
        <v>Chanitos Premium Tarima Chep</v>
      </c>
      <c r="B250" s="82" t="str">
        <f>IF('Consulta1'!B4342="","",'Consulta1'!B4342)</f>
        <v>CPR01102</v>
      </c>
      <c r="C250" s="83" t="str">
        <f>IF('Consulta1'!C4342="","",'Consulta1'!C4342)</f>
        <v>A04039-400310-1</v>
      </c>
      <c r="D250" s="84" t="str">
        <f>IF('Consulta1'!D4342="","",'Consulta1'!D4342)</f>
        <v>A04 039 San Jose Morelia Nava</v>
      </c>
      <c r="E250" s="82" t="str">
        <f>IF('Consulta1'!E4342="","",'Consulta1'!E4342)</f>
        <v>QRO</v>
      </c>
      <c r="F250">
        <f>+IF(E250="","",VLOOKUP(E250,CATALOGO!G:L,6,0))</f>
        <v>3</v>
      </c>
      <c r="G250" s="85">
        <f>IF('Consulta1'!F4342="","",'Consulta1'!F4342)</f>
        <v>768</v>
      </c>
      <c r="H250" s="85">
        <f>IF('Consulta1'!G4342="","",'Consulta1'!G4342)</f>
        <v>16</v>
      </c>
      <c r="I250" s="86">
        <f>IF('Consulta1'!H4342="","",'Consulta1'!H4342)</f>
        <v>46298</v>
      </c>
      <c r="J250">
        <f t="shared" si="3"/>
        <v>40</v>
      </c>
      <c r="K250">
        <f>+IF(E250="","",VLOOKUP(E250,CATALOGO!G:I,2,0))</f>
        <v>1.5</v>
      </c>
      <c r="L250">
        <f>+IF(E250="","",VLOOKUP(E250,CATALOGO!G:I,3,0))</f>
        <v>36</v>
      </c>
      <c r="M250" s="87">
        <f>IF('Consulta1'!I4342="","",'Consulta1'!I4342)</f>
        <v>46302</v>
      </c>
      <c r="N250" s="88" t="str">
        <f>IF('Consulta1'!J4342="","",'Consulta1'!J4342)</f>
        <v>45912</v>
      </c>
      <c r="O250" t="str">
        <v>CHIAPAS|A04 039 SAN JOSE MORELIA NAVA|20261003|20261007|QRO|WM|CPR01102|22 CONVENCIONAL Y 2 ORG</v>
      </c>
      <c r="P250">
        <v>1</v>
      </c>
      <c r="Q250" t="str">
        <v>CHIAPAS|A04 039 SAN JOSE MORELIA NAVA|20261003|20261007|QRO|WM|CPR01102|22 CONVENCIONAL Y 2 ORG|1</v>
      </c>
      <c r="R250" t="str">
        <v>Programa Embarques 2026 S-40.xlsx</v>
      </c>
    </row>
    <row r="251" spans="1:18" ht="18.75" x14ac:dyDescent="0.25">
      <c r="A251" s="82" t="str">
        <f>IF('Consulta1'!A4343="","",'Consulta1'!A4343)</f>
        <v>Chanitos Premium Tarima Chep</v>
      </c>
      <c r="B251" s="82" t="str">
        <f>IF('Consulta1'!B4343="","",'Consulta1'!B4343)</f>
        <v>CPR01102</v>
      </c>
      <c r="C251" s="83" t="str">
        <f>IF('Consulta1'!C4343="","",'Consulta1'!C4343)</f>
        <v>A04039-400310-1</v>
      </c>
      <c r="D251" s="84" t="str">
        <f>IF('Consulta1'!D4343="","",'Consulta1'!D4343)</f>
        <v>A04 039 San Jose Morelia Nava</v>
      </c>
      <c r="E251" s="82" t="str">
        <f>IF('Consulta1'!E4343="","",'Consulta1'!E4343)</f>
        <v>Chalco</v>
      </c>
      <c r="F251">
        <f>+IF(E251="","",VLOOKUP(E251,CATALOGO!G:L,6,0))</f>
        <v>5</v>
      </c>
      <c r="G251" s="85">
        <f>IF('Consulta1'!F4343="","",'Consulta1'!F4343)</f>
        <v>672</v>
      </c>
      <c r="H251" s="85">
        <f>IF('Consulta1'!G4343="","",'Consulta1'!G4343)</f>
        <v>14</v>
      </c>
      <c r="I251" s="86">
        <f>IF('Consulta1'!H4343="","",'Consulta1'!H4343)</f>
        <v>46298</v>
      </c>
      <c r="J251">
        <f t="shared" si="3"/>
        <v>40</v>
      </c>
      <c r="K251">
        <f>+IF(E251="","",VLOOKUP(E251,CATALOGO!G:I,2,0))</f>
        <v>1</v>
      </c>
      <c r="L251">
        <f>+IF(E251="","",VLOOKUP(E251,CATALOGO!G:I,3,0))</f>
        <v>24</v>
      </c>
      <c r="M251" s="87">
        <f>IF('Consulta1'!I4343="","",'Consulta1'!I4343)</f>
        <v>46302</v>
      </c>
      <c r="N251" s="88" t="str">
        <f>IF('Consulta1'!J4343="","",'Consulta1'!J4343)</f>
        <v>45920</v>
      </c>
      <c r="O251" t="str">
        <v>CHIAPAS|A04 039 SAN JOSE MORELIA NAVA|20261003|20261007|CHALCO|WM|CPR01102|1098 CAJAS CONVENCIONAL Y 54 CAJAS BAE</v>
      </c>
      <c r="P251">
        <v>1</v>
      </c>
      <c r="Q251" t="str">
        <v>CHIAPAS|A04 039 SAN JOSE MORELIA NAVA|20261003|20261007|CHALCO|WM|CPR01102|1098 CAJAS CONVENCIONAL Y 54 CAJAS BAE|1</v>
      </c>
      <c r="R251" t="str">
        <v>Programa Embarques 2026 S-40.xlsx</v>
      </c>
    </row>
    <row r="252" spans="1:18" ht="18.75" x14ac:dyDescent="0.25">
      <c r="A252" s="82" t="str">
        <f>IF('Consulta1'!A4344="","",'Consulta1'!A4344)</f>
        <v/>
      </c>
      <c r="B252" s="82" t="str">
        <f>IF('Consulta1'!B4344="","",'Consulta1'!B4344)</f>
        <v/>
      </c>
      <c r="C252" s="83" t="str">
        <f>IF('Consulta1'!C4344="","",'Consulta1'!C4344)</f>
        <v/>
      </c>
      <c r="D252" s="84" t="str">
        <f>IF('Consulta1'!D4344="","",'Consulta1'!D4344)</f>
        <v/>
      </c>
      <c r="E252" s="82" t="str">
        <f>IF('Consulta1'!E4344="","",'Consulta1'!E4344)</f>
        <v/>
      </c>
      <c r="F252" t="str">
        <f>+IF(E252="","",VLOOKUP(E252,CATALOGO!G:L,6,0))</f>
        <v/>
      </c>
      <c r="G252" s="85" t="str">
        <f>IF('Consulta1'!F4344="","",'Consulta1'!F4344)</f>
        <v/>
      </c>
      <c r="H252" s="85" t="str">
        <f>IF('Consulta1'!G4344="","",'Consulta1'!G4344)</f>
        <v/>
      </c>
      <c r="I252" s="86" t="str">
        <f>IF('Consulta1'!H4344="","",'Consulta1'!H4344)</f>
        <v/>
      </c>
      <c r="J252" t="str">
        <f t="shared" si="3"/>
        <v/>
      </c>
      <c r="K252" t="str">
        <f>+IF(E252="","",VLOOKUP(E252,CATALOGO!G:I,2,0))</f>
        <v/>
      </c>
      <c r="L252" t="str">
        <f>+IF(E252="","",VLOOKUP(E252,CATALOGO!G:I,3,0))</f>
        <v/>
      </c>
      <c r="M252" s="87" t="str">
        <f>IF('Consulta1'!I4344="","",'Consulta1'!I4344)</f>
        <v/>
      </c>
      <c r="N252" s="88" t="str">
        <f>IF('Consulta1'!J4344="","",'Consulta1'!J4344)</f>
        <v/>
      </c>
    </row>
    <row r="253" spans="1:18" ht="18.75" x14ac:dyDescent="0.25">
      <c r="A253" s="82" t="str">
        <f>IF('Consulta1'!A4345="","",'Consulta1'!A4345)</f>
        <v/>
      </c>
      <c r="B253" s="82" t="str">
        <f>IF('Consulta1'!B4345="","",'Consulta1'!B4345)</f>
        <v/>
      </c>
      <c r="C253" s="83" t="str">
        <f>IF('Consulta1'!C4345="","",'Consulta1'!C4345)</f>
        <v/>
      </c>
      <c r="D253" s="84" t="str">
        <f>IF('Consulta1'!D4345="","",'Consulta1'!D4345)</f>
        <v/>
      </c>
      <c r="E253" s="82" t="str">
        <f>IF('Consulta1'!E4345="","",'Consulta1'!E4345)</f>
        <v/>
      </c>
      <c r="F253" t="str">
        <f>+IF(E253="","",VLOOKUP(E253,CATALOGO!G:L,6,0))</f>
        <v/>
      </c>
      <c r="G253" s="85" t="str">
        <f>IF('Consulta1'!F4345="","",'Consulta1'!F4345)</f>
        <v/>
      </c>
      <c r="H253" s="85" t="str">
        <f>IF('Consulta1'!G4345="","",'Consulta1'!G4345)</f>
        <v/>
      </c>
      <c r="I253" s="86" t="str">
        <f>IF('Consulta1'!H4345="","",'Consulta1'!H4345)</f>
        <v/>
      </c>
      <c r="J253" t="str">
        <f t="shared" si="3"/>
        <v/>
      </c>
      <c r="K253" t="str">
        <f>+IF(E253="","",VLOOKUP(E253,CATALOGO!G:I,2,0))</f>
        <v/>
      </c>
      <c r="L253" t="str">
        <f>+IF(E253="","",VLOOKUP(E253,CATALOGO!G:I,3,0))</f>
        <v/>
      </c>
      <c r="M253" s="87" t="str">
        <f>IF('Consulta1'!I4345="","",'Consulta1'!I4345)</f>
        <v/>
      </c>
      <c r="N253" s="88" t="str">
        <f>IF('Consulta1'!J4345="","",'Consulta1'!J4345)</f>
        <v/>
      </c>
    </row>
    <row r="254" spans="1:18" ht="18.75" x14ac:dyDescent="0.25">
      <c r="A254" s="82" t="str">
        <f>IF('Consulta1'!A4346="","",'Consulta1'!A4346)</f>
        <v/>
      </c>
      <c r="B254" s="82" t="str">
        <f>IF('Consulta1'!B4346="","",'Consulta1'!B4346)</f>
        <v/>
      </c>
      <c r="C254" s="83" t="str">
        <f>IF('Consulta1'!C4346="","",'Consulta1'!C4346)</f>
        <v/>
      </c>
      <c r="D254" s="84" t="str">
        <f>IF('Consulta1'!D4346="","",'Consulta1'!D4346)</f>
        <v/>
      </c>
      <c r="E254" s="82" t="str">
        <f>IF('Consulta1'!E4346="","",'Consulta1'!E4346)</f>
        <v/>
      </c>
      <c r="F254" t="str">
        <f>+IF(E254="","",VLOOKUP(E254,CATALOGO!G:L,6,0))</f>
        <v/>
      </c>
      <c r="G254" s="85" t="str">
        <f>IF('Consulta1'!F4346="","",'Consulta1'!F4346)</f>
        <v/>
      </c>
      <c r="H254" s="85" t="str">
        <f>IF('Consulta1'!G4346="","",'Consulta1'!G4346)</f>
        <v/>
      </c>
      <c r="I254" s="86" t="str">
        <f>IF('Consulta1'!H4346="","",'Consulta1'!H4346)</f>
        <v/>
      </c>
      <c r="J254" t="str">
        <f t="shared" si="3"/>
        <v/>
      </c>
      <c r="K254" t="str">
        <f>+IF(E254="","",VLOOKUP(E254,CATALOGO!G:I,2,0))</f>
        <v/>
      </c>
      <c r="L254" t="str">
        <f>+IF(E254="","",VLOOKUP(E254,CATALOGO!G:I,3,0))</f>
        <v/>
      </c>
      <c r="M254" s="87" t="str">
        <f>IF('Consulta1'!I4346="","",'Consulta1'!I4346)</f>
        <v/>
      </c>
      <c r="N254" s="88" t="str">
        <f>IF('Consulta1'!J4346="","",'Consulta1'!J4346)</f>
        <v/>
      </c>
    </row>
    <row r="255" spans="1:18" ht="18.75" x14ac:dyDescent="0.25">
      <c r="A255" s="82" t="str">
        <f>IF('Consulta1'!A4347="","",'Consulta1'!A4347)</f>
        <v/>
      </c>
      <c r="B255" s="82" t="str">
        <f>IF('Consulta1'!B4347="","",'Consulta1'!B4347)</f>
        <v/>
      </c>
      <c r="C255" s="83" t="str">
        <f>IF('Consulta1'!C4347="","",'Consulta1'!C4347)</f>
        <v/>
      </c>
      <c r="D255" s="84" t="str">
        <f>IF('Consulta1'!D4347="","",'Consulta1'!D4347)</f>
        <v/>
      </c>
      <c r="E255" s="82" t="str">
        <f>IF('Consulta1'!E4347="","",'Consulta1'!E4347)</f>
        <v/>
      </c>
      <c r="F255" t="str">
        <f>+IF(E255="","",VLOOKUP(E255,CATALOGO!G:L,6,0))</f>
        <v/>
      </c>
      <c r="G255" s="85" t="str">
        <f>IF('Consulta1'!F4347="","",'Consulta1'!F4347)</f>
        <v/>
      </c>
      <c r="H255" s="85" t="str">
        <f>IF('Consulta1'!G4347="","",'Consulta1'!G4347)</f>
        <v/>
      </c>
      <c r="I255" s="86" t="str">
        <f>IF('Consulta1'!H4347="","",'Consulta1'!H4347)</f>
        <v/>
      </c>
      <c r="J255" t="str">
        <f t="shared" si="3"/>
        <v/>
      </c>
      <c r="K255" t="str">
        <f>+IF(E255="","",VLOOKUP(E255,CATALOGO!G:I,2,0))</f>
        <v/>
      </c>
      <c r="L255" t="str">
        <f>+IF(E255="","",VLOOKUP(E255,CATALOGO!G:I,3,0))</f>
        <v/>
      </c>
      <c r="M255" s="87" t="str">
        <f>IF('Consulta1'!I4347="","",'Consulta1'!I4347)</f>
        <v/>
      </c>
      <c r="N255" s="88" t="str">
        <f>IF('Consulta1'!J4347="","",'Consulta1'!J4347)</f>
        <v/>
      </c>
    </row>
    <row r="256" spans="1:18" ht="18.75" x14ac:dyDescent="0.25">
      <c r="A256" s="82" t="str">
        <f>IF('Consulta1'!A4348="","",'Consulta1'!A4348)</f>
        <v/>
      </c>
      <c r="B256" s="82" t="str">
        <f>IF('Consulta1'!B4348="","",'Consulta1'!B4348)</f>
        <v/>
      </c>
      <c r="C256" s="83" t="str">
        <f>IF('Consulta1'!C4348="","",'Consulta1'!C4348)</f>
        <v/>
      </c>
      <c r="D256" s="84" t="str">
        <f>IF('Consulta1'!D4348="","",'Consulta1'!D4348)</f>
        <v/>
      </c>
      <c r="E256" s="82" t="str">
        <f>IF('Consulta1'!E4348="","",'Consulta1'!E4348)</f>
        <v/>
      </c>
      <c r="F256" t="str">
        <f>+IF(E256="","",VLOOKUP(E256,CATALOGO!G:L,6,0))</f>
        <v/>
      </c>
      <c r="G256" s="85" t="str">
        <f>IF('Consulta1'!F4348="","",'Consulta1'!F4348)</f>
        <v/>
      </c>
      <c r="H256" s="85" t="str">
        <f>IF('Consulta1'!G4348="","",'Consulta1'!G4348)</f>
        <v/>
      </c>
      <c r="I256" s="86" t="str">
        <f>IF('Consulta1'!H4348="","",'Consulta1'!H4348)</f>
        <v/>
      </c>
      <c r="J256" t="str">
        <f t="shared" si="3"/>
        <v/>
      </c>
      <c r="K256" t="str">
        <f>+IF(E256="","",VLOOKUP(E256,CATALOGO!G:I,2,0))</f>
        <v/>
      </c>
      <c r="L256" t="str">
        <f>+IF(E256="","",VLOOKUP(E256,CATALOGO!G:I,3,0))</f>
        <v/>
      </c>
      <c r="M256" s="87" t="str">
        <f>IF('Consulta1'!I4348="","",'Consulta1'!I4348)</f>
        <v/>
      </c>
      <c r="N256" s="88" t="str">
        <f>IF('Consulta1'!J4348="","",'Consulta1'!J4348)</f>
        <v/>
      </c>
    </row>
    <row r="257" spans="1:14" ht="18.75" x14ac:dyDescent="0.25">
      <c r="A257" s="82" t="str">
        <f>IF('Consulta1'!A4349="","",'Consulta1'!A4349)</f>
        <v/>
      </c>
      <c r="B257" s="82" t="str">
        <f>IF('Consulta1'!B4349="","",'Consulta1'!B4349)</f>
        <v/>
      </c>
      <c r="C257" s="83" t="str">
        <f>IF('Consulta1'!C4349="","",'Consulta1'!C4349)</f>
        <v/>
      </c>
      <c r="D257" s="84" t="str">
        <f>IF('Consulta1'!D4349="","",'Consulta1'!D4349)</f>
        <v/>
      </c>
      <c r="E257" s="82" t="str">
        <f>IF('Consulta1'!E4349="","",'Consulta1'!E4349)</f>
        <v/>
      </c>
      <c r="F257" t="str">
        <f>+IF(E257="","",VLOOKUP(E257,CATALOGO!G:L,6,0))</f>
        <v/>
      </c>
      <c r="G257" s="85" t="str">
        <f>IF('Consulta1'!F4349="","",'Consulta1'!F4349)</f>
        <v/>
      </c>
      <c r="H257" s="85" t="str">
        <f>IF('Consulta1'!G4349="","",'Consulta1'!G4349)</f>
        <v/>
      </c>
      <c r="I257" s="86" t="str">
        <f>IF('Consulta1'!H4349="","",'Consulta1'!H4349)</f>
        <v/>
      </c>
      <c r="J257" t="str">
        <f t="shared" si="3"/>
        <v/>
      </c>
      <c r="K257" t="str">
        <f>+IF(E257="","",VLOOKUP(E257,CATALOGO!G:I,2,0))</f>
        <v/>
      </c>
      <c r="L257" t="str">
        <f>+IF(E257="","",VLOOKUP(E257,CATALOGO!G:I,3,0))</f>
        <v/>
      </c>
      <c r="M257" s="87" t="str">
        <f>IF('Consulta1'!I4349="","",'Consulta1'!I4349)</f>
        <v/>
      </c>
      <c r="N257" s="88" t="str">
        <f>IF('Consulta1'!J4349="","",'Consulta1'!J4349)</f>
        <v/>
      </c>
    </row>
    <row r="258" spans="1:14" ht="18.75" x14ac:dyDescent="0.25">
      <c r="A258" s="82" t="str">
        <f>IF('Consulta1'!A4350="","",'Consulta1'!A4350)</f>
        <v/>
      </c>
      <c r="B258" s="82" t="str">
        <f>IF('Consulta1'!B4350="","",'Consulta1'!B4350)</f>
        <v/>
      </c>
      <c r="C258" s="83" t="str">
        <f>IF('Consulta1'!C4350="","",'Consulta1'!C4350)</f>
        <v/>
      </c>
      <c r="D258" s="84" t="str">
        <f>IF('Consulta1'!D4350="","",'Consulta1'!D4350)</f>
        <v/>
      </c>
      <c r="E258" s="82" t="str">
        <f>IF('Consulta1'!E4350="","",'Consulta1'!E4350)</f>
        <v/>
      </c>
      <c r="F258" t="str">
        <f>+IF(E258="","",VLOOKUP(E258,CATALOGO!G:L,6,0))</f>
        <v/>
      </c>
      <c r="G258" s="85" t="str">
        <f>IF('Consulta1'!F4350="","",'Consulta1'!F4350)</f>
        <v/>
      </c>
      <c r="H258" s="85" t="str">
        <f>IF('Consulta1'!G4350="","",'Consulta1'!G4350)</f>
        <v/>
      </c>
      <c r="I258" s="86" t="str">
        <f>IF('Consulta1'!H4350="","",'Consulta1'!H4350)</f>
        <v/>
      </c>
      <c r="J258" t="str">
        <f t="shared" si="3"/>
        <v/>
      </c>
      <c r="K258" t="str">
        <f>+IF(E258="","",VLOOKUP(E258,CATALOGO!G:I,2,0))</f>
        <v/>
      </c>
      <c r="L258" t="str">
        <f>+IF(E258="","",VLOOKUP(E258,CATALOGO!G:I,3,0))</f>
        <v/>
      </c>
      <c r="M258" s="87" t="str">
        <f>IF('Consulta1'!I4350="","",'Consulta1'!I4350)</f>
        <v/>
      </c>
      <c r="N258" s="88" t="str">
        <f>IF('Consulta1'!J4350="","",'Consulta1'!J4350)</f>
        <v/>
      </c>
    </row>
    <row r="259" spans="1:14" ht="18.75" x14ac:dyDescent="0.25">
      <c r="A259" s="82" t="str">
        <f>IF('Consulta1'!A4351="","",'Consulta1'!A4351)</f>
        <v/>
      </c>
      <c r="B259" s="82" t="str">
        <f>IF('Consulta1'!B4351="","",'Consulta1'!B4351)</f>
        <v/>
      </c>
      <c r="C259" s="83" t="str">
        <f>IF('Consulta1'!C4351="","",'Consulta1'!C4351)</f>
        <v/>
      </c>
      <c r="D259" s="84" t="str">
        <f>IF('Consulta1'!D4351="","",'Consulta1'!D4351)</f>
        <v/>
      </c>
      <c r="E259" s="82" t="str">
        <f>IF('Consulta1'!E4351="","",'Consulta1'!E4351)</f>
        <v/>
      </c>
      <c r="F259" t="str">
        <f>+IF(E259="","",VLOOKUP(E259,CATALOGO!G:L,6,0))</f>
        <v/>
      </c>
      <c r="G259" s="85" t="str">
        <f>IF('Consulta1'!F4351="","",'Consulta1'!F4351)</f>
        <v/>
      </c>
      <c r="H259" s="85" t="str">
        <f>IF('Consulta1'!G4351="","",'Consulta1'!G4351)</f>
        <v/>
      </c>
      <c r="I259" s="86" t="str">
        <f>IF('Consulta1'!H4351="","",'Consulta1'!H4351)</f>
        <v/>
      </c>
      <c r="J259" t="str">
        <f t="shared" ref="J259:J299" si="4">+IF(E259="","",WEEKNUM(I259))</f>
        <v/>
      </c>
      <c r="K259" t="str">
        <f>+IF(E259="","",VLOOKUP(E259,CATALOGO!G:I,2,0))</f>
        <v/>
      </c>
      <c r="L259" t="str">
        <f>+IF(E259="","",VLOOKUP(E259,CATALOGO!G:I,3,0))</f>
        <v/>
      </c>
      <c r="M259" s="87" t="str">
        <f>IF('Consulta1'!I4351="","",'Consulta1'!I4351)</f>
        <v/>
      </c>
      <c r="N259" s="88" t="str">
        <f>IF('Consulta1'!J4351="","",'Consulta1'!J4351)</f>
        <v/>
      </c>
    </row>
    <row r="260" spans="1:14" ht="18.75" x14ac:dyDescent="0.25">
      <c r="A260" s="82" t="str">
        <f>IF('Consulta1'!A4352="","",'Consulta1'!A4352)</f>
        <v/>
      </c>
      <c r="B260" s="82" t="str">
        <f>IF('Consulta1'!B4352="","",'Consulta1'!B4352)</f>
        <v/>
      </c>
      <c r="C260" s="83" t="str">
        <f>IF('Consulta1'!C4352="","",'Consulta1'!C4352)</f>
        <v/>
      </c>
      <c r="D260" s="84" t="str">
        <f>IF('Consulta1'!D4352="","",'Consulta1'!D4352)</f>
        <v/>
      </c>
      <c r="E260" s="82" t="str">
        <f>IF('Consulta1'!E4352="","",'Consulta1'!E4352)</f>
        <v/>
      </c>
      <c r="F260" t="str">
        <f>+IF(E260="","",VLOOKUP(E260,CATALOGO!G:L,6,0))</f>
        <v/>
      </c>
      <c r="G260" s="85" t="str">
        <f>IF('Consulta1'!F4352="","",'Consulta1'!F4352)</f>
        <v/>
      </c>
      <c r="H260" s="85" t="str">
        <f>IF('Consulta1'!G4352="","",'Consulta1'!G4352)</f>
        <v/>
      </c>
      <c r="I260" s="86" t="str">
        <f>IF('Consulta1'!H4352="","",'Consulta1'!H4352)</f>
        <v/>
      </c>
      <c r="J260" t="str">
        <f t="shared" si="4"/>
        <v/>
      </c>
      <c r="K260" t="str">
        <f>+IF(E260="","",VLOOKUP(E260,CATALOGO!G:I,2,0))</f>
        <v/>
      </c>
      <c r="L260" t="str">
        <f>+IF(E260="","",VLOOKUP(E260,CATALOGO!G:I,3,0))</f>
        <v/>
      </c>
      <c r="M260" s="87" t="str">
        <f>IF('Consulta1'!I4352="","",'Consulta1'!I4352)</f>
        <v/>
      </c>
      <c r="N260" s="88" t="str">
        <f>IF('Consulta1'!J4352="","",'Consulta1'!J4352)</f>
        <v/>
      </c>
    </row>
    <row r="261" spans="1:14" ht="18.75" x14ac:dyDescent="0.25">
      <c r="A261" s="82" t="str">
        <f>IF('Consulta1'!A4353="","",'Consulta1'!A4353)</f>
        <v/>
      </c>
      <c r="B261" s="82" t="str">
        <f>IF('Consulta1'!B4353="","",'Consulta1'!B4353)</f>
        <v/>
      </c>
      <c r="C261" s="83" t="str">
        <f>IF('Consulta1'!C4353="","",'Consulta1'!C4353)</f>
        <v/>
      </c>
      <c r="D261" s="84" t="str">
        <f>IF('Consulta1'!D4353="","",'Consulta1'!D4353)</f>
        <v/>
      </c>
      <c r="E261" s="82" t="str">
        <f>IF('Consulta1'!E4353="","",'Consulta1'!E4353)</f>
        <v/>
      </c>
      <c r="F261" t="str">
        <f>+IF(E261="","",VLOOKUP(E261,CATALOGO!G:L,6,0))</f>
        <v/>
      </c>
      <c r="G261" s="85" t="str">
        <f>IF('Consulta1'!F4353="","",'Consulta1'!F4353)</f>
        <v/>
      </c>
      <c r="H261" s="85" t="str">
        <f>IF('Consulta1'!G4353="","",'Consulta1'!G4353)</f>
        <v/>
      </c>
      <c r="I261" s="86" t="str">
        <f>IF('Consulta1'!H4353="","",'Consulta1'!H4353)</f>
        <v/>
      </c>
      <c r="J261" t="str">
        <f t="shared" si="4"/>
        <v/>
      </c>
      <c r="K261" t="str">
        <f>+IF(E261="","",VLOOKUP(E261,CATALOGO!G:I,2,0))</f>
        <v/>
      </c>
      <c r="L261" t="str">
        <f>+IF(E261="","",VLOOKUP(E261,CATALOGO!G:I,3,0))</f>
        <v/>
      </c>
      <c r="M261" s="87" t="str">
        <f>IF('Consulta1'!I4353="","",'Consulta1'!I4353)</f>
        <v/>
      </c>
      <c r="N261" s="88" t="str">
        <f>IF('Consulta1'!J4353="","",'Consulta1'!J4353)</f>
        <v/>
      </c>
    </row>
    <row r="262" spans="1:14" ht="18.75" x14ac:dyDescent="0.25">
      <c r="A262" s="82" t="str">
        <f>IF('Consulta1'!A4354="","",'Consulta1'!A4354)</f>
        <v/>
      </c>
      <c r="B262" s="82" t="str">
        <f>IF('Consulta1'!B4354="","",'Consulta1'!B4354)</f>
        <v/>
      </c>
      <c r="C262" s="83" t="str">
        <f>IF('Consulta1'!C4354="","",'Consulta1'!C4354)</f>
        <v/>
      </c>
      <c r="D262" s="84" t="str">
        <f>IF('Consulta1'!D4354="","",'Consulta1'!D4354)</f>
        <v/>
      </c>
      <c r="E262" s="82" t="str">
        <f>IF('Consulta1'!E4354="","",'Consulta1'!E4354)</f>
        <v/>
      </c>
      <c r="F262" t="str">
        <f>+IF(E262="","",VLOOKUP(E262,CATALOGO!G:L,6,0))</f>
        <v/>
      </c>
      <c r="G262" s="85" t="str">
        <f>IF('Consulta1'!F4354="","",'Consulta1'!F4354)</f>
        <v/>
      </c>
      <c r="H262" s="85" t="str">
        <f>IF('Consulta1'!G4354="","",'Consulta1'!G4354)</f>
        <v/>
      </c>
      <c r="I262" s="86" t="str">
        <f>IF('Consulta1'!H4354="","",'Consulta1'!H4354)</f>
        <v/>
      </c>
      <c r="J262" t="str">
        <f t="shared" si="4"/>
        <v/>
      </c>
      <c r="K262" t="str">
        <f>+IF(E262="","",VLOOKUP(E262,CATALOGO!G:I,2,0))</f>
        <v/>
      </c>
      <c r="L262" t="str">
        <f>+IF(E262="","",VLOOKUP(E262,CATALOGO!G:I,3,0))</f>
        <v/>
      </c>
      <c r="M262" s="87" t="str">
        <f>IF('Consulta1'!I4354="","",'Consulta1'!I4354)</f>
        <v/>
      </c>
      <c r="N262" s="88" t="str">
        <f>IF('Consulta1'!J4354="","",'Consulta1'!J4354)</f>
        <v/>
      </c>
    </row>
    <row r="263" spans="1:14" ht="18.75" x14ac:dyDescent="0.25">
      <c r="A263" s="82" t="str">
        <f>IF('Consulta1'!A4355="","",'Consulta1'!A4355)</f>
        <v/>
      </c>
      <c r="B263" s="82" t="str">
        <f>IF('Consulta1'!B4355="","",'Consulta1'!B4355)</f>
        <v/>
      </c>
      <c r="C263" s="83" t="str">
        <f>IF('Consulta1'!C4355="","",'Consulta1'!C4355)</f>
        <v/>
      </c>
      <c r="D263" s="84" t="str">
        <f>IF('Consulta1'!D4355="","",'Consulta1'!D4355)</f>
        <v/>
      </c>
      <c r="E263" s="82" t="str">
        <f>IF('Consulta1'!E4355="","",'Consulta1'!E4355)</f>
        <v/>
      </c>
      <c r="F263" t="str">
        <f>+IF(E263="","",VLOOKUP(E263,CATALOGO!G:L,6,0))</f>
        <v/>
      </c>
      <c r="G263" s="85" t="str">
        <f>IF('Consulta1'!F4355="","",'Consulta1'!F4355)</f>
        <v/>
      </c>
      <c r="H263" s="85" t="str">
        <f>IF('Consulta1'!G4355="","",'Consulta1'!G4355)</f>
        <v/>
      </c>
      <c r="I263" s="86" t="str">
        <f>IF('Consulta1'!H4355="","",'Consulta1'!H4355)</f>
        <v/>
      </c>
      <c r="J263" t="str">
        <f t="shared" si="4"/>
        <v/>
      </c>
      <c r="K263" t="str">
        <f>+IF(E263="","",VLOOKUP(E263,CATALOGO!G:I,2,0))</f>
        <v/>
      </c>
      <c r="L263" t="str">
        <f>+IF(E263="","",VLOOKUP(E263,CATALOGO!G:I,3,0))</f>
        <v/>
      </c>
      <c r="M263" s="87" t="str">
        <f>IF('Consulta1'!I4355="","",'Consulta1'!I4355)</f>
        <v/>
      </c>
      <c r="N263" s="88" t="str">
        <f>IF('Consulta1'!J4355="","",'Consulta1'!J4355)</f>
        <v/>
      </c>
    </row>
    <row r="264" spans="1:14" ht="18.75" x14ac:dyDescent="0.25">
      <c r="A264" s="82" t="str">
        <f>IF('Consulta1'!A4356="","",'Consulta1'!A4356)</f>
        <v/>
      </c>
      <c r="B264" s="82" t="str">
        <f>IF('Consulta1'!B4356="","",'Consulta1'!B4356)</f>
        <v/>
      </c>
      <c r="C264" s="83" t="str">
        <f>IF('Consulta1'!C4356="","",'Consulta1'!C4356)</f>
        <v/>
      </c>
      <c r="D264" s="84" t="str">
        <f>IF('Consulta1'!D4356="","",'Consulta1'!D4356)</f>
        <v/>
      </c>
      <c r="E264" s="82" t="str">
        <f>IF('Consulta1'!E4356="","",'Consulta1'!E4356)</f>
        <v/>
      </c>
      <c r="F264" t="str">
        <f>+IF(E264="","",VLOOKUP(E264,CATALOGO!G:L,6,0))</f>
        <v/>
      </c>
      <c r="G264" s="85" t="str">
        <f>IF('Consulta1'!F4356="","",'Consulta1'!F4356)</f>
        <v/>
      </c>
      <c r="H264" s="85" t="str">
        <f>IF('Consulta1'!G4356="","",'Consulta1'!G4356)</f>
        <v/>
      </c>
      <c r="I264" s="86" t="str">
        <f>IF('Consulta1'!H4356="","",'Consulta1'!H4356)</f>
        <v/>
      </c>
      <c r="J264" t="str">
        <f t="shared" si="4"/>
        <v/>
      </c>
      <c r="K264" t="str">
        <f>+IF(E264="","",VLOOKUP(E264,CATALOGO!G:I,2,0))</f>
        <v/>
      </c>
      <c r="L264" t="str">
        <f>+IF(E264="","",VLOOKUP(E264,CATALOGO!G:I,3,0))</f>
        <v/>
      </c>
      <c r="M264" s="87" t="str">
        <f>IF('Consulta1'!I4356="","",'Consulta1'!I4356)</f>
        <v/>
      </c>
      <c r="N264" s="88" t="str">
        <f>IF('Consulta1'!J4356="","",'Consulta1'!J4356)</f>
        <v/>
      </c>
    </row>
    <row r="265" spans="1:14" ht="18.75" x14ac:dyDescent="0.25">
      <c r="A265" s="82" t="str">
        <f>IF('Consulta1'!A4357="","",'Consulta1'!A4357)</f>
        <v/>
      </c>
      <c r="B265" s="82" t="str">
        <f>IF('Consulta1'!B4357="","",'Consulta1'!B4357)</f>
        <v/>
      </c>
      <c r="C265" s="83" t="str">
        <f>IF('Consulta1'!C4357="","",'Consulta1'!C4357)</f>
        <v/>
      </c>
      <c r="D265" s="84" t="str">
        <f>IF('Consulta1'!D4357="","",'Consulta1'!D4357)</f>
        <v/>
      </c>
      <c r="E265" s="82" t="str">
        <f>IF('Consulta1'!E4357="","",'Consulta1'!E4357)</f>
        <v/>
      </c>
      <c r="F265" t="str">
        <f>+IF(E265="","",VLOOKUP(E265,CATALOGO!G:L,6,0))</f>
        <v/>
      </c>
      <c r="G265" s="85" t="str">
        <f>IF('Consulta1'!F4357="","",'Consulta1'!F4357)</f>
        <v/>
      </c>
      <c r="H265" s="85" t="str">
        <f>IF('Consulta1'!G4357="","",'Consulta1'!G4357)</f>
        <v/>
      </c>
      <c r="I265" s="86" t="str">
        <f>IF('Consulta1'!H4357="","",'Consulta1'!H4357)</f>
        <v/>
      </c>
      <c r="J265" t="str">
        <f t="shared" si="4"/>
        <v/>
      </c>
      <c r="K265" t="str">
        <f>+IF(E265="","",VLOOKUP(E265,CATALOGO!G:I,2,0))</f>
        <v/>
      </c>
      <c r="L265" t="str">
        <f>+IF(E265="","",VLOOKUP(E265,CATALOGO!G:I,3,0))</f>
        <v/>
      </c>
      <c r="M265" s="87" t="str">
        <f>IF('Consulta1'!I4357="","",'Consulta1'!I4357)</f>
        <v/>
      </c>
      <c r="N265" s="88" t="str">
        <f>IF('Consulta1'!J4357="","",'Consulta1'!J4357)</f>
        <v/>
      </c>
    </row>
    <row r="266" spans="1:14" ht="18.75" x14ac:dyDescent="0.25">
      <c r="A266" s="82" t="str">
        <f>IF('Consulta1'!A4358="","",'Consulta1'!A4358)</f>
        <v/>
      </c>
      <c r="B266" s="82" t="str">
        <f>IF('Consulta1'!B4358="","",'Consulta1'!B4358)</f>
        <v/>
      </c>
      <c r="C266" s="83" t="str">
        <f>IF('Consulta1'!C4358="","",'Consulta1'!C4358)</f>
        <v/>
      </c>
      <c r="D266" s="84" t="str">
        <f>IF('Consulta1'!D4358="","",'Consulta1'!D4358)</f>
        <v/>
      </c>
      <c r="E266" s="82" t="str">
        <f>IF('Consulta1'!E4358="","",'Consulta1'!E4358)</f>
        <v/>
      </c>
      <c r="F266" t="str">
        <f>+IF(E266="","",VLOOKUP(E266,CATALOGO!G:L,6,0))</f>
        <v/>
      </c>
      <c r="G266" s="85" t="str">
        <f>IF('Consulta1'!F4358="","",'Consulta1'!F4358)</f>
        <v/>
      </c>
      <c r="H266" s="85" t="str">
        <f>IF('Consulta1'!G4358="","",'Consulta1'!G4358)</f>
        <v/>
      </c>
      <c r="I266" s="86" t="str">
        <f>IF('Consulta1'!H4358="","",'Consulta1'!H4358)</f>
        <v/>
      </c>
      <c r="J266" t="str">
        <f t="shared" si="4"/>
        <v/>
      </c>
      <c r="K266" t="str">
        <f>+IF(E266="","",VLOOKUP(E266,CATALOGO!G:I,2,0))</f>
        <v/>
      </c>
      <c r="L266" t="str">
        <f>+IF(E266="","",VLOOKUP(E266,CATALOGO!G:I,3,0))</f>
        <v/>
      </c>
      <c r="M266" s="87" t="str">
        <f>IF('Consulta1'!I4358="","",'Consulta1'!I4358)</f>
        <v/>
      </c>
      <c r="N266" s="88" t="str">
        <f>IF('Consulta1'!J4358="","",'Consulta1'!J4358)</f>
        <v/>
      </c>
    </row>
    <row r="267" spans="1:14" ht="18.75" x14ac:dyDescent="0.25">
      <c r="A267" s="82" t="str">
        <f>IF('Consulta1'!A4359="","",'Consulta1'!A4359)</f>
        <v/>
      </c>
      <c r="B267" s="82" t="str">
        <f>IF('Consulta1'!B4359="","",'Consulta1'!B4359)</f>
        <v/>
      </c>
      <c r="C267" s="83" t="str">
        <f>IF('Consulta1'!C4359="","",'Consulta1'!C4359)</f>
        <v/>
      </c>
      <c r="D267" s="84" t="str">
        <f>IF('Consulta1'!D4359="","",'Consulta1'!D4359)</f>
        <v/>
      </c>
      <c r="E267" s="82" t="str">
        <f>IF('Consulta1'!E4359="","",'Consulta1'!E4359)</f>
        <v/>
      </c>
      <c r="F267" t="str">
        <f>+IF(E267="","",VLOOKUP(E267,CATALOGO!G:L,6,0))</f>
        <v/>
      </c>
      <c r="G267" s="85" t="str">
        <f>IF('Consulta1'!F4359="","",'Consulta1'!F4359)</f>
        <v/>
      </c>
      <c r="H267" s="85" t="str">
        <f>IF('Consulta1'!G4359="","",'Consulta1'!G4359)</f>
        <v/>
      </c>
      <c r="I267" s="86" t="str">
        <f>IF('Consulta1'!H4359="","",'Consulta1'!H4359)</f>
        <v/>
      </c>
      <c r="J267" t="str">
        <f t="shared" si="4"/>
        <v/>
      </c>
      <c r="K267" t="str">
        <f>+IF(E267="","",VLOOKUP(E267,CATALOGO!G:I,2,0))</f>
        <v/>
      </c>
      <c r="L267" t="str">
        <f>+IF(E267="","",VLOOKUP(E267,CATALOGO!G:I,3,0))</f>
        <v/>
      </c>
      <c r="M267" s="87" t="str">
        <f>IF('Consulta1'!I4359="","",'Consulta1'!I4359)</f>
        <v/>
      </c>
      <c r="N267" s="88" t="str">
        <f>IF('Consulta1'!J4359="","",'Consulta1'!J4359)</f>
        <v/>
      </c>
    </row>
    <row r="268" spans="1:14" ht="18.75" x14ac:dyDescent="0.25">
      <c r="A268" s="82" t="str">
        <f>IF('Consulta1'!A4360="","",'Consulta1'!A4360)</f>
        <v/>
      </c>
      <c r="B268" s="82" t="str">
        <f>IF('Consulta1'!B4360="","",'Consulta1'!B4360)</f>
        <v/>
      </c>
      <c r="C268" s="83" t="str">
        <f>IF('Consulta1'!C4360="","",'Consulta1'!C4360)</f>
        <v/>
      </c>
      <c r="D268" s="84" t="str">
        <f>IF('Consulta1'!D4360="","",'Consulta1'!D4360)</f>
        <v/>
      </c>
      <c r="E268" s="82" t="str">
        <f>IF('Consulta1'!E4360="","",'Consulta1'!E4360)</f>
        <v/>
      </c>
      <c r="F268" t="str">
        <f>+IF(E268="","",VLOOKUP(E268,CATALOGO!G:L,6,0))</f>
        <v/>
      </c>
      <c r="G268" s="85" t="str">
        <f>IF('Consulta1'!F4360="","",'Consulta1'!F4360)</f>
        <v/>
      </c>
      <c r="H268" s="85" t="str">
        <f>IF('Consulta1'!G4360="","",'Consulta1'!G4360)</f>
        <v/>
      </c>
      <c r="I268" s="86" t="str">
        <f>IF('Consulta1'!H4360="","",'Consulta1'!H4360)</f>
        <v/>
      </c>
      <c r="J268" t="str">
        <f t="shared" si="4"/>
        <v/>
      </c>
      <c r="K268" t="str">
        <f>+IF(E268="","",VLOOKUP(E268,CATALOGO!G:I,2,0))</f>
        <v/>
      </c>
      <c r="L268" t="str">
        <f>+IF(E268="","",VLOOKUP(E268,CATALOGO!G:I,3,0))</f>
        <v/>
      </c>
      <c r="M268" s="87" t="str">
        <f>IF('Consulta1'!I4360="","",'Consulta1'!I4360)</f>
        <v/>
      </c>
      <c r="N268" s="88" t="str">
        <f>IF('Consulta1'!J4360="","",'Consulta1'!J4360)</f>
        <v/>
      </c>
    </row>
    <row r="269" spans="1:14" ht="18.75" x14ac:dyDescent="0.25">
      <c r="A269" s="82" t="str">
        <f>IF('Consulta1'!A4361="","",'Consulta1'!A4361)</f>
        <v/>
      </c>
      <c r="B269" s="82" t="str">
        <f>IF('Consulta1'!B4361="","",'Consulta1'!B4361)</f>
        <v/>
      </c>
      <c r="C269" s="83" t="str">
        <f>IF('Consulta1'!C4361="","",'Consulta1'!C4361)</f>
        <v/>
      </c>
      <c r="D269" s="84" t="str">
        <f>IF('Consulta1'!D4361="","",'Consulta1'!D4361)</f>
        <v/>
      </c>
      <c r="E269" s="82" t="str">
        <f>IF('Consulta1'!E4361="","",'Consulta1'!E4361)</f>
        <v/>
      </c>
      <c r="F269" t="str">
        <f>+IF(E269="","",VLOOKUP(E269,CATALOGO!G:L,6,0))</f>
        <v/>
      </c>
      <c r="G269" s="85" t="str">
        <f>IF('Consulta1'!F4361="","",'Consulta1'!F4361)</f>
        <v/>
      </c>
      <c r="H269" s="85" t="str">
        <f>IF('Consulta1'!G4361="","",'Consulta1'!G4361)</f>
        <v/>
      </c>
      <c r="I269" s="86" t="str">
        <f>IF('Consulta1'!H4361="","",'Consulta1'!H4361)</f>
        <v/>
      </c>
      <c r="J269" t="str">
        <f t="shared" si="4"/>
        <v/>
      </c>
      <c r="K269" t="str">
        <f>+IF(E269="","",VLOOKUP(E269,CATALOGO!G:I,2,0))</f>
        <v/>
      </c>
      <c r="L269" t="str">
        <f>+IF(E269="","",VLOOKUP(E269,CATALOGO!G:I,3,0))</f>
        <v/>
      </c>
      <c r="M269" s="87" t="str">
        <f>IF('Consulta1'!I4361="","",'Consulta1'!I4361)</f>
        <v/>
      </c>
      <c r="N269" s="88" t="str">
        <f>IF('Consulta1'!J4361="","",'Consulta1'!J4361)</f>
        <v/>
      </c>
    </row>
    <row r="270" spans="1:14" ht="18.75" x14ac:dyDescent="0.25">
      <c r="A270" s="82" t="str">
        <f>IF('Consulta1'!A4362="","",'Consulta1'!A4362)</f>
        <v/>
      </c>
      <c r="B270" s="82" t="str">
        <f>IF('Consulta1'!B4362="","",'Consulta1'!B4362)</f>
        <v/>
      </c>
      <c r="C270" s="83" t="str">
        <f>IF('Consulta1'!C4362="","",'Consulta1'!C4362)</f>
        <v/>
      </c>
      <c r="D270" s="84" t="str">
        <f>IF('Consulta1'!D4362="","",'Consulta1'!D4362)</f>
        <v/>
      </c>
      <c r="E270" s="82" t="str">
        <f>IF('Consulta1'!E4362="","",'Consulta1'!E4362)</f>
        <v/>
      </c>
      <c r="F270" t="str">
        <f>+IF(E270="","",VLOOKUP(E270,CATALOGO!G:L,6,0))</f>
        <v/>
      </c>
      <c r="G270" s="85" t="str">
        <f>IF('Consulta1'!F4362="","",'Consulta1'!F4362)</f>
        <v/>
      </c>
      <c r="H270" s="85" t="str">
        <f>IF('Consulta1'!G4362="","",'Consulta1'!G4362)</f>
        <v/>
      </c>
      <c r="I270" s="86" t="str">
        <f>IF('Consulta1'!H4362="","",'Consulta1'!H4362)</f>
        <v/>
      </c>
      <c r="J270" t="str">
        <f t="shared" si="4"/>
        <v/>
      </c>
      <c r="K270" t="str">
        <f>+IF(E270="","",VLOOKUP(E270,CATALOGO!G:I,2,0))</f>
        <v/>
      </c>
      <c r="L270" t="str">
        <f>+IF(E270="","",VLOOKUP(E270,CATALOGO!G:I,3,0))</f>
        <v/>
      </c>
      <c r="M270" s="87" t="str">
        <f>IF('Consulta1'!I4362="","",'Consulta1'!I4362)</f>
        <v/>
      </c>
      <c r="N270" s="88" t="str">
        <f>IF('Consulta1'!J4362="","",'Consulta1'!J4362)</f>
        <v/>
      </c>
    </row>
    <row r="271" spans="1:14" ht="18.75" x14ac:dyDescent="0.25">
      <c r="A271" s="82" t="str">
        <f>IF('Consulta1'!A4363="","",'Consulta1'!A4363)</f>
        <v/>
      </c>
      <c r="B271" s="82" t="str">
        <f>IF('Consulta1'!B4363="","",'Consulta1'!B4363)</f>
        <v/>
      </c>
      <c r="C271" s="83" t="str">
        <f>IF('Consulta1'!C4363="","",'Consulta1'!C4363)</f>
        <v/>
      </c>
      <c r="D271" s="84" t="str">
        <f>IF('Consulta1'!D4363="","",'Consulta1'!D4363)</f>
        <v/>
      </c>
      <c r="E271" s="82" t="str">
        <f>IF('Consulta1'!E4363="","",'Consulta1'!E4363)</f>
        <v/>
      </c>
      <c r="F271" t="str">
        <f>+IF(E271="","",VLOOKUP(E271,CATALOGO!G:L,6,0))</f>
        <v/>
      </c>
      <c r="G271" s="85" t="str">
        <f>IF('Consulta1'!F4363="","",'Consulta1'!F4363)</f>
        <v/>
      </c>
      <c r="H271" s="85" t="str">
        <f>IF('Consulta1'!G4363="","",'Consulta1'!G4363)</f>
        <v/>
      </c>
      <c r="I271" s="86" t="str">
        <f>IF('Consulta1'!H4363="","",'Consulta1'!H4363)</f>
        <v/>
      </c>
      <c r="J271" t="str">
        <f t="shared" si="4"/>
        <v/>
      </c>
      <c r="K271" t="str">
        <f>+IF(E271="","",VLOOKUP(E271,CATALOGO!G:I,2,0))</f>
        <v/>
      </c>
      <c r="L271" t="str">
        <f>+IF(E271="","",VLOOKUP(E271,CATALOGO!G:I,3,0))</f>
        <v/>
      </c>
      <c r="M271" s="87" t="str">
        <f>IF('Consulta1'!I4363="","",'Consulta1'!I4363)</f>
        <v/>
      </c>
      <c r="N271" s="88" t="str">
        <f>IF('Consulta1'!J4363="","",'Consulta1'!J4363)</f>
        <v/>
      </c>
    </row>
    <row r="272" spans="1:14" ht="18.75" x14ac:dyDescent="0.25">
      <c r="A272" s="82" t="str">
        <f>IF('Consulta1'!A4364="","",'Consulta1'!A4364)</f>
        <v/>
      </c>
      <c r="B272" s="82" t="str">
        <f>IF('Consulta1'!B4364="","",'Consulta1'!B4364)</f>
        <v/>
      </c>
      <c r="C272" s="83" t="str">
        <f>IF('Consulta1'!C4364="","",'Consulta1'!C4364)</f>
        <v/>
      </c>
      <c r="D272" s="84" t="str">
        <f>IF('Consulta1'!D4364="","",'Consulta1'!D4364)</f>
        <v/>
      </c>
      <c r="E272" s="82" t="str">
        <f>IF('Consulta1'!E4364="","",'Consulta1'!E4364)</f>
        <v/>
      </c>
      <c r="F272" t="str">
        <f>+IF(E272="","",VLOOKUP(E272,CATALOGO!G:L,6,0))</f>
        <v/>
      </c>
      <c r="G272" s="85" t="str">
        <f>IF('Consulta1'!F4364="","",'Consulta1'!F4364)</f>
        <v/>
      </c>
      <c r="H272" s="85" t="str">
        <f>IF('Consulta1'!G4364="","",'Consulta1'!G4364)</f>
        <v/>
      </c>
      <c r="I272" s="86" t="str">
        <f>IF('Consulta1'!H4364="","",'Consulta1'!H4364)</f>
        <v/>
      </c>
      <c r="J272" t="str">
        <f t="shared" si="4"/>
        <v/>
      </c>
      <c r="K272" t="str">
        <f>+IF(E272="","",VLOOKUP(E272,CATALOGO!G:I,2,0))</f>
        <v/>
      </c>
      <c r="L272" t="str">
        <f>+IF(E272="","",VLOOKUP(E272,CATALOGO!G:I,3,0))</f>
        <v/>
      </c>
      <c r="M272" s="87" t="str">
        <f>IF('Consulta1'!I4364="","",'Consulta1'!I4364)</f>
        <v/>
      </c>
      <c r="N272" s="88" t="str">
        <f>IF('Consulta1'!J4364="","",'Consulta1'!J4364)</f>
        <v/>
      </c>
    </row>
    <row r="273" spans="1:14" ht="18.75" x14ac:dyDescent="0.25">
      <c r="A273" s="82" t="str">
        <f>IF('Consulta1'!A4365="","",'Consulta1'!A4365)</f>
        <v/>
      </c>
      <c r="B273" s="82" t="str">
        <f>IF('Consulta1'!B4365="","",'Consulta1'!B4365)</f>
        <v/>
      </c>
      <c r="C273" s="83" t="str">
        <f>IF('Consulta1'!C4365="","",'Consulta1'!C4365)</f>
        <v/>
      </c>
      <c r="D273" s="84" t="str">
        <f>IF('Consulta1'!D4365="","",'Consulta1'!D4365)</f>
        <v/>
      </c>
      <c r="E273" s="82" t="str">
        <f>IF('Consulta1'!E4365="","",'Consulta1'!E4365)</f>
        <v/>
      </c>
      <c r="F273" t="str">
        <f>+IF(E273="","",VLOOKUP(E273,CATALOGO!G:L,6,0))</f>
        <v/>
      </c>
      <c r="G273" s="85" t="str">
        <f>IF('Consulta1'!F4365="","",'Consulta1'!F4365)</f>
        <v/>
      </c>
      <c r="H273" s="85" t="str">
        <f>IF('Consulta1'!G4365="","",'Consulta1'!G4365)</f>
        <v/>
      </c>
      <c r="I273" s="86" t="str">
        <f>IF('Consulta1'!H4365="","",'Consulta1'!H4365)</f>
        <v/>
      </c>
      <c r="J273" t="str">
        <f t="shared" si="4"/>
        <v/>
      </c>
      <c r="K273" t="str">
        <f>+IF(E273="","",VLOOKUP(E273,CATALOGO!G:I,2,0))</f>
        <v/>
      </c>
      <c r="L273" t="str">
        <f>+IF(E273="","",VLOOKUP(E273,CATALOGO!G:I,3,0))</f>
        <v/>
      </c>
      <c r="M273" s="87" t="str">
        <f>IF('Consulta1'!I4365="","",'Consulta1'!I4365)</f>
        <v/>
      </c>
      <c r="N273" s="88" t="str">
        <f>IF('Consulta1'!J4365="","",'Consulta1'!J4365)</f>
        <v/>
      </c>
    </row>
    <row r="274" spans="1:14" ht="18.75" x14ac:dyDescent="0.25">
      <c r="A274" s="82" t="str">
        <f>IF('Consulta1'!A4366="","",'Consulta1'!A4366)</f>
        <v/>
      </c>
      <c r="B274" s="82" t="str">
        <f>IF('Consulta1'!B4366="","",'Consulta1'!B4366)</f>
        <v/>
      </c>
      <c r="C274" s="83" t="str">
        <f>IF('Consulta1'!C4366="","",'Consulta1'!C4366)</f>
        <v/>
      </c>
      <c r="D274" s="84" t="str">
        <f>IF('Consulta1'!D4366="","",'Consulta1'!D4366)</f>
        <v/>
      </c>
      <c r="E274" s="82" t="str">
        <f>IF('Consulta1'!E4366="","",'Consulta1'!E4366)</f>
        <v/>
      </c>
      <c r="F274" t="str">
        <f>+IF(E274="","",VLOOKUP(E274,CATALOGO!G:L,6,0))</f>
        <v/>
      </c>
      <c r="G274" s="85" t="str">
        <f>IF('Consulta1'!F4366="","",'Consulta1'!F4366)</f>
        <v/>
      </c>
      <c r="H274" s="85" t="str">
        <f>IF('Consulta1'!G4366="","",'Consulta1'!G4366)</f>
        <v/>
      </c>
      <c r="I274" s="86" t="str">
        <f>IF('Consulta1'!H4366="","",'Consulta1'!H4366)</f>
        <v/>
      </c>
      <c r="J274" t="str">
        <f t="shared" si="4"/>
        <v/>
      </c>
      <c r="K274" t="str">
        <f>+IF(E274="","",VLOOKUP(E274,CATALOGO!G:I,2,0))</f>
        <v/>
      </c>
      <c r="L274" t="str">
        <f>+IF(E274="","",VLOOKUP(E274,CATALOGO!G:I,3,0))</f>
        <v/>
      </c>
      <c r="M274" s="87" t="str">
        <f>IF('Consulta1'!I4366="","",'Consulta1'!I4366)</f>
        <v/>
      </c>
      <c r="N274" s="88" t="str">
        <f>IF('Consulta1'!J4366="","",'Consulta1'!J4366)</f>
        <v/>
      </c>
    </row>
    <row r="275" spans="1:14" ht="18.75" x14ac:dyDescent="0.25">
      <c r="A275" s="82" t="str">
        <f>IF('Consulta1'!A4367="","",'Consulta1'!A4367)</f>
        <v/>
      </c>
      <c r="B275" s="82" t="str">
        <f>IF('Consulta1'!B4367="","",'Consulta1'!B4367)</f>
        <v/>
      </c>
      <c r="C275" s="83" t="str">
        <f>IF('Consulta1'!C4367="","",'Consulta1'!C4367)</f>
        <v/>
      </c>
      <c r="D275" s="84" t="str">
        <f>IF('Consulta1'!D4367="","",'Consulta1'!D4367)</f>
        <v/>
      </c>
      <c r="E275" s="82" t="str">
        <f>IF('Consulta1'!E4367="","",'Consulta1'!E4367)</f>
        <v/>
      </c>
      <c r="F275" t="str">
        <f>+IF(E275="","",VLOOKUP(E275,CATALOGO!G:L,6,0))</f>
        <v/>
      </c>
      <c r="G275" s="85" t="str">
        <f>IF('Consulta1'!F4367="","",'Consulta1'!F4367)</f>
        <v/>
      </c>
      <c r="H275" s="85" t="str">
        <f>IF('Consulta1'!G4367="","",'Consulta1'!G4367)</f>
        <v/>
      </c>
      <c r="I275" s="86" t="str">
        <f>IF('Consulta1'!H4367="","",'Consulta1'!H4367)</f>
        <v/>
      </c>
      <c r="J275" t="str">
        <f t="shared" si="4"/>
        <v/>
      </c>
      <c r="K275" t="str">
        <f>+IF(E275="","",VLOOKUP(E275,CATALOGO!G:I,2,0))</f>
        <v/>
      </c>
      <c r="L275" t="str">
        <f>+IF(E275="","",VLOOKUP(E275,CATALOGO!G:I,3,0))</f>
        <v/>
      </c>
      <c r="M275" s="87" t="str">
        <f>IF('Consulta1'!I4367="","",'Consulta1'!I4367)</f>
        <v/>
      </c>
      <c r="N275" s="88" t="str">
        <f>IF('Consulta1'!J4367="","",'Consulta1'!J4367)</f>
        <v/>
      </c>
    </row>
    <row r="276" spans="1:14" ht="18.75" x14ac:dyDescent="0.25">
      <c r="A276" s="82" t="str">
        <f>IF('Consulta1'!A4368="","",'Consulta1'!A4368)</f>
        <v/>
      </c>
      <c r="B276" s="82" t="str">
        <f>IF('Consulta1'!B4368="","",'Consulta1'!B4368)</f>
        <v/>
      </c>
      <c r="C276" s="83" t="str">
        <f>IF('Consulta1'!C4368="","",'Consulta1'!C4368)</f>
        <v/>
      </c>
      <c r="D276" s="84" t="str">
        <f>IF('Consulta1'!D4368="","",'Consulta1'!D4368)</f>
        <v/>
      </c>
      <c r="E276" s="82" t="str">
        <f>IF('Consulta1'!E4368="","",'Consulta1'!E4368)</f>
        <v/>
      </c>
      <c r="F276" t="str">
        <f>+IF(E276="","",VLOOKUP(E276,CATALOGO!G:L,6,0))</f>
        <v/>
      </c>
      <c r="G276" s="85" t="str">
        <f>IF('Consulta1'!F4368="","",'Consulta1'!F4368)</f>
        <v/>
      </c>
      <c r="H276" s="85" t="str">
        <f>IF('Consulta1'!G4368="","",'Consulta1'!G4368)</f>
        <v/>
      </c>
      <c r="I276" s="86" t="str">
        <f>IF('Consulta1'!H4368="","",'Consulta1'!H4368)</f>
        <v/>
      </c>
      <c r="J276" t="str">
        <f t="shared" si="4"/>
        <v/>
      </c>
      <c r="K276" t="str">
        <f>+IF(E276="","",VLOOKUP(E276,CATALOGO!G:I,2,0))</f>
        <v/>
      </c>
      <c r="L276" t="str">
        <f>+IF(E276="","",VLOOKUP(E276,CATALOGO!G:I,3,0))</f>
        <v/>
      </c>
      <c r="M276" s="87" t="str">
        <f>IF('Consulta1'!I4368="","",'Consulta1'!I4368)</f>
        <v/>
      </c>
      <c r="N276" s="88" t="str">
        <f>IF('Consulta1'!J4368="","",'Consulta1'!J4368)</f>
        <v/>
      </c>
    </row>
    <row r="277" spans="1:14" ht="18.75" x14ac:dyDescent="0.25">
      <c r="A277" s="82" t="str">
        <f>IF('Consulta1'!A4369="","",'Consulta1'!A4369)</f>
        <v/>
      </c>
      <c r="B277" s="82" t="str">
        <f>IF('Consulta1'!B4369="","",'Consulta1'!B4369)</f>
        <v/>
      </c>
      <c r="C277" s="83" t="str">
        <f>IF('Consulta1'!C4369="","",'Consulta1'!C4369)</f>
        <v/>
      </c>
      <c r="D277" s="84" t="str">
        <f>IF('Consulta1'!D4369="","",'Consulta1'!D4369)</f>
        <v/>
      </c>
      <c r="E277" s="82" t="str">
        <f>IF('Consulta1'!E4369="","",'Consulta1'!E4369)</f>
        <v/>
      </c>
      <c r="F277" t="str">
        <f>+IF(E277="","",VLOOKUP(E277,CATALOGO!G:L,6,0))</f>
        <v/>
      </c>
      <c r="G277" s="85" t="str">
        <f>IF('Consulta1'!F4369="","",'Consulta1'!F4369)</f>
        <v/>
      </c>
      <c r="H277" s="85" t="str">
        <f>IF('Consulta1'!G4369="","",'Consulta1'!G4369)</f>
        <v/>
      </c>
      <c r="I277" s="86" t="str">
        <f>IF('Consulta1'!H4369="","",'Consulta1'!H4369)</f>
        <v/>
      </c>
      <c r="J277" t="str">
        <f t="shared" si="4"/>
        <v/>
      </c>
      <c r="K277" t="str">
        <f>+IF(E277="","",VLOOKUP(E277,CATALOGO!G:I,2,0))</f>
        <v/>
      </c>
      <c r="L277" t="str">
        <f>+IF(E277="","",VLOOKUP(E277,CATALOGO!G:I,3,0))</f>
        <v/>
      </c>
      <c r="M277" s="87" t="str">
        <f>IF('Consulta1'!I4369="","",'Consulta1'!I4369)</f>
        <v/>
      </c>
      <c r="N277" s="88" t="str">
        <f>IF('Consulta1'!J4369="","",'Consulta1'!J4369)</f>
        <v/>
      </c>
    </row>
    <row r="278" spans="1:14" ht="18.75" x14ac:dyDescent="0.25">
      <c r="A278" s="82" t="str">
        <f>IF('Consulta1'!A4370="","",'Consulta1'!A4370)</f>
        <v/>
      </c>
      <c r="B278" s="82" t="str">
        <f>IF('Consulta1'!B4370="","",'Consulta1'!B4370)</f>
        <v/>
      </c>
      <c r="C278" s="83" t="str">
        <f>IF('Consulta1'!C4370="","",'Consulta1'!C4370)</f>
        <v/>
      </c>
      <c r="D278" s="84" t="str">
        <f>IF('Consulta1'!D4370="","",'Consulta1'!D4370)</f>
        <v/>
      </c>
      <c r="E278" s="82" t="str">
        <f>IF('Consulta1'!E4370="","",'Consulta1'!E4370)</f>
        <v/>
      </c>
      <c r="F278" t="str">
        <f>+IF(E278="","",VLOOKUP(E278,CATALOGO!G:L,6,0))</f>
        <v/>
      </c>
      <c r="G278" s="85" t="str">
        <f>IF('Consulta1'!F4370="","",'Consulta1'!F4370)</f>
        <v/>
      </c>
      <c r="H278" s="85" t="str">
        <f>IF('Consulta1'!G4370="","",'Consulta1'!G4370)</f>
        <v/>
      </c>
      <c r="I278" s="86" t="str">
        <f>IF('Consulta1'!H4370="","",'Consulta1'!H4370)</f>
        <v/>
      </c>
      <c r="J278" t="str">
        <f t="shared" si="4"/>
        <v/>
      </c>
      <c r="K278" t="str">
        <f>+IF(E278="","",VLOOKUP(E278,CATALOGO!G:I,2,0))</f>
        <v/>
      </c>
      <c r="L278" t="str">
        <f>+IF(E278="","",VLOOKUP(E278,CATALOGO!G:I,3,0))</f>
        <v/>
      </c>
      <c r="M278" s="87" t="str">
        <f>IF('Consulta1'!I4370="","",'Consulta1'!I4370)</f>
        <v/>
      </c>
      <c r="N278" s="88" t="str">
        <f>IF('Consulta1'!J4370="","",'Consulta1'!J4370)</f>
        <v/>
      </c>
    </row>
    <row r="279" spans="1:14" ht="18.75" x14ac:dyDescent="0.25">
      <c r="A279" s="82" t="str">
        <f>IF('Consulta1'!A4371="","",'Consulta1'!A4371)</f>
        <v/>
      </c>
      <c r="B279" s="82" t="str">
        <f>IF('Consulta1'!B4371="","",'Consulta1'!B4371)</f>
        <v/>
      </c>
      <c r="C279" s="83" t="str">
        <f>IF('Consulta1'!C4371="","",'Consulta1'!C4371)</f>
        <v/>
      </c>
      <c r="D279" s="84" t="str">
        <f>IF('Consulta1'!D4371="","",'Consulta1'!D4371)</f>
        <v/>
      </c>
      <c r="E279" s="82" t="str">
        <f>IF('Consulta1'!E4371="","",'Consulta1'!E4371)</f>
        <v/>
      </c>
      <c r="F279" t="str">
        <f>+IF(E279="","",VLOOKUP(E279,CATALOGO!G:L,6,0))</f>
        <v/>
      </c>
      <c r="G279" s="85" t="str">
        <f>IF('Consulta1'!F4371="","",'Consulta1'!F4371)</f>
        <v/>
      </c>
      <c r="H279" s="85" t="str">
        <f>IF('Consulta1'!G4371="","",'Consulta1'!G4371)</f>
        <v/>
      </c>
      <c r="I279" s="86" t="str">
        <f>IF('Consulta1'!H4371="","",'Consulta1'!H4371)</f>
        <v/>
      </c>
      <c r="J279" t="str">
        <f t="shared" si="4"/>
        <v/>
      </c>
      <c r="K279" t="str">
        <f>+IF(E279="","",VLOOKUP(E279,CATALOGO!G:I,2,0))</f>
        <v/>
      </c>
      <c r="L279" t="str">
        <f>+IF(E279="","",VLOOKUP(E279,CATALOGO!G:I,3,0))</f>
        <v/>
      </c>
      <c r="M279" s="87" t="str">
        <f>IF('Consulta1'!I4371="","",'Consulta1'!I4371)</f>
        <v/>
      </c>
      <c r="N279" s="88" t="str">
        <f>IF('Consulta1'!J4371="","",'Consulta1'!J4371)</f>
        <v/>
      </c>
    </row>
    <row r="280" spans="1:14" ht="18.75" x14ac:dyDescent="0.25">
      <c r="A280" s="82" t="str">
        <f>IF('Consulta1'!A4372="","",'Consulta1'!A4372)</f>
        <v/>
      </c>
      <c r="B280" s="82" t="str">
        <f>IF('Consulta1'!B4372="","",'Consulta1'!B4372)</f>
        <v/>
      </c>
      <c r="C280" s="83" t="str">
        <f>IF('Consulta1'!C4372="","",'Consulta1'!C4372)</f>
        <v/>
      </c>
      <c r="D280" s="84" t="str">
        <f>IF('Consulta1'!D4372="","",'Consulta1'!D4372)</f>
        <v/>
      </c>
      <c r="E280" s="82" t="str">
        <f>IF('Consulta1'!E4372="","",'Consulta1'!E4372)</f>
        <v/>
      </c>
      <c r="F280" t="str">
        <f>+IF(E280="","",VLOOKUP(E280,CATALOGO!G:L,6,0))</f>
        <v/>
      </c>
      <c r="G280" s="85" t="str">
        <f>IF('Consulta1'!F4372="","",'Consulta1'!F4372)</f>
        <v/>
      </c>
      <c r="H280" s="85" t="str">
        <f>IF('Consulta1'!G4372="","",'Consulta1'!G4372)</f>
        <v/>
      </c>
      <c r="I280" s="86" t="str">
        <f>IF('Consulta1'!H4372="","",'Consulta1'!H4372)</f>
        <v/>
      </c>
      <c r="J280" t="str">
        <f t="shared" si="4"/>
        <v/>
      </c>
      <c r="K280" t="str">
        <f>+IF(E280="","",VLOOKUP(E280,CATALOGO!G:I,2,0))</f>
        <v/>
      </c>
      <c r="L280" t="str">
        <f>+IF(E280="","",VLOOKUP(E280,CATALOGO!G:I,3,0))</f>
        <v/>
      </c>
      <c r="M280" s="87" t="str">
        <f>IF('Consulta1'!I4372="","",'Consulta1'!I4372)</f>
        <v/>
      </c>
      <c r="N280" s="88" t="str">
        <f>IF('Consulta1'!J4372="","",'Consulta1'!J4372)</f>
        <v/>
      </c>
    </row>
    <row r="281" spans="1:14" ht="18.75" x14ac:dyDescent="0.25">
      <c r="A281" s="82" t="str">
        <f>IF('Consulta1'!A4373="","",'Consulta1'!A4373)</f>
        <v/>
      </c>
      <c r="B281" s="82" t="str">
        <f>IF('Consulta1'!B4373="","",'Consulta1'!B4373)</f>
        <v/>
      </c>
      <c r="C281" s="83" t="str">
        <f>IF('Consulta1'!C4373="","",'Consulta1'!C4373)</f>
        <v/>
      </c>
      <c r="D281" s="84" t="str">
        <f>IF('Consulta1'!D4373="","",'Consulta1'!D4373)</f>
        <v/>
      </c>
      <c r="E281" s="82" t="str">
        <f>IF('Consulta1'!E4373="","",'Consulta1'!E4373)</f>
        <v/>
      </c>
      <c r="F281" t="str">
        <f>+IF(E281="","",VLOOKUP(E281,CATALOGO!G:L,6,0))</f>
        <v/>
      </c>
      <c r="G281" s="85" t="str">
        <f>IF('Consulta1'!F4373="","",'Consulta1'!F4373)</f>
        <v/>
      </c>
      <c r="H281" s="85" t="str">
        <f>IF('Consulta1'!G4373="","",'Consulta1'!G4373)</f>
        <v/>
      </c>
      <c r="I281" s="86" t="str">
        <f>IF('Consulta1'!H4373="","",'Consulta1'!H4373)</f>
        <v/>
      </c>
      <c r="J281" t="str">
        <f t="shared" si="4"/>
        <v/>
      </c>
      <c r="K281" t="str">
        <f>+IF(E281="","",VLOOKUP(E281,CATALOGO!G:I,2,0))</f>
        <v/>
      </c>
      <c r="L281" t="str">
        <f>+IF(E281="","",VLOOKUP(E281,CATALOGO!G:I,3,0))</f>
        <v/>
      </c>
      <c r="M281" s="87" t="str">
        <f>IF('Consulta1'!I4373="","",'Consulta1'!I4373)</f>
        <v/>
      </c>
      <c r="N281" s="88" t="str">
        <f>IF('Consulta1'!J4373="","",'Consulta1'!J4373)</f>
        <v/>
      </c>
    </row>
    <row r="282" spans="1:14" ht="18.75" x14ac:dyDescent="0.25">
      <c r="A282" s="82" t="str">
        <f>IF('Consulta1'!A4374="","",'Consulta1'!A4374)</f>
        <v/>
      </c>
      <c r="B282" s="82" t="str">
        <f>IF('Consulta1'!B4374="","",'Consulta1'!B4374)</f>
        <v/>
      </c>
      <c r="C282" s="83" t="str">
        <f>IF('Consulta1'!C4374="","",'Consulta1'!C4374)</f>
        <v/>
      </c>
      <c r="D282" s="84" t="str">
        <f>IF('Consulta1'!D4374="","",'Consulta1'!D4374)</f>
        <v/>
      </c>
      <c r="E282" s="82" t="str">
        <f>IF('Consulta1'!E4374="","",'Consulta1'!E4374)</f>
        <v/>
      </c>
      <c r="F282" t="str">
        <f>+IF(E282="","",VLOOKUP(E282,CATALOGO!G:L,6,0))</f>
        <v/>
      </c>
      <c r="G282" s="85" t="str">
        <f>IF('Consulta1'!F4374="","",'Consulta1'!F4374)</f>
        <v/>
      </c>
      <c r="H282" s="85" t="str">
        <f>IF('Consulta1'!G4374="","",'Consulta1'!G4374)</f>
        <v/>
      </c>
      <c r="I282" s="86" t="str">
        <f>IF('Consulta1'!H4374="","",'Consulta1'!H4374)</f>
        <v/>
      </c>
      <c r="J282" t="str">
        <f t="shared" si="4"/>
        <v/>
      </c>
      <c r="K282" t="str">
        <f>+IF(E282="","",VLOOKUP(E282,CATALOGO!G:I,2,0))</f>
        <v/>
      </c>
      <c r="L282" t="str">
        <f>+IF(E282="","",VLOOKUP(E282,CATALOGO!G:I,3,0))</f>
        <v/>
      </c>
      <c r="M282" s="87" t="str">
        <f>IF('Consulta1'!I4374="","",'Consulta1'!I4374)</f>
        <v/>
      </c>
      <c r="N282" s="88" t="str">
        <f>IF('Consulta1'!J4374="","",'Consulta1'!J4374)</f>
        <v/>
      </c>
    </row>
    <row r="283" spans="1:14" ht="18.75" x14ac:dyDescent="0.25">
      <c r="A283" s="82" t="str">
        <f>IF('Consulta1'!A4375="","",'Consulta1'!A4375)</f>
        <v/>
      </c>
      <c r="B283" s="82" t="str">
        <f>IF('Consulta1'!B4375="","",'Consulta1'!B4375)</f>
        <v/>
      </c>
      <c r="C283" s="83" t="str">
        <f>IF('Consulta1'!C4375="","",'Consulta1'!C4375)</f>
        <v/>
      </c>
      <c r="D283" s="84" t="str">
        <f>IF('Consulta1'!D4375="","",'Consulta1'!D4375)</f>
        <v/>
      </c>
      <c r="E283" s="82" t="str">
        <f>IF('Consulta1'!E4375="","",'Consulta1'!E4375)</f>
        <v/>
      </c>
      <c r="F283" t="str">
        <f>+IF(E283="","",VLOOKUP(E283,CATALOGO!G:L,6,0))</f>
        <v/>
      </c>
      <c r="G283" s="85" t="str">
        <f>IF('Consulta1'!F4375="","",'Consulta1'!F4375)</f>
        <v/>
      </c>
      <c r="H283" s="85" t="str">
        <f>IF('Consulta1'!G4375="","",'Consulta1'!G4375)</f>
        <v/>
      </c>
      <c r="I283" s="86" t="str">
        <f>IF('Consulta1'!H4375="","",'Consulta1'!H4375)</f>
        <v/>
      </c>
      <c r="J283" t="str">
        <f t="shared" si="4"/>
        <v/>
      </c>
      <c r="K283" t="str">
        <f>+IF(E283="","",VLOOKUP(E283,CATALOGO!G:I,2,0))</f>
        <v/>
      </c>
      <c r="L283" t="str">
        <f>+IF(E283="","",VLOOKUP(E283,CATALOGO!G:I,3,0))</f>
        <v/>
      </c>
      <c r="M283" s="87" t="str">
        <f>IF('Consulta1'!I4375="","",'Consulta1'!I4375)</f>
        <v/>
      </c>
      <c r="N283" s="88" t="str">
        <f>IF('Consulta1'!J4375="","",'Consulta1'!J4375)</f>
        <v/>
      </c>
    </row>
    <row r="284" spans="1:14" ht="18.75" x14ac:dyDescent="0.25">
      <c r="A284" s="82" t="str">
        <f>IF('Consulta1'!A4376="","",'Consulta1'!A4376)</f>
        <v/>
      </c>
      <c r="B284" s="82" t="str">
        <f>IF('Consulta1'!B4376="","",'Consulta1'!B4376)</f>
        <v/>
      </c>
      <c r="C284" s="83" t="str">
        <f>IF('Consulta1'!C4376="","",'Consulta1'!C4376)</f>
        <v/>
      </c>
      <c r="D284" s="84" t="str">
        <f>IF('Consulta1'!D4376="","",'Consulta1'!D4376)</f>
        <v/>
      </c>
      <c r="E284" s="82" t="str">
        <f>IF('Consulta1'!E4376="","",'Consulta1'!E4376)</f>
        <v/>
      </c>
      <c r="F284" t="str">
        <f>+IF(E284="","",VLOOKUP(E284,CATALOGO!G:L,6,0))</f>
        <v/>
      </c>
      <c r="G284" s="85" t="str">
        <f>IF('Consulta1'!F4376="","",'Consulta1'!F4376)</f>
        <v/>
      </c>
      <c r="H284" s="85" t="str">
        <f>IF('Consulta1'!G4376="","",'Consulta1'!G4376)</f>
        <v/>
      </c>
      <c r="I284" s="86" t="str">
        <f>IF('Consulta1'!H4376="","",'Consulta1'!H4376)</f>
        <v/>
      </c>
      <c r="J284" t="str">
        <f t="shared" si="4"/>
        <v/>
      </c>
      <c r="K284" t="str">
        <f>+IF(E284="","",VLOOKUP(E284,CATALOGO!G:I,2,0))</f>
        <v/>
      </c>
      <c r="L284" t="str">
        <f>+IF(E284="","",VLOOKUP(E284,CATALOGO!G:I,3,0))</f>
        <v/>
      </c>
      <c r="M284" s="87" t="str">
        <f>IF('Consulta1'!I4376="","",'Consulta1'!I4376)</f>
        <v/>
      </c>
      <c r="N284" s="88" t="str">
        <f>IF('Consulta1'!J4376="","",'Consulta1'!J4376)</f>
        <v/>
      </c>
    </row>
    <row r="285" spans="1:14" ht="18.75" x14ac:dyDescent="0.25">
      <c r="A285" s="82" t="str">
        <f>IF('Consulta1'!A4377="","",'Consulta1'!A4377)</f>
        <v/>
      </c>
      <c r="B285" s="82" t="str">
        <f>IF('Consulta1'!B4377="","",'Consulta1'!B4377)</f>
        <v/>
      </c>
      <c r="C285" s="83" t="str">
        <f>IF('Consulta1'!C4377="","",'Consulta1'!C4377)</f>
        <v/>
      </c>
      <c r="D285" s="84" t="str">
        <f>IF('Consulta1'!D4377="","",'Consulta1'!D4377)</f>
        <v/>
      </c>
      <c r="E285" s="82" t="str">
        <f>IF('Consulta1'!E4377="","",'Consulta1'!E4377)</f>
        <v/>
      </c>
      <c r="F285" t="str">
        <f>+IF(E285="","",VLOOKUP(E285,CATALOGO!G:L,6,0))</f>
        <v/>
      </c>
      <c r="G285" s="85" t="str">
        <f>IF('Consulta1'!F4377="","",'Consulta1'!F4377)</f>
        <v/>
      </c>
      <c r="H285" s="85" t="str">
        <f>IF('Consulta1'!G4377="","",'Consulta1'!G4377)</f>
        <v/>
      </c>
      <c r="I285" s="86" t="str">
        <f>IF('Consulta1'!H4377="","",'Consulta1'!H4377)</f>
        <v/>
      </c>
      <c r="J285" t="str">
        <f t="shared" si="4"/>
        <v/>
      </c>
      <c r="K285" t="str">
        <f>+IF(E285="","",VLOOKUP(E285,CATALOGO!G:I,2,0))</f>
        <v/>
      </c>
      <c r="L285" t="str">
        <f>+IF(E285="","",VLOOKUP(E285,CATALOGO!G:I,3,0))</f>
        <v/>
      </c>
      <c r="M285" s="87" t="str">
        <f>IF('Consulta1'!I4377="","",'Consulta1'!I4377)</f>
        <v/>
      </c>
      <c r="N285" s="88" t="str">
        <f>IF('Consulta1'!J4377="","",'Consulta1'!J4377)</f>
        <v/>
      </c>
    </row>
    <row r="286" spans="1:14" ht="18.75" x14ac:dyDescent="0.25">
      <c r="A286" s="82" t="str">
        <f>IF('Consulta1'!A4378="","",'Consulta1'!A4378)</f>
        <v/>
      </c>
      <c r="B286" s="82" t="str">
        <f>IF('Consulta1'!B4378="","",'Consulta1'!B4378)</f>
        <v/>
      </c>
      <c r="C286" s="83" t="str">
        <f>IF('Consulta1'!C4378="","",'Consulta1'!C4378)</f>
        <v/>
      </c>
      <c r="D286" s="84" t="str">
        <f>IF('Consulta1'!D4378="","",'Consulta1'!D4378)</f>
        <v/>
      </c>
      <c r="E286" s="82" t="str">
        <f>IF('Consulta1'!E4378="","",'Consulta1'!E4378)</f>
        <v/>
      </c>
      <c r="F286" t="str">
        <f>+IF(E286="","",VLOOKUP(E286,CATALOGO!G:L,6,0))</f>
        <v/>
      </c>
      <c r="G286" s="85" t="str">
        <f>IF('Consulta1'!F4378="","",'Consulta1'!F4378)</f>
        <v/>
      </c>
      <c r="H286" s="85" t="str">
        <f>IF('Consulta1'!G4378="","",'Consulta1'!G4378)</f>
        <v/>
      </c>
      <c r="I286" s="86" t="str">
        <f>IF('Consulta1'!H4378="","",'Consulta1'!H4378)</f>
        <v/>
      </c>
      <c r="J286" t="str">
        <f t="shared" si="4"/>
        <v/>
      </c>
      <c r="K286" t="str">
        <f>+IF(E286="","",VLOOKUP(E286,CATALOGO!G:I,2,0))</f>
        <v/>
      </c>
      <c r="L286" t="str">
        <f>+IF(E286="","",VLOOKUP(E286,CATALOGO!G:I,3,0))</f>
        <v/>
      </c>
      <c r="M286" s="87" t="str">
        <f>IF('Consulta1'!I4378="","",'Consulta1'!I4378)</f>
        <v/>
      </c>
      <c r="N286" s="88" t="str">
        <f>IF('Consulta1'!J4378="","",'Consulta1'!J4378)</f>
        <v/>
      </c>
    </row>
    <row r="287" spans="1:14" ht="18.75" x14ac:dyDescent="0.25">
      <c r="A287" s="82" t="str">
        <f>IF('Consulta1'!A4379="","",'Consulta1'!A4379)</f>
        <v/>
      </c>
      <c r="B287" s="82" t="str">
        <f>IF('Consulta1'!B4379="","",'Consulta1'!B4379)</f>
        <v/>
      </c>
      <c r="C287" s="83" t="str">
        <f>IF('Consulta1'!C4379="","",'Consulta1'!C4379)</f>
        <v/>
      </c>
      <c r="D287" s="84" t="str">
        <f>IF('Consulta1'!D4379="","",'Consulta1'!D4379)</f>
        <v/>
      </c>
      <c r="E287" s="82" t="str">
        <f>IF('Consulta1'!E4379="","",'Consulta1'!E4379)</f>
        <v/>
      </c>
      <c r="F287" t="str">
        <f>+IF(E287="","",VLOOKUP(E287,CATALOGO!G:L,6,0))</f>
        <v/>
      </c>
      <c r="G287" s="85" t="str">
        <f>IF('Consulta1'!F4379="","",'Consulta1'!F4379)</f>
        <v/>
      </c>
      <c r="H287" s="85" t="str">
        <f>IF('Consulta1'!G4379="","",'Consulta1'!G4379)</f>
        <v/>
      </c>
      <c r="I287" s="86" t="str">
        <f>IF('Consulta1'!H4379="","",'Consulta1'!H4379)</f>
        <v/>
      </c>
      <c r="J287" t="str">
        <f t="shared" si="4"/>
        <v/>
      </c>
      <c r="K287" t="str">
        <f>+IF(E287="","",VLOOKUP(E287,CATALOGO!G:I,2,0))</f>
        <v/>
      </c>
      <c r="L287" t="str">
        <f>+IF(E287="","",VLOOKUP(E287,CATALOGO!G:I,3,0))</f>
        <v/>
      </c>
      <c r="M287" s="87" t="str">
        <f>IF('Consulta1'!I4379="","",'Consulta1'!I4379)</f>
        <v/>
      </c>
      <c r="N287" s="88" t="str">
        <f>IF('Consulta1'!J4379="","",'Consulta1'!J4379)</f>
        <v/>
      </c>
    </row>
    <row r="288" spans="1:14" ht="18.75" x14ac:dyDescent="0.25">
      <c r="A288" s="82" t="str">
        <f>IF('Consulta1'!A4380="","",'Consulta1'!A4380)</f>
        <v/>
      </c>
      <c r="B288" s="82" t="str">
        <f>IF('Consulta1'!B4380="","",'Consulta1'!B4380)</f>
        <v/>
      </c>
      <c r="C288" s="83" t="str">
        <f>IF('Consulta1'!C4380="","",'Consulta1'!C4380)</f>
        <v/>
      </c>
      <c r="D288" s="84" t="str">
        <f>IF('Consulta1'!D4380="","",'Consulta1'!D4380)</f>
        <v/>
      </c>
      <c r="E288" s="82" t="str">
        <f>IF('Consulta1'!E4380="","",'Consulta1'!E4380)</f>
        <v/>
      </c>
      <c r="F288" t="str">
        <f>+IF(E288="","",VLOOKUP(E288,CATALOGO!G:L,6,0))</f>
        <v/>
      </c>
      <c r="G288" s="85" t="str">
        <f>IF('Consulta1'!F4380="","",'Consulta1'!F4380)</f>
        <v/>
      </c>
      <c r="H288" s="85" t="str">
        <f>IF('Consulta1'!G4380="","",'Consulta1'!G4380)</f>
        <v/>
      </c>
      <c r="I288" s="86" t="str">
        <f>IF('Consulta1'!H4380="","",'Consulta1'!H4380)</f>
        <v/>
      </c>
      <c r="J288" t="str">
        <f t="shared" si="4"/>
        <v/>
      </c>
      <c r="K288" t="str">
        <f>+IF(E288="","",VLOOKUP(E288,CATALOGO!G:I,2,0))</f>
        <v/>
      </c>
      <c r="L288" t="str">
        <f>+IF(E288="","",VLOOKUP(E288,CATALOGO!G:I,3,0))</f>
        <v/>
      </c>
      <c r="M288" s="87" t="str">
        <f>IF('Consulta1'!I4380="","",'Consulta1'!I4380)</f>
        <v/>
      </c>
      <c r="N288" s="88" t="str">
        <f>IF('Consulta1'!J4380="","",'Consulta1'!J4380)</f>
        <v/>
      </c>
    </row>
    <row r="289" spans="1:14" ht="18.75" x14ac:dyDescent="0.25">
      <c r="A289" s="82" t="str">
        <f>IF('Consulta1'!A4381="","",'Consulta1'!A4381)</f>
        <v/>
      </c>
      <c r="B289" s="82" t="str">
        <f>IF('Consulta1'!B4381="","",'Consulta1'!B4381)</f>
        <v/>
      </c>
      <c r="C289" s="83" t="str">
        <f>IF('Consulta1'!C4381="","",'Consulta1'!C4381)</f>
        <v/>
      </c>
      <c r="D289" s="84" t="str">
        <f>IF('Consulta1'!D4381="","",'Consulta1'!D4381)</f>
        <v/>
      </c>
      <c r="E289" s="82" t="str">
        <f>IF('Consulta1'!E4381="","",'Consulta1'!E4381)</f>
        <v/>
      </c>
      <c r="F289" t="str">
        <f>+IF(E289="","",VLOOKUP(E289,CATALOGO!G:L,6,0))</f>
        <v/>
      </c>
      <c r="G289" s="85" t="str">
        <f>IF('Consulta1'!F4381="","",'Consulta1'!F4381)</f>
        <v/>
      </c>
      <c r="H289" s="85" t="str">
        <f>IF('Consulta1'!G4381="","",'Consulta1'!G4381)</f>
        <v/>
      </c>
      <c r="I289" s="86" t="str">
        <f>IF('Consulta1'!H4381="","",'Consulta1'!H4381)</f>
        <v/>
      </c>
      <c r="J289" t="str">
        <f t="shared" si="4"/>
        <v/>
      </c>
      <c r="K289" t="str">
        <f>+IF(E289="","",VLOOKUP(E289,CATALOGO!G:I,2,0))</f>
        <v/>
      </c>
      <c r="L289" t="str">
        <f>+IF(E289="","",VLOOKUP(E289,CATALOGO!G:I,3,0))</f>
        <v/>
      </c>
      <c r="M289" s="87" t="str">
        <f>IF('Consulta1'!I4381="","",'Consulta1'!I4381)</f>
        <v/>
      </c>
      <c r="N289" s="88" t="str">
        <f>IF('Consulta1'!J4381="","",'Consulta1'!J4381)</f>
        <v/>
      </c>
    </row>
    <row r="290" spans="1:14" ht="18.75" x14ac:dyDescent="0.25">
      <c r="A290" s="82" t="str">
        <f>IF('Consulta1'!A4382="","",'Consulta1'!A4382)</f>
        <v/>
      </c>
      <c r="B290" s="82" t="str">
        <f>IF('Consulta1'!B4382="","",'Consulta1'!B4382)</f>
        <v/>
      </c>
      <c r="C290" s="83" t="str">
        <f>IF('Consulta1'!C4382="","",'Consulta1'!C4382)</f>
        <v/>
      </c>
      <c r="D290" s="84" t="str">
        <f>IF('Consulta1'!D4382="","",'Consulta1'!D4382)</f>
        <v/>
      </c>
      <c r="E290" s="82" t="str">
        <f>IF('Consulta1'!E4382="","",'Consulta1'!E4382)</f>
        <v/>
      </c>
      <c r="F290" t="str">
        <f>+IF(E290="","",VLOOKUP(E290,CATALOGO!G:L,6,0))</f>
        <v/>
      </c>
      <c r="G290" s="85" t="str">
        <f>IF('Consulta1'!F4382="","",'Consulta1'!F4382)</f>
        <v/>
      </c>
      <c r="H290" s="85" t="str">
        <f>IF('Consulta1'!G4382="","",'Consulta1'!G4382)</f>
        <v/>
      </c>
      <c r="I290" s="86" t="str">
        <f>IF('Consulta1'!H4382="","",'Consulta1'!H4382)</f>
        <v/>
      </c>
      <c r="J290" t="str">
        <f t="shared" si="4"/>
        <v/>
      </c>
      <c r="K290" t="str">
        <f>+IF(E290="","",VLOOKUP(E290,CATALOGO!G:I,2,0))</f>
        <v/>
      </c>
      <c r="L290" t="str">
        <f>+IF(E290="","",VLOOKUP(E290,CATALOGO!G:I,3,0))</f>
        <v/>
      </c>
      <c r="M290" s="87" t="str">
        <f>IF('Consulta1'!I4382="","",'Consulta1'!I4382)</f>
        <v/>
      </c>
      <c r="N290" s="88" t="str">
        <f>IF('Consulta1'!J4382="","",'Consulta1'!J4382)</f>
        <v/>
      </c>
    </row>
    <row r="291" spans="1:14" ht="18.75" x14ac:dyDescent="0.25">
      <c r="A291" s="82" t="str">
        <f>IF('Consulta1'!A4383="","",'Consulta1'!A4383)</f>
        <v/>
      </c>
      <c r="B291" s="82" t="str">
        <f>IF('Consulta1'!B4383="","",'Consulta1'!B4383)</f>
        <v/>
      </c>
      <c r="C291" s="83" t="str">
        <f>IF('Consulta1'!C4383="","",'Consulta1'!C4383)</f>
        <v/>
      </c>
      <c r="D291" s="84" t="str">
        <f>IF('Consulta1'!D4383="","",'Consulta1'!D4383)</f>
        <v/>
      </c>
      <c r="E291" s="82" t="str">
        <f>IF('Consulta1'!E4383="","",'Consulta1'!E4383)</f>
        <v/>
      </c>
      <c r="F291" t="str">
        <f>+IF(E291="","",VLOOKUP(E291,CATALOGO!G:L,6,0))</f>
        <v/>
      </c>
      <c r="G291" s="85" t="str">
        <f>IF('Consulta1'!F4383="","",'Consulta1'!F4383)</f>
        <v/>
      </c>
      <c r="H291" s="85" t="str">
        <f>IF('Consulta1'!G4383="","",'Consulta1'!G4383)</f>
        <v/>
      </c>
      <c r="I291" s="86" t="str">
        <f>IF('Consulta1'!H4383="","",'Consulta1'!H4383)</f>
        <v/>
      </c>
      <c r="J291" t="str">
        <f t="shared" si="4"/>
        <v/>
      </c>
      <c r="K291" t="str">
        <f>+IF(E291="","",VLOOKUP(E291,CATALOGO!G:I,2,0))</f>
        <v/>
      </c>
      <c r="L291" t="str">
        <f>+IF(E291="","",VLOOKUP(E291,CATALOGO!G:I,3,0))</f>
        <v/>
      </c>
      <c r="M291" s="87" t="str">
        <f>IF('Consulta1'!I4383="","",'Consulta1'!I4383)</f>
        <v/>
      </c>
      <c r="N291" s="88" t="str">
        <f>IF('Consulta1'!J4383="","",'Consulta1'!J4383)</f>
        <v/>
      </c>
    </row>
    <row r="292" spans="1:14" ht="18.75" x14ac:dyDescent="0.25">
      <c r="A292" s="82" t="str">
        <f>IF('Consulta1'!A4384="","",'Consulta1'!A4384)</f>
        <v/>
      </c>
      <c r="B292" s="82" t="str">
        <f>IF('Consulta1'!B4384="","",'Consulta1'!B4384)</f>
        <v/>
      </c>
      <c r="C292" s="83" t="str">
        <f>IF('Consulta1'!C4384="","",'Consulta1'!C4384)</f>
        <v/>
      </c>
      <c r="D292" s="84" t="str">
        <f>IF('Consulta1'!D4384="","",'Consulta1'!D4384)</f>
        <v/>
      </c>
      <c r="E292" s="82" t="str">
        <f>IF('Consulta1'!E4384="","",'Consulta1'!E4384)</f>
        <v/>
      </c>
      <c r="F292" t="str">
        <f>+IF(E292="","",VLOOKUP(E292,CATALOGO!G:L,6,0))</f>
        <v/>
      </c>
      <c r="G292" s="85" t="str">
        <f>IF('Consulta1'!F4384="","",'Consulta1'!F4384)</f>
        <v/>
      </c>
      <c r="H292" s="85" t="str">
        <f>IF('Consulta1'!G4384="","",'Consulta1'!G4384)</f>
        <v/>
      </c>
      <c r="I292" s="86" t="str">
        <f>IF('Consulta1'!H4384="","",'Consulta1'!H4384)</f>
        <v/>
      </c>
      <c r="J292" t="str">
        <f t="shared" si="4"/>
        <v/>
      </c>
      <c r="K292" t="str">
        <f>+IF(E292="","",VLOOKUP(E292,CATALOGO!G:I,2,0))</f>
        <v/>
      </c>
      <c r="L292" t="str">
        <f>+IF(E292="","",VLOOKUP(E292,CATALOGO!G:I,3,0))</f>
        <v/>
      </c>
      <c r="M292" s="87" t="str">
        <f>IF('Consulta1'!I4384="","",'Consulta1'!I4384)</f>
        <v/>
      </c>
      <c r="N292" s="88" t="str">
        <f>IF('Consulta1'!J4384="","",'Consulta1'!J4384)</f>
        <v/>
      </c>
    </row>
    <row r="293" spans="1:14" ht="18.75" x14ac:dyDescent="0.25">
      <c r="A293" s="82" t="str">
        <f>IF('Consulta1'!A4385="","",'Consulta1'!A4385)</f>
        <v/>
      </c>
      <c r="B293" s="82" t="str">
        <f>IF('Consulta1'!B4385="","",'Consulta1'!B4385)</f>
        <v/>
      </c>
      <c r="C293" s="83" t="str">
        <f>IF('Consulta1'!C4385="","",'Consulta1'!C4385)</f>
        <v/>
      </c>
      <c r="D293" s="84" t="str">
        <f>IF('Consulta1'!D4385="","",'Consulta1'!D4385)</f>
        <v/>
      </c>
      <c r="E293" s="82" t="str">
        <f>IF('Consulta1'!E4385="","",'Consulta1'!E4385)</f>
        <v/>
      </c>
      <c r="F293" t="str">
        <f>+IF(E293="","",VLOOKUP(E293,CATALOGO!G:L,6,0))</f>
        <v/>
      </c>
      <c r="G293" s="85" t="str">
        <f>IF('Consulta1'!F4385="","",'Consulta1'!F4385)</f>
        <v/>
      </c>
      <c r="H293" s="85" t="str">
        <f>IF('Consulta1'!G4385="","",'Consulta1'!G4385)</f>
        <v/>
      </c>
      <c r="I293" s="86" t="str">
        <f>IF('Consulta1'!H4385="","",'Consulta1'!H4385)</f>
        <v/>
      </c>
      <c r="J293" t="str">
        <f t="shared" si="4"/>
        <v/>
      </c>
      <c r="K293" t="str">
        <f>+IF(E293="","",VLOOKUP(E293,CATALOGO!G:I,2,0))</f>
        <v/>
      </c>
      <c r="L293" t="str">
        <f>+IF(E293="","",VLOOKUP(E293,CATALOGO!G:I,3,0))</f>
        <v/>
      </c>
      <c r="M293" s="87" t="str">
        <f>IF('Consulta1'!I4385="","",'Consulta1'!I4385)</f>
        <v/>
      </c>
      <c r="N293" s="88" t="str">
        <f>IF('Consulta1'!J4385="","",'Consulta1'!J4385)</f>
        <v/>
      </c>
    </row>
    <row r="294" spans="1:14" ht="18.75" x14ac:dyDescent="0.25">
      <c r="A294" s="82" t="str">
        <f>IF('Consulta1'!A4386="","",'Consulta1'!A4386)</f>
        <v/>
      </c>
      <c r="B294" s="82" t="str">
        <f>IF('Consulta1'!B4386="","",'Consulta1'!B4386)</f>
        <v/>
      </c>
      <c r="C294" s="83" t="str">
        <f>IF('Consulta1'!C4386="","",'Consulta1'!C4386)</f>
        <v/>
      </c>
      <c r="D294" s="84" t="str">
        <f>IF('Consulta1'!D4386="","",'Consulta1'!D4386)</f>
        <v/>
      </c>
      <c r="E294" s="82" t="str">
        <f>IF('Consulta1'!E4386="","",'Consulta1'!E4386)</f>
        <v/>
      </c>
      <c r="F294" t="str">
        <f>+IF(E294="","",VLOOKUP(E294,CATALOGO!G:L,6,0))</f>
        <v/>
      </c>
      <c r="G294" s="85" t="str">
        <f>IF('Consulta1'!F4386="","",'Consulta1'!F4386)</f>
        <v/>
      </c>
      <c r="H294" s="85" t="str">
        <f>IF('Consulta1'!G4386="","",'Consulta1'!G4386)</f>
        <v/>
      </c>
      <c r="I294" s="86" t="str">
        <f>IF('Consulta1'!H4386="","",'Consulta1'!H4386)</f>
        <v/>
      </c>
      <c r="J294" t="str">
        <f t="shared" si="4"/>
        <v/>
      </c>
      <c r="K294" t="str">
        <f>+IF(E294="","",VLOOKUP(E294,CATALOGO!G:I,2,0))</f>
        <v/>
      </c>
      <c r="L294" t="str">
        <f>+IF(E294="","",VLOOKUP(E294,CATALOGO!G:I,3,0))</f>
        <v/>
      </c>
      <c r="M294" s="87" t="str">
        <f>IF('Consulta1'!I4386="","",'Consulta1'!I4386)</f>
        <v/>
      </c>
      <c r="N294" s="88" t="str">
        <f>IF('Consulta1'!J4386="","",'Consulta1'!J4386)</f>
        <v/>
      </c>
    </row>
    <row r="295" spans="1:14" ht="18.75" x14ac:dyDescent="0.25">
      <c r="A295" s="82" t="str">
        <f>IF('Consulta1'!A4387="","",'Consulta1'!A4387)</f>
        <v/>
      </c>
      <c r="B295" s="82" t="str">
        <f>IF('Consulta1'!B4387="","",'Consulta1'!B4387)</f>
        <v/>
      </c>
      <c r="C295" s="83" t="str">
        <f>IF('Consulta1'!C4387="","",'Consulta1'!C4387)</f>
        <v/>
      </c>
      <c r="D295" s="84" t="str">
        <f>IF('Consulta1'!D4387="","",'Consulta1'!D4387)</f>
        <v/>
      </c>
      <c r="E295" s="82" t="str">
        <f>IF('Consulta1'!E4387="","",'Consulta1'!E4387)</f>
        <v/>
      </c>
      <c r="F295" t="str">
        <f>+IF(E295="","",VLOOKUP(E295,CATALOGO!G:L,6,0))</f>
        <v/>
      </c>
      <c r="G295" s="85" t="str">
        <f>IF('Consulta1'!F4387="","",'Consulta1'!F4387)</f>
        <v/>
      </c>
      <c r="H295" s="85" t="str">
        <f>IF('Consulta1'!G4387="","",'Consulta1'!G4387)</f>
        <v/>
      </c>
      <c r="I295" s="86" t="str">
        <f>IF('Consulta1'!H4387="","",'Consulta1'!H4387)</f>
        <v/>
      </c>
      <c r="J295" t="str">
        <f t="shared" si="4"/>
        <v/>
      </c>
      <c r="K295" t="str">
        <f>+IF(E295="","",VLOOKUP(E295,CATALOGO!G:I,2,0))</f>
        <v/>
      </c>
      <c r="L295" t="str">
        <f>+IF(E295="","",VLOOKUP(E295,CATALOGO!G:I,3,0))</f>
        <v/>
      </c>
      <c r="M295" s="87" t="str">
        <f>IF('Consulta1'!I4387="","",'Consulta1'!I4387)</f>
        <v/>
      </c>
      <c r="N295" s="88" t="str">
        <f>IF('Consulta1'!J4387="","",'Consulta1'!J4387)</f>
        <v/>
      </c>
    </row>
    <row r="296" spans="1:14" ht="18.75" x14ac:dyDescent="0.25">
      <c r="A296" s="82" t="str">
        <f>IF('Consulta1'!A4388="","",'Consulta1'!A4388)</f>
        <v/>
      </c>
      <c r="B296" s="82" t="str">
        <f>IF('Consulta1'!B4388="","",'Consulta1'!B4388)</f>
        <v/>
      </c>
      <c r="C296" s="83" t="str">
        <f>IF('Consulta1'!C4388="","",'Consulta1'!C4388)</f>
        <v/>
      </c>
      <c r="D296" s="84" t="str">
        <f>IF('Consulta1'!D4388="","",'Consulta1'!D4388)</f>
        <v/>
      </c>
      <c r="E296" s="82" t="str">
        <f>IF('Consulta1'!E4388="","",'Consulta1'!E4388)</f>
        <v/>
      </c>
      <c r="F296" t="str">
        <f>+IF(E296="","",VLOOKUP(E296,CATALOGO!G:L,6,0))</f>
        <v/>
      </c>
      <c r="G296" s="85" t="str">
        <f>IF('Consulta1'!F4388="","",'Consulta1'!F4388)</f>
        <v/>
      </c>
      <c r="H296" s="85" t="str">
        <f>IF('Consulta1'!G4388="","",'Consulta1'!G4388)</f>
        <v/>
      </c>
      <c r="I296" s="86" t="str">
        <f>IF('Consulta1'!H4388="","",'Consulta1'!H4388)</f>
        <v/>
      </c>
      <c r="J296" t="str">
        <f t="shared" si="4"/>
        <v/>
      </c>
      <c r="K296" t="str">
        <f>+IF(E296="","",VLOOKUP(E296,CATALOGO!G:I,2,0))</f>
        <v/>
      </c>
      <c r="L296" t="str">
        <f>+IF(E296="","",VLOOKUP(E296,CATALOGO!G:I,3,0))</f>
        <v/>
      </c>
      <c r="M296" s="87" t="str">
        <f>IF('Consulta1'!I4388="","",'Consulta1'!I4388)</f>
        <v/>
      </c>
      <c r="N296" s="88" t="str">
        <f>IF('Consulta1'!J4388="","",'Consulta1'!J4388)</f>
        <v/>
      </c>
    </row>
    <row r="297" spans="1:14" ht="18.75" x14ac:dyDescent="0.25">
      <c r="A297" s="82" t="str">
        <f>IF('Consulta1'!A4389="","",'Consulta1'!A4389)</f>
        <v/>
      </c>
      <c r="B297" s="82" t="str">
        <f>IF('Consulta1'!B4389="","",'Consulta1'!B4389)</f>
        <v/>
      </c>
      <c r="C297" s="83" t="str">
        <f>IF('Consulta1'!C4389="","",'Consulta1'!C4389)</f>
        <v/>
      </c>
      <c r="D297" s="84" t="str">
        <f>IF('Consulta1'!D4389="","",'Consulta1'!D4389)</f>
        <v/>
      </c>
      <c r="E297" s="82" t="str">
        <f>IF('Consulta1'!E4389="","",'Consulta1'!E4389)</f>
        <v/>
      </c>
      <c r="F297" t="str">
        <f>+IF(E297="","",VLOOKUP(E297,CATALOGO!G:L,6,0))</f>
        <v/>
      </c>
      <c r="G297" s="85" t="str">
        <f>IF('Consulta1'!F4389="","",'Consulta1'!F4389)</f>
        <v/>
      </c>
      <c r="H297" s="85" t="str">
        <f>IF('Consulta1'!G4389="","",'Consulta1'!G4389)</f>
        <v/>
      </c>
      <c r="I297" s="86" t="str">
        <f>IF('Consulta1'!H4389="","",'Consulta1'!H4389)</f>
        <v/>
      </c>
      <c r="J297" t="str">
        <f t="shared" si="4"/>
        <v/>
      </c>
      <c r="K297" t="str">
        <f>+IF(E297="","",VLOOKUP(E297,CATALOGO!G:I,2,0))</f>
        <v/>
      </c>
      <c r="L297" t="str">
        <f>+IF(E297="","",VLOOKUP(E297,CATALOGO!G:I,3,0))</f>
        <v/>
      </c>
      <c r="M297" s="87" t="str">
        <f>IF('Consulta1'!I4389="","",'Consulta1'!I4389)</f>
        <v/>
      </c>
      <c r="N297" s="88" t="str">
        <f>IF('Consulta1'!J4389="","",'Consulta1'!J4389)</f>
        <v/>
      </c>
    </row>
    <row r="298" spans="1:14" ht="18.75" x14ac:dyDescent="0.25">
      <c r="A298" s="82" t="str">
        <f>IF('Consulta1'!A4390="","",'Consulta1'!A4390)</f>
        <v/>
      </c>
      <c r="B298" s="82" t="str">
        <f>IF('Consulta1'!B4390="","",'Consulta1'!B4390)</f>
        <v/>
      </c>
      <c r="C298" s="83" t="str">
        <f>IF('Consulta1'!C4390="","",'Consulta1'!C4390)</f>
        <v/>
      </c>
      <c r="D298" s="84" t="str">
        <f>IF('Consulta1'!D4390="","",'Consulta1'!D4390)</f>
        <v/>
      </c>
      <c r="E298" s="82" t="str">
        <f>IF('Consulta1'!E4390="","",'Consulta1'!E4390)</f>
        <v/>
      </c>
      <c r="F298" t="str">
        <f>+IF(E298="","",VLOOKUP(E298,CATALOGO!G:L,6,0))</f>
        <v/>
      </c>
      <c r="G298" s="85" t="str">
        <f>IF('Consulta1'!F4390="","",'Consulta1'!F4390)</f>
        <v/>
      </c>
      <c r="H298" s="85" t="str">
        <f>IF('Consulta1'!G4390="","",'Consulta1'!G4390)</f>
        <v/>
      </c>
      <c r="I298" s="86" t="str">
        <f>IF('Consulta1'!H4390="","",'Consulta1'!H4390)</f>
        <v/>
      </c>
      <c r="J298" t="str">
        <f t="shared" si="4"/>
        <v/>
      </c>
      <c r="K298" t="str">
        <f>+IF(E298="","",VLOOKUP(E298,CATALOGO!G:I,2,0))</f>
        <v/>
      </c>
      <c r="L298" t="str">
        <f>+IF(E298="","",VLOOKUP(E298,CATALOGO!G:I,3,0))</f>
        <v/>
      </c>
      <c r="M298" s="87" t="str">
        <f>IF('Consulta1'!I4390="","",'Consulta1'!I4390)</f>
        <v/>
      </c>
      <c r="N298" s="88" t="str">
        <f>IF('Consulta1'!J4390="","",'Consulta1'!J4390)</f>
        <v/>
      </c>
    </row>
    <row r="299" spans="1:14" ht="18.75" x14ac:dyDescent="0.25">
      <c r="A299" s="82" t="str">
        <f>IF('Consulta1'!A4391="","",'Consulta1'!A4391)</f>
        <v/>
      </c>
      <c r="B299" s="82" t="str">
        <f>IF('Consulta1'!B4391="","",'Consulta1'!B4391)</f>
        <v/>
      </c>
      <c r="C299" s="83" t="str">
        <f>IF('Consulta1'!C4391="","",'Consulta1'!C4391)</f>
        <v/>
      </c>
      <c r="D299" s="84" t="str">
        <f>IF('Consulta1'!D4391="","",'Consulta1'!D4391)</f>
        <v/>
      </c>
      <c r="E299" s="82" t="str">
        <f>IF('Consulta1'!E4391="","",'Consulta1'!E4391)</f>
        <v/>
      </c>
      <c r="F299" t="str">
        <f>+IF(E299="","",VLOOKUP(E299,CATALOGO!G:L,6,0))</f>
        <v/>
      </c>
      <c r="G299" s="85" t="str">
        <f>IF('Consulta1'!F4391="","",'Consulta1'!F4391)</f>
        <v/>
      </c>
      <c r="H299" s="85" t="str">
        <f>IF('Consulta1'!G4391="","",'Consulta1'!G4391)</f>
        <v/>
      </c>
      <c r="I299" s="86" t="str">
        <f>IF('Consulta1'!H4391="","",'Consulta1'!H4391)</f>
        <v/>
      </c>
      <c r="J299" t="str">
        <f t="shared" si="4"/>
        <v/>
      </c>
      <c r="K299" t="str">
        <f>+IF(E299="","",VLOOKUP(E299,CATALOGO!G:I,2,0))</f>
        <v/>
      </c>
      <c r="L299" t="str">
        <f>+IF(E299="","",VLOOKUP(E299,CATALOGO!G:I,3,0))</f>
        <v/>
      </c>
      <c r="M299" s="87" t="str">
        <f>IF('Consulta1'!I4391="","",'Consulta1'!I4391)</f>
        <v/>
      </c>
      <c r="N299" s="88" t="str">
        <f>IF('Consulta1'!J4391="","",'Consulta1'!J4391)</f>
        <v/>
      </c>
    </row>
    <row r="300" spans="1:14" ht="18.75" x14ac:dyDescent="0.25">
      <c r="A300" s="82"/>
      <c r="B300" s="82"/>
      <c r="C300" s="83"/>
      <c r="D300" s="84"/>
      <c r="E300" s="82"/>
      <c r="G300" s="85"/>
      <c r="H300" s="85"/>
      <c r="I300" s="86"/>
      <c r="M300" s="87"/>
      <c r="N300" s="88"/>
    </row>
    <row r="301" spans="1:14" ht="18.75" x14ac:dyDescent="0.25">
      <c r="A301" s="82"/>
      <c r="B301" s="82"/>
      <c r="C301" s="83"/>
      <c r="D301" s="84"/>
      <c r="E301" s="82"/>
      <c r="G301" s="85"/>
      <c r="H301" s="85"/>
      <c r="I301" s="86"/>
      <c r="M301" s="87"/>
      <c r="N301" s="88"/>
    </row>
    <row r="302" spans="1:14" ht="18.75" x14ac:dyDescent="0.25">
      <c r="A302" s="82"/>
      <c r="B302" s="82"/>
      <c r="C302" s="83"/>
      <c r="D302" s="84"/>
      <c r="E302" s="82"/>
      <c r="G302" s="85"/>
      <c r="H302" s="85"/>
      <c r="I302" s="86"/>
      <c r="M302" s="87"/>
      <c r="N302" s="88"/>
    </row>
    <row r="303" spans="1:14" ht="18.75" x14ac:dyDescent="0.25">
      <c r="A303" s="82"/>
      <c r="B303" s="82"/>
      <c r="C303" s="83"/>
      <c r="D303" s="84"/>
      <c r="E303" s="82"/>
      <c r="G303" s="85"/>
      <c r="H303" s="85"/>
      <c r="I303" s="86"/>
      <c r="M303" s="87"/>
      <c r="N303" s="88"/>
    </row>
    <row r="304" spans="1:14" ht="18.75" x14ac:dyDescent="0.25">
      <c r="A304" s="82"/>
      <c r="B304" s="82"/>
      <c r="C304" s="83"/>
      <c r="D304" s="84"/>
      <c r="E304" s="82"/>
      <c r="G304" s="85"/>
      <c r="H304" s="85"/>
      <c r="I304" s="86"/>
      <c r="M304" s="87"/>
      <c r="N304" s="88"/>
    </row>
    <row r="305" spans="1:14" ht="18.75" x14ac:dyDescent="0.25">
      <c r="A305" s="82"/>
      <c r="B305" s="82"/>
      <c r="C305" s="83"/>
      <c r="D305" s="84"/>
      <c r="E305" s="82"/>
      <c r="G305" s="85"/>
      <c r="H305" s="85"/>
      <c r="I305" s="86"/>
      <c r="M305" s="87"/>
      <c r="N305" s="88"/>
    </row>
    <row r="306" spans="1:14" ht="18.75" x14ac:dyDescent="0.25">
      <c r="A306" s="82"/>
      <c r="B306" s="82"/>
      <c r="C306" s="83"/>
      <c r="D306" s="84"/>
      <c r="E306" s="82"/>
      <c r="G306" s="85"/>
      <c r="H306" s="85"/>
      <c r="I306" s="86"/>
      <c r="M306" s="87"/>
      <c r="N306" s="88"/>
    </row>
    <row r="307" spans="1:14" ht="18.75" x14ac:dyDescent="0.25">
      <c r="A307" s="82"/>
      <c r="B307" s="82"/>
      <c r="C307" s="83"/>
      <c r="D307" s="84"/>
      <c r="E307" s="82"/>
      <c r="G307" s="85"/>
      <c r="H307" s="85"/>
      <c r="I307" s="86"/>
      <c r="M307" s="87"/>
      <c r="N307" s="88"/>
    </row>
    <row r="308" spans="1:14" ht="18.75" x14ac:dyDescent="0.25">
      <c r="A308" s="82"/>
      <c r="B308" s="82"/>
      <c r="C308" s="83"/>
      <c r="D308" s="84"/>
      <c r="E308" s="82"/>
      <c r="G308" s="85"/>
      <c r="H308" s="85"/>
      <c r="I308" s="86"/>
      <c r="M308" s="87"/>
      <c r="N308" s="88"/>
    </row>
    <row r="309" spans="1:14" ht="18.75" x14ac:dyDescent="0.25">
      <c r="A309" s="82"/>
      <c r="B309" s="82"/>
      <c r="C309" s="83"/>
      <c r="D309" s="84"/>
      <c r="E309" s="82"/>
      <c r="G309" s="85"/>
      <c r="H309" s="85"/>
      <c r="I309" s="86"/>
      <c r="M309" s="87"/>
      <c r="N309" s="88"/>
    </row>
    <row r="310" spans="1:14" ht="18.75" x14ac:dyDescent="0.25">
      <c r="A310" s="82"/>
      <c r="B310" s="82"/>
      <c r="C310" s="83"/>
      <c r="D310" s="84"/>
      <c r="E310" s="82"/>
      <c r="G310" s="85"/>
      <c r="H310" s="85"/>
      <c r="I310" s="86"/>
      <c r="M310" s="87"/>
      <c r="N310" s="88"/>
    </row>
    <row r="311" spans="1:14" ht="18.75" x14ac:dyDescent="0.25">
      <c r="A311" s="82"/>
      <c r="B311" s="82"/>
      <c r="C311" s="83"/>
      <c r="D311" s="84"/>
      <c r="E311" s="82"/>
      <c r="G311" s="85"/>
      <c r="H311" s="85"/>
      <c r="I311" s="86"/>
      <c r="M311" s="87"/>
      <c r="N311" s="88"/>
    </row>
    <row r="312" spans="1:14" ht="18.75" x14ac:dyDescent="0.25">
      <c r="A312" s="82"/>
      <c r="B312" s="82"/>
      <c r="C312" s="83"/>
      <c r="D312" s="84"/>
      <c r="E312" s="82"/>
      <c r="G312" s="85"/>
      <c r="H312" s="85"/>
      <c r="I312" s="86"/>
      <c r="M312" s="87"/>
      <c r="N312" s="88"/>
    </row>
    <row r="313" spans="1:14" ht="18.75" x14ac:dyDescent="0.25">
      <c r="A313" s="82"/>
      <c r="B313" s="82"/>
      <c r="C313" s="83"/>
      <c r="D313" s="84"/>
      <c r="E313" s="82"/>
      <c r="G313" s="85"/>
      <c r="H313" s="85"/>
      <c r="I313" s="86"/>
      <c r="M313" s="87"/>
      <c r="N313" s="88"/>
    </row>
    <row r="314" spans="1:14" ht="18.75" x14ac:dyDescent="0.25">
      <c r="A314" s="82"/>
      <c r="B314" s="82"/>
      <c r="C314" s="83"/>
      <c r="D314" s="84"/>
      <c r="E314" s="82"/>
      <c r="G314" s="85"/>
      <c r="H314" s="85"/>
      <c r="I314" s="86"/>
      <c r="M314" s="87"/>
      <c r="N314" s="88"/>
    </row>
    <row r="315" spans="1:14" ht="18.75" x14ac:dyDescent="0.25">
      <c r="A315" s="82"/>
      <c r="B315" s="82"/>
      <c r="C315" s="83"/>
      <c r="D315" s="84"/>
      <c r="E315" s="82"/>
      <c r="G315" s="85"/>
      <c r="H315" s="85"/>
      <c r="I315" s="86"/>
      <c r="M315" s="87"/>
      <c r="N315" s="88"/>
    </row>
    <row r="316" spans="1:14" ht="18.75" x14ac:dyDescent="0.25">
      <c r="A316" s="82"/>
      <c r="B316" s="82"/>
      <c r="C316" s="83"/>
      <c r="D316" s="84"/>
      <c r="E316" s="82"/>
      <c r="G316" s="85"/>
      <c r="H316" s="85"/>
      <c r="I316" s="86"/>
      <c r="M316" s="87"/>
      <c r="N316" s="88"/>
    </row>
    <row r="317" spans="1:14" ht="18.75" x14ac:dyDescent="0.25">
      <c r="A317" s="82"/>
      <c r="B317" s="82"/>
      <c r="C317" s="83"/>
      <c r="D317" s="84"/>
      <c r="E317" s="82"/>
      <c r="G317" s="85"/>
      <c r="H317" s="85"/>
      <c r="I317" s="86"/>
      <c r="M317" s="87"/>
      <c r="N317" s="88"/>
    </row>
    <row r="318" spans="1:14" ht="18.75" x14ac:dyDescent="0.25">
      <c r="A318" s="82"/>
      <c r="B318" s="82"/>
      <c r="C318" s="83"/>
      <c r="D318" s="84"/>
      <c r="E318" s="82"/>
      <c r="G318" s="85"/>
      <c r="H318" s="85"/>
      <c r="I318" s="86"/>
      <c r="M318" s="87"/>
      <c r="N318" s="88"/>
    </row>
    <row r="319" spans="1:14" ht="18.75" x14ac:dyDescent="0.25">
      <c r="A319" s="82"/>
      <c r="B319" s="82"/>
      <c r="C319" s="83"/>
      <c r="D319" s="84"/>
      <c r="E319" s="82"/>
      <c r="G319" s="85"/>
      <c r="H319" s="85"/>
      <c r="I319" s="86"/>
      <c r="M319" s="87"/>
      <c r="N319" s="88"/>
    </row>
    <row r="320" spans="1:14" ht="18.75" x14ac:dyDescent="0.25">
      <c r="A320" s="82"/>
      <c r="B320" s="82"/>
      <c r="C320" s="83"/>
      <c r="D320" s="84"/>
      <c r="E320" s="82"/>
      <c r="G320" s="85"/>
      <c r="H320" s="85"/>
      <c r="I320" s="86"/>
      <c r="M320" s="87"/>
      <c r="N320" s="88"/>
    </row>
    <row r="321" spans="1:14" ht="18.75" x14ac:dyDescent="0.25">
      <c r="A321" s="82"/>
      <c r="B321" s="82"/>
      <c r="C321" s="83"/>
      <c r="D321" s="84"/>
      <c r="E321" s="82"/>
      <c r="G321" s="85"/>
      <c r="H321" s="85"/>
      <c r="I321" s="86"/>
      <c r="M321" s="87"/>
      <c r="N321" s="88"/>
    </row>
    <row r="322" spans="1:14" ht="18.75" x14ac:dyDescent="0.25">
      <c r="A322" s="82"/>
      <c r="B322" s="82"/>
      <c r="C322" s="83"/>
      <c r="D322" s="84"/>
      <c r="E322" s="82"/>
      <c r="G322" s="85"/>
      <c r="H322" s="85"/>
      <c r="I322" s="86"/>
      <c r="M322" s="87"/>
      <c r="N322" s="88"/>
    </row>
    <row r="323" spans="1:14" ht="18.75" x14ac:dyDescent="0.25">
      <c r="A323" s="82"/>
      <c r="B323" s="82"/>
      <c r="C323" s="83"/>
      <c r="D323" s="84"/>
      <c r="E323" s="82"/>
      <c r="G323" s="85"/>
      <c r="H323" s="85"/>
      <c r="I323" s="86"/>
      <c r="M323" s="87"/>
      <c r="N323" s="88"/>
    </row>
    <row r="324" spans="1:14" ht="18.75" x14ac:dyDescent="0.25">
      <c r="A324" s="82"/>
      <c r="B324" s="82"/>
      <c r="C324" s="83"/>
      <c r="D324" s="84"/>
      <c r="E324" s="82"/>
      <c r="G324" s="85"/>
      <c r="H324" s="85"/>
      <c r="I324" s="86"/>
      <c r="M324" s="87"/>
      <c r="N324" s="88"/>
    </row>
    <row r="325" spans="1:14" ht="18.75" x14ac:dyDescent="0.25">
      <c r="A325" s="82"/>
      <c r="B325" s="82"/>
      <c r="C325" s="83"/>
      <c r="D325" s="84"/>
      <c r="E325" s="82"/>
      <c r="G325" s="85"/>
      <c r="H325" s="85"/>
      <c r="I325" s="86"/>
      <c r="M325" s="87"/>
      <c r="N325" s="88"/>
    </row>
    <row r="326" spans="1:14" ht="18.75" x14ac:dyDescent="0.25">
      <c r="A326" s="82"/>
      <c r="B326" s="82"/>
      <c r="C326" s="83"/>
      <c r="D326" s="84"/>
      <c r="E326" s="82"/>
      <c r="G326" s="85"/>
      <c r="H326" s="85"/>
      <c r="I326" s="86"/>
      <c r="M326" s="87"/>
      <c r="N326" s="88"/>
    </row>
    <row r="327" spans="1:14" ht="18.75" x14ac:dyDescent="0.25">
      <c r="A327" s="82"/>
      <c r="B327" s="82"/>
      <c r="C327" s="83"/>
      <c r="D327" s="84"/>
      <c r="E327" s="82"/>
      <c r="G327" s="85"/>
      <c r="H327" s="85"/>
      <c r="I327" s="86"/>
      <c r="M327" s="87"/>
      <c r="N327" s="88"/>
    </row>
    <row r="328" spans="1:14" ht="18.75" x14ac:dyDescent="0.25">
      <c r="A328" s="82"/>
      <c r="B328" s="82"/>
      <c r="C328" s="83"/>
      <c r="D328" s="84"/>
      <c r="E328" s="82"/>
      <c r="G328" s="85"/>
      <c r="H328" s="85"/>
      <c r="I328" s="86"/>
      <c r="M328" s="87"/>
      <c r="N328" s="88"/>
    </row>
    <row r="329" spans="1:14" ht="18.75" x14ac:dyDescent="0.25">
      <c r="A329" s="82"/>
      <c r="B329" s="82"/>
      <c r="C329" s="83"/>
      <c r="D329" s="84"/>
      <c r="E329" s="82"/>
      <c r="G329" s="85"/>
      <c r="H329" s="85"/>
      <c r="I329" s="86"/>
      <c r="M329" s="87"/>
      <c r="N329" s="88"/>
    </row>
    <row r="330" spans="1:14" ht="18.75" x14ac:dyDescent="0.25">
      <c r="A330" s="82"/>
      <c r="B330" s="82"/>
      <c r="C330" s="83"/>
      <c r="D330" s="84"/>
      <c r="E330" s="82"/>
      <c r="G330" s="85"/>
      <c r="H330" s="85"/>
      <c r="I330" s="86"/>
      <c r="M330" s="87"/>
      <c r="N330" s="88"/>
    </row>
    <row r="331" spans="1:14" ht="18.75" x14ac:dyDescent="0.25">
      <c r="A331" s="82"/>
      <c r="B331" s="82"/>
      <c r="C331" s="83"/>
      <c r="D331" s="84"/>
      <c r="E331" s="82"/>
      <c r="G331" s="85"/>
      <c r="H331" s="85"/>
      <c r="I331" s="86"/>
      <c r="M331" s="87"/>
      <c r="N331" s="88"/>
    </row>
    <row r="332" spans="1:14" ht="18.75" x14ac:dyDescent="0.25">
      <c r="A332" s="82"/>
      <c r="B332" s="82"/>
      <c r="C332" s="83"/>
      <c r="D332" s="84"/>
      <c r="E332" s="82"/>
      <c r="G332" s="85"/>
      <c r="H332" s="85"/>
      <c r="I332" s="86"/>
      <c r="M332" s="87"/>
      <c r="N332" s="88"/>
    </row>
    <row r="333" spans="1:14" ht="18.75" x14ac:dyDescent="0.25">
      <c r="A333" s="82"/>
      <c r="B333" s="82"/>
      <c r="C333" s="83"/>
      <c r="D333" s="84"/>
      <c r="E333" s="82"/>
      <c r="G333" s="85"/>
      <c r="H333" s="85"/>
      <c r="I333" s="86"/>
      <c r="M333" s="87"/>
      <c r="N333" s="88"/>
    </row>
    <row r="334" spans="1:14" ht="18.75" x14ac:dyDescent="0.25">
      <c r="A334" s="82"/>
      <c r="B334" s="82"/>
      <c r="C334" s="83"/>
      <c r="D334" s="84"/>
      <c r="E334" s="82"/>
      <c r="G334" s="85"/>
      <c r="H334" s="85"/>
      <c r="I334" s="86"/>
      <c r="M334" s="87"/>
      <c r="N334" s="88"/>
    </row>
    <row r="335" spans="1:14" ht="18.75" x14ac:dyDescent="0.25">
      <c r="A335" s="82"/>
      <c r="B335" s="82"/>
      <c r="C335" s="83"/>
      <c r="D335" s="84"/>
      <c r="E335" s="82"/>
      <c r="G335" s="85"/>
      <c r="H335" s="85"/>
      <c r="I335" s="86"/>
      <c r="M335" s="87"/>
      <c r="N335" s="88"/>
    </row>
    <row r="336" spans="1:14" ht="18.75" x14ac:dyDescent="0.25">
      <c r="A336" s="82"/>
      <c r="B336" s="82"/>
      <c r="C336" s="83"/>
      <c r="D336" s="84"/>
      <c r="E336" s="82"/>
      <c r="G336" s="85"/>
      <c r="H336" s="85"/>
      <c r="I336" s="86"/>
      <c r="M336" s="87"/>
      <c r="N336" s="88"/>
    </row>
    <row r="337" spans="1:14" ht="18.75" x14ac:dyDescent="0.25">
      <c r="A337" s="82"/>
      <c r="B337" s="82"/>
      <c r="C337" s="83"/>
      <c r="D337" s="84"/>
      <c r="E337" s="82"/>
      <c r="G337" s="85"/>
      <c r="H337" s="85"/>
      <c r="I337" s="86"/>
      <c r="M337" s="87"/>
      <c r="N337" s="88"/>
    </row>
    <row r="338" spans="1:14" ht="18.75" x14ac:dyDescent="0.25">
      <c r="A338" s="82"/>
      <c r="B338" s="82"/>
      <c r="C338" s="83"/>
      <c r="D338" s="84"/>
      <c r="E338" s="82"/>
      <c r="G338" s="85"/>
      <c r="H338" s="85"/>
      <c r="I338" s="86"/>
      <c r="M338" s="87"/>
      <c r="N338" s="88"/>
    </row>
    <row r="339" spans="1:14" ht="18.75" x14ac:dyDescent="0.25">
      <c r="A339" s="82"/>
      <c r="B339" s="82"/>
      <c r="C339" s="83"/>
      <c r="D339" s="84"/>
      <c r="E339" s="82"/>
      <c r="G339" s="85"/>
      <c r="H339" s="85"/>
      <c r="I339" s="86"/>
      <c r="M339" s="87"/>
      <c r="N339" s="88"/>
    </row>
    <row r="340" spans="1:14" ht="18.75" x14ac:dyDescent="0.25">
      <c r="A340" s="82"/>
      <c r="B340" s="82"/>
      <c r="C340" s="83"/>
      <c r="D340" s="84"/>
      <c r="E340" s="82"/>
      <c r="G340" s="85"/>
      <c r="H340" s="85"/>
      <c r="I340" s="86"/>
      <c r="M340" s="87"/>
      <c r="N340" s="88"/>
    </row>
    <row r="341" spans="1:14" ht="18.75" x14ac:dyDescent="0.25">
      <c r="A341" s="82"/>
      <c r="B341" s="82"/>
      <c r="C341" s="83"/>
      <c r="D341" s="84"/>
      <c r="E341" s="82"/>
      <c r="G341" s="85"/>
      <c r="H341" s="85"/>
      <c r="I341" s="86"/>
      <c r="M341" s="87"/>
      <c r="N341" s="88"/>
    </row>
    <row r="342" spans="1:14" ht="18.75" x14ac:dyDescent="0.25">
      <c r="A342" s="82"/>
      <c r="B342" s="82"/>
      <c r="C342" s="83"/>
      <c r="D342" s="84"/>
      <c r="E342" s="82"/>
      <c r="G342" s="85"/>
      <c r="H342" s="85"/>
      <c r="I342" s="86"/>
      <c r="M342" s="87"/>
      <c r="N342" s="88"/>
    </row>
    <row r="343" spans="1:14" ht="18.75" x14ac:dyDescent="0.25">
      <c r="A343" s="82"/>
      <c r="B343" s="82"/>
      <c r="C343" s="83"/>
      <c r="D343" s="84"/>
      <c r="E343" s="82"/>
      <c r="G343" s="85"/>
      <c r="H343" s="85"/>
      <c r="I343" s="86"/>
      <c r="M343" s="87"/>
      <c r="N343" s="88"/>
    </row>
    <row r="344" spans="1:14" ht="18.75" x14ac:dyDescent="0.25">
      <c r="A344" s="82"/>
      <c r="B344" s="82"/>
      <c r="C344" s="83"/>
      <c r="D344" s="84"/>
      <c r="E344" s="82"/>
      <c r="G344" s="85"/>
      <c r="H344" s="85"/>
      <c r="I344" s="86"/>
      <c r="M344" s="87"/>
      <c r="N344" s="88"/>
    </row>
    <row r="345" spans="1:14" ht="18.75" x14ac:dyDescent="0.25">
      <c r="A345" s="82"/>
      <c r="B345" s="82"/>
      <c r="C345" s="83"/>
      <c r="D345" s="84"/>
      <c r="E345" s="82"/>
      <c r="G345" s="85"/>
      <c r="H345" s="85"/>
      <c r="I345" s="86"/>
      <c r="M345" s="87"/>
      <c r="N345" s="88"/>
    </row>
    <row r="346" spans="1:14" ht="18.75" x14ac:dyDescent="0.25">
      <c r="A346" s="82"/>
      <c r="B346" s="82"/>
      <c r="C346" s="83"/>
      <c r="D346" s="84"/>
      <c r="E346" s="82"/>
      <c r="G346" s="85"/>
      <c r="H346" s="85"/>
      <c r="I346" s="86"/>
      <c r="M346" s="87"/>
      <c r="N346" s="88"/>
    </row>
    <row r="347" spans="1:14" ht="18.75" x14ac:dyDescent="0.25">
      <c r="A347" s="82"/>
      <c r="B347" s="82"/>
      <c r="C347" s="83"/>
      <c r="D347" s="84"/>
      <c r="E347" s="82"/>
      <c r="G347" s="85"/>
      <c r="H347" s="85"/>
      <c r="I347" s="86"/>
      <c r="M347" s="87"/>
      <c r="N347" s="88"/>
    </row>
    <row r="348" spans="1:14" ht="18.75" x14ac:dyDescent="0.25">
      <c r="A348" s="82"/>
      <c r="B348" s="82"/>
      <c r="C348" s="83"/>
      <c r="D348" s="84"/>
      <c r="E348" s="82"/>
      <c r="G348" s="85"/>
      <c r="H348" s="85"/>
      <c r="I348" s="86"/>
      <c r="M348" s="87"/>
      <c r="N348" s="88"/>
    </row>
    <row r="349" spans="1:14" ht="18.75" x14ac:dyDescent="0.25">
      <c r="A349" s="82"/>
      <c r="B349" s="82"/>
      <c r="C349" s="83"/>
      <c r="D349" s="84"/>
      <c r="E349" s="82"/>
      <c r="G349" s="85"/>
      <c r="H349" s="85"/>
      <c r="I349" s="86"/>
      <c r="M349" s="87"/>
      <c r="N349" s="88"/>
    </row>
    <row r="350" spans="1:14" ht="18.75" x14ac:dyDescent="0.25">
      <c r="A350" s="82"/>
      <c r="B350" s="82"/>
      <c r="C350" s="83"/>
      <c r="D350" s="84"/>
      <c r="E350" s="82"/>
      <c r="G350" s="85"/>
      <c r="H350" s="85"/>
      <c r="I350" s="86"/>
      <c r="M350" s="87"/>
      <c r="N350" s="88"/>
    </row>
    <row r="351" spans="1:14" ht="18.75" x14ac:dyDescent="0.25">
      <c r="A351" s="82"/>
      <c r="B351" s="82"/>
      <c r="C351" s="83"/>
      <c r="D351" s="84"/>
      <c r="E351" s="82"/>
      <c r="G351" s="85"/>
      <c r="H351" s="85"/>
      <c r="I351" s="86"/>
      <c r="M351" s="87"/>
      <c r="N351" s="88"/>
    </row>
    <row r="352" spans="1:14" ht="18.75" x14ac:dyDescent="0.25">
      <c r="A352" s="82"/>
      <c r="B352" s="82"/>
      <c r="C352" s="83"/>
      <c r="D352" s="84"/>
      <c r="E352" s="82"/>
      <c r="G352" s="85"/>
      <c r="H352" s="85"/>
      <c r="I352" s="86"/>
      <c r="M352" s="87"/>
      <c r="N352" s="88"/>
    </row>
    <row r="353" spans="1:14" ht="18.75" x14ac:dyDescent="0.25">
      <c r="A353" s="82"/>
      <c r="B353" s="82"/>
      <c r="C353" s="83"/>
      <c r="D353" s="84"/>
      <c r="E353" s="82"/>
      <c r="G353" s="85"/>
      <c r="H353" s="85"/>
      <c r="I353" s="86"/>
      <c r="M353" s="87"/>
      <c r="N353" s="88"/>
    </row>
    <row r="354" spans="1:14" ht="18.75" x14ac:dyDescent="0.25">
      <c r="A354" s="82"/>
      <c r="B354" s="82"/>
      <c r="C354" s="83"/>
      <c r="D354" s="84"/>
      <c r="E354" s="82"/>
      <c r="G354" s="85"/>
      <c r="H354" s="85"/>
      <c r="I354" s="86"/>
      <c r="M354" s="87"/>
      <c r="N354" s="88"/>
    </row>
    <row r="355" spans="1:14" ht="18.75" x14ac:dyDescent="0.25">
      <c r="A355" s="82"/>
      <c r="B355" s="82"/>
      <c r="C355" s="83"/>
      <c r="D355" s="84"/>
      <c r="E355" s="82"/>
      <c r="G355" s="85"/>
      <c r="H355" s="85"/>
      <c r="I355" s="86"/>
      <c r="M355" s="87"/>
      <c r="N355" s="88"/>
    </row>
    <row r="356" spans="1:14" ht="18.75" x14ac:dyDescent="0.25">
      <c r="A356" s="82"/>
      <c r="B356" s="82"/>
      <c r="C356" s="83"/>
      <c r="D356" s="84"/>
      <c r="E356" s="82"/>
      <c r="G356" s="85"/>
      <c r="H356" s="85"/>
      <c r="I356" s="86"/>
      <c r="M356" s="87"/>
      <c r="N356" s="88"/>
    </row>
    <row r="357" spans="1:14" ht="18.75" x14ac:dyDescent="0.25">
      <c r="A357" s="82"/>
      <c r="B357" s="82"/>
      <c r="C357" s="83"/>
      <c r="D357" s="84"/>
      <c r="E357" s="82"/>
      <c r="G357" s="85"/>
      <c r="H357" s="85"/>
      <c r="I357" s="86"/>
      <c r="M357" s="87"/>
      <c r="N357" s="88"/>
    </row>
    <row r="358" spans="1:14" ht="18.75" x14ac:dyDescent="0.25">
      <c r="A358" s="82"/>
      <c r="B358" s="82"/>
      <c r="C358" s="83"/>
      <c r="D358" s="84"/>
      <c r="E358" s="82"/>
      <c r="G358" s="85"/>
      <c r="H358" s="85"/>
      <c r="I358" s="86"/>
      <c r="M358" s="87"/>
      <c r="N358" s="88"/>
    </row>
    <row r="359" spans="1:14" ht="18.75" x14ac:dyDescent="0.25">
      <c r="A359" s="82"/>
      <c r="B359" s="82"/>
      <c r="C359" s="83"/>
      <c r="D359" s="84"/>
      <c r="E359" s="82"/>
      <c r="G359" s="85"/>
      <c r="H359" s="85"/>
      <c r="I359" s="86"/>
      <c r="M359" s="87"/>
      <c r="N359" s="88"/>
    </row>
    <row r="360" spans="1:14" ht="18.75" x14ac:dyDescent="0.25">
      <c r="A360" s="82"/>
      <c r="B360" s="82"/>
      <c r="C360" s="83"/>
      <c r="D360" s="84"/>
      <c r="E360" s="82"/>
      <c r="G360" s="85"/>
      <c r="H360" s="85"/>
      <c r="I360" s="86"/>
      <c r="M360" s="87"/>
      <c r="N360" s="88"/>
    </row>
    <row r="361" spans="1:14" ht="18.75" x14ac:dyDescent="0.25">
      <c r="A361" s="82"/>
      <c r="B361" s="82"/>
      <c r="C361" s="83"/>
      <c r="D361" s="84"/>
      <c r="E361" s="82"/>
      <c r="G361" s="85"/>
      <c r="H361" s="85"/>
      <c r="I361" s="86"/>
      <c r="M361" s="87"/>
      <c r="N361" s="88"/>
    </row>
    <row r="362" spans="1:14" ht="18.75" x14ac:dyDescent="0.25">
      <c r="A362" s="82"/>
      <c r="B362" s="82"/>
      <c r="C362" s="83"/>
      <c r="D362" s="84"/>
      <c r="E362" s="82"/>
      <c r="G362" s="85"/>
      <c r="H362" s="85"/>
      <c r="I362" s="86"/>
      <c r="M362" s="87"/>
      <c r="N362" s="88"/>
    </row>
    <row r="363" spans="1:14" ht="18.75" x14ac:dyDescent="0.25">
      <c r="A363" s="82"/>
      <c r="B363" s="82"/>
      <c r="C363" s="83"/>
      <c r="D363" s="84"/>
      <c r="E363" s="82"/>
      <c r="G363" s="85"/>
      <c r="H363" s="85"/>
      <c r="I363" s="86"/>
      <c r="M363" s="87"/>
      <c r="N363" s="88"/>
    </row>
    <row r="364" spans="1:14" ht="18.75" x14ac:dyDescent="0.25">
      <c r="A364" s="82"/>
      <c r="B364" s="82"/>
      <c r="C364" s="83"/>
      <c r="D364" s="84"/>
      <c r="E364" s="82"/>
      <c r="G364" s="85"/>
      <c r="H364" s="85"/>
      <c r="I364" s="86"/>
      <c r="M364" s="87"/>
      <c r="N364" s="88"/>
    </row>
    <row r="365" spans="1:14" ht="18.75" x14ac:dyDescent="0.25">
      <c r="A365" s="82"/>
      <c r="B365" s="82"/>
      <c r="C365" s="83"/>
      <c r="D365" s="84"/>
      <c r="E365" s="82"/>
      <c r="G365" s="85"/>
      <c r="H365" s="85"/>
      <c r="I365" s="86"/>
      <c r="M365" s="87"/>
      <c r="N365" s="88"/>
    </row>
    <row r="366" spans="1:14" ht="18.75" x14ac:dyDescent="0.25">
      <c r="A366" s="82"/>
      <c r="B366" s="82"/>
      <c r="C366" s="83"/>
      <c r="D366" s="84"/>
      <c r="E366" s="82"/>
      <c r="G366" s="85"/>
      <c r="H366" s="85"/>
      <c r="I366" s="86"/>
      <c r="M366" s="87"/>
      <c r="N366" s="88"/>
    </row>
    <row r="367" spans="1:14" ht="18.75" x14ac:dyDescent="0.25">
      <c r="A367" s="82"/>
      <c r="B367" s="82"/>
      <c r="C367" s="83"/>
      <c r="D367" s="84"/>
      <c r="E367" s="82"/>
      <c r="G367" s="85"/>
      <c r="H367" s="85"/>
      <c r="I367" s="86"/>
      <c r="M367" s="87"/>
      <c r="N367" s="88"/>
    </row>
    <row r="368" spans="1:14" ht="18.75" x14ac:dyDescent="0.25">
      <c r="A368" s="82"/>
      <c r="B368" s="82"/>
      <c r="C368" s="83"/>
      <c r="D368" s="84"/>
      <c r="E368" s="82"/>
      <c r="G368" s="85"/>
      <c r="H368" s="85"/>
      <c r="I368" s="86"/>
      <c r="M368" s="87"/>
      <c r="N368" s="88"/>
    </row>
    <row r="369" spans="1:14" ht="18.75" x14ac:dyDescent="0.25">
      <c r="A369" s="82"/>
      <c r="B369" s="82"/>
      <c r="C369" s="83"/>
      <c r="D369" s="84"/>
      <c r="E369" s="82"/>
      <c r="G369" s="85"/>
      <c r="H369" s="85"/>
      <c r="I369" s="86"/>
      <c r="M369" s="87"/>
      <c r="N369" s="88"/>
    </row>
    <row r="370" spans="1:14" ht="18.75" x14ac:dyDescent="0.25">
      <c r="A370" s="82"/>
      <c r="B370" s="82"/>
      <c r="C370" s="83"/>
      <c r="D370" s="84"/>
      <c r="E370" s="82"/>
      <c r="G370" s="85"/>
      <c r="H370" s="85"/>
      <c r="I370" s="86"/>
      <c r="M370" s="87"/>
      <c r="N370" s="88"/>
    </row>
    <row r="371" spans="1:14" ht="18.75" x14ac:dyDescent="0.25">
      <c r="A371" s="82"/>
      <c r="B371" s="82"/>
      <c r="C371" s="83"/>
      <c r="D371" s="84"/>
      <c r="E371" s="82"/>
      <c r="G371" s="85"/>
      <c r="H371" s="85"/>
      <c r="I371" s="86"/>
      <c r="M371" s="87"/>
      <c r="N371" s="88"/>
    </row>
    <row r="372" spans="1:14" ht="18.75" x14ac:dyDescent="0.25">
      <c r="A372" s="82"/>
      <c r="B372" s="82"/>
      <c r="C372" s="83"/>
      <c r="D372" s="84"/>
      <c r="E372" s="82"/>
      <c r="G372" s="85"/>
      <c r="H372" s="85"/>
      <c r="I372" s="86"/>
      <c r="M372" s="87"/>
      <c r="N372" s="88"/>
    </row>
    <row r="373" spans="1:14" ht="18.75" x14ac:dyDescent="0.25">
      <c r="A373" s="82"/>
      <c r="B373" s="82"/>
      <c r="C373" s="83"/>
      <c r="D373" s="84"/>
      <c r="E373" s="82"/>
      <c r="G373" s="85"/>
      <c r="H373" s="85"/>
      <c r="I373" s="86"/>
      <c r="M373" s="87"/>
      <c r="N373" s="88"/>
    </row>
    <row r="374" spans="1:14" ht="18.75" x14ac:dyDescent="0.25">
      <c r="A374" s="82"/>
      <c r="B374" s="82"/>
      <c r="C374" s="83"/>
      <c r="D374" s="84"/>
      <c r="E374" s="82"/>
      <c r="G374" s="85"/>
      <c r="H374" s="85"/>
      <c r="I374" s="86"/>
      <c r="M374" s="87"/>
      <c r="N374" s="88"/>
    </row>
    <row r="375" spans="1:14" ht="18.75" x14ac:dyDescent="0.25">
      <c r="A375" s="82"/>
      <c r="B375" s="82"/>
      <c r="C375" s="83"/>
      <c r="D375" s="84"/>
      <c r="E375" s="82"/>
      <c r="G375" s="85"/>
      <c r="H375" s="85"/>
      <c r="I375" s="86"/>
      <c r="M375" s="87"/>
      <c r="N375" s="88"/>
    </row>
    <row r="376" spans="1:14" ht="18.75" x14ac:dyDescent="0.25">
      <c r="A376" s="82"/>
      <c r="B376" s="82"/>
      <c r="C376" s="83"/>
      <c r="D376" s="84"/>
      <c r="E376" s="82"/>
      <c r="G376" s="85"/>
      <c r="H376" s="85"/>
      <c r="I376" s="86"/>
      <c r="M376" s="87"/>
      <c r="N376" s="88"/>
    </row>
    <row r="377" spans="1:14" ht="18.75" x14ac:dyDescent="0.25">
      <c r="A377" s="82"/>
      <c r="B377" s="82"/>
      <c r="C377" s="83"/>
      <c r="D377" s="84"/>
      <c r="E377" s="82"/>
      <c r="G377" s="85"/>
      <c r="H377" s="85"/>
      <c r="I377" s="86"/>
      <c r="M377" s="87"/>
      <c r="N377" s="88"/>
    </row>
    <row r="378" spans="1:14" ht="18.75" x14ac:dyDescent="0.25">
      <c r="A378" s="82"/>
      <c r="B378" s="82"/>
      <c r="C378" s="83"/>
      <c r="D378" s="84"/>
      <c r="E378" s="82"/>
      <c r="G378" s="85"/>
      <c r="H378" s="85"/>
      <c r="I378" s="86"/>
      <c r="M378" s="87"/>
      <c r="N378" s="88"/>
    </row>
    <row r="379" spans="1:14" ht="18.75" x14ac:dyDescent="0.25">
      <c r="A379" s="82"/>
      <c r="B379" s="82"/>
      <c r="C379" s="83"/>
      <c r="D379" s="84"/>
      <c r="E379" s="82"/>
      <c r="G379" s="85"/>
      <c r="H379" s="85"/>
      <c r="I379" s="86"/>
      <c r="M379" s="87"/>
      <c r="N379" s="88"/>
    </row>
    <row r="380" spans="1:14" ht="18.75" x14ac:dyDescent="0.25">
      <c r="A380" s="82"/>
      <c r="B380" s="82"/>
      <c r="C380" s="83"/>
      <c r="D380" s="84"/>
      <c r="E380" s="82"/>
      <c r="G380" s="85"/>
      <c r="H380" s="85"/>
      <c r="I380" s="86"/>
      <c r="M380" s="87"/>
      <c r="N380" s="88"/>
    </row>
    <row r="381" spans="1:14" ht="18.75" x14ac:dyDescent="0.25">
      <c r="A381" s="82"/>
      <c r="B381" s="82"/>
      <c r="C381" s="83"/>
      <c r="D381" s="84"/>
      <c r="E381" s="82"/>
      <c r="G381" s="85"/>
      <c r="H381" s="85"/>
      <c r="I381" s="86"/>
      <c r="M381" s="87"/>
      <c r="N381" s="88"/>
    </row>
    <row r="382" spans="1:14" ht="18.75" x14ac:dyDescent="0.25">
      <c r="A382" s="82"/>
      <c r="B382" s="82"/>
      <c r="C382" s="83"/>
      <c r="D382" s="84"/>
      <c r="E382" s="82"/>
      <c r="G382" s="85"/>
      <c r="H382" s="85"/>
      <c r="I382" s="86"/>
      <c r="M382" s="87"/>
      <c r="N382" s="88"/>
    </row>
    <row r="383" spans="1:14" ht="18.75" x14ac:dyDescent="0.25">
      <c r="A383" s="82"/>
      <c r="B383" s="82"/>
      <c r="C383" s="83"/>
      <c r="D383" s="84"/>
      <c r="E383" s="82"/>
      <c r="G383" s="85"/>
      <c r="H383" s="85"/>
      <c r="I383" s="86"/>
      <c r="M383" s="87"/>
      <c r="N383" s="88"/>
    </row>
    <row r="384" spans="1:14" ht="18.75" x14ac:dyDescent="0.25">
      <c r="A384" s="82"/>
      <c r="B384" s="82"/>
      <c r="C384" s="83"/>
      <c r="D384" s="84"/>
      <c r="E384" s="82"/>
      <c r="G384" s="85"/>
      <c r="H384" s="85"/>
      <c r="I384" s="86"/>
      <c r="M384" s="87"/>
      <c r="N384" s="88"/>
    </row>
    <row r="385" spans="1:14" ht="18.75" x14ac:dyDescent="0.25">
      <c r="A385" s="82"/>
      <c r="B385" s="82"/>
      <c r="C385" s="83"/>
      <c r="D385" s="84"/>
      <c r="E385" s="82"/>
      <c r="G385" s="85"/>
      <c r="H385" s="85"/>
      <c r="I385" s="86"/>
      <c r="M385" s="87"/>
      <c r="N385" s="88"/>
    </row>
    <row r="386" spans="1:14" ht="18.75" x14ac:dyDescent="0.25">
      <c r="A386" s="82"/>
      <c r="B386" s="82"/>
      <c r="C386" s="83"/>
      <c r="D386" s="84"/>
      <c r="E386" s="82"/>
      <c r="G386" s="85"/>
      <c r="H386" s="85"/>
      <c r="I386" s="86"/>
      <c r="M386" s="87"/>
      <c r="N386" s="88"/>
    </row>
    <row r="387" spans="1:14" ht="18.75" x14ac:dyDescent="0.25">
      <c r="A387" s="82"/>
      <c r="B387" s="82"/>
      <c r="C387" s="83"/>
      <c r="D387" s="84"/>
      <c r="E387" s="82"/>
      <c r="G387" s="85"/>
      <c r="H387" s="85"/>
      <c r="I387" s="86"/>
      <c r="M387" s="87"/>
      <c r="N387" s="88"/>
    </row>
    <row r="388" spans="1:14" ht="18.75" x14ac:dyDescent="0.25">
      <c r="A388" s="82"/>
      <c r="B388" s="82"/>
      <c r="C388" s="83"/>
      <c r="D388" s="84"/>
      <c r="E388" s="82"/>
      <c r="G388" s="85"/>
      <c r="H388" s="85"/>
      <c r="I388" s="86"/>
      <c r="M388" s="87"/>
      <c r="N388" s="88"/>
    </row>
    <row r="389" spans="1:14" ht="18.75" x14ac:dyDescent="0.25">
      <c r="A389" s="82"/>
      <c r="B389" s="82"/>
      <c r="C389" s="83"/>
      <c r="D389" s="84"/>
      <c r="E389" s="82"/>
      <c r="G389" s="85"/>
      <c r="H389" s="85"/>
      <c r="I389" s="86"/>
      <c r="M389" s="87"/>
      <c r="N389" s="88"/>
    </row>
    <row r="390" spans="1:14" ht="18.75" x14ac:dyDescent="0.25">
      <c r="A390" s="82"/>
      <c r="B390" s="82"/>
      <c r="C390" s="83"/>
      <c r="D390" s="84"/>
      <c r="E390" s="82"/>
      <c r="G390" s="85"/>
      <c r="H390" s="85"/>
      <c r="I390" s="86"/>
      <c r="M390" s="87"/>
      <c r="N390" s="88"/>
    </row>
    <row r="391" spans="1:14" ht="18.75" x14ac:dyDescent="0.25">
      <c r="A391" s="82"/>
      <c r="B391" s="82"/>
      <c r="C391" s="83"/>
      <c r="D391" s="84"/>
      <c r="E391" s="82"/>
      <c r="G391" s="85"/>
      <c r="H391" s="85"/>
      <c r="I391" s="86"/>
      <c r="M391" s="87"/>
      <c r="N391" s="88"/>
    </row>
    <row r="392" spans="1:14" ht="18.75" x14ac:dyDescent="0.25">
      <c r="A392" s="82"/>
      <c r="B392" s="82"/>
      <c r="C392" s="83"/>
      <c r="D392" s="84"/>
      <c r="E392" s="82"/>
      <c r="G392" s="85"/>
      <c r="H392" s="85"/>
      <c r="I392" s="86"/>
      <c r="M392" s="87"/>
      <c r="N392" s="88"/>
    </row>
    <row r="393" spans="1:14" ht="18.75" x14ac:dyDescent="0.25">
      <c r="A393" s="82"/>
      <c r="B393" s="82"/>
      <c r="C393" s="83"/>
      <c r="D393" s="84"/>
      <c r="E393" s="82"/>
      <c r="G393" s="85"/>
      <c r="H393" s="85"/>
      <c r="I393" s="86"/>
      <c r="M393" s="87"/>
      <c r="N393" s="88"/>
    </row>
    <row r="394" spans="1:14" ht="18.75" x14ac:dyDescent="0.25">
      <c r="A394" s="82"/>
      <c r="B394" s="82"/>
      <c r="C394" s="83"/>
      <c r="D394" s="84"/>
      <c r="E394" s="82"/>
      <c r="G394" s="85"/>
      <c r="H394" s="85"/>
      <c r="I394" s="86"/>
      <c r="M394" s="87"/>
      <c r="N394" s="88"/>
    </row>
    <row r="395" spans="1:14" ht="18.75" x14ac:dyDescent="0.25">
      <c r="A395" s="82"/>
      <c r="B395" s="82"/>
      <c r="C395" s="83"/>
      <c r="D395" s="84"/>
      <c r="E395" s="82"/>
      <c r="G395" s="85"/>
      <c r="H395" s="85"/>
      <c r="I395" s="86"/>
      <c r="M395" s="87"/>
      <c r="N395" s="88"/>
    </row>
    <row r="396" spans="1:14" ht="18.75" x14ac:dyDescent="0.25">
      <c r="A396" s="82"/>
      <c r="B396" s="82"/>
      <c r="C396" s="83"/>
      <c r="D396" s="84"/>
      <c r="E396" s="82"/>
      <c r="G396" s="85"/>
      <c r="H396" s="85"/>
      <c r="I396" s="86"/>
      <c r="M396" s="87"/>
      <c r="N396" s="88"/>
    </row>
    <row r="397" spans="1:14" ht="18.75" x14ac:dyDescent="0.25">
      <c r="A397" s="82"/>
      <c r="B397" s="82"/>
      <c r="C397" s="83"/>
      <c r="D397" s="84"/>
      <c r="E397" s="82"/>
      <c r="G397" s="85"/>
      <c r="H397" s="85"/>
      <c r="I397" s="86"/>
      <c r="M397" s="87"/>
      <c r="N397" s="88"/>
    </row>
    <row r="398" spans="1:14" ht="18.75" x14ac:dyDescent="0.25">
      <c r="A398" s="82"/>
      <c r="B398" s="82"/>
      <c r="C398" s="83"/>
      <c r="D398" s="84"/>
      <c r="E398" s="82"/>
      <c r="G398" s="85"/>
      <c r="H398" s="85"/>
      <c r="I398" s="86"/>
      <c r="M398" s="87"/>
      <c r="N398" s="88"/>
    </row>
    <row r="399" spans="1:14" ht="18.75" x14ac:dyDescent="0.25">
      <c r="A399" s="82"/>
      <c r="B399" s="82"/>
      <c r="C399" s="83"/>
      <c r="D399" s="84"/>
      <c r="E399" s="82"/>
      <c r="G399" s="85"/>
      <c r="H399" s="85"/>
      <c r="I399" s="86"/>
      <c r="M399" s="87"/>
      <c r="N399" s="88"/>
    </row>
    <row r="400" spans="1:14" ht="18.75" x14ac:dyDescent="0.25">
      <c r="A400" s="82"/>
      <c r="B400" s="82"/>
      <c r="C400" s="83"/>
      <c r="D400" s="84"/>
      <c r="E400" s="82"/>
      <c r="G400" s="85"/>
      <c r="H400" s="85"/>
      <c r="I400" s="86"/>
      <c r="M400" s="87"/>
      <c r="N400" s="88"/>
    </row>
    <row r="401" spans="1:14" ht="18.75" x14ac:dyDescent="0.25">
      <c r="A401" s="82"/>
      <c r="B401" s="82"/>
      <c r="C401" s="83"/>
      <c r="D401" s="84"/>
      <c r="E401" s="82"/>
      <c r="G401" s="85"/>
      <c r="H401" s="85"/>
      <c r="I401" s="86"/>
      <c r="M401" s="87"/>
      <c r="N401" s="88"/>
    </row>
    <row r="402" spans="1:14" ht="18.75" x14ac:dyDescent="0.25">
      <c r="A402" s="82"/>
      <c r="B402" s="82"/>
      <c r="C402" s="83"/>
      <c r="D402" s="84"/>
      <c r="E402" s="82"/>
      <c r="G402" s="85"/>
      <c r="H402" s="85"/>
      <c r="I402" s="86"/>
      <c r="M402" s="87"/>
      <c r="N402" s="88"/>
    </row>
    <row r="403" spans="1:14" ht="18.75" x14ac:dyDescent="0.25">
      <c r="A403" s="82"/>
      <c r="B403" s="82"/>
      <c r="C403" s="83"/>
      <c r="D403" s="84"/>
      <c r="E403" s="82"/>
      <c r="G403" s="85"/>
      <c r="H403" s="85"/>
      <c r="I403" s="86"/>
      <c r="M403" s="87"/>
      <c r="N403" s="88"/>
    </row>
    <row r="404" spans="1:14" ht="18.75" x14ac:dyDescent="0.25">
      <c r="A404" s="82"/>
      <c r="B404" s="82"/>
      <c r="C404" s="83"/>
      <c r="D404" s="84"/>
      <c r="E404" s="82"/>
      <c r="G404" s="85"/>
      <c r="H404" s="85"/>
      <c r="I404" s="86"/>
      <c r="M404" s="87"/>
      <c r="N404" s="88"/>
    </row>
    <row r="405" spans="1:14" ht="18.75" x14ac:dyDescent="0.25">
      <c r="A405" s="82"/>
      <c r="B405" s="82"/>
      <c r="C405" s="83"/>
      <c r="D405" s="84"/>
      <c r="E405" s="82"/>
      <c r="G405" s="85"/>
      <c r="H405" s="85"/>
      <c r="I405" s="86"/>
      <c r="M405" s="87"/>
      <c r="N405" s="88"/>
    </row>
    <row r="406" spans="1:14" ht="18.75" x14ac:dyDescent="0.25">
      <c r="A406" s="82"/>
      <c r="B406" s="82"/>
      <c r="C406" s="83"/>
      <c r="D406" s="84"/>
      <c r="E406" s="82"/>
      <c r="G406" s="85"/>
      <c r="H406" s="85"/>
      <c r="I406" s="86"/>
      <c r="M406" s="87"/>
      <c r="N406" s="88"/>
    </row>
    <row r="407" spans="1:14" ht="18.75" x14ac:dyDescent="0.25">
      <c r="A407" s="82"/>
      <c r="B407" s="82"/>
      <c r="C407" s="83"/>
      <c r="D407" s="84"/>
      <c r="E407" s="82"/>
      <c r="G407" s="85"/>
      <c r="H407" s="85"/>
      <c r="I407" s="86"/>
      <c r="M407" s="87"/>
      <c r="N407" s="88"/>
    </row>
    <row r="408" spans="1:14" ht="18.75" x14ac:dyDescent="0.25">
      <c r="A408" s="82"/>
      <c r="B408" s="82"/>
      <c r="C408" s="83"/>
      <c r="D408" s="84"/>
      <c r="E408" s="82"/>
      <c r="G408" s="85"/>
      <c r="H408" s="85"/>
      <c r="I408" s="86"/>
      <c r="M408" s="87"/>
      <c r="N408" s="88"/>
    </row>
    <row r="409" spans="1:14" ht="18.75" x14ac:dyDescent="0.25">
      <c r="A409" s="82"/>
      <c r="B409" s="82"/>
      <c r="C409" s="83"/>
      <c r="D409" s="84"/>
      <c r="E409" s="82"/>
      <c r="G409" s="85"/>
      <c r="H409" s="85"/>
      <c r="I409" s="86"/>
      <c r="M409" s="87"/>
      <c r="N409" s="88"/>
    </row>
    <row r="410" spans="1:14" ht="18.75" x14ac:dyDescent="0.25">
      <c r="A410" s="82"/>
      <c r="B410" s="82"/>
      <c r="C410" s="83"/>
      <c r="D410" s="84"/>
      <c r="E410" s="82"/>
      <c r="G410" s="85"/>
      <c r="H410" s="85"/>
      <c r="I410" s="86"/>
      <c r="M410" s="87"/>
      <c r="N410" s="88"/>
    </row>
    <row r="411" spans="1:14" ht="18.75" x14ac:dyDescent="0.25">
      <c r="A411" s="82"/>
      <c r="B411" s="82"/>
      <c r="C411" s="83"/>
      <c r="D411" s="84"/>
      <c r="E411" s="82"/>
      <c r="G411" s="85"/>
      <c r="H411" s="85"/>
      <c r="I411" s="86"/>
      <c r="M411" s="87"/>
      <c r="N411" s="88"/>
    </row>
    <row r="412" spans="1:14" ht="18.75" x14ac:dyDescent="0.25">
      <c r="A412" s="82"/>
      <c r="B412" s="82"/>
      <c r="C412" s="83"/>
      <c r="D412" s="84"/>
      <c r="E412" s="82"/>
      <c r="G412" s="85"/>
      <c r="H412" s="85"/>
      <c r="I412" s="86"/>
      <c r="M412" s="87"/>
      <c r="N412" s="88"/>
    </row>
    <row r="413" spans="1:14" ht="18.75" x14ac:dyDescent="0.25">
      <c r="A413" s="82"/>
      <c r="B413" s="82"/>
      <c r="C413" s="83"/>
      <c r="D413" s="84"/>
      <c r="E413" s="82"/>
      <c r="G413" s="85"/>
      <c r="H413" s="85"/>
      <c r="I413" s="86"/>
      <c r="M413" s="87"/>
      <c r="N413" s="88"/>
    </row>
    <row r="414" spans="1:14" ht="18.75" x14ac:dyDescent="0.25">
      <c r="A414" s="82"/>
      <c r="B414" s="82"/>
      <c r="C414" s="83"/>
      <c r="D414" s="84"/>
      <c r="E414" s="82"/>
      <c r="G414" s="85"/>
      <c r="H414" s="85"/>
      <c r="I414" s="86"/>
      <c r="M414" s="87"/>
      <c r="N414" s="88"/>
    </row>
    <row r="415" spans="1:14" ht="18.75" x14ac:dyDescent="0.25">
      <c r="A415" s="82"/>
      <c r="B415" s="82"/>
      <c r="C415" s="83"/>
      <c r="D415" s="84"/>
      <c r="E415" s="82"/>
      <c r="G415" s="85"/>
      <c r="H415" s="85"/>
      <c r="I415" s="86"/>
      <c r="M415" s="87"/>
      <c r="N415" s="88"/>
    </row>
    <row r="416" spans="1:14" ht="18.75" x14ac:dyDescent="0.25">
      <c r="A416" s="82"/>
      <c r="B416" s="82"/>
      <c r="C416" s="83"/>
      <c r="D416" s="84"/>
      <c r="E416" s="82"/>
      <c r="G416" s="85"/>
      <c r="H416" s="85"/>
      <c r="I416" s="86"/>
      <c r="M416" s="87"/>
      <c r="N416" s="88"/>
    </row>
    <row r="417" spans="1:14" ht="18.75" x14ac:dyDescent="0.25">
      <c r="A417" s="82"/>
      <c r="B417" s="82"/>
      <c r="C417" s="83"/>
      <c r="D417" s="84"/>
      <c r="E417" s="82"/>
      <c r="G417" s="85"/>
      <c r="H417" s="85"/>
      <c r="I417" s="86"/>
      <c r="M417" s="87"/>
      <c r="N417" s="88"/>
    </row>
    <row r="418" spans="1:14" ht="18.75" x14ac:dyDescent="0.25">
      <c r="A418" s="82"/>
      <c r="B418" s="82"/>
      <c r="C418" s="83"/>
      <c r="D418" s="84"/>
      <c r="E418" s="82"/>
      <c r="G418" s="85"/>
      <c r="H418" s="85"/>
      <c r="I418" s="86"/>
      <c r="M418" s="87"/>
      <c r="N418" s="88"/>
    </row>
    <row r="419" spans="1:14" ht="18.75" x14ac:dyDescent="0.25">
      <c r="A419" s="82"/>
      <c r="B419" s="82"/>
      <c r="C419" s="83"/>
      <c r="D419" s="84"/>
      <c r="E419" s="82"/>
      <c r="G419" s="85"/>
      <c r="H419" s="85"/>
      <c r="I419" s="86"/>
      <c r="M419" s="87"/>
      <c r="N419" s="88"/>
    </row>
    <row r="420" spans="1:14" ht="18.75" x14ac:dyDescent="0.25">
      <c r="A420" s="82"/>
      <c r="B420" s="82"/>
      <c r="C420" s="83"/>
      <c r="D420" s="84"/>
      <c r="E420" s="82"/>
      <c r="G420" s="85"/>
      <c r="H420" s="85"/>
      <c r="I420" s="86"/>
      <c r="M420" s="87"/>
      <c r="N420" s="88"/>
    </row>
    <row r="421" spans="1:14" ht="18.75" x14ac:dyDescent="0.25">
      <c r="A421" s="82"/>
      <c r="B421" s="82"/>
      <c r="C421" s="83"/>
      <c r="D421" s="84"/>
      <c r="E421" s="82"/>
      <c r="G421" s="85"/>
      <c r="H421" s="85"/>
      <c r="I421" s="86"/>
      <c r="M421" s="87"/>
      <c r="N421" s="88"/>
    </row>
    <row r="422" spans="1:14" ht="18.75" x14ac:dyDescent="0.25">
      <c r="A422" s="82"/>
      <c r="B422" s="82"/>
      <c r="C422" s="83"/>
      <c r="D422" s="84"/>
      <c r="E422" s="82"/>
      <c r="G422" s="85"/>
      <c r="H422" s="85"/>
      <c r="I422" s="86"/>
      <c r="M422" s="87"/>
      <c r="N422" s="88"/>
    </row>
    <row r="423" spans="1:14" ht="18.75" x14ac:dyDescent="0.25">
      <c r="A423" s="82"/>
      <c r="B423" s="82"/>
      <c r="C423" s="83"/>
      <c r="D423" s="84"/>
      <c r="E423" s="82"/>
      <c r="G423" s="85"/>
      <c r="H423" s="85"/>
      <c r="I423" s="86"/>
      <c r="M423" s="87"/>
      <c r="N423" s="88"/>
    </row>
    <row r="424" spans="1:14" ht="18.75" x14ac:dyDescent="0.25">
      <c r="A424" s="82"/>
      <c r="B424" s="82"/>
      <c r="C424" s="83"/>
      <c r="D424" s="84"/>
      <c r="E424" s="82"/>
      <c r="G424" s="85"/>
      <c r="H424" s="85"/>
      <c r="I424" s="86"/>
      <c r="M424" s="87"/>
      <c r="N424" s="88"/>
    </row>
    <row r="425" spans="1:14" ht="18.75" x14ac:dyDescent="0.25">
      <c r="A425" s="82"/>
      <c r="B425" s="82"/>
      <c r="C425" s="83"/>
      <c r="D425" s="84"/>
      <c r="E425" s="82"/>
      <c r="G425" s="85"/>
      <c r="H425" s="85"/>
      <c r="I425" s="86"/>
      <c r="M425" s="87"/>
      <c r="N425" s="88"/>
    </row>
    <row r="426" spans="1:14" ht="18.75" x14ac:dyDescent="0.25">
      <c r="A426" s="82"/>
      <c r="B426" s="82"/>
      <c r="C426" s="83"/>
      <c r="D426" s="84"/>
      <c r="E426" s="82"/>
      <c r="G426" s="85"/>
      <c r="H426" s="85"/>
      <c r="I426" s="86"/>
      <c r="M426" s="87"/>
      <c r="N426" s="88"/>
    </row>
    <row r="427" spans="1:14" ht="18.75" x14ac:dyDescent="0.25">
      <c r="A427" s="82"/>
      <c r="B427" s="82"/>
      <c r="C427" s="83"/>
      <c r="D427" s="84"/>
      <c r="E427" s="82"/>
      <c r="G427" s="85"/>
      <c r="H427" s="85"/>
      <c r="I427" s="86"/>
      <c r="M427" s="87"/>
      <c r="N427" s="88"/>
    </row>
    <row r="428" spans="1:14" ht="18.75" x14ac:dyDescent="0.25">
      <c r="A428" s="82"/>
      <c r="B428" s="82"/>
      <c r="C428" s="83"/>
      <c r="D428" s="84"/>
      <c r="E428" s="82"/>
      <c r="G428" s="85"/>
      <c r="H428" s="85"/>
      <c r="I428" s="86"/>
      <c r="M428" s="87"/>
      <c r="N428" s="88"/>
    </row>
    <row r="429" spans="1:14" ht="18.75" x14ac:dyDescent="0.25">
      <c r="A429" s="82"/>
      <c r="B429" s="82"/>
      <c r="C429" s="83"/>
      <c r="D429" s="84"/>
      <c r="E429" s="82"/>
      <c r="G429" s="85"/>
      <c r="H429" s="85"/>
      <c r="I429" s="86"/>
      <c r="M429" s="87"/>
      <c r="N429" s="88"/>
    </row>
    <row r="430" spans="1:14" ht="18.75" x14ac:dyDescent="0.25">
      <c r="A430" s="82"/>
      <c r="B430" s="82"/>
      <c r="C430" s="83"/>
      <c r="D430" s="84"/>
      <c r="E430" s="82"/>
      <c r="G430" s="85"/>
      <c r="H430" s="85"/>
      <c r="I430" s="86"/>
      <c r="M430" s="87"/>
      <c r="N430" s="88"/>
    </row>
    <row r="431" spans="1:14" ht="18.75" x14ac:dyDescent="0.25">
      <c r="A431" s="82"/>
      <c r="B431" s="82"/>
      <c r="C431" s="83"/>
      <c r="D431" s="84"/>
      <c r="E431" s="82"/>
      <c r="G431" s="85"/>
      <c r="H431" s="85"/>
      <c r="I431" s="86"/>
      <c r="M431" s="87"/>
      <c r="N431" s="88"/>
    </row>
    <row r="432" spans="1:14" ht="18.75" x14ac:dyDescent="0.25">
      <c r="A432" s="82"/>
      <c r="B432" s="82"/>
      <c r="C432" s="83"/>
      <c r="D432" s="84"/>
      <c r="E432" s="82"/>
      <c r="G432" s="85"/>
      <c r="H432" s="85"/>
      <c r="I432" s="86"/>
      <c r="M432" s="87"/>
      <c r="N432" s="88"/>
    </row>
    <row r="433" spans="1:14" ht="18.75" x14ac:dyDescent="0.25">
      <c r="A433" s="82"/>
      <c r="B433" s="82"/>
      <c r="C433" s="83"/>
      <c r="D433" s="84"/>
      <c r="E433" s="82"/>
      <c r="G433" s="85"/>
      <c r="H433" s="85"/>
      <c r="I433" s="86"/>
      <c r="M433" s="87"/>
      <c r="N433" s="88"/>
    </row>
    <row r="434" spans="1:14" ht="18.75" x14ac:dyDescent="0.25">
      <c r="A434" s="82"/>
      <c r="B434" s="82"/>
      <c r="C434" s="83"/>
      <c r="D434" s="84"/>
      <c r="E434" s="82"/>
      <c r="G434" s="85"/>
      <c r="H434" s="85"/>
      <c r="I434" s="86"/>
      <c r="M434" s="87"/>
      <c r="N434" s="88"/>
    </row>
    <row r="435" spans="1:14" ht="18.75" x14ac:dyDescent="0.25">
      <c r="A435" s="82"/>
      <c r="B435" s="82"/>
      <c r="C435" s="83"/>
      <c r="D435" s="84"/>
      <c r="E435" s="82"/>
      <c r="G435" s="85"/>
      <c r="H435" s="85"/>
      <c r="I435" s="86"/>
      <c r="M435" s="87"/>
      <c r="N435" s="88"/>
    </row>
    <row r="436" spans="1:14" ht="18.75" x14ac:dyDescent="0.25">
      <c r="A436" s="82"/>
      <c r="B436" s="82"/>
      <c r="C436" s="83"/>
      <c r="D436" s="84"/>
      <c r="E436" s="82"/>
      <c r="G436" s="85"/>
      <c r="H436" s="85"/>
      <c r="I436" s="86"/>
      <c r="M436" s="87"/>
      <c r="N436" s="88"/>
    </row>
    <row r="437" spans="1:14" ht="18.75" x14ac:dyDescent="0.25">
      <c r="A437" s="82"/>
      <c r="B437" s="82"/>
      <c r="C437" s="83"/>
      <c r="D437" s="84"/>
      <c r="E437" s="82"/>
      <c r="G437" s="85"/>
      <c r="H437" s="85"/>
      <c r="I437" s="86"/>
      <c r="M437" s="87"/>
      <c r="N437" s="88"/>
    </row>
    <row r="438" spans="1:14" ht="18.75" x14ac:dyDescent="0.25">
      <c r="A438" s="82"/>
      <c r="B438" s="82"/>
      <c r="C438" s="83"/>
      <c r="D438" s="84"/>
      <c r="E438" s="82"/>
      <c r="G438" s="85"/>
      <c r="H438" s="85"/>
      <c r="I438" s="86"/>
      <c r="M438" s="87"/>
      <c r="N438" s="88"/>
    </row>
    <row r="439" spans="1:14" ht="18.75" x14ac:dyDescent="0.25">
      <c r="A439" s="82"/>
      <c r="B439" s="82"/>
      <c r="C439" s="83"/>
      <c r="D439" s="84"/>
      <c r="E439" s="82"/>
      <c r="G439" s="85"/>
      <c r="H439" s="85"/>
      <c r="I439" s="86"/>
      <c r="M439" s="87"/>
      <c r="N439" s="88"/>
    </row>
    <row r="440" spans="1:14" ht="18.75" x14ac:dyDescent="0.25">
      <c r="A440" s="82"/>
      <c r="B440" s="82"/>
      <c r="C440" s="83"/>
      <c r="D440" s="84"/>
      <c r="E440" s="82"/>
      <c r="G440" s="85"/>
      <c r="H440" s="85"/>
      <c r="I440" s="86"/>
      <c r="M440" s="87"/>
      <c r="N440" s="88"/>
    </row>
    <row r="441" spans="1:14" ht="18.75" x14ac:dyDescent="0.25">
      <c r="A441" s="82"/>
      <c r="B441" s="82"/>
      <c r="C441" s="83"/>
      <c r="D441" s="84"/>
      <c r="E441" s="82"/>
      <c r="G441" s="85"/>
      <c r="H441" s="85"/>
      <c r="I441" s="86"/>
      <c r="M441" s="87"/>
      <c r="N441" s="88"/>
    </row>
    <row r="442" spans="1:14" ht="18.75" x14ac:dyDescent="0.25">
      <c r="A442" s="82"/>
      <c r="B442" s="82"/>
      <c r="C442" s="83"/>
      <c r="D442" s="84"/>
      <c r="E442" s="82"/>
      <c r="G442" s="85"/>
      <c r="H442" s="85"/>
      <c r="I442" s="86"/>
      <c r="M442" s="87"/>
      <c r="N442" s="88"/>
    </row>
    <row r="443" spans="1:14" ht="18.75" x14ac:dyDescent="0.25">
      <c r="A443" s="82"/>
      <c r="B443" s="82"/>
      <c r="C443" s="83"/>
      <c r="D443" s="84"/>
      <c r="E443" s="82"/>
      <c r="G443" s="85"/>
      <c r="H443" s="85"/>
      <c r="I443" s="86"/>
      <c r="M443" s="87"/>
      <c r="N443" s="88"/>
    </row>
    <row r="444" spans="1:14" ht="18.75" x14ac:dyDescent="0.25">
      <c r="A444" s="82"/>
      <c r="B444" s="82"/>
      <c r="C444" s="83"/>
      <c r="D444" s="84"/>
      <c r="E444" s="82"/>
      <c r="G444" s="85"/>
      <c r="H444" s="85"/>
      <c r="I444" s="86"/>
      <c r="M444" s="87"/>
      <c r="N444" s="88"/>
    </row>
    <row r="445" spans="1:14" ht="18.75" x14ac:dyDescent="0.25">
      <c r="A445" s="82"/>
      <c r="B445" s="82"/>
      <c r="C445" s="83"/>
      <c r="D445" s="84"/>
      <c r="E445" s="82"/>
      <c r="G445" s="85"/>
      <c r="H445" s="85"/>
      <c r="I445" s="86"/>
      <c r="M445" s="87"/>
      <c r="N445" s="88"/>
    </row>
    <row r="446" spans="1:14" ht="18.75" x14ac:dyDescent="0.25">
      <c r="A446" s="82"/>
      <c r="B446" s="82"/>
      <c r="C446" s="83"/>
      <c r="D446" s="84"/>
      <c r="E446" s="82"/>
      <c r="G446" s="85"/>
      <c r="H446" s="85"/>
      <c r="I446" s="86"/>
      <c r="M446" s="87"/>
      <c r="N446" s="88"/>
    </row>
    <row r="447" spans="1:14" ht="18.75" x14ac:dyDescent="0.25">
      <c r="A447" s="82"/>
      <c r="B447" s="82"/>
      <c r="C447" s="83"/>
      <c r="D447" s="84"/>
      <c r="E447" s="82"/>
      <c r="G447" s="85"/>
      <c r="H447" s="85"/>
      <c r="I447" s="86"/>
      <c r="M447" s="87"/>
      <c r="N447" s="88"/>
    </row>
    <row r="448" spans="1:14" ht="18.75" x14ac:dyDescent="0.25">
      <c r="A448" s="82"/>
      <c r="B448" s="82"/>
      <c r="C448" s="83"/>
      <c r="D448" s="84"/>
      <c r="E448" s="82"/>
      <c r="G448" s="85"/>
      <c r="H448" s="85"/>
      <c r="I448" s="86"/>
      <c r="M448" s="87"/>
      <c r="N448" s="88"/>
    </row>
    <row r="449" spans="1:14" ht="18.75" x14ac:dyDescent="0.25">
      <c r="A449" s="82"/>
      <c r="B449" s="82"/>
      <c r="C449" s="83"/>
      <c r="D449" s="84"/>
      <c r="E449" s="82"/>
      <c r="G449" s="85"/>
      <c r="H449" s="85"/>
      <c r="I449" s="86"/>
      <c r="M449" s="87"/>
      <c r="N449" s="88"/>
    </row>
    <row r="450" spans="1:14" ht="18.75" x14ac:dyDescent="0.25">
      <c r="A450" s="82"/>
      <c r="B450" s="82"/>
      <c r="C450" s="83"/>
      <c r="D450" s="84"/>
      <c r="E450" s="82"/>
      <c r="G450" s="85"/>
      <c r="H450" s="85"/>
      <c r="I450" s="86"/>
      <c r="M450" s="87"/>
      <c r="N450" s="88"/>
    </row>
    <row r="451" spans="1:14" ht="18.75" x14ac:dyDescent="0.25">
      <c r="A451" s="82"/>
      <c r="B451" s="82"/>
      <c r="C451" s="83"/>
      <c r="D451" s="84"/>
      <c r="E451" s="82"/>
      <c r="G451" s="85"/>
      <c r="H451" s="85"/>
      <c r="I451" s="86"/>
      <c r="M451" s="87"/>
      <c r="N451" s="88"/>
    </row>
    <row r="452" spans="1:14" ht="18.75" x14ac:dyDescent="0.25">
      <c r="A452" s="82"/>
      <c r="B452" s="82"/>
      <c r="C452" s="83"/>
      <c r="D452" s="84"/>
      <c r="E452" s="82"/>
      <c r="G452" s="85"/>
      <c r="H452" s="85"/>
      <c r="I452" s="86"/>
      <c r="M452" s="87"/>
      <c r="N452" s="88"/>
    </row>
    <row r="453" spans="1:14" ht="18.75" x14ac:dyDescent="0.25">
      <c r="A453" s="82"/>
      <c r="B453" s="82"/>
      <c r="C453" s="83"/>
      <c r="D453" s="84"/>
      <c r="E453" s="82"/>
      <c r="G453" s="85"/>
      <c r="H453" s="85"/>
      <c r="I453" s="86"/>
      <c r="M453" s="87"/>
      <c r="N453" s="88"/>
    </row>
    <row r="454" spans="1:14" ht="18.75" x14ac:dyDescent="0.25">
      <c r="A454" s="82"/>
      <c r="B454" s="82"/>
      <c r="C454" s="83"/>
      <c r="D454" s="84"/>
      <c r="E454" s="82"/>
      <c r="G454" s="85"/>
      <c r="H454" s="85"/>
      <c r="I454" s="86"/>
      <c r="M454" s="87"/>
      <c r="N454" s="88"/>
    </row>
    <row r="455" spans="1:14" ht="18.75" x14ac:dyDescent="0.25">
      <c r="A455" s="82"/>
      <c r="B455" s="82"/>
      <c r="C455" s="83"/>
      <c r="D455" s="84"/>
      <c r="E455" s="82"/>
      <c r="G455" s="85"/>
      <c r="H455" s="85"/>
      <c r="I455" s="86"/>
      <c r="M455" s="87"/>
      <c r="N455" s="88"/>
    </row>
    <row r="456" spans="1:14" ht="18.75" x14ac:dyDescent="0.25">
      <c r="A456" s="82"/>
      <c r="B456" s="82"/>
      <c r="C456" s="83"/>
      <c r="D456" s="84"/>
      <c r="E456" s="82"/>
      <c r="G456" s="85"/>
      <c r="H456" s="85"/>
      <c r="I456" s="86"/>
      <c r="M456" s="87"/>
      <c r="N456" s="88"/>
    </row>
    <row r="457" spans="1:14" ht="18.75" x14ac:dyDescent="0.25">
      <c r="A457" s="82"/>
      <c r="B457" s="82"/>
      <c r="C457" s="83"/>
      <c r="D457" s="84"/>
      <c r="E457" s="82"/>
      <c r="G457" s="85"/>
      <c r="H457" s="85"/>
      <c r="I457" s="86"/>
      <c r="M457" s="87"/>
      <c r="N457" s="88"/>
    </row>
    <row r="458" spans="1:14" ht="18.75" x14ac:dyDescent="0.25">
      <c r="A458" s="82"/>
      <c r="B458" s="82"/>
      <c r="C458" s="83"/>
      <c r="D458" s="84"/>
      <c r="E458" s="82"/>
      <c r="G458" s="85"/>
      <c r="H458" s="85"/>
      <c r="I458" s="86"/>
      <c r="M458" s="87"/>
      <c r="N458" s="88"/>
    </row>
    <row r="459" spans="1:14" ht="18.75" x14ac:dyDescent="0.25">
      <c r="A459" s="82"/>
      <c r="B459" s="82"/>
      <c r="C459" s="83"/>
      <c r="D459" s="84"/>
      <c r="E459" s="82"/>
      <c r="G459" s="85"/>
      <c r="H459" s="85"/>
      <c r="I459" s="86"/>
      <c r="M459" s="87"/>
      <c r="N459" s="88"/>
    </row>
    <row r="460" spans="1:14" ht="18.75" x14ac:dyDescent="0.25">
      <c r="A460" s="82"/>
      <c r="B460" s="82"/>
      <c r="C460" s="83"/>
      <c r="D460" s="84"/>
      <c r="E460" s="82"/>
      <c r="G460" s="85"/>
      <c r="H460" s="85"/>
      <c r="I460" s="86"/>
      <c r="M460" s="87"/>
      <c r="N460" s="88"/>
    </row>
    <row r="461" spans="1:14" ht="18.75" x14ac:dyDescent="0.25">
      <c r="A461" s="82"/>
      <c r="B461" s="82"/>
      <c r="C461" s="83"/>
      <c r="D461" s="84"/>
      <c r="E461" s="82"/>
      <c r="G461" s="85"/>
      <c r="H461" s="85"/>
      <c r="I461" s="86"/>
      <c r="M461" s="87"/>
      <c r="N461" s="88"/>
    </row>
    <row r="462" spans="1:14" ht="18.75" x14ac:dyDescent="0.25">
      <c r="A462" s="82"/>
      <c r="B462" s="82"/>
      <c r="C462" s="83"/>
      <c r="D462" s="84"/>
      <c r="E462" s="82"/>
      <c r="G462" s="85"/>
      <c r="H462" s="85"/>
      <c r="I462" s="86"/>
      <c r="M462" s="87"/>
      <c r="N462" s="88"/>
    </row>
    <row r="463" spans="1:14" ht="18.75" x14ac:dyDescent="0.25">
      <c r="A463" s="82"/>
      <c r="B463" s="82"/>
      <c r="C463" s="83"/>
      <c r="D463" s="84"/>
      <c r="E463" s="82"/>
      <c r="G463" s="85"/>
      <c r="H463" s="85"/>
      <c r="I463" s="86"/>
      <c r="M463" s="87"/>
      <c r="N463" s="88"/>
    </row>
    <row r="464" spans="1:14" ht="18.75" x14ac:dyDescent="0.25">
      <c r="A464" s="82"/>
      <c r="B464" s="82"/>
      <c r="C464" s="83"/>
      <c r="D464" s="84"/>
      <c r="E464" s="82"/>
      <c r="G464" s="85"/>
      <c r="H464" s="85"/>
      <c r="I464" s="86"/>
      <c r="M464" s="87"/>
      <c r="N464" s="88"/>
    </row>
    <row r="465" spans="1:14" ht="18.75" x14ac:dyDescent="0.25">
      <c r="A465" s="82"/>
      <c r="B465" s="82"/>
      <c r="C465" s="83"/>
      <c r="D465" s="84"/>
      <c r="E465" s="82"/>
      <c r="G465" s="85"/>
      <c r="H465" s="85"/>
      <c r="I465" s="86"/>
      <c r="M465" s="87"/>
      <c r="N465" s="88"/>
    </row>
    <row r="466" spans="1:14" ht="18.75" x14ac:dyDescent="0.25">
      <c r="A466" s="82"/>
      <c r="B466" s="82"/>
      <c r="C466" s="83"/>
      <c r="D466" s="84"/>
      <c r="E466" s="82"/>
      <c r="G466" s="85"/>
      <c r="H466" s="85"/>
      <c r="I466" s="86"/>
      <c r="M466" s="87"/>
      <c r="N466" s="88"/>
    </row>
    <row r="467" spans="1:14" ht="18.75" x14ac:dyDescent="0.25">
      <c r="A467" s="82"/>
      <c r="B467" s="82"/>
      <c r="C467" s="83"/>
      <c r="D467" s="84"/>
      <c r="E467" s="82"/>
      <c r="G467" s="85"/>
      <c r="H467" s="85"/>
      <c r="I467" s="86"/>
      <c r="M467" s="87"/>
      <c r="N467" s="88"/>
    </row>
    <row r="468" spans="1:14" ht="18.75" x14ac:dyDescent="0.25">
      <c r="A468" s="82"/>
      <c r="B468" s="82"/>
      <c r="C468" s="83"/>
      <c r="D468" s="84"/>
      <c r="E468" s="82"/>
      <c r="G468" s="85"/>
      <c r="H468" s="85"/>
      <c r="I468" s="86"/>
      <c r="M468" s="87"/>
      <c r="N468" s="88"/>
    </row>
    <row r="469" spans="1:14" ht="18.75" x14ac:dyDescent="0.25">
      <c r="A469" s="82"/>
      <c r="B469" s="82"/>
      <c r="C469" s="83"/>
      <c r="D469" s="84"/>
      <c r="E469" s="82"/>
      <c r="G469" s="85"/>
      <c r="H469" s="85"/>
      <c r="I469" s="86"/>
      <c r="M469" s="87"/>
      <c r="N469" s="88"/>
    </row>
    <row r="470" spans="1:14" ht="18.75" x14ac:dyDescent="0.25">
      <c r="A470" s="82"/>
      <c r="B470" s="82"/>
      <c r="C470" s="83"/>
      <c r="D470" s="84"/>
      <c r="E470" s="82"/>
      <c r="G470" s="85"/>
      <c r="H470" s="85"/>
      <c r="I470" s="86"/>
      <c r="M470" s="87"/>
      <c r="N470" s="88"/>
    </row>
    <row r="471" spans="1:14" ht="18.75" x14ac:dyDescent="0.25">
      <c r="A471" s="82"/>
      <c r="B471" s="82"/>
      <c r="C471" s="83"/>
      <c r="D471" s="84"/>
      <c r="E471" s="82"/>
      <c r="G471" s="85"/>
      <c r="H471" s="85"/>
      <c r="I471" s="86"/>
      <c r="M471" s="87"/>
      <c r="N471" s="88"/>
    </row>
    <row r="472" spans="1:14" ht="18.75" x14ac:dyDescent="0.25">
      <c r="A472" s="82"/>
      <c r="B472" s="82"/>
      <c r="C472" s="83"/>
      <c r="D472" s="84"/>
      <c r="E472" s="82"/>
      <c r="G472" s="85"/>
      <c r="H472" s="85"/>
      <c r="I472" s="86"/>
      <c r="M472" s="87"/>
      <c r="N472" s="88"/>
    </row>
    <row r="473" spans="1:14" ht="18.75" x14ac:dyDescent="0.25">
      <c r="A473" s="82"/>
      <c r="B473" s="82"/>
      <c r="C473" s="83"/>
      <c r="D473" s="84"/>
      <c r="E473" s="82"/>
      <c r="G473" s="85"/>
      <c r="H473" s="85"/>
      <c r="I473" s="86"/>
      <c r="M473" s="87"/>
      <c r="N473" s="88"/>
    </row>
    <row r="474" spans="1:14" ht="18.75" x14ac:dyDescent="0.25">
      <c r="A474" s="82"/>
      <c r="B474" s="82"/>
      <c r="C474" s="83"/>
      <c r="D474" s="84"/>
      <c r="E474" s="82"/>
      <c r="G474" s="85"/>
      <c r="H474" s="85"/>
      <c r="I474" s="86"/>
      <c r="M474" s="87"/>
      <c r="N474" s="88"/>
    </row>
    <row r="475" spans="1:14" ht="18.75" x14ac:dyDescent="0.25">
      <c r="A475" s="82"/>
      <c r="B475" s="82"/>
      <c r="C475" s="83"/>
      <c r="D475" s="84"/>
      <c r="E475" s="82"/>
      <c r="G475" s="85"/>
      <c r="H475" s="85"/>
      <c r="I475" s="86"/>
      <c r="M475" s="87"/>
      <c r="N475" s="88"/>
    </row>
    <row r="476" spans="1:14" ht="18.75" x14ac:dyDescent="0.25">
      <c r="A476" s="82"/>
      <c r="B476" s="82"/>
      <c r="C476" s="83"/>
      <c r="D476" s="84"/>
      <c r="E476" s="82"/>
      <c r="G476" s="85"/>
      <c r="H476" s="85"/>
      <c r="I476" s="86"/>
      <c r="M476" s="87"/>
      <c r="N476" s="88"/>
    </row>
    <row r="477" spans="1:14" ht="18.75" x14ac:dyDescent="0.25">
      <c r="A477" s="82"/>
      <c r="B477" s="82"/>
      <c r="C477" s="83"/>
      <c r="D477" s="84"/>
      <c r="E477" s="82"/>
      <c r="G477" s="85"/>
      <c r="H477" s="85"/>
      <c r="I477" s="86"/>
      <c r="M477" s="87"/>
      <c r="N477" s="88"/>
    </row>
    <row r="478" spans="1:14" ht="18.75" x14ac:dyDescent="0.25">
      <c r="A478" s="82"/>
      <c r="B478" s="82"/>
      <c r="C478" s="83"/>
      <c r="D478" s="84"/>
      <c r="E478" s="82"/>
      <c r="G478" s="85"/>
      <c r="H478" s="85"/>
      <c r="I478" s="86"/>
      <c r="M478" s="87"/>
      <c r="N478" s="88"/>
    </row>
    <row r="479" spans="1:14" ht="18.75" x14ac:dyDescent="0.25">
      <c r="A479" s="82"/>
      <c r="B479" s="82"/>
      <c r="C479" s="83"/>
      <c r="D479" s="84"/>
      <c r="E479" s="82"/>
      <c r="G479" s="85"/>
      <c r="H479" s="85"/>
      <c r="I479" s="86"/>
      <c r="M479" s="87"/>
      <c r="N479" s="88"/>
    </row>
    <row r="480" spans="1:14" ht="18.75" x14ac:dyDescent="0.25">
      <c r="A480" s="82"/>
      <c r="B480" s="82"/>
      <c r="C480" s="83"/>
      <c r="D480" s="84"/>
      <c r="E480" s="82"/>
      <c r="G480" s="85"/>
      <c r="H480" s="85"/>
      <c r="I480" s="86"/>
      <c r="M480" s="87"/>
      <c r="N480" s="88"/>
    </row>
    <row r="481" spans="1:14" ht="18.75" x14ac:dyDescent="0.25">
      <c r="A481" s="82"/>
      <c r="B481" s="82"/>
      <c r="C481" s="83"/>
      <c r="D481" s="84"/>
      <c r="E481" s="82"/>
      <c r="G481" s="85"/>
      <c r="H481" s="85"/>
      <c r="I481" s="86"/>
      <c r="M481" s="87"/>
      <c r="N481" s="88"/>
    </row>
    <row r="482" spans="1:14" ht="18.75" x14ac:dyDescent="0.25">
      <c r="A482" s="82"/>
      <c r="B482" s="82"/>
      <c r="C482" s="83"/>
      <c r="D482" s="84"/>
      <c r="E482" s="82"/>
      <c r="G482" s="85"/>
      <c r="H482" s="85"/>
      <c r="I482" s="86"/>
      <c r="M482" s="87"/>
      <c r="N482" s="88"/>
    </row>
    <row r="483" spans="1:14" ht="18.75" x14ac:dyDescent="0.25">
      <c r="A483" s="82"/>
      <c r="B483" s="82"/>
      <c r="C483" s="83"/>
      <c r="D483" s="84"/>
      <c r="E483" s="82"/>
      <c r="G483" s="85"/>
      <c r="H483" s="85"/>
      <c r="I483" s="86"/>
      <c r="M483" s="87"/>
      <c r="N483" s="88"/>
    </row>
    <row r="484" spans="1:14" ht="18.75" x14ac:dyDescent="0.25">
      <c r="A484" s="82"/>
      <c r="B484" s="82"/>
      <c r="C484" s="83"/>
      <c r="D484" s="84"/>
      <c r="E484" s="82"/>
      <c r="G484" s="85"/>
      <c r="H484" s="85"/>
      <c r="I484" s="86"/>
      <c r="M484" s="87"/>
      <c r="N484" s="88"/>
    </row>
    <row r="485" spans="1:14" ht="18.75" x14ac:dyDescent="0.25">
      <c r="A485" s="82"/>
      <c r="B485" s="82"/>
      <c r="C485" s="83"/>
      <c r="D485" s="84"/>
      <c r="E485" s="82"/>
      <c r="G485" s="85"/>
      <c r="H485" s="85"/>
      <c r="I485" s="86"/>
      <c r="M485" s="87"/>
      <c r="N485" s="88"/>
    </row>
    <row r="486" spans="1:14" ht="18.75" x14ac:dyDescent="0.25">
      <c r="A486" s="82"/>
      <c r="B486" s="82"/>
      <c r="C486" s="83"/>
      <c r="D486" s="84"/>
      <c r="E486" s="82"/>
      <c r="G486" s="85"/>
      <c r="H486" s="85"/>
      <c r="I486" s="86"/>
      <c r="M486" s="87"/>
      <c r="N486" s="88"/>
    </row>
    <row r="487" spans="1:14" ht="18.75" x14ac:dyDescent="0.25">
      <c r="A487" s="82"/>
      <c r="B487" s="82"/>
      <c r="C487" s="83"/>
      <c r="D487" s="84"/>
      <c r="E487" s="82"/>
      <c r="G487" s="85"/>
      <c r="H487" s="85"/>
      <c r="I487" s="86"/>
      <c r="M487" s="87"/>
      <c r="N487" s="88"/>
    </row>
    <row r="488" spans="1:14" ht="18.75" x14ac:dyDescent="0.25">
      <c r="A488" s="82"/>
      <c r="B488" s="82"/>
      <c r="C488" s="83"/>
      <c r="D488" s="84"/>
      <c r="E488" s="82"/>
      <c r="G488" s="85"/>
      <c r="H488" s="85"/>
      <c r="I488" s="86"/>
      <c r="M488" s="87"/>
      <c r="N488" s="88"/>
    </row>
    <row r="489" spans="1:14" ht="18.75" x14ac:dyDescent="0.25">
      <c r="A489" s="82"/>
      <c r="B489" s="82"/>
      <c r="C489" s="83"/>
      <c r="D489" s="84"/>
      <c r="E489" s="82"/>
      <c r="G489" s="85"/>
      <c r="H489" s="85"/>
      <c r="I489" s="86"/>
      <c r="M489" s="87"/>
      <c r="N489" s="88"/>
    </row>
    <row r="490" spans="1:14" ht="18.75" x14ac:dyDescent="0.25">
      <c r="A490" s="82"/>
      <c r="B490" s="82"/>
      <c r="C490" s="83"/>
      <c r="D490" s="84"/>
      <c r="E490" s="82"/>
      <c r="G490" s="85"/>
      <c r="H490" s="85"/>
      <c r="I490" s="86"/>
      <c r="M490" s="87"/>
      <c r="N490" s="88"/>
    </row>
    <row r="491" spans="1:14" ht="18.75" x14ac:dyDescent="0.25">
      <c r="A491" s="82"/>
      <c r="B491" s="82"/>
      <c r="C491" s="83"/>
      <c r="D491" s="84"/>
      <c r="E491" s="82"/>
      <c r="G491" s="85"/>
      <c r="H491" s="85"/>
      <c r="I491" s="86"/>
      <c r="M491" s="87"/>
      <c r="N491" s="88"/>
    </row>
    <row r="492" spans="1:14" ht="18.75" x14ac:dyDescent="0.25">
      <c r="A492" s="82"/>
      <c r="B492" s="82"/>
      <c r="C492" s="83"/>
      <c r="D492" s="84"/>
      <c r="E492" s="82"/>
      <c r="G492" s="85"/>
      <c r="H492" s="85"/>
      <c r="I492" s="86"/>
      <c r="M492" s="87"/>
      <c r="N492" s="88"/>
    </row>
    <row r="493" spans="1:14" ht="18.75" x14ac:dyDescent="0.25">
      <c r="A493" s="82"/>
      <c r="B493" s="82"/>
      <c r="C493" s="83"/>
      <c r="D493" s="84"/>
      <c r="E493" s="82"/>
      <c r="G493" s="85"/>
      <c r="H493" s="85"/>
      <c r="I493" s="86"/>
      <c r="M493" s="87"/>
      <c r="N493" s="88"/>
    </row>
    <row r="494" spans="1:14" ht="18.75" x14ac:dyDescent="0.25">
      <c r="A494" s="82"/>
      <c r="B494" s="82"/>
      <c r="C494" s="83"/>
      <c r="D494" s="84"/>
      <c r="E494" s="82"/>
      <c r="G494" s="85"/>
      <c r="H494" s="85"/>
      <c r="I494" s="86"/>
      <c r="M494" s="87"/>
      <c r="N494" s="88"/>
    </row>
    <row r="495" spans="1:14" ht="18.75" x14ac:dyDescent="0.25">
      <c r="A495" s="82"/>
      <c r="B495" s="82"/>
      <c r="C495" s="83"/>
      <c r="D495" s="84"/>
      <c r="E495" s="82"/>
      <c r="G495" s="85"/>
      <c r="H495" s="85"/>
      <c r="I495" s="86"/>
      <c r="M495" s="87"/>
      <c r="N495" s="88"/>
    </row>
    <row r="496" spans="1:14" ht="18.75" x14ac:dyDescent="0.25">
      <c r="A496" s="82"/>
      <c r="B496" s="82"/>
      <c r="C496" s="83"/>
      <c r="D496" s="84"/>
      <c r="E496" s="82"/>
      <c r="G496" s="85"/>
      <c r="H496" s="85"/>
      <c r="I496" s="86"/>
      <c r="M496" s="87"/>
      <c r="N496" s="88"/>
    </row>
    <row r="497" spans="1:14" ht="18.75" x14ac:dyDescent="0.25">
      <c r="A497" s="82"/>
      <c r="B497" s="82"/>
      <c r="C497" s="83"/>
      <c r="D497" s="84"/>
      <c r="E497" s="82"/>
      <c r="G497" s="85"/>
      <c r="H497" s="85"/>
      <c r="I497" s="86"/>
      <c r="M497" s="87"/>
      <c r="N497" s="88"/>
    </row>
    <row r="498" spans="1:14" ht="18.75" x14ac:dyDescent="0.25">
      <c r="A498" s="82"/>
      <c r="B498" s="82"/>
      <c r="C498" s="83"/>
      <c r="D498" s="84"/>
      <c r="E498" s="82"/>
      <c r="G498" s="85"/>
      <c r="H498" s="85"/>
      <c r="I498" s="86"/>
      <c r="M498" s="87"/>
      <c r="N498" s="88"/>
    </row>
    <row r="499" spans="1:14" ht="18.75" x14ac:dyDescent="0.25">
      <c r="A499" s="82"/>
      <c r="B499" s="82"/>
      <c r="C499" s="83"/>
      <c r="D499" s="84"/>
      <c r="E499" s="82"/>
      <c r="G499" s="85"/>
      <c r="H499" s="85"/>
      <c r="I499" s="86"/>
      <c r="M499" s="87"/>
      <c r="N499" s="88"/>
    </row>
    <row r="500" spans="1:14" ht="18.75" x14ac:dyDescent="0.25">
      <c r="A500" s="82"/>
      <c r="B500" s="82"/>
      <c r="C500" s="83"/>
      <c r="D500" s="84"/>
      <c r="E500" s="82"/>
      <c r="G500" s="85"/>
      <c r="H500" s="85"/>
      <c r="I500" s="86"/>
      <c r="M500" s="87"/>
      <c r="N500" s="88"/>
    </row>
    <row r="501" spans="1:14" ht="18.75" x14ac:dyDescent="0.25">
      <c r="A501" s="82"/>
      <c r="B501" s="82"/>
      <c r="C501" s="83"/>
      <c r="D501" s="84"/>
      <c r="E501" s="82"/>
      <c r="G501" s="85"/>
      <c r="H501" s="85"/>
      <c r="I501" s="86"/>
      <c r="M501" s="87"/>
      <c r="N501" s="88"/>
    </row>
    <row r="502" spans="1:14" ht="18.75" x14ac:dyDescent="0.25">
      <c r="A502" s="82"/>
      <c r="B502" s="82"/>
      <c r="C502" s="83"/>
      <c r="D502" s="84"/>
      <c r="E502" s="82"/>
      <c r="G502" s="85"/>
      <c r="H502" s="85"/>
      <c r="I502" s="86"/>
      <c r="M502" s="87"/>
      <c r="N502" s="88"/>
    </row>
    <row r="503" spans="1:14" ht="18.75" x14ac:dyDescent="0.25">
      <c r="A503" s="82"/>
      <c r="B503" s="82"/>
      <c r="C503" s="83"/>
      <c r="D503" s="84"/>
      <c r="E503" s="82"/>
      <c r="G503" s="85"/>
      <c r="H503" s="85"/>
      <c r="I503" s="86"/>
      <c r="M503" s="87"/>
      <c r="N503" s="88"/>
    </row>
    <row r="504" spans="1:14" ht="18.75" x14ac:dyDescent="0.25">
      <c r="A504" s="82"/>
      <c r="B504" s="82"/>
      <c r="C504" s="83"/>
      <c r="D504" s="84"/>
      <c r="E504" s="82"/>
      <c r="G504" s="85"/>
      <c r="H504" s="85"/>
      <c r="I504" s="86"/>
      <c r="M504" s="87"/>
      <c r="N504" s="88"/>
    </row>
    <row r="505" spans="1:14" ht="18.75" x14ac:dyDescent="0.25">
      <c r="A505" s="82"/>
      <c r="B505" s="82"/>
      <c r="C505" s="83"/>
      <c r="D505" s="84"/>
      <c r="E505" s="82"/>
      <c r="G505" s="85"/>
      <c r="H505" s="85"/>
      <c r="I505" s="86"/>
      <c r="M505" s="87"/>
      <c r="N505" s="88"/>
    </row>
    <row r="506" spans="1:14" ht="18.75" x14ac:dyDescent="0.25">
      <c r="A506" s="82"/>
      <c r="B506" s="82"/>
      <c r="C506" s="83"/>
      <c r="D506" s="84"/>
      <c r="E506" s="82"/>
      <c r="G506" s="85"/>
      <c r="H506" s="85"/>
      <c r="I506" s="86"/>
      <c r="M506" s="87"/>
      <c r="N506" s="88"/>
    </row>
    <row r="507" spans="1:14" ht="18.75" x14ac:dyDescent="0.25">
      <c r="A507" s="82"/>
      <c r="B507" s="82"/>
      <c r="C507" s="83"/>
      <c r="D507" s="84"/>
      <c r="E507" s="82"/>
      <c r="G507" s="85"/>
      <c r="H507" s="85"/>
      <c r="I507" s="86"/>
      <c r="M507" s="87"/>
      <c r="N507" s="88"/>
    </row>
    <row r="508" spans="1:14" ht="18.75" x14ac:dyDescent="0.25">
      <c r="A508" s="82"/>
      <c r="B508" s="82"/>
      <c r="C508" s="83"/>
      <c r="D508" s="84"/>
      <c r="E508" s="82"/>
      <c r="G508" s="85"/>
      <c r="H508" s="85"/>
      <c r="I508" s="86"/>
      <c r="M508" s="87"/>
      <c r="N508" s="88"/>
    </row>
    <row r="509" spans="1:14" ht="18.75" x14ac:dyDescent="0.25">
      <c r="A509" s="82"/>
      <c r="B509" s="82"/>
      <c r="C509" s="83"/>
      <c r="D509" s="84"/>
      <c r="E509" s="82"/>
      <c r="G509" s="85"/>
      <c r="H509" s="85"/>
      <c r="I509" s="86"/>
      <c r="M509" s="87"/>
      <c r="N509" s="88"/>
    </row>
    <row r="510" spans="1:14" ht="18.75" x14ac:dyDescent="0.25">
      <c r="A510" s="82"/>
      <c r="B510" s="82"/>
      <c r="C510" s="83"/>
      <c r="D510" s="84"/>
      <c r="E510" s="82"/>
      <c r="G510" s="85"/>
      <c r="H510" s="85"/>
      <c r="I510" s="86"/>
      <c r="M510" s="87"/>
      <c r="N510" s="88"/>
    </row>
    <row r="511" spans="1:14" ht="18.75" x14ac:dyDescent="0.25">
      <c r="A511" s="82"/>
      <c r="B511" s="82"/>
      <c r="C511" s="83"/>
      <c r="D511" s="84"/>
      <c r="E511" s="82"/>
      <c r="G511" s="85"/>
      <c r="H511" s="85"/>
      <c r="I511" s="86"/>
      <c r="M511" s="87"/>
      <c r="N511" s="88"/>
    </row>
    <row r="512" spans="1:14" ht="18.75" x14ac:dyDescent="0.25">
      <c r="A512" s="82"/>
      <c r="B512" s="82"/>
      <c r="C512" s="83"/>
      <c r="D512" s="84"/>
      <c r="E512" s="82"/>
      <c r="G512" s="85"/>
      <c r="H512" s="85"/>
      <c r="I512" s="86"/>
      <c r="M512" s="87"/>
      <c r="N512" s="88"/>
    </row>
    <row r="513" spans="1:14" ht="18.75" x14ac:dyDescent="0.25">
      <c r="A513" s="82"/>
      <c r="B513" s="82"/>
      <c r="C513" s="83"/>
      <c r="D513" s="84"/>
      <c r="E513" s="82"/>
      <c r="G513" s="85"/>
      <c r="H513" s="85"/>
      <c r="I513" s="86"/>
      <c r="M513" s="87"/>
      <c r="N513" s="88"/>
    </row>
    <row r="514" spans="1:14" ht="18.75" x14ac:dyDescent="0.25">
      <c r="A514" s="82"/>
      <c r="B514" s="82"/>
      <c r="C514" s="83"/>
      <c r="D514" s="84"/>
      <c r="E514" s="82"/>
      <c r="G514" s="85"/>
      <c r="H514" s="85"/>
      <c r="I514" s="86"/>
      <c r="M514" s="87"/>
      <c r="N514" s="88"/>
    </row>
    <row r="515" spans="1:14" ht="18.75" x14ac:dyDescent="0.25">
      <c r="A515" s="82"/>
      <c r="B515" s="82"/>
      <c r="C515" s="83"/>
      <c r="D515" s="84"/>
      <c r="E515" s="82"/>
      <c r="G515" s="85"/>
      <c r="H515" s="85"/>
      <c r="I515" s="86"/>
      <c r="M515" s="87"/>
      <c r="N515" s="88"/>
    </row>
    <row r="516" spans="1:14" ht="18.75" x14ac:dyDescent="0.25">
      <c r="A516" s="82"/>
      <c r="B516" s="82"/>
      <c r="C516" s="83"/>
      <c r="D516" s="84"/>
      <c r="E516" s="82"/>
      <c r="G516" s="85"/>
      <c r="H516" s="85"/>
      <c r="I516" s="86"/>
      <c r="M516" s="87"/>
      <c r="N516" s="88"/>
    </row>
    <row r="517" spans="1:14" ht="18.75" x14ac:dyDescent="0.25">
      <c r="A517" s="82"/>
      <c r="B517" s="82"/>
      <c r="C517" s="83"/>
      <c r="D517" s="84"/>
      <c r="E517" s="82"/>
      <c r="G517" s="85"/>
      <c r="H517" s="85"/>
      <c r="I517" s="86"/>
      <c r="M517" s="87"/>
      <c r="N517" s="88"/>
    </row>
    <row r="518" spans="1:14" ht="18.75" x14ac:dyDescent="0.25">
      <c r="A518" s="82"/>
      <c r="B518" s="82"/>
      <c r="C518" s="83"/>
      <c r="D518" s="84"/>
      <c r="E518" s="82"/>
      <c r="G518" s="85"/>
      <c r="H518" s="85"/>
      <c r="I518" s="86"/>
      <c r="M518" s="87"/>
      <c r="N518" s="88"/>
    </row>
    <row r="519" spans="1:14" ht="18.75" x14ac:dyDescent="0.25">
      <c r="A519" s="82"/>
      <c r="B519" s="82"/>
      <c r="C519" s="83"/>
      <c r="D519" s="84"/>
      <c r="E519" s="82"/>
      <c r="G519" s="85"/>
      <c r="H519" s="85"/>
      <c r="I519" s="86"/>
      <c r="M519" s="87"/>
      <c r="N519" s="88"/>
    </row>
    <row r="520" spans="1:14" ht="18.75" x14ac:dyDescent="0.25">
      <c r="A520" s="82"/>
      <c r="B520" s="82"/>
      <c r="C520" s="83"/>
      <c r="D520" s="84"/>
      <c r="E520" s="82"/>
      <c r="G520" s="85"/>
      <c r="H520" s="85"/>
      <c r="I520" s="86"/>
      <c r="M520" s="87"/>
      <c r="N520" s="88"/>
    </row>
    <row r="521" spans="1:14" ht="18.75" x14ac:dyDescent="0.25">
      <c r="A521" s="82"/>
      <c r="B521" s="82"/>
      <c r="C521" s="83"/>
      <c r="D521" s="84"/>
      <c r="E521" s="82"/>
      <c r="G521" s="85"/>
      <c r="H521" s="85"/>
      <c r="I521" s="86"/>
      <c r="M521" s="87"/>
      <c r="N521" s="88"/>
    </row>
    <row r="522" spans="1:14" ht="18.75" x14ac:dyDescent="0.25">
      <c r="A522" s="82"/>
      <c r="B522" s="82"/>
      <c r="C522" s="83"/>
      <c r="D522" s="84"/>
      <c r="E522" s="82"/>
      <c r="G522" s="85"/>
      <c r="H522" s="85"/>
      <c r="I522" s="86"/>
      <c r="M522" s="87"/>
      <c r="N522" s="88"/>
    </row>
    <row r="523" spans="1:14" ht="18.75" x14ac:dyDescent="0.25">
      <c r="A523" s="82"/>
      <c r="B523" s="82"/>
      <c r="C523" s="83"/>
      <c r="D523" s="84"/>
      <c r="E523" s="82"/>
      <c r="G523" s="85"/>
      <c r="H523" s="85"/>
      <c r="I523" s="86"/>
      <c r="M523" s="87"/>
      <c r="N523" s="88"/>
    </row>
    <row r="524" spans="1:14" ht="18.75" x14ac:dyDescent="0.25">
      <c r="A524" s="82"/>
      <c r="B524" s="82"/>
      <c r="C524" s="83"/>
      <c r="D524" s="84"/>
      <c r="E524" s="82"/>
      <c r="G524" s="85"/>
      <c r="H524" s="85"/>
      <c r="I524" s="86"/>
      <c r="M524" s="87"/>
      <c r="N524" s="88"/>
    </row>
    <row r="525" spans="1:14" ht="18.75" x14ac:dyDescent="0.25">
      <c r="A525" s="82"/>
      <c r="B525" s="82"/>
      <c r="C525" s="83"/>
      <c r="D525" s="84"/>
      <c r="E525" s="82"/>
      <c r="G525" s="85"/>
      <c r="H525" s="85"/>
      <c r="I525" s="86"/>
      <c r="M525" s="87"/>
      <c r="N525" s="88"/>
    </row>
    <row r="526" spans="1:14" ht="18.75" x14ac:dyDescent="0.25">
      <c r="A526" s="82"/>
      <c r="B526" s="82"/>
      <c r="C526" s="83"/>
      <c r="D526" s="84"/>
      <c r="E526" s="82"/>
      <c r="G526" s="85"/>
      <c r="H526" s="85"/>
      <c r="I526" s="86"/>
      <c r="M526" s="87"/>
      <c r="N526" s="88"/>
    </row>
    <row r="527" spans="1:14" ht="18.75" x14ac:dyDescent="0.25">
      <c r="A527" s="82"/>
      <c r="B527" s="82"/>
      <c r="C527" s="83"/>
      <c r="D527" s="84"/>
      <c r="E527" s="82"/>
      <c r="G527" s="85"/>
      <c r="H527" s="85"/>
      <c r="I527" s="86"/>
      <c r="M527" s="87"/>
      <c r="N527" s="88"/>
    </row>
    <row r="528" spans="1:14" ht="18.75" x14ac:dyDescent="0.25">
      <c r="A528" s="82"/>
      <c r="B528" s="82"/>
      <c r="C528" s="83"/>
      <c r="D528" s="84"/>
      <c r="E528" s="82"/>
      <c r="G528" s="85"/>
      <c r="H528" s="85"/>
      <c r="I528" s="86"/>
      <c r="M528" s="87"/>
      <c r="N528" s="88"/>
    </row>
    <row r="529" spans="1:14" ht="18.75" x14ac:dyDescent="0.25">
      <c r="A529" s="82"/>
      <c r="B529" s="82"/>
      <c r="C529" s="83"/>
      <c r="D529" s="84"/>
      <c r="E529" s="82"/>
      <c r="G529" s="85"/>
      <c r="H529" s="85"/>
      <c r="I529" s="86"/>
      <c r="M529" s="87"/>
      <c r="N529" s="88"/>
    </row>
    <row r="530" spans="1:14" ht="18.75" x14ac:dyDescent="0.25">
      <c r="A530" s="82"/>
      <c r="B530" s="82"/>
      <c r="C530" s="83"/>
      <c r="D530" s="84"/>
      <c r="E530" s="82"/>
      <c r="G530" s="85"/>
      <c r="H530" s="85"/>
      <c r="I530" s="86"/>
      <c r="M530" s="87"/>
      <c r="N530" s="88"/>
    </row>
    <row r="531" spans="1:14" ht="18.75" x14ac:dyDescent="0.25">
      <c r="A531" s="82"/>
      <c r="B531" s="82"/>
      <c r="C531" s="83"/>
      <c r="D531" s="84"/>
      <c r="E531" s="82"/>
      <c r="G531" s="85"/>
      <c r="H531" s="85"/>
      <c r="I531" s="86"/>
      <c r="M531" s="87"/>
      <c r="N531" s="88"/>
    </row>
    <row r="532" spans="1:14" ht="18.75" x14ac:dyDescent="0.25">
      <c r="A532" s="82"/>
      <c r="B532" s="82"/>
      <c r="C532" s="83"/>
      <c r="D532" s="84"/>
      <c r="E532" s="82"/>
      <c r="G532" s="85"/>
      <c r="H532" s="85"/>
      <c r="I532" s="86"/>
      <c r="M532" s="87"/>
      <c r="N532" s="88"/>
    </row>
    <row r="533" spans="1:14" ht="18.75" x14ac:dyDescent="0.25">
      <c r="A533" s="82"/>
      <c r="B533" s="82"/>
      <c r="C533" s="83"/>
      <c r="D533" s="84"/>
      <c r="E533" s="82"/>
      <c r="G533" s="85"/>
      <c r="H533" s="85"/>
      <c r="I533" s="86"/>
      <c r="M533" s="87"/>
      <c r="N533" s="88"/>
    </row>
    <row r="534" spans="1:14" ht="18.75" x14ac:dyDescent="0.25">
      <c r="A534" s="82"/>
      <c r="B534" s="82"/>
      <c r="C534" s="83"/>
      <c r="D534" s="84"/>
      <c r="E534" s="82"/>
      <c r="G534" s="85"/>
      <c r="H534" s="85"/>
      <c r="I534" s="86"/>
      <c r="M534" s="87"/>
      <c r="N534" s="88"/>
    </row>
    <row r="535" spans="1:14" ht="18.75" x14ac:dyDescent="0.25">
      <c r="A535" s="82"/>
      <c r="B535" s="82"/>
      <c r="C535" s="83"/>
      <c r="D535" s="84"/>
      <c r="E535" s="82"/>
      <c r="G535" s="85"/>
      <c r="H535" s="85"/>
      <c r="I535" s="86"/>
      <c r="M535" s="87"/>
      <c r="N535" s="88"/>
    </row>
    <row r="536" spans="1:14" ht="18.75" x14ac:dyDescent="0.25">
      <c r="A536" s="82"/>
      <c r="B536" s="82"/>
      <c r="C536" s="83"/>
      <c r="D536" s="84"/>
      <c r="E536" s="82"/>
      <c r="G536" s="85"/>
      <c r="H536" s="85"/>
      <c r="I536" s="86"/>
      <c r="M536" s="87"/>
      <c r="N536" s="88"/>
    </row>
    <row r="537" spans="1:14" ht="18.75" x14ac:dyDescent="0.25">
      <c r="A537" s="82"/>
      <c r="B537" s="82"/>
      <c r="C537" s="83"/>
      <c r="D537" s="84"/>
      <c r="E537" s="82"/>
      <c r="G537" s="85"/>
      <c r="H537" s="85"/>
      <c r="I537" s="86"/>
      <c r="M537" s="87"/>
      <c r="N537" s="88"/>
    </row>
    <row r="538" spans="1:14" ht="18.75" x14ac:dyDescent="0.25">
      <c r="A538" s="82"/>
      <c r="B538" s="82"/>
      <c r="C538" s="83"/>
      <c r="D538" s="84"/>
      <c r="E538" s="82"/>
      <c r="G538" s="85"/>
      <c r="H538" s="85"/>
      <c r="I538" s="86"/>
      <c r="M538" s="87"/>
      <c r="N538" s="88"/>
    </row>
    <row r="539" spans="1:14" ht="18.75" x14ac:dyDescent="0.25">
      <c r="A539" s="82"/>
      <c r="B539" s="82"/>
      <c r="C539" s="83"/>
      <c r="D539" s="84"/>
      <c r="E539" s="82"/>
      <c r="G539" s="85"/>
      <c r="H539" s="85"/>
      <c r="I539" s="86"/>
      <c r="M539" s="87"/>
      <c r="N539" s="88"/>
    </row>
    <row r="540" spans="1:14" ht="18.75" x14ac:dyDescent="0.25">
      <c r="A540" s="82"/>
      <c r="B540" s="82"/>
      <c r="C540" s="83"/>
      <c r="D540" s="84"/>
      <c r="E540" s="82"/>
      <c r="G540" s="85"/>
      <c r="H540" s="85"/>
      <c r="I540" s="86"/>
      <c r="M540" s="87"/>
      <c r="N540" s="88"/>
    </row>
    <row r="541" spans="1:14" ht="18.75" x14ac:dyDescent="0.25">
      <c r="A541" s="82"/>
      <c r="B541" s="82"/>
      <c r="C541" s="83"/>
      <c r="D541" s="84"/>
      <c r="E541" s="82"/>
      <c r="G541" s="85"/>
      <c r="H541" s="85"/>
      <c r="I541" s="86"/>
      <c r="M541" s="87"/>
      <c r="N541" s="88"/>
    </row>
    <row r="542" spans="1:14" ht="18.75" x14ac:dyDescent="0.25">
      <c r="A542" s="82"/>
      <c r="B542" s="82"/>
      <c r="C542" s="83"/>
      <c r="D542" s="84"/>
      <c r="E542" s="82"/>
      <c r="G542" s="85"/>
      <c r="H542" s="85"/>
      <c r="I542" s="86"/>
      <c r="M542" s="87"/>
      <c r="N542" s="88"/>
    </row>
    <row r="543" spans="1:14" ht="18.75" x14ac:dyDescent="0.25">
      <c r="A543" s="82"/>
      <c r="B543" s="82"/>
      <c r="C543" s="83"/>
      <c r="D543" s="84"/>
      <c r="E543" s="82"/>
      <c r="G543" s="85"/>
      <c r="H543" s="85"/>
      <c r="I543" s="86"/>
      <c r="M543" s="87"/>
      <c r="N543" s="88"/>
    </row>
    <row r="544" spans="1:14" ht="18.75" x14ac:dyDescent="0.25">
      <c r="A544" s="82"/>
      <c r="B544" s="82"/>
      <c r="C544" s="83"/>
      <c r="D544" s="84"/>
      <c r="E544" s="82"/>
      <c r="G544" s="85"/>
      <c r="H544" s="85"/>
      <c r="I544" s="86"/>
      <c r="M544" s="87"/>
      <c r="N544" s="88"/>
    </row>
    <row r="545" spans="1:14" ht="18.75" x14ac:dyDescent="0.25">
      <c r="A545" s="82"/>
      <c r="B545" s="82"/>
      <c r="C545" s="83"/>
      <c r="D545" s="84"/>
      <c r="E545" s="82"/>
      <c r="G545" s="85"/>
      <c r="H545" s="85"/>
      <c r="I545" s="86"/>
      <c r="M545" s="87"/>
      <c r="N545" s="88"/>
    </row>
    <row r="546" spans="1:14" ht="18.75" x14ac:dyDescent="0.25">
      <c r="A546" s="82"/>
      <c r="B546" s="82"/>
      <c r="C546" s="83"/>
      <c r="D546" s="84"/>
      <c r="E546" s="82"/>
      <c r="G546" s="85"/>
      <c r="H546" s="85"/>
      <c r="I546" s="86"/>
      <c r="M546" s="87"/>
      <c r="N546" s="88"/>
    </row>
    <row r="547" spans="1:14" ht="18.75" x14ac:dyDescent="0.25">
      <c r="A547" s="82"/>
      <c r="B547" s="82"/>
      <c r="C547" s="83"/>
      <c r="D547" s="84"/>
      <c r="E547" s="82"/>
      <c r="G547" s="85"/>
      <c r="H547" s="85"/>
      <c r="I547" s="86"/>
      <c r="M547" s="87"/>
      <c r="N547" s="88"/>
    </row>
    <row r="548" spans="1:14" ht="18.75" x14ac:dyDescent="0.25">
      <c r="A548" s="82"/>
      <c r="B548" s="82"/>
      <c r="C548" s="83"/>
      <c r="D548" s="84"/>
      <c r="E548" s="82"/>
      <c r="G548" s="85"/>
      <c r="H548" s="85"/>
      <c r="I548" s="86"/>
      <c r="M548" s="87"/>
      <c r="N548" s="88"/>
    </row>
    <row r="549" spans="1:14" ht="18.75" x14ac:dyDescent="0.25">
      <c r="A549" s="82"/>
      <c r="B549" s="82"/>
      <c r="C549" s="83"/>
      <c r="D549" s="84"/>
      <c r="E549" s="82"/>
      <c r="G549" s="85"/>
      <c r="H549" s="85"/>
      <c r="I549" s="86"/>
      <c r="M549" s="87"/>
      <c r="N549" s="88"/>
    </row>
    <row r="550" spans="1:14" ht="18.75" x14ac:dyDescent="0.25">
      <c r="A550" s="82"/>
      <c r="B550" s="82"/>
      <c r="C550" s="83"/>
      <c r="D550" s="84"/>
      <c r="E550" s="82"/>
      <c r="G550" s="85"/>
      <c r="H550" s="85"/>
      <c r="I550" s="86"/>
      <c r="M550" s="87"/>
      <c r="N550" s="88"/>
    </row>
    <row r="551" spans="1:14" ht="18.75" x14ac:dyDescent="0.25">
      <c r="A551" s="82"/>
      <c r="B551" s="82"/>
      <c r="C551" s="83"/>
      <c r="D551" s="84"/>
      <c r="E551" s="82"/>
      <c r="G551" s="85"/>
      <c r="H551" s="85"/>
      <c r="I551" s="86"/>
      <c r="M551" s="87"/>
      <c r="N551" s="88"/>
    </row>
    <row r="552" spans="1:14" ht="18.75" x14ac:dyDescent="0.25">
      <c r="A552" s="82"/>
      <c r="B552" s="82"/>
      <c r="C552" s="83"/>
      <c r="D552" s="84"/>
      <c r="E552" s="82"/>
      <c r="G552" s="85"/>
      <c r="H552" s="85"/>
      <c r="I552" s="86"/>
      <c r="M552" s="87"/>
      <c r="N552" s="88"/>
    </row>
    <row r="553" spans="1:14" ht="18.75" x14ac:dyDescent="0.25">
      <c r="A553" s="82"/>
      <c r="B553" s="82"/>
      <c r="C553" s="83"/>
      <c r="D553" s="84"/>
      <c r="E553" s="82"/>
      <c r="G553" s="85"/>
      <c r="H553" s="85"/>
      <c r="I553" s="86"/>
      <c r="M553" s="87"/>
      <c r="N553" s="88"/>
    </row>
    <row r="554" spans="1:14" ht="18.75" x14ac:dyDescent="0.25">
      <c r="A554" s="82"/>
      <c r="B554" s="82"/>
      <c r="C554" s="83"/>
      <c r="D554" s="84"/>
      <c r="E554" s="82"/>
      <c r="G554" s="85"/>
      <c r="H554" s="85"/>
      <c r="I554" s="86"/>
      <c r="M554" s="87"/>
      <c r="N554" s="88"/>
    </row>
    <row r="555" spans="1:14" ht="18.75" x14ac:dyDescent="0.25">
      <c r="A555" s="82"/>
      <c r="B555" s="82"/>
      <c r="C555" s="83"/>
      <c r="D555" s="84"/>
      <c r="E555" s="82"/>
      <c r="G555" s="85"/>
      <c r="H555" s="85"/>
      <c r="I555" s="86"/>
      <c r="M555" s="87"/>
      <c r="N555" s="88"/>
    </row>
    <row r="556" spans="1:14" ht="18.75" x14ac:dyDescent="0.25">
      <c r="A556" s="82"/>
      <c r="B556" s="82"/>
      <c r="C556" s="83"/>
      <c r="D556" s="84"/>
      <c r="E556" s="82"/>
      <c r="G556" s="85"/>
      <c r="H556" s="85"/>
      <c r="I556" s="86"/>
      <c r="M556" s="87"/>
      <c r="N556" s="88"/>
    </row>
    <row r="557" spans="1:14" ht="18.75" x14ac:dyDescent="0.25">
      <c r="A557" s="82"/>
      <c r="B557" s="82"/>
      <c r="C557" s="83"/>
      <c r="D557" s="84"/>
      <c r="E557" s="82"/>
      <c r="G557" s="85"/>
      <c r="H557" s="85"/>
      <c r="I557" s="86"/>
      <c r="M557" s="87"/>
      <c r="N557" s="88"/>
    </row>
    <row r="558" spans="1:14" ht="18.75" x14ac:dyDescent="0.25">
      <c r="A558" s="82"/>
      <c r="B558" s="82"/>
      <c r="C558" s="83"/>
      <c r="D558" s="84"/>
      <c r="E558" s="82"/>
      <c r="G558" s="85"/>
      <c r="H558" s="85"/>
      <c r="I558" s="86"/>
      <c r="M558" s="87"/>
      <c r="N558" s="88"/>
    </row>
    <row r="559" spans="1:14" ht="18.75" x14ac:dyDescent="0.25">
      <c r="A559" s="82"/>
      <c r="B559" s="82"/>
      <c r="C559" s="83"/>
      <c r="D559" s="84"/>
      <c r="E559" s="82"/>
      <c r="G559" s="85"/>
      <c r="H559" s="85"/>
      <c r="I559" s="86"/>
      <c r="M559" s="87"/>
      <c r="N559" s="88"/>
    </row>
    <row r="560" spans="1:14" ht="18.75" x14ac:dyDescent="0.25">
      <c r="A560" s="82"/>
      <c r="B560" s="82"/>
      <c r="C560" s="83"/>
      <c r="D560" s="84"/>
      <c r="E560" s="82"/>
      <c r="G560" s="85"/>
      <c r="H560" s="85"/>
      <c r="I560" s="86"/>
      <c r="M560" s="87"/>
      <c r="N560" s="88"/>
    </row>
    <row r="561" spans="1:14" ht="18.75" x14ac:dyDescent="0.25">
      <c r="A561" s="82"/>
      <c r="B561" s="82"/>
      <c r="C561" s="83"/>
      <c r="D561" s="84"/>
      <c r="E561" s="82"/>
      <c r="G561" s="85"/>
      <c r="H561" s="85"/>
      <c r="I561" s="86"/>
      <c r="M561" s="87"/>
      <c r="N561" s="88"/>
    </row>
    <row r="562" spans="1:14" ht="18.75" x14ac:dyDescent="0.25">
      <c r="A562" s="82"/>
      <c r="B562" s="82"/>
      <c r="C562" s="83"/>
      <c r="D562" s="84"/>
      <c r="E562" s="82"/>
      <c r="G562" s="85"/>
      <c r="H562" s="85"/>
      <c r="I562" s="86"/>
      <c r="M562" s="87"/>
      <c r="N562" s="88"/>
    </row>
    <row r="563" spans="1:14" ht="18.75" x14ac:dyDescent="0.25">
      <c r="A563" s="82"/>
      <c r="B563" s="82"/>
      <c r="C563" s="83"/>
      <c r="D563" s="84"/>
      <c r="E563" s="82"/>
      <c r="G563" s="85"/>
      <c r="H563" s="85"/>
      <c r="I563" s="86"/>
      <c r="M563" s="87"/>
      <c r="N563" s="88"/>
    </row>
    <row r="564" spans="1:14" ht="18.75" x14ac:dyDescent="0.25">
      <c r="A564" s="82"/>
      <c r="B564" s="82"/>
      <c r="C564" s="83"/>
      <c r="D564" s="84"/>
      <c r="E564" s="82"/>
      <c r="G564" s="85"/>
      <c r="H564" s="85"/>
      <c r="I564" s="86"/>
      <c r="M564" s="87"/>
      <c r="N564" s="88"/>
    </row>
    <row r="565" spans="1:14" ht="18.75" x14ac:dyDescent="0.25">
      <c r="A565" s="82"/>
      <c r="B565" s="82"/>
      <c r="C565" s="83"/>
      <c r="D565" s="84"/>
      <c r="E565" s="82"/>
      <c r="G565" s="85"/>
      <c r="H565" s="85"/>
      <c r="I565" s="86"/>
      <c r="M565" s="87"/>
      <c r="N565" s="88"/>
    </row>
    <row r="566" spans="1:14" ht="18.75" x14ac:dyDescent="0.25">
      <c r="A566" s="82"/>
      <c r="B566" s="82"/>
      <c r="C566" s="83"/>
      <c r="D566" s="84"/>
      <c r="E566" s="82"/>
      <c r="G566" s="85"/>
      <c r="H566" s="85"/>
      <c r="I566" s="86"/>
      <c r="M566" s="87"/>
      <c r="N566" s="88"/>
    </row>
    <row r="567" spans="1:14" ht="18.75" x14ac:dyDescent="0.25">
      <c r="A567" s="82"/>
      <c r="B567" s="82"/>
      <c r="C567" s="83"/>
      <c r="D567" s="84"/>
      <c r="E567" s="82"/>
      <c r="G567" s="85"/>
      <c r="H567" s="85"/>
      <c r="I567" s="86"/>
      <c r="M567" s="87"/>
      <c r="N567" s="88"/>
    </row>
    <row r="568" spans="1:14" ht="18.75" x14ac:dyDescent="0.25">
      <c r="A568" s="82"/>
      <c r="B568" s="82"/>
      <c r="C568" s="83"/>
      <c r="D568" s="84"/>
      <c r="E568" s="82"/>
      <c r="G568" s="85"/>
      <c r="H568" s="85"/>
      <c r="I568" s="86"/>
      <c r="M568" s="87"/>
      <c r="N568" s="88"/>
    </row>
    <row r="569" spans="1:14" ht="18.75" x14ac:dyDescent="0.25">
      <c r="A569" s="82"/>
      <c r="B569" s="82"/>
      <c r="C569" s="83"/>
      <c r="D569" s="84"/>
      <c r="E569" s="82"/>
      <c r="G569" s="85"/>
      <c r="H569" s="85"/>
      <c r="I569" s="86"/>
      <c r="M569" s="87"/>
      <c r="N569" s="88"/>
    </row>
    <row r="570" spans="1:14" ht="18.75" x14ac:dyDescent="0.25">
      <c r="A570" s="82"/>
      <c r="B570" s="82"/>
      <c r="C570" s="83"/>
      <c r="D570" s="84"/>
      <c r="E570" s="82"/>
      <c r="G570" s="85"/>
      <c r="H570" s="85"/>
      <c r="I570" s="86"/>
      <c r="M570" s="87"/>
      <c r="N570" s="88"/>
    </row>
    <row r="571" spans="1:14" ht="18.75" x14ac:dyDescent="0.25">
      <c r="A571" s="82"/>
      <c r="B571" s="82"/>
      <c r="C571" s="83"/>
      <c r="D571" s="84"/>
      <c r="E571" s="82"/>
      <c r="G571" s="85"/>
      <c r="H571" s="85"/>
      <c r="I571" s="86"/>
      <c r="M571" s="87"/>
      <c r="N571" s="88"/>
    </row>
    <row r="572" spans="1:14" ht="18.75" x14ac:dyDescent="0.25">
      <c r="A572" s="82"/>
      <c r="B572" s="82"/>
      <c r="C572" s="83"/>
      <c r="D572" s="84"/>
      <c r="E572" s="82"/>
      <c r="G572" s="85"/>
      <c r="H572" s="85"/>
      <c r="I572" s="86"/>
      <c r="M572" s="87"/>
      <c r="N572" s="88"/>
    </row>
    <row r="573" spans="1:14" ht="18.75" x14ac:dyDescent="0.25">
      <c r="A573" s="82"/>
      <c r="B573" s="82"/>
      <c r="C573" s="83"/>
      <c r="D573" s="84"/>
      <c r="E573" s="82"/>
      <c r="G573" s="85"/>
      <c r="H573" s="85"/>
      <c r="I573" s="86"/>
      <c r="M573" s="87"/>
      <c r="N573" s="88"/>
    </row>
    <row r="574" spans="1:14" ht="18.75" x14ac:dyDescent="0.25">
      <c r="A574" s="82"/>
      <c r="B574" s="82"/>
      <c r="C574" s="83"/>
      <c r="D574" s="84"/>
      <c r="E574" s="82"/>
      <c r="G574" s="85"/>
      <c r="H574" s="85"/>
      <c r="I574" s="86"/>
      <c r="M574" s="87"/>
      <c r="N574" s="88"/>
    </row>
    <row r="575" spans="1:14" ht="18.75" x14ac:dyDescent="0.25">
      <c r="A575" s="82"/>
      <c r="B575" s="82"/>
      <c r="C575" s="83"/>
      <c r="D575" s="84"/>
      <c r="E575" s="82"/>
      <c r="G575" s="85"/>
      <c r="H575" s="85"/>
      <c r="I575" s="86"/>
      <c r="M575" s="87"/>
      <c r="N575" s="88"/>
    </row>
    <row r="576" spans="1:14" ht="18.75" x14ac:dyDescent="0.25">
      <c r="A576" s="82"/>
      <c r="B576" s="82"/>
      <c r="C576" s="83"/>
      <c r="D576" s="84"/>
      <c r="E576" s="82"/>
      <c r="G576" s="85"/>
      <c r="H576" s="85"/>
      <c r="I576" s="86"/>
      <c r="M576" s="87"/>
      <c r="N576" s="88"/>
    </row>
    <row r="577" spans="1:14" ht="18.75" x14ac:dyDescent="0.25">
      <c r="A577" s="82"/>
      <c r="B577" s="82"/>
      <c r="C577" s="83"/>
      <c r="D577" s="84"/>
      <c r="E577" s="82"/>
      <c r="G577" s="85"/>
      <c r="H577" s="85"/>
      <c r="I577" s="86"/>
      <c r="M577" s="87"/>
      <c r="N577" s="88"/>
    </row>
    <row r="578" spans="1:14" ht="18.75" x14ac:dyDescent="0.25">
      <c r="A578" s="82"/>
      <c r="B578" s="82"/>
      <c r="C578" s="83"/>
      <c r="D578" s="84"/>
      <c r="E578" s="82"/>
      <c r="G578" s="85"/>
      <c r="H578" s="85"/>
      <c r="I578" s="86"/>
      <c r="M578" s="87"/>
      <c r="N578" s="88"/>
    </row>
    <row r="579" spans="1:14" ht="18.75" x14ac:dyDescent="0.25">
      <c r="A579" s="82"/>
      <c r="B579" s="82"/>
      <c r="C579" s="83"/>
      <c r="D579" s="84"/>
      <c r="E579" s="82"/>
      <c r="G579" s="85"/>
      <c r="H579" s="85"/>
      <c r="I579" s="86"/>
      <c r="M579" s="87"/>
      <c r="N579" s="88"/>
    </row>
    <row r="580" spans="1:14" ht="18.75" x14ac:dyDescent="0.25">
      <c r="A580" s="82"/>
      <c r="B580" s="82"/>
      <c r="C580" s="83"/>
      <c r="D580" s="84"/>
      <c r="E580" s="82"/>
      <c r="G580" s="85"/>
      <c r="H580" s="85"/>
      <c r="I580" s="86"/>
      <c r="M580" s="87"/>
      <c r="N580" s="88"/>
    </row>
    <row r="581" spans="1:14" ht="18.75" x14ac:dyDescent="0.25">
      <c r="A581" s="82"/>
      <c r="B581" s="82"/>
      <c r="C581" s="83"/>
      <c r="D581" s="84"/>
      <c r="E581" s="82"/>
      <c r="G581" s="85"/>
      <c r="H581" s="85"/>
      <c r="I581" s="86"/>
      <c r="M581" s="87"/>
      <c r="N581" s="88"/>
    </row>
    <row r="582" spans="1:14" ht="18.75" x14ac:dyDescent="0.25">
      <c r="A582" s="82"/>
      <c r="B582" s="82"/>
      <c r="C582" s="83"/>
      <c r="D582" s="84"/>
      <c r="E582" s="82"/>
      <c r="G582" s="85"/>
      <c r="H582" s="85"/>
      <c r="I582" s="86"/>
      <c r="M582" s="87"/>
      <c r="N582" s="88"/>
    </row>
    <row r="583" spans="1:14" ht="18.75" x14ac:dyDescent="0.25">
      <c r="A583" s="82"/>
      <c r="B583" s="82"/>
      <c r="C583" s="83"/>
      <c r="D583" s="84"/>
      <c r="E583" s="82"/>
      <c r="G583" s="85"/>
      <c r="H583" s="85"/>
      <c r="I583" s="86"/>
      <c r="M583" s="87"/>
      <c r="N583" s="88"/>
    </row>
    <row r="584" spans="1:14" ht="18.75" x14ac:dyDescent="0.25">
      <c r="A584" s="82"/>
      <c r="B584" s="82"/>
      <c r="C584" s="83"/>
      <c r="D584" s="84"/>
      <c r="E584" s="82"/>
      <c r="G584" s="85"/>
      <c r="H584" s="85"/>
      <c r="I584" s="86"/>
      <c r="M584" s="87"/>
      <c r="N584" s="88"/>
    </row>
    <row r="585" spans="1:14" ht="18.75" x14ac:dyDescent="0.25">
      <c r="A585" s="82"/>
      <c r="B585" s="82"/>
      <c r="C585" s="83"/>
      <c r="D585" s="84"/>
      <c r="E585" s="82"/>
      <c r="G585" s="85"/>
      <c r="H585" s="85"/>
      <c r="I585" s="86"/>
      <c r="M585" s="87"/>
      <c r="N585" s="88"/>
    </row>
    <row r="586" spans="1:14" ht="18.75" x14ac:dyDescent="0.25">
      <c r="A586" s="82"/>
      <c r="B586" s="82"/>
      <c r="C586" s="83"/>
      <c r="D586" s="84"/>
      <c r="E586" s="82"/>
      <c r="G586" s="85"/>
      <c r="H586" s="85"/>
      <c r="I586" s="86"/>
      <c r="M586" s="87"/>
      <c r="N586" s="88"/>
    </row>
    <row r="587" spans="1:14" ht="18.75" x14ac:dyDescent="0.25">
      <c r="A587" s="82"/>
      <c r="B587" s="82"/>
      <c r="C587" s="83"/>
      <c r="D587" s="84"/>
      <c r="E587" s="82"/>
      <c r="G587" s="85"/>
      <c r="H587" s="85"/>
      <c r="I587" s="86"/>
      <c r="M587" s="87"/>
      <c r="N587" s="88"/>
    </row>
    <row r="588" spans="1:14" ht="18.75" x14ac:dyDescent="0.25">
      <c r="A588" s="82"/>
      <c r="B588" s="82"/>
      <c r="C588" s="83"/>
      <c r="D588" s="84"/>
      <c r="E588" s="82"/>
      <c r="G588" s="85"/>
      <c r="H588" s="85"/>
      <c r="I588" s="86"/>
      <c r="M588" s="87"/>
      <c r="N588" s="88"/>
    </row>
    <row r="589" spans="1:14" ht="18.75" x14ac:dyDescent="0.25">
      <c r="A589" s="82"/>
      <c r="B589" s="82"/>
      <c r="C589" s="83"/>
      <c r="D589" s="84"/>
      <c r="E589" s="82"/>
      <c r="G589" s="85"/>
      <c r="H589" s="85"/>
      <c r="I589" s="86"/>
      <c r="M589" s="87"/>
      <c r="N589" s="88"/>
    </row>
    <row r="590" spans="1:14" ht="18.75" x14ac:dyDescent="0.25">
      <c r="A590" s="82"/>
      <c r="B590" s="82"/>
      <c r="C590" s="83"/>
      <c r="D590" s="84"/>
      <c r="E590" s="82"/>
      <c r="G590" s="85"/>
      <c r="H590" s="85"/>
      <c r="I590" s="86"/>
      <c r="M590" s="87"/>
      <c r="N590" s="88"/>
    </row>
    <row r="591" spans="1:14" ht="18.75" x14ac:dyDescent="0.25">
      <c r="A591" s="82"/>
      <c r="B591" s="82"/>
      <c r="C591" s="83"/>
      <c r="D591" s="84"/>
      <c r="E591" s="82"/>
      <c r="G591" s="85"/>
      <c r="H591" s="85"/>
      <c r="I591" s="86"/>
      <c r="M591" s="87"/>
      <c r="N591" s="88"/>
    </row>
    <row r="592" spans="1:14" ht="18.75" x14ac:dyDescent="0.25">
      <c r="A592" s="82"/>
      <c r="B592" s="82"/>
      <c r="C592" s="83"/>
      <c r="D592" s="84"/>
      <c r="E592" s="82"/>
      <c r="G592" s="85"/>
      <c r="H592" s="85"/>
      <c r="I592" s="86"/>
      <c r="M592" s="87"/>
      <c r="N592" s="88"/>
    </row>
    <row r="593" spans="1:14" ht="18.75" x14ac:dyDescent="0.25">
      <c r="A593" s="82"/>
      <c r="B593" s="82"/>
      <c r="C593" s="83"/>
      <c r="D593" s="84"/>
      <c r="E593" s="82"/>
      <c r="G593" s="85"/>
      <c r="H593" s="85"/>
      <c r="I593" s="86"/>
      <c r="M593" s="87"/>
      <c r="N593" s="88"/>
    </row>
    <row r="594" spans="1:14" ht="18.75" x14ac:dyDescent="0.25">
      <c r="A594" s="82"/>
      <c r="B594" s="82"/>
      <c r="C594" s="83"/>
      <c r="D594" s="84"/>
      <c r="E594" s="82"/>
      <c r="G594" s="85"/>
      <c r="H594" s="85"/>
      <c r="I594" s="86"/>
      <c r="M594" s="87"/>
      <c r="N594" s="88"/>
    </row>
    <row r="595" spans="1:14" ht="18.75" x14ac:dyDescent="0.25">
      <c r="A595" s="82"/>
      <c r="B595" s="82"/>
      <c r="C595" s="83"/>
      <c r="D595" s="84"/>
      <c r="E595" s="82"/>
      <c r="G595" s="85"/>
      <c r="H595" s="85"/>
      <c r="I595" s="86"/>
      <c r="M595" s="87"/>
      <c r="N595" s="88"/>
    </row>
    <row r="596" spans="1:14" ht="18.75" x14ac:dyDescent="0.25">
      <c r="A596" s="82"/>
      <c r="B596" s="82"/>
      <c r="C596" s="83"/>
      <c r="D596" s="84"/>
      <c r="E596" s="82"/>
      <c r="G596" s="85"/>
      <c r="H596" s="85"/>
      <c r="I596" s="86"/>
      <c r="M596" s="87"/>
      <c r="N596" s="88"/>
    </row>
    <row r="597" spans="1:14" ht="18.75" x14ac:dyDescent="0.25">
      <c r="A597" s="82"/>
      <c r="B597" s="82"/>
      <c r="C597" s="83"/>
      <c r="D597" s="84"/>
      <c r="E597" s="82"/>
      <c r="G597" s="85"/>
      <c r="H597" s="85"/>
      <c r="I597" s="86"/>
      <c r="M597" s="87"/>
      <c r="N597" s="88"/>
    </row>
    <row r="598" spans="1:14" ht="18.75" x14ac:dyDescent="0.25">
      <c r="A598" s="82"/>
      <c r="B598" s="82"/>
      <c r="C598" s="83"/>
      <c r="D598" s="84"/>
      <c r="E598" s="82"/>
      <c r="G598" s="85"/>
      <c r="H598" s="85"/>
      <c r="I598" s="86"/>
      <c r="M598" s="87"/>
      <c r="N598" s="88"/>
    </row>
    <row r="599" spans="1:14" ht="18.75" x14ac:dyDescent="0.25">
      <c r="A599" s="82"/>
      <c r="B599" s="82"/>
      <c r="C599" s="83"/>
      <c r="D599" s="84"/>
      <c r="E599" s="82"/>
      <c r="G599" s="85"/>
      <c r="H599" s="85"/>
      <c r="I599" s="86"/>
      <c r="M599" s="87"/>
      <c r="N599" s="88"/>
    </row>
    <row r="600" spans="1:14" ht="18.75" x14ac:dyDescent="0.25">
      <c r="A600" s="82"/>
      <c r="B600" s="82"/>
      <c r="C600" s="83"/>
      <c r="D600" s="84"/>
      <c r="E600" s="82"/>
      <c r="G600" s="85"/>
      <c r="H600" s="85"/>
      <c r="I600" s="86"/>
      <c r="M600" s="87"/>
      <c r="N600" s="88"/>
    </row>
    <row r="601" spans="1:14" ht="18.75" x14ac:dyDescent="0.25">
      <c r="A601" s="82"/>
      <c r="B601" s="82"/>
      <c r="C601" s="83"/>
      <c r="D601" s="84"/>
      <c r="E601" s="82"/>
      <c r="G601" s="85"/>
      <c r="H601" s="85"/>
      <c r="I601" s="86"/>
      <c r="M601" s="87"/>
      <c r="N601" s="88"/>
    </row>
    <row r="602" spans="1:14" ht="18.75" x14ac:dyDescent="0.25">
      <c r="A602" s="82"/>
      <c r="B602" s="82"/>
      <c r="C602" s="83"/>
      <c r="D602" s="84"/>
      <c r="E602" s="82"/>
      <c r="G602" s="85"/>
      <c r="H602" s="85"/>
      <c r="I602" s="86"/>
      <c r="M602" s="87"/>
      <c r="N602" s="88"/>
    </row>
    <row r="603" spans="1:14" ht="18.75" x14ac:dyDescent="0.25">
      <c r="A603" s="82"/>
      <c r="B603" s="82"/>
      <c r="C603" s="83"/>
      <c r="D603" s="84"/>
      <c r="E603" s="82"/>
      <c r="G603" s="85"/>
      <c r="H603" s="85"/>
      <c r="I603" s="86"/>
      <c r="M603" s="87"/>
      <c r="N603" s="88"/>
    </row>
    <row r="604" spans="1:14" ht="18.75" x14ac:dyDescent="0.25">
      <c r="A604" s="82"/>
      <c r="B604" s="82"/>
      <c r="C604" s="83"/>
      <c r="D604" s="84"/>
      <c r="E604" s="82"/>
      <c r="G604" s="85"/>
      <c r="H604" s="85"/>
      <c r="I604" s="86"/>
      <c r="M604" s="87"/>
      <c r="N604" s="88"/>
    </row>
    <row r="605" spans="1:14" ht="18.75" x14ac:dyDescent="0.25">
      <c r="A605" s="82"/>
      <c r="B605" s="82"/>
      <c r="C605" s="83"/>
      <c r="D605" s="84"/>
      <c r="E605" s="82"/>
      <c r="G605" s="85"/>
      <c r="H605" s="85"/>
      <c r="I605" s="86"/>
      <c r="M605" s="87"/>
      <c r="N605" s="88"/>
    </row>
    <row r="606" spans="1:14" ht="18.75" x14ac:dyDescent="0.25">
      <c r="A606" s="82"/>
      <c r="B606" s="82"/>
      <c r="C606" s="83"/>
      <c r="D606" s="84"/>
      <c r="E606" s="82"/>
      <c r="G606" s="85"/>
      <c r="H606" s="85"/>
      <c r="I606" s="86"/>
      <c r="M606" s="87"/>
      <c r="N606" s="88"/>
    </row>
    <row r="607" spans="1:14" ht="18.75" x14ac:dyDescent="0.25">
      <c r="A607" s="82"/>
      <c r="B607" s="82"/>
      <c r="C607" s="83"/>
      <c r="D607" s="84"/>
      <c r="E607" s="82"/>
      <c r="G607" s="85"/>
      <c r="H607" s="85"/>
      <c r="I607" s="86"/>
      <c r="M607" s="87"/>
      <c r="N607" s="88"/>
    </row>
    <row r="608" spans="1:14" ht="18.75" x14ac:dyDescent="0.25">
      <c r="A608" s="82"/>
      <c r="B608" s="82"/>
      <c r="C608" s="83"/>
      <c r="D608" s="84"/>
      <c r="E608" s="82"/>
      <c r="G608" s="85"/>
      <c r="H608" s="85"/>
      <c r="I608" s="86"/>
      <c r="M608" s="87"/>
      <c r="N608" s="88"/>
    </row>
    <row r="609" spans="1:14" ht="18.75" x14ac:dyDescent="0.25">
      <c r="A609" s="82"/>
      <c r="B609" s="82"/>
      <c r="C609" s="83"/>
      <c r="D609" s="84"/>
      <c r="E609" s="82"/>
      <c r="G609" s="85"/>
      <c r="H609" s="85"/>
      <c r="I609" s="86"/>
      <c r="M609" s="87"/>
      <c r="N609" s="88"/>
    </row>
    <row r="610" spans="1:14" ht="18.75" x14ac:dyDescent="0.25">
      <c r="A610" s="82"/>
      <c r="B610" s="82"/>
      <c r="C610" s="83"/>
      <c r="D610" s="84"/>
      <c r="E610" s="82"/>
      <c r="G610" s="85"/>
      <c r="H610" s="85"/>
      <c r="I610" s="86"/>
      <c r="M610" s="87"/>
      <c r="N610" s="88"/>
    </row>
    <row r="611" spans="1:14" ht="18.75" x14ac:dyDescent="0.25">
      <c r="A611" s="82"/>
      <c r="B611" s="82"/>
      <c r="C611" s="83"/>
      <c r="D611" s="84"/>
      <c r="E611" s="82"/>
      <c r="G611" s="85"/>
      <c r="H611" s="85"/>
      <c r="I611" s="86"/>
      <c r="M611" s="87"/>
      <c r="N611" s="88"/>
    </row>
    <row r="612" spans="1:14" ht="18.75" x14ac:dyDescent="0.25">
      <c r="A612" s="82"/>
      <c r="B612" s="82"/>
      <c r="C612" s="83"/>
      <c r="D612" s="84"/>
      <c r="E612" s="82"/>
      <c r="G612" s="85"/>
      <c r="H612" s="85"/>
      <c r="I612" s="86"/>
      <c r="M612" s="87"/>
      <c r="N612" s="88"/>
    </row>
    <row r="613" spans="1:14" ht="18.75" x14ac:dyDescent="0.25">
      <c r="A613" s="82"/>
      <c r="B613" s="82"/>
      <c r="C613" s="83"/>
      <c r="D613" s="84"/>
      <c r="E613" s="82"/>
      <c r="G613" s="85"/>
      <c r="H613" s="85"/>
      <c r="I613" s="86"/>
      <c r="M613" s="87"/>
      <c r="N613" s="88"/>
    </row>
    <row r="614" spans="1:14" ht="18.75" x14ac:dyDescent="0.25">
      <c r="A614" s="82"/>
      <c r="B614" s="82"/>
      <c r="C614" s="83"/>
      <c r="D614" s="84"/>
      <c r="E614" s="82"/>
      <c r="G614" s="85"/>
      <c r="H614" s="85"/>
      <c r="I614" s="86"/>
      <c r="M614" s="87"/>
      <c r="N614" s="88"/>
    </row>
    <row r="615" spans="1:14" ht="18.75" x14ac:dyDescent="0.25">
      <c r="A615" s="82"/>
      <c r="B615" s="82"/>
      <c r="C615" s="83"/>
      <c r="D615" s="84"/>
      <c r="E615" s="82"/>
      <c r="G615" s="85"/>
      <c r="H615" s="85"/>
      <c r="I615" s="86"/>
      <c r="M615" s="87"/>
      <c r="N615" s="88"/>
    </row>
    <row r="616" spans="1:14" ht="18.75" x14ac:dyDescent="0.25">
      <c r="A616" s="82"/>
      <c r="B616" s="82"/>
      <c r="C616" s="83"/>
      <c r="D616" s="84"/>
      <c r="E616" s="82"/>
      <c r="G616" s="85"/>
      <c r="H616" s="85"/>
      <c r="I616" s="86"/>
      <c r="M616" s="87"/>
      <c r="N616" s="88"/>
    </row>
    <row r="617" spans="1:14" ht="18.75" x14ac:dyDescent="0.25">
      <c r="A617" s="82"/>
      <c r="B617" s="82"/>
      <c r="C617" s="83"/>
      <c r="D617" s="84"/>
      <c r="E617" s="82"/>
      <c r="G617" s="85"/>
      <c r="H617" s="85"/>
      <c r="I617" s="86"/>
      <c r="M617" s="87"/>
      <c r="N617" s="88"/>
    </row>
    <row r="618" spans="1:14" ht="18.75" x14ac:dyDescent="0.25">
      <c r="A618" s="82"/>
      <c r="B618" s="82"/>
      <c r="C618" s="83"/>
      <c r="D618" s="84"/>
      <c r="E618" s="82"/>
      <c r="G618" s="85"/>
      <c r="H618" s="85"/>
      <c r="I618" s="86"/>
      <c r="M618" s="87"/>
      <c r="N618" s="88"/>
    </row>
    <row r="619" spans="1:14" ht="18.75" x14ac:dyDescent="0.25">
      <c r="A619" s="82"/>
      <c r="B619" s="82"/>
      <c r="C619" s="83"/>
      <c r="D619" s="84"/>
      <c r="E619" s="82"/>
      <c r="G619" s="85"/>
      <c r="H619" s="85"/>
      <c r="I619" s="86"/>
      <c r="M619" s="87"/>
      <c r="N619" s="88"/>
    </row>
    <row r="620" spans="1:14" ht="18.75" x14ac:dyDescent="0.25">
      <c r="A620" s="82"/>
      <c r="B620" s="82"/>
      <c r="C620" s="83"/>
      <c r="D620" s="84"/>
      <c r="E620" s="82"/>
      <c r="G620" s="85"/>
      <c r="H620" s="85"/>
      <c r="I620" s="86"/>
      <c r="M620" s="87"/>
      <c r="N620" s="88"/>
    </row>
    <row r="621" spans="1:14" ht="18.75" x14ac:dyDescent="0.25">
      <c r="A621" s="82"/>
      <c r="B621" s="82"/>
      <c r="C621" s="83"/>
      <c r="D621" s="84"/>
      <c r="E621" s="82"/>
      <c r="G621" s="85"/>
      <c r="H621" s="85"/>
      <c r="I621" s="86"/>
      <c r="M621" s="87"/>
      <c r="N621" s="88"/>
    </row>
    <row r="622" spans="1:14" ht="18.75" x14ac:dyDescent="0.25">
      <c r="A622" s="82"/>
      <c r="B622" s="82"/>
      <c r="C622" s="83"/>
      <c r="D622" s="84"/>
      <c r="E622" s="82"/>
      <c r="G622" s="85"/>
      <c r="H622" s="85"/>
      <c r="I622" s="86"/>
      <c r="M622" s="87"/>
      <c r="N622" s="88"/>
    </row>
    <row r="623" spans="1:14" ht="18.75" x14ac:dyDescent="0.25">
      <c r="A623" s="82"/>
      <c r="B623" s="82"/>
      <c r="C623" s="83"/>
      <c r="D623" s="84"/>
      <c r="E623" s="82"/>
      <c r="G623" s="85"/>
      <c r="H623" s="85"/>
      <c r="I623" s="86"/>
      <c r="M623" s="87"/>
      <c r="N623" s="88"/>
    </row>
    <row r="624" spans="1:14" ht="18.75" x14ac:dyDescent="0.25">
      <c r="A624" s="82"/>
      <c r="B624" s="82"/>
      <c r="C624" s="83"/>
      <c r="D624" s="84"/>
      <c r="E624" s="82"/>
      <c r="G624" s="85"/>
      <c r="H624" s="85"/>
      <c r="I624" s="86"/>
      <c r="M624" s="87"/>
      <c r="N624" s="88"/>
    </row>
    <row r="625" spans="1:14" ht="18.75" x14ac:dyDescent="0.25">
      <c r="A625" s="82"/>
      <c r="B625" s="82"/>
      <c r="C625" s="83"/>
      <c r="D625" s="84"/>
      <c r="E625" s="82"/>
      <c r="G625" s="85"/>
      <c r="H625" s="85"/>
      <c r="I625" s="86"/>
      <c r="M625" s="87"/>
      <c r="N625" s="88"/>
    </row>
    <row r="626" spans="1:14" ht="18.75" x14ac:dyDescent="0.25">
      <c r="A626" s="82"/>
      <c r="B626" s="82"/>
      <c r="C626" s="83"/>
      <c r="D626" s="84"/>
      <c r="E626" s="82"/>
      <c r="G626" s="85"/>
      <c r="H626" s="85"/>
      <c r="I626" s="86"/>
      <c r="M626" s="87"/>
      <c r="N626" s="88"/>
    </row>
    <row r="627" spans="1:14" ht="18.75" x14ac:dyDescent="0.25">
      <c r="A627" s="82"/>
      <c r="B627" s="82"/>
      <c r="C627" s="83"/>
      <c r="D627" s="84"/>
      <c r="E627" s="82"/>
      <c r="G627" s="85"/>
      <c r="H627" s="85"/>
      <c r="I627" s="86"/>
      <c r="M627" s="87"/>
      <c r="N627" s="88"/>
    </row>
    <row r="628" spans="1:14" ht="18.75" x14ac:dyDescent="0.25">
      <c r="A628" s="82"/>
      <c r="B628" s="82"/>
      <c r="C628" s="83"/>
      <c r="D628" s="84"/>
      <c r="E628" s="82"/>
      <c r="G628" s="85"/>
      <c r="H628" s="85"/>
      <c r="I628" s="86"/>
      <c r="M628" s="87"/>
      <c r="N628" s="88"/>
    </row>
    <row r="629" spans="1:14" ht="18.75" x14ac:dyDescent="0.25">
      <c r="A629" s="82"/>
      <c r="B629" s="82"/>
      <c r="C629" s="83"/>
      <c r="D629" s="84"/>
      <c r="E629" s="82"/>
      <c r="G629" s="85"/>
      <c r="H629" s="85"/>
      <c r="I629" s="86"/>
      <c r="M629" s="87"/>
      <c r="N629" s="88"/>
    </row>
    <row r="630" spans="1:14" ht="18.75" x14ac:dyDescent="0.25">
      <c r="A630" s="82"/>
      <c r="B630" s="82"/>
      <c r="C630" s="83"/>
      <c r="D630" s="84"/>
      <c r="E630" s="82"/>
      <c r="G630" s="85"/>
      <c r="H630" s="85"/>
      <c r="I630" s="86"/>
      <c r="M630" s="87"/>
      <c r="N630" s="88"/>
    </row>
    <row r="631" spans="1:14" ht="18.75" x14ac:dyDescent="0.25">
      <c r="A631" s="82"/>
      <c r="B631" s="82"/>
      <c r="C631" s="83"/>
      <c r="D631" s="84"/>
      <c r="E631" s="82"/>
      <c r="G631" s="85"/>
      <c r="H631" s="85"/>
      <c r="I631" s="86"/>
      <c r="M631" s="87"/>
      <c r="N631" s="88"/>
    </row>
    <row r="632" spans="1:14" ht="18.75" x14ac:dyDescent="0.25">
      <c r="A632" s="82"/>
      <c r="B632" s="82"/>
      <c r="C632" s="83"/>
      <c r="D632" s="84"/>
      <c r="E632" s="82"/>
      <c r="G632" s="85"/>
      <c r="H632" s="85"/>
      <c r="I632" s="86"/>
      <c r="M632" s="87"/>
      <c r="N632" s="88"/>
    </row>
    <row r="633" spans="1:14" ht="18.75" x14ac:dyDescent="0.25">
      <c r="A633" s="82"/>
      <c r="B633" s="82"/>
      <c r="C633" s="83"/>
      <c r="D633" s="84"/>
      <c r="E633" s="82"/>
      <c r="G633" s="85"/>
      <c r="H633" s="85"/>
      <c r="I633" s="86"/>
      <c r="M633" s="87"/>
      <c r="N633" s="88"/>
    </row>
    <row r="634" spans="1:14" ht="18.75" x14ac:dyDescent="0.25">
      <c r="A634" s="82"/>
      <c r="B634" s="82"/>
      <c r="C634" s="83"/>
      <c r="D634" s="84"/>
      <c r="E634" s="82"/>
      <c r="G634" s="85"/>
      <c r="H634" s="85"/>
      <c r="I634" s="86"/>
      <c r="M634" s="87"/>
      <c r="N634" s="88"/>
    </row>
    <row r="635" spans="1:14" ht="18.75" x14ac:dyDescent="0.25">
      <c r="A635" s="82"/>
      <c r="B635" s="82"/>
      <c r="C635" s="83"/>
      <c r="D635" s="84"/>
      <c r="E635" s="82"/>
      <c r="G635" s="85"/>
      <c r="H635" s="85"/>
      <c r="I635" s="86"/>
      <c r="M635" s="87"/>
      <c r="N635" s="88"/>
    </row>
    <row r="636" spans="1:14" ht="18.75" x14ac:dyDescent="0.25">
      <c r="A636" s="82"/>
      <c r="B636" s="82"/>
      <c r="C636" s="83"/>
      <c r="D636" s="84"/>
      <c r="E636" s="82"/>
      <c r="G636" s="85"/>
      <c r="H636" s="85"/>
      <c r="I636" s="86"/>
      <c r="M636" s="87"/>
      <c r="N636" s="88"/>
    </row>
    <row r="637" spans="1:14" ht="18.75" x14ac:dyDescent="0.25">
      <c r="A637" s="82"/>
      <c r="B637" s="82"/>
      <c r="C637" s="83"/>
      <c r="D637" s="84"/>
      <c r="E637" s="82"/>
      <c r="G637" s="85"/>
      <c r="H637" s="85"/>
      <c r="I637" s="86"/>
      <c r="M637" s="87"/>
      <c r="N637" s="88"/>
    </row>
    <row r="638" spans="1:14" ht="18.75" x14ac:dyDescent="0.25">
      <c r="A638" s="82"/>
      <c r="B638" s="82"/>
      <c r="C638" s="83"/>
      <c r="D638" s="84"/>
      <c r="E638" s="82"/>
      <c r="G638" s="85"/>
      <c r="H638" s="85"/>
      <c r="I638" s="86"/>
      <c r="M638" s="87"/>
      <c r="N638" s="88"/>
    </row>
    <row r="639" spans="1:14" ht="18.75" x14ac:dyDescent="0.25">
      <c r="A639" s="82"/>
      <c r="B639" s="82"/>
      <c r="C639" s="83"/>
      <c r="D639" s="84"/>
      <c r="E639" s="82"/>
      <c r="G639" s="85"/>
      <c r="H639" s="85"/>
      <c r="I639" s="86"/>
      <c r="M639" s="87"/>
      <c r="N639" s="88"/>
    </row>
    <row r="640" spans="1:14" ht="18.75" x14ac:dyDescent="0.25">
      <c r="A640" s="82"/>
      <c r="B640" s="82"/>
      <c r="C640" s="83"/>
      <c r="D640" s="84"/>
      <c r="E640" s="82"/>
      <c r="G640" s="85"/>
      <c r="H640" s="85"/>
      <c r="I640" s="86"/>
      <c r="M640" s="87"/>
      <c r="N640" s="88"/>
    </row>
    <row r="641" spans="1:14" ht="18.75" x14ac:dyDescent="0.25">
      <c r="A641" s="82"/>
      <c r="B641" s="82"/>
      <c r="C641" s="83"/>
      <c r="D641" s="84"/>
      <c r="E641" s="82"/>
      <c r="G641" s="85"/>
      <c r="H641" s="85"/>
      <c r="I641" s="86"/>
      <c r="M641" s="87"/>
      <c r="N641" s="88"/>
    </row>
    <row r="642" spans="1:14" ht="18.75" x14ac:dyDescent="0.25">
      <c r="A642" s="82"/>
      <c r="B642" s="82"/>
      <c r="C642" s="83"/>
      <c r="D642" s="84"/>
      <c r="E642" s="82"/>
      <c r="G642" s="85"/>
      <c r="H642" s="85"/>
      <c r="I642" s="86"/>
      <c r="M642" s="87"/>
      <c r="N642" s="88"/>
    </row>
    <row r="643" spans="1:14" ht="18.75" x14ac:dyDescent="0.25">
      <c r="A643" s="82"/>
      <c r="B643" s="82"/>
      <c r="C643" s="83"/>
      <c r="D643" s="84"/>
      <c r="E643" s="82"/>
      <c r="G643" s="85"/>
      <c r="H643" s="85"/>
      <c r="I643" s="86"/>
      <c r="M643" s="87"/>
      <c r="N643" s="88"/>
    </row>
    <row r="644" spans="1:14" ht="18.75" x14ac:dyDescent="0.25">
      <c r="A644" s="82"/>
      <c r="B644" s="82"/>
      <c r="C644" s="83"/>
      <c r="D644" s="84"/>
      <c r="E644" s="82"/>
      <c r="G644" s="85"/>
      <c r="H644" s="85"/>
      <c r="I644" s="86"/>
      <c r="M644" s="87"/>
      <c r="N644" s="88"/>
    </row>
    <row r="645" spans="1:14" ht="18.75" x14ac:dyDescent="0.25">
      <c r="A645" s="82"/>
      <c r="B645" s="82"/>
      <c r="C645" s="83"/>
      <c r="D645" s="84"/>
      <c r="E645" s="82"/>
      <c r="G645" s="85"/>
      <c r="H645" s="85"/>
      <c r="I645" s="86"/>
      <c r="M645" s="87"/>
      <c r="N645" s="88"/>
    </row>
    <row r="646" spans="1:14" ht="18.75" x14ac:dyDescent="0.25">
      <c r="A646" s="82"/>
      <c r="B646" s="82"/>
      <c r="C646" s="83"/>
      <c r="D646" s="84"/>
      <c r="E646" s="82"/>
      <c r="G646" s="85"/>
      <c r="H646" s="85"/>
      <c r="I646" s="86"/>
      <c r="M646" s="87"/>
      <c r="N646" s="88"/>
    </row>
    <row r="647" spans="1:14" ht="18.75" x14ac:dyDescent="0.25">
      <c r="A647" s="82"/>
      <c r="B647" s="82"/>
      <c r="C647" s="83"/>
      <c r="D647" s="84"/>
      <c r="E647" s="82"/>
      <c r="G647" s="85"/>
      <c r="H647" s="85"/>
      <c r="I647" s="86"/>
      <c r="M647" s="87"/>
      <c r="N647" s="88"/>
    </row>
    <row r="648" spans="1:14" ht="18.75" x14ac:dyDescent="0.25">
      <c r="A648" s="82"/>
      <c r="B648" s="82"/>
      <c r="C648" s="83"/>
      <c r="D648" s="84"/>
      <c r="E648" s="82"/>
      <c r="G648" s="85"/>
      <c r="H648" s="85"/>
      <c r="I648" s="86"/>
      <c r="M648" s="87"/>
      <c r="N648" s="88"/>
    </row>
    <row r="649" spans="1:14" ht="18.75" x14ac:dyDescent="0.25">
      <c r="A649" s="82"/>
      <c r="B649" s="82"/>
      <c r="C649" s="83"/>
      <c r="D649" s="84"/>
      <c r="E649" s="82"/>
      <c r="G649" s="85"/>
      <c r="H649" s="85"/>
      <c r="I649" s="86"/>
      <c r="M649" s="87"/>
      <c r="N649" s="88"/>
    </row>
    <row r="650" spans="1:14" ht="18.75" x14ac:dyDescent="0.25">
      <c r="A650" s="82"/>
      <c r="B650" s="82"/>
      <c r="C650" s="83"/>
      <c r="D650" s="84"/>
      <c r="E650" s="82"/>
      <c r="G650" s="85"/>
      <c r="H650" s="85"/>
      <c r="I650" s="86"/>
      <c r="M650" s="87"/>
      <c r="N650" s="88"/>
    </row>
    <row r="651" spans="1:14" ht="18.75" x14ac:dyDescent="0.25">
      <c r="A651" s="82"/>
      <c r="B651" s="82"/>
      <c r="C651" s="83"/>
      <c r="D651" s="84"/>
      <c r="E651" s="82"/>
      <c r="G651" s="85"/>
      <c r="H651" s="85"/>
      <c r="I651" s="86"/>
      <c r="M651" s="87"/>
      <c r="N651" s="88"/>
    </row>
    <row r="652" spans="1:14" ht="18.75" x14ac:dyDescent="0.25">
      <c r="A652" s="82"/>
      <c r="B652" s="82"/>
      <c r="C652" s="83"/>
      <c r="D652" s="84"/>
      <c r="E652" s="82"/>
      <c r="G652" s="85"/>
      <c r="H652" s="85"/>
      <c r="I652" s="86"/>
      <c r="M652" s="87"/>
      <c r="N652" s="88"/>
    </row>
    <row r="653" spans="1:14" ht="18.75" x14ac:dyDescent="0.25">
      <c r="A653" s="82"/>
      <c r="B653" s="82"/>
      <c r="C653" s="83"/>
      <c r="D653" s="84"/>
      <c r="E653" s="82"/>
      <c r="G653" s="85"/>
      <c r="H653" s="85"/>
      <c r="I653" s="86"/>
      <c r="M653" s="87"/>
      <c r="N653" s="88"/>
    </row>
    <row r="654" spans="1:14" ht="18.75" x14ac:dyDescent="0.25">
      <c r="A654" s="82"/>
      <c r="B654" s="82"/>
      <c r="C654" s="83"/>
      <c r="D654" s="84"/>
      <c r="E654" s="82"/>
      <c r="G654" s="85"/>
      <c r="H654" s="85"/>
      <c r="I654" s="86"/>
      <c r="M654" s="87"/>
      <c r="N654" s="88"/>
    </row>
    <row r="655" spans="1:14" ht="18.75" x14ac:dyDescent="0.25">
      <c r="A655" s="82"/>
      <c r="B655" s="82"/>
      <c r="C655" s="83"/>
      <c r="D655" s="84"/>
      <c r="E655" s="82"/>
      <c r="G655" s="85"/>
      <c r="H655" s="85"/>
      <c r="I655" s="86"/>
      <c r="M655" s="87"/>
      <c r="N655" s="88"/>
    </row>
    <row r="656" spans="1:14" ht="18.75" x14ac:dyDescent="0.25">
      <c r="A656" s="82"/>
      <c r="B656" s="82"/>
      <c r="C656" s="83"/>
      <c r="D656" s="84"/>
      <c r="E656" s="82"/>
      <c r="G656" s="85"/>
      <c r="H656" s="85"/>
      <c r="I656" s="86"/>
      <c r="M656" s="87"/>
      <c r="N656" s="88"/>
    </row>
    <row r="657" spans="1:14" ht="18.75" x14ac:dyDescent="0.25">
      <c r="A657" s="82"/>
      <c r="B657" s="82"/>
      <c r="C657" s="83"/>
      <c r="D657" s="84"/>
      <c r="E657" s="82"/>
      <c r="G657" s="85"/>
      <c r="H657" s="85"/>
      <c r="I657" s="86"/>
      <c r="M657" s="87"/>
      <c r="N657" s="88"/>
    </row>
    <row r="658" spans="1:14" ht="18.75" x14ac:dyDescent="0.25">
      <c r="A658" s="82"/>
      <c r="B658" s="82"/>
      <c r="C658" s="83"/>
      <c r="D658" s="84"/>
      <c r="E658" s="82"/>
      <c r="G658" s="85"/>
      <c r="H658" s="85"/>
      <c r="I658" s="86"/>
      <c r="M658" s="87"/>
      <c r="N658" s="88"/>
    </row>
    <row r="659" spans="1:14" ht="18.75" x14ac:dyDescent="0.25">
      <c r="A659" s="82"/>
      <c r="B659" s="82"/>
      <c r="C659" s="83"/>
      <c r="D659" s="84"/>
      <c r="E659" s="82"/>
      <c r="G659" s="85"/>
      <c r="H659" s="85"/>
      <c r="I659" s="86"/>
      <c r="M659" s="87"/>
      <c r="N659" s="88"/>
    </row>
    <row r="660" spans="1:14" ht="18.75" x14ac:dyDescent="0.25">
      <c r="A660" s="82"/>
      <c r="B660" s="82"/>
      <c r="C660" s="83"/>
      <c r="D660" s="84"/>
      <c r="E660" s="82"/>
      <c r="G660" s="85"/>
      <c r="H660" s="85"/>
      <c r="I660" s="86"/>
      <c r="M660" s="87"/>
      <c r="N660" s="88"/>
    </row>
    <row r="661" spans="1:14" ht="18.75" x14ac:dyDescent="0.25">
      <c r="A661" s="82"/>
      <c r="B661" s="82"/>
      <c r="C661" s="83"/>
      <c r="D661" s="84"/>
      <c r="E661" s="82"/>
      <c r="G661" s="85"/>
      <c r="H661" s="85"/>
      <c r="I661" s="86"/>
      <c r="M661" s="87"/>
      <c r="N661" s="88"/>
    </row>
    <row r="662" spans="1:14" ht="18.75" x14ac:dyDescent="0.25">
      <c r="A662" s="82"/>
      <c r="B662" s="82"/>
      <c r="C662" s="83"/>
      <c r="D662" s="84"/>
      <c r="E662" s="82"/>
      <c r="G662" s="85"/>
      <c r="H662" s="85"/>
      <c r="I662" s="86"/>
      <c r="M662" s="87"/>
      <c r="N662" s="88"/>
    </row>
    <row r="663" spans="1:14" ht="18.75" x14ac:dyDescent="0.25">
      <c r="A663" s="82"/>
      <c r="B663" s="82"/>
      <c r="C663" s="83"/>
      <c r="D663" s="84"/>
      <c r="E663" s="82"/>
      <c r="G663" s="85"/>
      <c r="H663" s="85"/>
      <c r="I663" s="86"/>
      <c r="M663" s="87"/>
      <c r="N663" s="88"/>
    </row>
    <row r="664" spans="1:14" ht="18.75" x14ac:dyDescent="0.25">
      <c r="A664" s="82"/>
      <c r="B664" s="82"/>
      <c r="C664" s="83"/>
      <c r="D664" s="84"/>
      <c r="E664" s="82"/>
      <c r="G664" s="85"/>
      <c r="H664" s="85"/>
      <c r="I664" s="86"/>
      <c r="M664" s="87"/>
      <c r="N664" s="88"/>
    </row>
    <row r="665" spans="1:14" ht="18.75" x14ac:dyDescent="0.25">
      <c r="A665" s="82"/>
      <c r="B665" s="82"/>
      <c r="C665" s="83"/>
      <c r="D665" s="84"/>
      <c r="E665" s="82"/>
      <c r="G665" s="85"/>
      <c r="H665" s="85"/>
      <c r="I665" s="86"/>
      <c r="M665" s="87"/>
      <c r="N665" s="88"/>
    </row>
    <row r="666" spans="1:14" ht="18.75" x14ac:dyDescent="0.25">
      <c r="A666" s="82"/>
      <c r="B666" s="82"/>
      <c r="C666" s="83"/>
      <c r="D666" s="84"/>
      <c r="E666" s="82"/>
      <c r="G666" s="85"/>
      <c r="H666" s="85"/>
      <c r="I666" s="86"/>
      <c r="M666" s="87"/>
      <c r="N666" s="88"/>
    </row>
    <row r="667" spans="1:14" ht="18.75" x14ac:dyDescent="0.25">
      <c r="A667" s="82"/>
      <c r="B667" s="82"/>
      <c r="C667" s="83"/>
      <c r="D667" s="84"/>
      <c r="E667" s="82"/>
      <c r="G667" s="85"/>
      <c r="H667" s="85"/>
      <c r="I667" s="86"/>
      <c r="M667" s="87"/>
      <c r="N667" s="88"/>
    </row>
    <row r="668" spans="1:14" ht="18.75" x14ac:dyDescent="0.25">
      <c r="A668" s="82"/>
      <c r="B668" s="82"/>
      <c r="C668" s="83"/>
      <c r="D668" s="84"/>
      <c r="E668" s="82"/>
      <c r="G668" s="85"/>
      <c r="H668" s="85"/>
      <c r="I668" s="86"/>
      <c r="M668" s="87"/>
      <c r="N668" s="88"/>
    </row>
    <row r="669" spans="1:14" ht="18.75" x14ac:dyDescent="0.25">
      <c r="A669" s="82"/>
      <c r="B669" s="82"/>
      <c r="C669" s="83"/>
      <c r="D669" s="84"/>
      <c r="E669" s="82"/>
      <c r="G669" s="85"/>
      <c r="H669" s="85"/>
      <c r="I669" s="86"/>
      <c r="M669" s="87"/>
      <c r="N669" s="88"/>
    </row>
    <row r="670" spans="1:14" ht="18.75" x14ac:dyDescent="0.25">
      <c r="A670" s="82"/>
      <c r="B670" s="82"/>
      <c r="C670" s="83"/>
      <c r="D670" s="84"/>
      <c r="E670" s="82"/>
      <c r="G670" s="85"/>
      <c r="H670" s="85"/>
      <c r="I670" s="86"/>
      <c r="M670" s="87"/>
      <c r="N670" s="88"/>
    </row>
    <row r="671" spans="1:14" ht="18.75" x14ac:dyDescent="0.25">
      <c r="A671" s="82"/>
      <c r="B671" s="82"/>
      <c r="C671" s="83"/>
      <c r="D671" s="84"/>
      <c r="E671" s="82"/>
      <c r="G671" s="85"/>
      <c r="H671" s="85"/>
      <c r="I671" s="86"/>
      <c r="M671" s="87"/>
      <c r="N671" s="88"/>
    </row>
    <row r="672" spans="1:14" ht="18.75" x14ac:dyDescent="0.25">
      <c r="A672" s="82"/>
      <c r="B672" s="82"/>
      <c r="C672" s="83"/>
      <c r="D672" s="84"/>
      <c r="E672" s="82"/>
      <c r="G672" s="85"/>
      <c r="H672" s="85"/>
      <c r="I672" s="86"/>
      <c r="M672" s="87"/>
      <c r="N672" s="88"/>
    </row>
    <row r="673" spans="1:14" ht="18.75" x14ac:dyDescent="0.25">
      <c r="A673" s="82"/>
      <c r="B673" s="82"/>
      <c r="C673" s="83"/>
      <c r="D673" s="84"/>
      <c r="E673" s="82"/>
      <c r="G673" s="85"/>
      <c r="H673" s="85"/>
      <c r="I673" s="86"/>
      <c r="M673" s="87"/>
      <c r="N673" s="88"/>
    </row>
    <row r="674" spans="1:14" ht="18.75" x14ac:dyDescent="0.25">
      <c r="A674" s="82"/>
      <c r="B674" s="82"/>
      <c r="C674" s="83"/>
      <c r="D674" s="84"/>
      <c r="E674" s="82"/>
      <c r="G674" s="85"/>
      <c r="H674" s="85"/>
      <c r="I674" s="86"/>
      <c r="M674" s="87"/>
      <c r="N674" s="88"/>
    </row>
    <row r="675" spans="1:14" ht="18.75" x14ac:dyDescent="0.25">
      <c r="A675" s="82"/>
      <c r="B675" s="82"/>
      <c r="C675" s="83"/>
      <c r="D675" s="84"/>
      <c r="E675" s="82"/>
      <c r="G675" s="85"/>
      <c r="H675" s="85"/>
      <c r="I675" s="86"/>
      <c r="M675" s="87"/>
      <c r="N675" s="88"/>
    </row>
    <row r="676" spans="1:14" ht="18.75" x14ac:dyDescent="0.25">
      <c r="A676" s="82"/>
      <c r="B676" s="82"/>
      <c r="C676" s="83"/>
      <c r="D676" s="84"/>
      <c r="E676" s="82"/>
      <c r="G676" s="85"/>
      <c r="H676" s="85"/>
      <c r="I676" s="86"/>
      <c r="M676" s="87"/>
      <c r="N676" s="88"/>
    </row>
    <row r="677" spans="1:14" ht="18.75" x14ac:dyDescent="0.25">
      <c r="A677" s="82"/>
      <c r="B677" s="82"/>
      <c r="C677" s="83"/>
      <c r="D677" s="84"/>
      <c r="E677" s="82"/>
      <c r="G677" s="85"/>
      <c r="H677" s="85"/>
      <c r="I677" s="86"/>
      <c r="M677" s="87"/>
      <c r="N677" s="88"/>
    </row>
    <row r="678" spans="1:14" ht="18.75" x14ac:dyDescent="0.25">
      <c r="A678" s="82"/>
      <c r="B678" s="82"/>
      <c r="C678" s="83"/>
      <c r="D678" s="84"/>
      <c r="E678" s="82"/>
      <c r="G678" s="85"/>
      <c r="H678" s="85"/>
      <c r="I678" s="86"/>
      <c r="M678" s="87"/>
      <c r="N678" s="88"/>
    </row>
    <row r="679" spans="1:14" ht="18.75" x14ac:dyDescent="0.25">
      <c r="A679" s="82"/>
      <c r="B679" s="82"/>
      <c r="C679" s="83"/>
      <c r="D679" s="84"/>
      <c r="E679" s="82"/>
      <c r="G679" s="85"/>
      <c r="H679" s="85"/>
      <c r="I679" s="86"/>
      <c r="M679" s="87"/>
      <c r="N679" s="88"/>
    </row>
    <row r="680" spans="1:14" ht="18.75" x14ac:dyDescent="0.25">
      <c r="A680" s="82"/>
      <c r="B680" s="82"/>
      <c r="C680" s="83"/>
      <c r="D680" s="84"/>
      <c r="E680" s="82"/>
      <c r="G680" s="85"/>
      <c r="H680" s="85"/>
      <c r="I680" s="86"/>
      <c r="M680" s="87"/>
      <c r="N680" s="88"/>
    </row>
    <row r="681" spans="1:14" ht="18.75" x14ac:dyDescent="0.25">
      <c r="A681" s="82"/>
      <c r="B681" s="82"/>
      <c r="C681" s="83"/>
      <c r="D681" s="84"/>
      <c r="E681" s="82"/>
      <c r="G681" s="85"/>
      <c r="H681" s="85"/>
      <c r="I681" s="86"/>
      <c r="M681" s="87"/>
      <c r="N681" s="88"/>
    </row>
    <row r="682" spans="1:14" ht="18.75" x14ac:dyDescent="0.25">
      <c r="A682" s="82"/>
      <c r="B682" s="82"/>
      <c r="C682" s="83"/>
      <c r="D682" s="84"/>
      <c r="E682" s="82"/>
      <c r="G682" s="85"/>
      <c r="H682" s="85"/>
      <c r="I682" s="86"/>
      <c r="M682" s="87"/>
      <c r="N682" s="88"/>
    </row>
    <row r="683" spans="1:14" ht="18.75" x14ac:dyDescent="0.25">
      <c r="A683" s="82"/>
      <c r="B683" s="82"/>
      <c r="C683" s="83"/>
      <c r="D683" s="84"/>
      <c r="E683" s="82"/>
      <c r="G683" s="85"/>
      <c r="H683" s="85"/>
      <c r="I683" s="86"/>
      <c r="M683" s="87"/>
      <c r="N683" s="88"/>
    </row>
    <row r="684" spans="1:14" ht="18.75" x14ac:dyDescent="0.25">
      <c r="A684" s="82"/>
      <c r="B684" s="82"/>
      <c r="C684" s="83"/>
      <c r="D684" s="84"/>
      <c r="E684" s="82"/>
      <c r="G684" s="85"/>
      <c r="H684" s="85"/>
      <c r="I684" s="86"/>
      <c r="M684" s="87"/>
      <c r="N684" s="88"/>
    </row>
    <row r="685" spans="1:14" ht="18.75" x14ac:dyDescent="0.25">
      <c r="A685" s="82"/>
      <c r="B685" s="82"/>
      <c r="C685" s="83"/>
      <c r="D685" s="84"/>
      <c r="E685" s="82"/>
      <c r="G685" s="85"/>
      <c r="H685" s="85"/>
      <c r="I685" s="86"/>
      <c r="M685" s="87"/>
      <c r="N685" s="88"/>
    </row>
    <row r="686" spans="1:14" ht="18.75" x14ac:dyDescent="0.25">
      <c r="A686" s="82"/>
      <c r="B686" s="82"/>
      <c r="C686" s="83"/>
      <c r="D686" s="84"/>
      <c r="E686" s="82"/>
      <c r="G686" s="85"/>
      <c r="H686" s="85"/>
      <c r="I686" s="86"/>
      <c r="M686" s="87"/>
      <c r="N686" s="88"/>
    </row>
    <row r="687" spans="1:14" ht="18.75" x14ac:dyDescent="0.25">
      <c r="A687" s="82"/>
      <c r="B687" s="82"/>
      <c r="C687" s="83"/>
      <c r="D687" s="84"/>
      <c r="E687" s="82"/>
      <c r="G687" s="85"/>
      <c r="H687" s="85"/>
      <c r="I687" s="86"/>
      <c r="M687" s="87"/>
      <c r="N687" s="88"/>
    </row>
    <row r="688" spans="1:14" ht="18.75" x14ac:dyDescent="0.25">
      <c r="A688" s="82"/>
      <c r="B688" s="82"/>
      <c r="C688" s="83"/>
      <c r="D688" s="84"/>
      <c r="E688" s="82"/>
      <c r="G688" s="85"/>
      <c r="H688" s="85"/>
      <c r="I688" s="86"/>
      <c r="M688" s="87"/>
      <c r="N688" s="88"/>
    </row>
    <row r="689" spans="1:14" ht="18.75" x14ac:dyDescent="0.25">
      <c r="A689" s="82"/>
      <c r="B689" s="82"/>
      <c r="C689" s="83"/>
      <c r="D689" s="84"/>
      <c r="E689" s="82"/>
      <c r="G689" s="85"/>
      <c r="H689" s="85"/>
      <c r="I689" s="86"/>
      <c r="M689" s="87"/>
      <c r="N689" s="88"/>
    </row>
    <row r="690" spans="1:14" ht="18.75" x14ac:dyDescent="0.25">
      <c r="A690" s="82"/>
      <c r="B690" s="82"/>
      <c r="C690" s="83"/>
      <c r="D690" s="84"/>
      <c r="E690" s="82"/>
      <c r="G690" s="85"/>
      <c r="H690" s="85"/>
      <c r="I690" s="86"/>
      <c r="M690" s="87"/>
      <c r="N690" s="88"/>
    </row>
    <row r="691" spans="1:14" ht="18.75" x14ac:dyDescent="0.25">
      <c r="A691" s="82"/>
      <c r="B691" s="82"/>
      <c r="C691" s="83"/>
      <c r="D691" s="84"/>
      <c r="E691" s="82"/>
      <c r="G691" s="85"/>
      <c r="H691" s="85"/>
      <c r="I691" s="86"/>
      <c r="M691" s="87"/>
      <c r="N691" s="88"/>
    </row>
    <row r="692" spans="1:14" ht="18.75" x14ac:dyDescent="0.25">
      <c r="A692" s="82"/>
      <c r="B692" s="82"/>
      <c r="C692" s="83"/>
      <c r="D692" s="84"/>
      <c r="E692" s="82"/>
      <c r="G692" s="85"/>
      <c r="H692" s="85"/>
      <c r="I692" s="86"/>
      <c r="M692" s="87"/>
      <c r="N692" s="88"/>
    </row>
    <row r="693" spans="1:14" ht="18.75" x14ac:dyDescent="0.25">
      <c r="A693" s="82"/>
      <c r="B693" s="82"/>
      <c r="C693" s="83"/>
      <c r="D693" s="84"/>
      <c r="E693" s="82"/>
      <c r="G693" s="85"/>
      <c r="H693" s="85"/>
      <c r="I693" s="86"/>
      <c r="M693" s="87"/>
      <c r="N693" s="88"/>
    </row>
    <row r="694" spans="1:14" ht="18.75" x14ac:dyDescent="0.25">
      <c r="A694" s="82"/>
      <c r="B694" s="82"/>
      <c r="C694" s="83"/>
      <c r="D694" s="84"/>
      <c r="E694" s="82"/>
      <c r="G694" s="85"/>
      <c r="H694" s="85"/>
      <c r="I694" s="86"/>
      <c r="M694" s="87"/>
      <c r="N694" s="88"/>
    </row>
    <row r="695" spans="1:14" ht="18.75" x14ac:dyDescent="0.25">
      <c r="A695" s="82"/>
      <c r="B695" s="82"/>
      <c r="C695" s="83"/>
      <c r="D695" s="84"/>
      <c r="E695" s="82"/>
      <c r="G695" s="85"/>
      <c r="H695" s="85"/>
      <c r="I695" s="86"/>
      <c r="M695" s="87"/>
      <c r="N695" s="88"/>
    </row>
    <row r="696" spans="1:14" ht="18.75" x14ac:dyDescent="0.25">
      <c r="A696" s="82"/>
      <c r="B696" s="82"/>
      <c r="C696" s="83"/>
      <c r="D696" s="84"/>
      <c r="E696" s="82"/>
      <c r="G696" s="85"/>
      <c r="H696" s="85"/>
      <c r="I696" s="86"/>
      <c r="M696" s="87"/>
      <c r="N696" s="88"/>
    </row>
    <row r="697" spans="1:14" ht="18.75" x14ac:dyDescent="0.25">
      <c r="A697" s="82"/>
      <c r="B697" s="82"/>
      <c r="C697" s="83"/>
      <c r="D697" s="84"/>
      <c r="E697" s="82"/>
      <c r="G697" s="85"/>
      <c r="H697" s="85"/>
      <c r="I697" s="86"/>
      <c r="M697" s="87"/>
      <c r="N697" s="88"/>
    </row>
    <row r="698" spans="1:14" ht="18.75" x14ac:dyDescent="0.25">
      <c r="A698" s="82"/>
      <c r="B698" s="82"/>
      <c r="C698" s="83"/>
      <c r="D698" s="84"/>
      <c r="E698" s="82"/>
      <c r="G698" s="85"/>
      <c r="H698" s="85"/>
      <c r="I698" s="86"/>
      <c r="M698" s="87"/>
      <c r="N698" s="88"/>
    </row>
    <row r="699" spans="1:14" ht="18.75" x14ac:dyDescent="0.25">
      <c r="A699" s="82"/>
      <c r="B699" s="82"/>
      <c r="C699" s="83"/>
      <c r="D699" s="84"/>
      <c r="E699" s="82"/>
      <c r="G699" s="85"/>
      <c r="H699" s="85"/>
      <c r="I699" s="86"/>
      <c r="M699" s="87"/>
      <c r="N699" s="88"/>
    </row>
    <row r="700" spans="1:14" ht="18.75" x14ac:dyDescent="0.25">
      <c r="A700" s="82"/>
      <c r="B700" s="82"/>
      <c r="C700" s="83"/>
      <c r="D700" s="84"/>
      <c r="E700" s="82"/>
      <c r="G700" s="85"/>
      <c r="H700" s="85"/>
      <c r="I700" s="86"/>
      <c r="M700" s="87"/>
      <c r="N700" s="88"/>
    </row>
    <row r="701" spans="1:14" ht="18.75" x14ac:dyDescent="0.25">
      <c r="A701" s="82"/>
      <c r="B701" s="82"/>
      <c r="C701" s="83"/>
      <c r="D701" s="84"/>
      <c r="E701" s="82"/>
      <c r="G701" s="85"/>
      <c r="H701" s="85"/>
      <c r="I701" s="86"/>
      <c r="M701" s="87"/>
      <c r="N701" s="88"/>
    </row>
    <row r="702" spans="1:14" ht="18.75" x14ac:dyDescent="0.25">
      <c r="A702" s="82"/>
      <c r="B702" s="82"/>
      <c r="C702" s="83"/>
      <c r="D702" s="84"/>
      <c r="E702" s="82"/>
      <c r="G702" s="85"/>
      <c r="H702" s="85"/>
      <c r="I702" s="86"/>
      <c r="M702" s="87"/>
      <c r="N702" s="88"/>
    </row>
    <row r="703" spans="1:14" ht="18.75" x14ac:dyDescent="0.25">
      <c r="A703" s="82"/>
      <c r="B703" s="82"/>
      <c r="C703" s="83"/>
      <c r="D703" s="84"/>
      <c r="E703" s="82"/>
      <c r="G703" s="85"/>
      <c r="H703" s="85"/>
      <c r="I703" s="86"/>
      <c r="M703" s="87"/>
      <c r="N703" s="88"/>
    </row>
    <row r="704" spans="1:14" ht="18.75" x14ac:dyDescent="0.25">
      <c r="A704" s="82"/>
      <c r="B704" s="82"/>
      <c r="C704" s="83"/>
      <c r="D704" s="84"/>
      <c r="E704" s="82"/>
      <c r="G704" s="85"/>
      <c r="H704" s="85"/>
      <c r="I704" s="86"/>
      <c r="M704" s="87"/>
      <c r="N704" s="88"/>
    </row>
    <row r="705" spans="1:14" ht="18.75" x14ac:dyDescent="0.25">
      <c r="A705" s="82"/>
      <c r="B705" s="82"/>
      <c r="C705" s="83"/>
      <c r="D705" s="84"/>
      <c r="E705" s="82"/>
      <c r="G705" s="85"/>
      <c r="H705" s="85"/>
      <c r="I705" s="86"/>
      <c r="M705" s="87"/>
      <c r="N705" s="88"/>
    </row>
    <row r="706" spans="1:14" ht="18.75" x14ac:dyDescent="0.25">
      <c r="A706" s="82"/>
      <c r="B706" s="82"/>
      <c r="C706" s="83"/>
      <c r="D706" s="84"/>
      <c r="E706" s="82"/>
      <c r="G706" s="85"/>
      <c r="H706" s="85"/>
      <c r="I706" s="86"/>
      <c r="M706" s="87"/>
      <c r="N706" s="88"/>
    </row>
    <row r="707" spans="1:14" ht="18.75" x14ac:dyDescent="0.25">
      <c r="A707" s="82"/>
      <c r="B707" s="82"/>
      <c r="C707" s="83"/>
      <c r="D707" s="84"/>
      <c r="E707" s="82"/>
      <c r="G707" s="85"/>
      <c r="H707" s="85"/>
      <c r="I707" s="86"/>
      <c r="M707" s="87"/>
      <c r="N707" s="88"/>
    </row>
    <row r="708" spans="1:14" ht="18.75" x14ac:dyDescent="0.25">
      <c r="A708" s="82"/>
      <c r="B708" s="82"/>
      <c r="C708" s="83"/>
      <c r="D708" s="84"/>
      <c r="E708" s="82"/>
      <c r="G708" s="85"/>
      <c r="H708" s="85"/>
      <c r="I708" s="86"/>
      <c r="M708" s="87"/>
      <c r="N708" s="88"/>
    </row>
    <row r="709" spans="1:14" ht="18.75" x14ac:dyDescent="0.25">
      <c r="A709" s="82"/>
      <c r="B709" s="82"/>
      <c r="C709" s="83"/>
      <c r="D709" s="84"/>
      <c r="E709" s="82"/>
      <c r="G709" s="85"/>
      <c r="H709" s="85"/>
      <c r="I709" s="86"/>
      <c r="M709" s="87"/>
      <c r="N709" s="88"/>
    </row>
    <row r="710" spans="1:14" ht="18.75" x14ac:dyDescent="0.25">
      <c r="A710" s="82"/>
      <c r="B710" s="82"/>
      <c r="C710" s="83"/>
      <c r="D710" s="84"/>
      <c r="E710" s="82"/>
      <c r="G710" s="85"/>
      <c r="H710" s="85"/>
      <c r="I710" s="86"/>
      <c r="M710" s="87"/>
      <c r="N710" s="88"/>
    </row>
    <row r="711" spans="1:14" ht="18.75" x14ac:dyDescent="0.25">
      <c r="A711" s="82"/>
      <c r="B711" s="82"/>
      <c r="C711" s="83"/>
      <c r="D711" s="84"/>
      <c r="E711" s="82"/>
      <c r="G711" s="85"/>
      <c r="H711" s="85"/>
      <c r="I711" s="86"/>
      <c r="M711" s="87"/>
      <c r="N711" s="88"/>
    </row>
    <row r="712" spans="1:14" ht="18.75" x14ac:dyDescent="0.25">
      <c r="A712" s="82"/>
      <c r="B712" s="82"/>
      <c r="C712" s="83"/>
      <c r="D712" s="84"/>
      <c r="E712" s="82"/>
      <c r="G712" s="85"/>
      <c r="H712" s="85"/>
      <c r="I712" s="86"/>
      <c r="M712" s="87"/>
      <c r="N712" s="88"/>
    </row>
    <row r="713" spans="1:14" ht="18.75" x14ac:dyDescent="0.25">
      <c r="A713" s="82"/>
      <c r="B713" s="82"/>
      <c r="C713" s="83"/>
      <c r="D713" s="84"/>
      <c r="E713" s="82"/>
      <c r="G713" s="85"/>
      <c r="H713" s="85"/>
      <c r="I713" s="86"/>
      <c r="M713" s="87"/>
      <c r="N713" s="88"/>
    </row>
    <row r="714" spans="1:14" ht="18.75" x14ac:dyDescent="0.25">
      <c r="A714" s="82"/>
      <c r="B714" s="82"/>
      <c r="C714" s="83"/>
      <c r="D714" s="84"/>
      <c r="E714" s="82"/>
      <c r="G714" s="85"/>
      <c r="H714" s="85"/>
      <c r="I714" s="86"/>
      <c r="M714" s="87"/>
      <c r="N714" s="88"/>
    </row>
    <row r="715" spans="1:14" ht="18.75" x14ac:dyDescent="0.25">
      <c r="A715" s="82"/>
      <c r="B715" s="82"/>
      <c r="C715" s="83"/>
      <c r="D715" s="84"/>
      <c r="E715" s="82"/>
      <c r="G715" s="85"/>
      <c r="H715" s="85"/>
      <c r="I715" s="86"/>
      <c r="M715" s="87"/>
      <c r="N715" s="88"/>
    </row>
    <row r="716" spans="1:14" ht="18.75" x14ac:dyDescent="0.25">
      <c r="A716" s="82"/>
      <c r="B716" s="82"/>
      <c r="C716" s="83"/>
      <c r="D716" s="84"/>
      <c r="E716" s="82"/>
      <c r="G716" s="85"/>
      <c r="H716" s="85"/>
      <c r="I716" s="86"/>
      <c r="M716" s="87"/>
      <c r="N716" s="88"/>
    </row>
    <row r="717" spans="1:14" ht="18.75" x14ac:dyDescent="0.25">
      <c r="A717" s="82"/>
      <c r="B717" s="82"/>
      <c r="C717" s="83"/>
      <c r="D717" s="84"/>
      <c r="E717" s="82"/>
      <c r="G717" s="85"/>
      <c r="H717" s="85"/>
      <c r="I717" s="86"/>
      <c r="M717" s="87"/>
      <c r="N717" s="88"/>
    </row>
    <row r="718" spans="1:14" ht="18.75" x14ac:dyDescent="0.25">
      <c r="A718" s="82"/>
      <c r="B718" s="82"/>
      <c r="C718" s="83"/>
      <c r="D718" s="84"/>
      <c r="E718" s="82"/>
      <c r="G718" s="85"/>
      <c r="H718" s="85"/>
      <c r="I718" s="86"/>
      <c r="M718" s="87"/>
      <c r="N718" s="88"/>
    </row>
    <row r="719" spans="1:14" ht="18.75" x14ac:dyDescent="0.25">
      <c r="A719" s="82"/>
      <c r="B719" s="82"/>
      <c r="C719" s="83"/>
      <c r="D719" s="84"/>
      <c r="E719" s="82"/>
      <c r="G719" s="85"/>
      <c r="H719" s="85"/>
      <c r="I719" s="86"/>
      <c r="M719" s="87"/>
      <c r="N719" s="88"/>
    </row>
    <row r="720" spans="1:14" ht="18.75" x14ac:dyDescent="0.25">
      <c r="A720" s="82"/>
      <c r="B720" s="82"/>
      <c r="C720" s="83"/>
      <c r="D720" s="84"/>
      <c r="E720" s="82"/>
      <c r="G720" s="85"/>
      <c r="H720" s="85"/>
      <c r="I720" s="86"/>
      <c r="M720" s="87"/>
      <c r="N720" s="88"/>
    </row>
    <row r="721" spans="1:14" ht="18.75" x14ac:dyDescent="0.25">
      <c r="A721" s="82"/>
      <c r="B721" s="82"/>
      <c r="C721" s="83"/>
      <c r="D721" s="84"/>
      <c r="E721" s="82"/>
      <c r="G721" s="85"/>
      <c r="H721" s="85"/>
      <c r="I721" s="86"/>
      <c r="M721" s="87"/>
      <c r="N721" s="88"/>
    </row>
    <row r="722" spans="1:14" ht="18.75" x14ac:dyDescent="0.25">
      <c r="A722" s="82"/>
      <c r="B722" s="82"/>
      <c r="C722" s="83"/>
      <c r="D722" s="84"/>
      <c r="E722" s="82"/>
      <c r="G722" s="85"/>
      <c r="H722" s="85"/>
      <c r="I722" s="86"/>
      <c r="M722" s="87"/>
      <c r="N722" s="88"/>
    </row>
    <row r="723" spans="1:14" ht="18.75" x14ac:dyDescent="0.25">
      <c r="A723" s="82"/>
      <c r="B723" s="82"/>
      <c r="C723" s="83"/>
      <c r="D723" s="84"/>
      <c r="E723" s="82"/>
      <c r="G723" s="85"/>
      <c r="H723" s="85"/>
      <c r="I723" s="86"/>
      <c r="M723" s="87"/>
      <c r="N723" s="88"/>
    </row>
    <row r="724" spans="1:14" ht="18.75" x14ac:dyDescent="0.25">
      <c r="A724" s="82"/>
      <c r="B724" s="82"/>
      <c r="C724" s="83"/>
      <c r="D724" s="84"/>
      <c r="E724" s="82"/>
      <c r="G724" s="85"/>
      <c r="H724" s="85"/>
      <c r="I724" s="86"/>
      <c r="M724" s="87"/>
      <c r="N724" s="88"/>
    </row>
    <row r="725" spans="1:14" ht="18.75" x14ac:dyDescent="0.25">
      <c r="A725" s="82"/>
      <c r="B725" s="82"/>
      <c r="C725" s="83"/>
      <c r="D725" s="84"/>
      <c r="E725" s="82"/>
      <c r="G725" s="85"/>
      <c r="H725" s="85"/>
      <c r="I725" s="86"/>
      <c r="M725" s="87"/>
      <c r="N725" s="88"/>
    </row>
    <row r="726" spans="1:14" ht="18.75" x14ac:dyDescent="0.25">
      <c r="A726" s="82"/>
      <c r="B726" s="82"/>
      <c r="C726" s="83"/>
      <c r="D726" s="84"/>
      <c r="E726" s="82"/>
      <c r="G726" s="85"/>
      <c r="H726" s="85"/>
      <c r="I726" s="86"/>
      <c r="M726" s="87"/>
      <c r="N726" s="88"/>
    </row>
    <row r="727" spans="1:14" ht="18.75" x14ac:dyDescent="0.25">
      <c r="A727" s="82"/>
      <c r="B727" s="82"/>
      <c r="C727" s="83"/>
      <c r="D727" s="84"/>
      <c r="E727" s="82"/>
      <c r="G727" s="85"/>
      <c r="H727" s="85"/>
      <c r="I727" s="86"/>
      <c r="M727" s="87"/>
      <c r="N727" s="88"/>
    </row>
    <row r="728" spans="1:14" ht="18.75" x14ac:dyDescent="0.25">
      <c r="A728" s="82"/>
      <c r="B728" s="82"/>
      <c r="C728" s="83"/>
      <c r="D728" s="84"/>
      <c r="E728" s="82"/>
      <c r="G728" s="85"/>
      <c r="H728" s="85"/>
      <c r="I728" s="86"/>
      <c r="M728" s="87"/>
      <c r="N728" s="88"/>
    </row>
    <row r="729" spans="1:14" ht="18.75" x14ac:dyDescent="0.25">
      <c r="A729" s="82"/>
      <c r="B729" s="82"/>
      <c r="C729" s="83"/>
      <c r="D729" s="84"/>
      <c r="E729" s="82"/>
      <c r="G729" s="85"/>
      <c r="H729" s="85"/>
      <c r="I729" s="86"/>
      <c r="M729" s="87"/>
      <c r="N729" s="88"/>
    </row>
    <row r="730" spans="1:14" ht="18.75" x14ac:dyDescent="0.25">
      <c r="A730" s="82"/>
      <c r="B730" s="82"/>
      <c r="C730" s="83"/>
      <c r="D730" s="84"/>
      <c r="E730" s="82"/>
      <c r="G730" s="85"/>
      <c r="H730" s="85"/>
      <c r="I730" s="86"/>
      <c r="M730" s="87"/>
      <c r="N730" s="88"/>
    </row>
    <row r="731" spans="1:14" ht="18.75" x14ac:dyDescent="0.25">
      <c r="A731" s="82"/>
      <c r="B731" s="82"/>
      <c r="C731" s="83"/>
      <c r="D731" s="84"/>
      <c r="E731" s="82"/>
      <c r="G731" s="85"/>
      <c r="H731" s="85"/>
      <c r="I731" s="86"/>
      <c r="M731" s="87"/>
      <c r="N731" s="88"/>
    </row>
    <row r="732" spans="1:14" ht="18.75" x14ac:dyDescent="0.25">
      <c r="A732" s="82"/>
      <c r="B732" s="82"/>
      <c r="C732" s="83"/>
      <c r="D732" s="84"/>
      <c r="E732" s="82"/>
      <c r="G732" s="85"/>
      <c r="H732" s="85"/>
      <c r="I732" s="86"/>
      <c r="M732" s="87"/>
      <c r="N732" s="88"/>
    </row>
    <row r="733" spans="1:14" ht="18.75" x14ac:dyDescent="0.25">
      <c r="A733" s="82"/>
      <c r="B733" s="82"/>
      <c r="C733" s="83"/>
      <c r="D733" s="84"/>
      <c r="E733" s="82"/>
      <c r="G733" s="85"/>
      <c r="H733" s="85"/>
      <c r="I733" s="86"/>
      <c r="M733" s="87"/>
      <c r="N733" s="88"/>
    </row>
    <row r="734" spans="1:14" ht="18.75" x14ac:dyDescent="0.25">
      <c r="A734" s="82"/>
      <c r="B734" s="82"/>
      <c r="C734" s="83"/>
      <c r="D734" s="84"/>
      <c r="E734" s="82"/>
      <c r="G734" s="85"/>
      <c r="H734" s="85"/>
      <c r="I734" s="86"/>
      <c r="M734" s="87"/>
      <c r="N734" s="88"/>
    </row>
    <row r="735" spans="1:14" ht="18.75" x14ac:dyDescent="0.25">
      <c r="A735" s="82"/>
      <c r="B735" s="82"/>
      <c r="C735" s="83"/>
      <c r="D735" s="84"/>
      <c r="E735" s="82"/>
      <c r="G735" s="85"/>
      <c r="H735" s="85"/>
      <c r="I735" s="86"/>
      <c r="M735" s="87"/>
      <c r="N735" s="88"/>
    </row>
    <row r="736" spans="1:14" ht="18.75" x14ac:dyDescent="0.25">
      <c r="A736" s="82"/>
      <c r="B736" s="82"/>
      <c r="C736" s="83"/>
      <c r="D736" s="84"/>
      <c r="E736" s="82"/>
      <c r="G736" s="85"/>
      <c r="H736" s="85"/>
      <c r="I736" s="86"/>
      <c r="M736" s="87"/>
      <c r="N736" s="88"/>
    </row>
    <row r="737" spans="1:14" ht="18.75" x14ac:dyDescent="0.25">
      <c r="A737" s="82"/>
      <c r="B737" s="82"/>
      <c r="C737" s="83"/>
      <c r="D737" s="84"/>
      <c r="E737" s="82"/>
      <c r="G737" s="85"/>
      <c r="H737" s="85"/>
      <c r="I737" s="86"/>
      <c r="M737" s="87"/>
      <c r="N737" s="88"/>
    </row>
    <row r="738" spans="1:14" ht="18.75" x14ac:dyDescent="0.25">
      <c r="A738" s="82"/>
      <c r="B738" s="82"/>
      <c r="C738" s="83"/>
      <c r="D738" s="84"/>
      <c r="E738" s="82"/>
      <c r="G738" s="85"/>
      <c r="H738" s="85"/>
      <c r="I738" s="86"/>
      <c r="M738" s="87"/>
      <c r="N738" s="88"/>
    </row>
    <row r="739" spans="1:14" ht="18.75" x14ac:dyDescent="0.25">
      <c r="A739" s="82"/>
      <c r="B739" s="82"/>
      <c r="C739" s="83"/>
      <c r="D739" s="84"/>
      <c r="E739" s="82"/>
      <c r="G739" s="85"/>
      <c r="H739" s="85"/>
      <c r="I739" s="86"/>
      <c r="M739" s="87"/>
      <c r="N739" s="88"/>
    </row>
    <row r="740" spans="1:14" ht="18.75" x14ac:dyDescent="0.25">
      <c r="A740" s="82"/>
      <c r="B740" s="82"/>
      <c r="C740" s="83"/>
      <c r="D740" s="84"/>
      <c r="E740" s="82"/>
      <c r="G740" s="85"/>
      <c r="H740" s="85"/>
      <c r="I740" s="86"/>
      <c r="M740" s="87"/>
      <c r="N740" s="88"/>
    </row>
    <row r="741" spans="1:14" ht="18.75" x14ac:dyDescent="0.25">
      <c r="A741" s="82"/>
      <c r="B741" s="82"/>
      <c r="C741" s="83"/>
      <c r="D741" s="84"/>
      <c r="E741" s="82"/>
      <c r="G741" s="85"/>
      <c r="H741" s="85"/>
      <c r="I741" s="86"/>
      <c r="M741" s="87"/>
      <c r="N741" s="88"/>
    </row>
    <row r="742" spans="1:14" ht="18.75" x14ac:dyDescent="0.25">
      <c r="A742" s="82"/>
      <c r="B742" s="82"/>
      <c r="C742" s="83"/>
      <c r="D742" s="84"/>
      <c r="E742" s="82"/>
      <c r="G742" s="85"/>
      <c r="H742" s="85"/>
      <c r="I742" s="86"/>
      <c r="M742" s="87"/>
      <c r="N742" s="88"/>
    </row>
    <row r="743" spans="1:14" ht="18.75" x14ac:dyDescent="0.25">
      <c r="A743" s="82"/>
      <c r="B743" s="82"/>
      <c r="C743" s="83"/>
      <c r="D743" s="84"/>
      <c r="E743" s="82"/>
      <c r="G743" s="85"/>
      <c r="H743" s="85"/>
      <c r="I743" s="86"/>
      <c r="M743" s="87"/>
      <c r="N743" s="88"/>
    </row>
    <row r="744" spans="1:14" ht="18.75" x14ac:dyDescent="0.25">
      <c r="A744" s="82"/>
      <c r="B744" s="82"/>
      <c r="C744" s="83"/>
      <c r="D744" s="84"/>
      <c r="E744" s="82"/>
      <c r="G744" s="85"/>
      <c r="H744" s="85"/>
      <c r="I744" s="86"/>
      <c r="M744" s="87"/>
      <c r="N744" s="88"/>
    </row>
    <row r="745" spans="1:14" ht="18.75" x14ac:dyDescent="0.25">
      <c r="A745" s="82"/>
      <c r="B745" s="82"/>
      <c r="C745" s="83"/>
      <c r="D745" s="84"/>
      <c r="E745" s="82"/>
      <c r="G745" s="85"/>
      <c r="H745" s="85"/>
      <c r="I745" s="86"/>
      <c r="M745" s="87"/>
      <c r="N745" s="88"/>
    </row>
    <row r="746" spans="1:14" ht="18.75" x14ac:dyDescent="0.25">
      <c r="A746" s="82"/>
      <c r="B746" s="82"/>
      <c r="C746" s="83"/>
      <c r="D746" s="84"/>
      <c r="E746" s="82"/>
      <c r="G746" s="85"/>
      <c r="H746" s="85"/>
      <c r="I746" s="86"/>
      <c r="M746" s="87"/>
      <c r="N746" s="88"/>
    </row>
    <row r="747" spans="1:14" ht="18.75" x14ac:dyDescent="0.25">
      <c r="A747" s="82"/>
      <c r="B747" s="82"/>
      <c r="C747" s="83"/>
      <c r="D747" s="84"/>
      <c r="E747" s="82"/>
      <c r="G747" s="85"/>
      <c r="H747" s="85"/>
      <c r="I747" s="86"/>
      <c r="M747" s="87"/>
      <c r="N747" s="88"/>
    </row>
    <row r="748" spans="1:14" ht="18.75" x14ac:dyDescent="0.25">
      <c r="A748" s="82"/>
      <c r="B748" s="82"/>
      <c r="C748" s="83"/>
      <c r="D748" s="84"/>
      <c r="E748" s="82"/>
      <c r="G748" s="85"/>
      <c r="H748" s="85"/>
      <c r="I748" s="86"/>
      <c r="M748" s="87"/>
      <c r="N748" s="88"/>
    </row>
    <row r="749" spans="1:14" ht="18.75" x14ac:dyDescent="0.25">
      <c r="A749" s="82"/>
      <c r="B749" s="82"/>
      <c r="C749" s="83"/>
      <c r="D749" s="84"/>
      <c r="E749" s="82"/>
      <c r="G749" s="85"/>
      <c r="H749" s="85"/>
      <c r="I749" s="86"/>
      <c r="M749" s="87"/>
      <c r="N749" s="88"/>
    </row>
    <row r="750" spans="1:14" ht="18.75" x14ac:dyDescent="0.25">
      <c r="A750" s="82"/>
      <c r="B750" s="82"/>
      <c r="C750" s="83"/>
      <c r="D750" s="84"/>
      <c r="E750" s="82"/>
      <c r="G750" s="85"/>
      <c r="H750" s="85"/>
      <c r="I750" s="86"/>
      <c r="M750" s="87"/>
      <c r="N750" s="88"/>
    </row>
    <row r="751" spans="1:14" ht="18.75" x14ac:dyDescent="0.25">
      <c r="A751" s="82"/>
      <c r="B751" s="82"/>
      <c r="C751" s="83"/>
      <c r="D751" s="84"/>
      <c r="E751" s="82"/>
      <c r="G751" s="85"/>
      <c r="H751" s="85"/>
      <c r="I751" s="86"/>
      <c r="M751" s="87"/>
      <c r="N751" s="88"/>
    </row>
    <row r="752" spans="1:14" ht="18.75" x14ac:dyDescent="0.25">
      <c r="A752" s="82"/>
      <c r="B752" s="82"/>
      <c r="C752" s="83"/>
      <c r="D752" s="84"/>
      <c r="E752" s="82"/>
      <c r="G752" s="85"/>
      <c r="H752" s="85"/>
      <c r="I752" s="86"/>
      <c r="M752" s="87"/>
      <c r="N752" s="88"/>
    </row>
    <row r="753" spans="1:14" ht="18.75" x14ac:dyDescent="0.25">
      <c r="A753" s="82"/>
      <c r="B753" s="82"/>
      <c r="C753" s="83"/>
      <c r="D753" s="84"/>
      <c r="E753" s="82"/>
      <c r="G753" s="85"/>
      <c r="H753" s="85"/>
      <c r="I753" s="86"/>
      <c r="M753" s="87"/>
      <c r="N753" s="88"/>
    </row>
    <row r="754" spans="1:14" ht="18.75" x14ac:dyDescent="0.25">
      <c r="A754" s="82"/>
      <c r="B754" s="82"/>
      <c r="C754" s="83"/>
      <c r="D754" s="84"/>
      <c r="E754" s="82"/>
      <c r="G754" s="85"/>
      <c r="H754" s="85"/>
      <c r="I754" s="86"/>
      <c r="M754" s="87"/>
      <c r="N754" s="88"/>
    </row>
    <row r="755" spans="1:14" ht="18.75" x14ac:dyDescent="0.25">
      <c r="A755" s="82"/>
      <c r="B755" s="82"/>
      <c r="C755" s="83"/>
      <c r="D755" s="84"/>
      <c r="E755" s="82"/>
      <c r="G755" s="85"/>
      <c r="H755" s="85"/>
      <c r="I755" s="86"/>
      <c r="M755" s="87"/>
      <c r="N755" s="88"/>
    </row>
    <row r="756" spans="1:14" ht="18.75" x14ac:dyDescent="0.25">
      <c r="A756" s="82"/>
      <c r="B756" s="82"/>
      <c r="C756" s="83"/>
      <c r="D756" s="84"/>
      <c r="E756" s="82"/>
      <c r="G756" s="85"/>
      <c r="H756" s="85"/>
      <c r="I756" s="86"/>
      <c r="M756" s="87"/>
      <c r="N756" s="88"/>
    </row>
    <row r="757" spans="1:14" ht="18.75" x14ac:dyDescent="0.25">
      <c r="A757" s="82"/>
      <c r="B757" s="82"/>
      <c r="C757" s="83"/>
      <c r="D757" s="84"/>
      <c r="E757" s="82"/>
      <c r="G757" s="85"/>
      <c r="H757" s="85"/>
      <c r="I757" s="86"/>
      <c r="M757" s="87"/>
      <c r="N757" s="88"/>
    </row>
    <row r="758" spans="1:14" ht="18.75" x14ac:dyDescent="0.25">
      <c r="A758" s="82"/>
      <c r="B758" s="82"/>
      <c r="C758" s="83"/>
      <c r="D758" s="84"/>
      <c r="E758" s="82"/>
      <c r="G758" s="85"/>
      <c r="H758" s="85"/>
      <c r="I758" s="86"/>
      <c r="M758" s="87"/>
      <c r="N758" s="88"/>
    </row>
    <row r="759" spans="1:14" ht="18.75" x14ac:dyDescent="0.25">
      <c r="A759" s="82"/>
      <c r="B759" s="82"/>
      <c r="C759" s="83"/>
      <c r="D759" s="84"/>
      <c r="E759" s="82"/>
      <c r="G759" s="85"/>
      <c r="H759" s="85"/>
      <c r="I759" s="86"/>
      <c r="M759" s="87"/>
      <c r="N759" s="88"/>
    </row>
    <row r="760" spans="1:14" ht="18.75" x14ac:dyDescent="0.25">
      <c r="A760" s="82"/>
      <c r="B760" s="82"/>
      <c r="C760" s="83"/>
      <c r="D760" s="84"/>
      <c r="E760" s="82"/>
      <c r="G760" s="85"/>
      <c r="H760" s="85"/>
      <c r="I760" s="86"/>
      <c r="M760" s="87"/>
      <c r="N760" s="88"/>
    </row>
    <row r="761" spans="1:14" ht="18.75" x14ac:dyDescent="0.25">
      <c r="A761" s="82"/>
      <c r="B761" s="82"/>
      <c r="C761" s="83"/>
      <c r="D761" s="84"/>
      <c r="E761" s="82"/>
      <c r="G761" s="85"/>
      <c r="H761" s="85"/>
      <c r="I761" s="86"/>
      <c r="M761" s="87"/>
      <c r="N761" s="88"/>
    </row>
    <row r="762" spans="1:14" ht="18.75" x14ac:dyDescent="0.25">
      <c r="A762" s="82"/>
      <c r="B762" s="82"/>
      <c r="C762" s="83"/>
      <c r="D762" s="84"/>
      <c r="E762" s="82"/>
      <c r="G762" s="85"/>
      <c r="H762" s="85"/>
      <c r="I762" s="86"/>
      <c r="M762" s="87"/>
      <c r="N762" s="88"/>
    </row>
    <row r="763" spans="1:14" ht="18.75" x14ac:dyDescent="0.25">
      <c r="A763" s="82"/>
      <c r="B763" s="82"/>
      <c r="C763" s="83"/>
      <c r="D763" s="84"/>
      <c r="E763" s="82"/>
      <c r="G763" s="85"/>
      <c r="H763" s="85"/>
      <c r="I763" s="86"/>
      <c r="M763" s="87"/>
      <c r="N763" s="88"/>
    </row>
    <row r="764" spans="1:14" ht="18.75" x14ac:dyDescent="0.25">
      <c r="A764" s="82"/>
      <c r="B764" s="82"/>
      <c r="C764" s="83"/>
      <c r="D764" s="84"/>
      <c r="E764" s="82"/>
      <c r="G764" s="85"/>
      <c r="H764" s="85"/>
      <c r="I764" s="86"/>
      <c r="M764" s="87"/>
      <c r="N764" s="88"/>
    </row>
    <row r="765" spans="1:14" ht="18.75" x14ac:dyDescent="0.25">
      <c r="A765" s="82"/>
      <c r="B765" s="82"/>
      <c r="C765" s="83"/>
      <c r="D765" s="84"/>
      <c r="E765" s="82"/>
      <c r="G765" s="85"/>
      <c r="H765" s="85"/>
      <c r="I765" s="86"/>
      <c r="M765" s="87"/>
      <c r="N765" s="88"/>
    </row>
    <row r="766" spans="1:14" ht="18.75" x14ac:dyDescent="0.25">
      <c r="A766" s="82"/>
      <c r="B766" s="82"/>
      <c r="C766" s="83"/>
      <c r="D766" s="84"/>
      <c r="E766" s="82"/>
      <c r="G766" s="85"/>
      <c r="H766" s="85"/>
      <c r="I766" s="86"/>
      <c r="M766" s="87"/>
      <c r="N766" s="88"/>
    </row>
    <row r="767" spans="1:14" ht="18.75" x14ac:dyDescent="0.25">
      <c r="A767" s="82"/>
      <c r="B767" s="82"/>
      <c r="C767" s="83"/>
      <c r="D767" s="84"/>
      <c r="E767" s="82"/>
      <c r="G767" s="85"/>
      <c r="H767" s="85"/>
      <c r="I767" s="86"/>
      <c r="M767" s="87"/>
      <c r="N767" s="88"/>
    </row>
    <row r="768" spans="1:14" ht="18.75" x14ac:dyDescent="0.25">
      <c r="A768" s="82"/>
      <c r="B768" s="82"/>
      <c r="C768" s="83"/>
      <c r="D768" s="84"/>
      <c r="E768" s="82"/>
      <c r="G768" s="85"/>
      <c r="H768" s="85"/>
      <c r="I768" s="86"/>
      <c r="M768" s="87"/>
      <c r="N768" s="88"/>
    </row>
    <row r="769" spans="1:14" ht="18.75" x14ac:dyDescent="0.25">
      <c r="A769" s="82"/>
      <c r="B769" s="82"/>
      <c r="C769" s="83"/>
      <c r="D769" s="84"/>
      <c r="E769" s="82"/>
      <c r="G769" s="85"/>
      <c r="H769" s="85"/>
      <c r="I769" s="86"/>
      <c r="M769" s="87"/>
      <c r="N769" s="88"/>
    </row>
    <row r="770" spans="1:14" ht="18.75" x14ac:dyDescent="0.25">
      <c r="A770" s="82"/>
      <c r="B770" s="82"/>
      <c r="C770" s="83"/>
      <c r="D770" s="84"/>
      <c r="E770" s="82"/>
      <c r="G770" s="85"/>
      <c r="H770" s="85"/>
      <c r="I770" s="86"/>
      <c r="M770" s="87"/>
      <c r="N770" s="88"/>
    </row>
    <row r="771" spans="1:14" ht="18.75" x14ac:dyDescent="0.25">
      <c r="A771" s="82"/>
      <c r="B771" s="82"/>
      <c r="C771" s="83"/>
      <c r="D771" s="84"/>
      <c r="E771" s="82"/>
      <c r="G771" s="85"/>
      <c r="H771" s="85"/>
      <c r="I771" s="86"/>
      <c r="M771" s="87"/>
      <c r="N771" s="88"/>
    </row>
    <row r="772" spans="1:14" ht="18.75" x14ac:dyDescent="0.25">
      <c r="A772" s="82"/>
      <c r="B772" s="82"/>
      <c r="C772" s="83"/>
      <c r="D772" s="84"/>
      <c r="E772" s="82"/>
      <c r="G772" s="85"/>
      <c r="H772" s="85"/>
      <c r="I772" s="86"/>
      <c r="M772" s="87"/>
      <c r="N772" s="88"/>
    </row>
    <row r="773" spans="1:14" ht="18.75" x14ac:dyDescent="0.25">
      <c r="A773" s="82"/>
      <c r="B773" s="82"/>
      <c r="C773" s="83"/>
      <c r="D773" s="84"/>
      <c r="E773" s="82"/>
      <c r="G773" s="85"/>
      <c r="H773" s="85"/>
      <c r="I773" s="86"/>
      <c r="M773" s="87"/>
      <c r="N773" s="88"/>
    </row>
    <row r="774" spans="1:14" ht="18.75" x14ac:dyDescent="0.25">
      <c r="A774" s="82"/>
      <c r="B774" s="82"/>
      <c r="C774" s="83"/>
      <c r="D774" s="84"/>
      <c r="E774" s="82"/>
      <c r="G774" s="85"/>
      <c r="H774" s="85"/>
      <c r="I774" s="86"/>
      <c r="M774" s="87"/>
      <c r="N774" s="88"/>
    </row>
    <row r="775" spans="1:14" ht="18.75" x14ac:dyDescent="0.25">
      <c r="A775" s="82"/>
      <c r="B775" s="82"/>
      <c r="C775" s="83"/>
      <c r="D775" s="84"/>
      <c r="E775" s="82"/>
      <c r="G775" s="85"/>
      <c r="H775" s="85"/>
      <c r="I775" s="86"/>
      <c r="M775" s="87"/>
      <c r="N775" s="88"/>
    </row>
    <row r="776" spans="1:14" ht="18.75" x14ac:dyDescent="0.25">
      <c r="A776" s="82"/>
      <c r="B776" s="82"/>
      <c r="C776" s="83"/>
      <c r="D776" s="84"/>
      <c r="E776" s="82"/>
      <c r="G776" s="85"/>
      <c r="H776" s="85"/>
      <c r="I776" s="86"/>
      <c r="M776" s="87"/>
      <c r="N776" s="88"/>
    </row>
    <row r="777" spans="1:14" ht="18.75" x14ac:dyDescent="0.25">
      <c r="A777" s="82"/>
      <c r="B777" s="82"/>
      <c r="C777" s="83"/>
      <c r="D777" s="84"/>
      <c r="E777" s="82"/>
      <c r="G777" s="85"/>
      <c r="H777" s="85"/>
      <c r="I777" s="86"/>
      <c r="M777" s="87"/>
      <c r="N777" s="88"/>
    </row>
    <row r="778" spans="1:14" ht="18.75" x14ac:dyDescent="0.25">
      <c r="A778" s="82"/>
      <c r="B778" s="82"/>
      <c r="C778" s="83"/>
      <c r="D778" s="84"/>
      <c r="E778" s="82"/>
      <c r="G778" s="85"/>
      <c r="H778" s="85"/>
      <c r="I778" s="86"/>
      <c r="M778" s="87"/>
      <c r="N778" s="88"/>
    </row>
    <row r="779" spans="1:14" ht="18.75" x14ac:dyDescent="0.25">
      <c r="A779" s="82"/>
      <c r="B779" s="82"/>
      <c r="C779" s="83"/>
      <c r="D779" s="84"/>
      <c r="E779" s="82"/>
      <c r="G779" s="85"/>
      <c r="H779" s="85"/>
      <c r="I779" s="86"/>
      <c r="M779" s="87"/>
      <c r="N779" s="88"/>
    </row>
    <row r="780" spans="1:14" ht="18.75" x14ac:dyDescent="0.25">
      <c r="A780" s="82"/>
      <c r="B780" s="82"/>
      <c r="C780" s="83"/>
      <c r="D780" s="84"/>
      <c r="E780" s="82"/>
      <c r="G780" s="85"/>
      <c r="H780" s="85"/>
      <c r="I780" s="86"/>
      <c r="M780" s="87"/>
      <c r="N780" s="88"/>
    </row>
    <row r="781" spans="1:14" ht="18.75" x14ac:dyDescent="0.25">
      <c r="A781" s="82"/>
      <c r="B781" s="82"/>
      <c r="C781" s="83"/>
      <c r="D781" s="84"/>
      <c r="E781" s="82"/>
      <c r="G781" s="85"/>
      <c r="H781" s="85"/>
      <c r="I781" s="86"/>
      <c r="M781" s="87"/>
      <c r="N781" s="88"/>
    </row>
    <row r="782" spans="1:14" ht="18.75" x14ac:dyDescent="0.25">
      <c r="A782" s="82"/>
      <c r="B782" s="82"/>
      <c r="C782" s="83"/>
      <c r="D782" s="84"/>
      <c r="E782" s="82"/>
      <c r="G782" s="85"/>
      <c r="H782" s="85"/>
      <c r="I782" s="86"/>
      <c r="M782" s="87"/>
      <c r="N782" s="88"/>
    </row>
    <row r="783" spans="1:14" ht="18.75" x14ac:dyDescent="0.25">
      <c r="A783" s="82"/>
      <c r="B783" s="82"/>
      <c r="C783" s="83"/>
      <c r="D783" s="84"/>
      <c r="E783" s="82"/>
      <c r="G783" s="85"/>
      <c r="H783" s="85"/>
      <c r="I783" s="86"/>
      <c r="M783" s="87"/>
      <c r="N783" s="88"/>
    </row>
    <row r="784" spans="1:14" ht="18.75" x14ac:dyDescent="0.25">
      <c r="A784" s="82"/>
      <c r="B784" s="82"/>
      <c r="C784" s="83"/>
      <c r="D784" s="84"/>
      <c r="E784" s="82"/>
      <c r="G784" s="85"/>
      <c r="H784" s="85"/>
      <c r="I784" s="86"/>
      <c r="M784" s="87"/>
      <c r="N784" s="88"/>
    </row>
    <row r="785" spans="1:14" ht="18.75" x14ac:dyDescent="0.25">
      <c r="A785" s="82"/>
      <c r="B785" s="82"/>
      <c r="C785" s="83"/>
      <c r="D785" s="84"/>
      <c r="E785" s="82"/>
      <c r="G785" s="85"/>
      <c r="H785" s="85"/>
      <c r="I785" s="86"/>
      <c r="M785" s="87"/>
      <c r="N785" s="88"/>
    </row>
    <row r="786" spans="1:14" ht="18.75" x14ac:dyDescent="0.25">
      <c r="A786" s="82"/>
      <c r="B786" s="82"/>
      <c r="C786" s="83"/>
      <c r="D786" s="84"/>
      <c r="E786" s="82"/>
      <c r="G786" s="85"/>
      <c r="H786" s="85"/>
      <c r="I786" s="86"/>
      <c r="M786" s="87"/>
      <c r="N786" s="88"/>
    </row>
    <row r="787" spans="1:14" ht="18.75" x14ac:dyDescent="0.25">
      <c r="A787" s="82"/>
      <c r="B787" s="82"/>
      <c r="C787" s="83"/>
      <c r="D787" s="84"/>
      <c r="E787" s="82"/>
      <c r="G787" s="85"/>
      <c r="H787" s="85"/>
      <c r="I787" s="86"/>
      <c r="M787" s="87"/>
      <c r="N787" s="88"/>
    </row>
    <row r="788" spans="1:14" ht="18.75" x14ac:dyDescent="0.25">
      <c r="A788" s="82"/>
      <c r="B788" s="82"/>
      <c r="C788" s="83"/>
      <c r="D788" s="84"/>
      <c r="E788" s="82"/>
      <c r="G788" s="85"/>
      <c r="H788" s="85"/>
      <c r="I788" s="86"/>
      <c r="M788" s="87"/>
      <c r="N788" s="88"/>
    </row>
    <row r="789" spans="1:14" ht="18.75" x14ac:dyDescent="0.25">
      <c r="A789" s="82"/>
      <c r="B789" s="82"/>
      <c r="C789" s="83"/>
      <c r="D789" s="84"/>
      <c r="E789" s="82"/>
      <c r="G789" s="85"/>
      <c r="H789" s="85"/>
      <c r="I789" s="86"/>
      <c r="M789" s="87"/>
      <c r="N789" s="88"/>
    </row>
    <row r="790" spans="1:14" ht="18.75" x14ac:dyDescent="0.25">
      <c r="A790" s="82"/>
      <c r="B790" s="82"/>
      <c r="C790" s="83"/>
      <c r="D790" s="84"/>
      <c r="E790" s="82"/>
      <c r="G790" s="85"/>
      <c r="H790" s="85"/>
      <c r="I790" s="86"/>
      <c r="M790" s="87"/>
      <c r="N790" s="88"/>
    </row>
    <row r="791" spans="1:14" ht="18.75" x14ac:dyDescent="0.25">
      <c r="A791" s="82"/>
      <c r="B791" s="82"/>
      <c r="C791" s="83"/>
      <c r="D791" s="84"/>
      <c r="E791" s="82"/>
      <c r="G791" s="85"/>
      <c r="H791" s="85"/>
      <c r="I791" s="86"/>
      <c r="M791" s="87"/>
      <c r="N791" s="88"/>
    </row>
    <row r="792" spans="1:14" ht="18.75" x14ac:dyDescent="0.25">
      <c r="A792" s="82"/>
      <c r="B792" s="82"/>
      <c r="C792" s="83"/>
      <c r="D792" s="84"/>
      <c r="E792" s="82"/>
      <c r="G792" s="85"/>
      <c r="H792" s="85"/>
      <c r="I792" s="86"/>
      <c r="M792" s="87"/>
      <c r="N792" s="88"/>
    </row>
    <row r="793" spans="1:14" ht="18.75" x14ac:dyDescent="0.25">
      <c r="A793" s="82"/>
      <c r="B793" s="82"/>
      <c r="C793" s="83"/>
      <c r="D793" s="84"/>
      <c r="E793" s="82"/>
      <c r="G793" s="85"/>
      <c r="H793" s="85"/>
      <c r="I793" s="86"/>
      <c r="M793" s="87"/>
      <c r="N793" s="88"/>
    </row>
    <row r="794" spans="1:14" ht="18.75" x14ac:dyDescent="0.25">
      <c r="A794" s="82"/>
      <c r="B794" s="82"/>
      <c r="C794" s="83"/>
      <c r="D794" s="84"/>
      <c r="E794" s="82"/>
      <c r="G794" s="85"/>
      <c r="H794" s="85"/>
      <c r="I794" s="86"/>
      <c r="M794" s="87"/>
      <c r="N794" s="88"/>
    </row>
    <row r="795" spans="1:14" ht="18.75" x14ac:dyDescent="0.25">
      <c r="A795" s="82"/>
      <c r="B795" s="82"/>
      <c r="C795" s="83"/>
      <c r="D795" s="84"/>
      <c r="E795" s="82"/>
      <c r="G795" s="85"/>
      <c r="H795" s="85"/>
      <c r="I795" s="86"/>
      <c r="M795" s="87"/>
      <c r="N795" s="88"/>
    </row>
    <row r="796" spans="1:14" ht="18.75" x14ac:dyDescent="0.25">
      <c r="A796" s="82"/>
      <c r="B796" s="82"/>
      <c r="C796" s="83"/>
      <c r="D796" s="84"/>
      <c r="E796" s="82"/>
      <c r="G796" s="85"/>
      <c r="H796" s="85"/>
      <c r="I796" s="86"/>
      <c r="M796" s="87"/>
      <c r="N796" s="88"/>
    </row>
    <row r="797" spans="1:14" ht="18.75" x14ac:dyDescent="0.25">
      <c r="A797" s="82"/>
      <c r="B797" s="82"/>
      <c r="C797" s="83"/>
      <c r="D797" s="84"/>
      <c r="E797" s="82"/>
      <c r="G797" s="85"/>
      <c r="H797" s="85"/>
      <c r="I797" s="86"/>
      <c r="M797" s="87"/>
      <c r="N797" s="88"/>
    </row>
    <row r="798" spans="1:14" ht="18.75" x14ac:dyDescent="0.25">
      <c r="A798" s="82"/>
      <c r="B798" s="82"/>
      <c r="C798" s="83"/>
      <c r="D798" s="84"/>
      <c r="E798" s="82"/>
      <c r="G798" s="85"/>
      <c r="H798" s="85"/>
      <c r="I798" s="86"/>
      <c r="M798" s="87"/>
      <c r="N798" s="88"/>
    </row>
    <row r="799" spans="1:14" ht="18.75" x14ac:dyDescent="0.25">
      <c r="A799" s="82"/>
      <c r="B799" s="82"/>
      <c r="C799" s="83"/>
      <c r="D799" s="84"/>
      <c r="E799" s="82"/>
      <c r="G799" s="85"/>
      <c r="H799" s="85"/>
      <c r="I799" s="86"/>
      <c r="M799" s="87"/>
      <c r="N799" s="88"/>
    </row>
    <row r="800" spans="1:14" ht="18.75" x14ac:dyDescent="0.25">
      <c r="A800" s="82"/>
      <c r="B800" s="82"/>
      <c r="C800" s="83"/>
      <c r="D800" s="84"/>
      <c r="E800" s="82"/>
      <c r="G800" s="85"/>
      <c r="H800" s="85"/>
      <c r="I800" s="86"/>
      <c r="M800" s="87"/>
      <c r="N800" s="88"/>
    </row>
    <row r="801" spans="1:14" ht="18.75" x14ac:dyDescent="0.25">
      <c r="A801" s="82"/>
      <c r="B801" s="82"/>
      <c r="C801" s="83"/>
      <c r="D801" s="84"/>
      <c r="E801" s="82"/>
      <c r="G801" s="85"/>
      <c r="H801" s="85"/>
      <c r="I801" s="86"/>
      <c r="M801" s="87"/>
      <c r="N801" s="88"/>
    </row>
    <row r="802" spans="1:14" ht="18.75" x14ac:dyDescent="0.25">
      <c r="A802" s="82"/>
      <c r="B802" s="82"/>
      <c r="C802" s="83"/>
      <c r="D802" s="84"/>
      <c r="E802" s="82"/>
      <c r="G802" s="85"/>
      <c r="H802" s="85"/>
      <c r="I802" s="86"/>
      <c r="M802" s="87"/>
      <c r="N802" s="88"/>
    </row>
    <row r="803" spans="1:14" ht="18.75" x14ac:dyDescent="0.25">
      <c r="A803" s="82"/>
      <c r="B803" s="82"/>
      <c r="C803" s="83"/>
      <c r="D803" s="84"/>
      <c r="E803" s="82"/>
      <c r="G803" s="85"/>
      <c r="H803" s="85"/>
      <c r="I803" s="86"/>
      <c r="M803" s="87"/>
      <c r="N803" s="88"/>
    </row>
    <row r="804" spans="1:14" ht="18.75" x14ac:dyDescent="0.25">
      <c r="A804" s="82"/>
      <c r="B804" s="82"/>
      <c r="C804" s="83"/>
      <c r="D804" s="84"/>
      <c r="E804" s="82"/>
      <c r="G804" s="85"/>
      <c r="H804" s="85"/>
      <c r="I804" s="86"/>
      <c r="M804" s="87"/>
      <c r="N804" s="88"/>
    </row>
    <row r="805" spans="1:14" ht="18.75" x14ac:dyDescent="0.25">
      <c r="A805" s="82"/>
      <c r="B805" s="82"/>
      <c r="C805" s="83"/>
      <c r="D805" s="84"/>
      <c r="E805" s="82"/>
      <c r="G805" s="85"/>
      <c r="H805" s="85"/>
      <c r="I805" s="86"/>
      <c r="M805" s="87"/>
      <c r="N805" s="88"/>
    </row>
    <row r="806" spans="1:14" ht="18.75" x14ac:dyDescent="0.25">
      <c r="A806" s="82"/>
      <c r="B806" s="82"/>
      <c r="C806" s="83"/>
      <c r="D806" s="84"/>
      <c r="E806" s="82"/>
      <c r="G806" s="85"/>
      <c r="H806" s="85"/>
      <c r="I806" s="86"/>
      <c r="M806" s="87"/>
      <c r="N806" s="88"/>
    </row>
    <row r="807" spans="1:14" ht="18.75" x14ac:dyDescent="0.25">
      <c r="A807" s="82"/>
      <c r="B807" s="82"/>
      <c r="C807" s="83"/>
      <c r="D807" s="84"/>
      <c r="E807" s="82"/>
      <c r="G807" s="85"/>
      <c r="H807" s="85"/>
      <c r="I807" s="86"/>
      <c r="M807" s="87"/>
      <c r="N807" s="88"/>
    </row>
    <row r="808" spans="1:14" ht="18.75" x14ac:dyDescent="0.25">
      <c r="A808" s="82"/>
      <c r="B808" s="82"/>
      <c r="C808" s="83"/>
      <c r="D808" s="84"/>
      <c r="E808" s="82"/>
      <c r="G808" s="85"/>
      <c r="H808" s="85"/>
      <c r="I808" s="86"/>
      <c r="M808" s="87"/>
      <c r="N808" s="88"/>
    </row>
    <row r="809" spans="1:14" ht="18.75" x14ac:dyDescent="0.25">
      <c r="A809" s="82"/>
      <c r="B809" s="82"/>
      <c r="C809" s="83"/>
      <c r="D809" s="84"/>
      <c r="E809" s="82"/>
      <c r="G809" s="85"/>
      <c r="H809" s="85"/>
      <c r="I809" s="86"/>
      <c r="M809" s="87"/>
      <c r="N809" s="88"/>
    </row>
    <row r="810" spans="1:14" ht="18.75" x14ac:dyDescent="0.25">
      <c r="A810" s="82"/>
      <c r="B810" s="82"/>
      <c r="C810" s="83"/>
      <c r="D810" s="84"/>
      <c r="E810" s="82"/>
      <c r="G810" s="85"/>
      <c r="H810" s="85"/>
      <c r="I810" s="86"/>
      <c r="M810" s="87"/>
      <c r="N810" s="88"/>
    </row>
    <row r="811" spans="1:14" ht="18.75" x14ac:dyDescent="0.25">
      <c r="A811" s="82"/>
      <c r="B811" s="82"/>
      <c r="C811" s="83"/>
      <c r="D811" s="84"/>
      <c r="E811" s="82"/>
      <c r="G811" s="85"/>
      <c r="H811" s="85"/>
      <c r="I811" s="86"/>
      <c r="M811" s="87"/>
      <c r="N811" s="88"/>
    </row>
    <row r="812" spans="1:14" ht="18.75" x14ac:dyDescent="0.25">
      <c r="A812" s="82"/>
      <c r="B812" s="82"/>
      <c r="C812" s="83"/>
      <c r="D812" s="84"/>
      <c r="E812" s="82"/>
      <c r="G812" s="85"/>
      <c r="H812" s="85"/>
      <c r="I812" s="86"/>
      <c r="M812" s="87"/>
      <c r="N812" s="88"/>
    </row>
    <row r="813" spans="1:14" ht="18.75" x14ac:dyDescent="0.25">
      <c r="A813" s="82"/>
      <c r="B813" s="82"/>
      <c r="C813" s="83"/>
      <c r="D813" s="84"/>
      <c r="E813" s="82"/>
      <c r="G813" s="85"/>
      <c r="H813" s="85"/>
      <c r="I813" s="86"/>
      <c r="M813" s="87"/>
      <c r="N813" s="88"/>
    </row>
    <row r="814" spans="1:14" ht="18.75" x14ac:dyDescent="0.25">
      <c r="A814" s="82"/>
      <c r="B814" s="82"/>
      <c r="C814" s="83"/>
      <c r="D814" s="84"/>
      <c r="E814" s="82"/>
      <c r="G814" s="85"/>
      <c r="H814" s="85"/>
      <c r="I814" s="86"/>
      <c r="M814" s="87"/>
      <c r="N814" s="88"/>
    </row>
    <row r="815" spans="1:14" ht="18.75" x14ac:dyDescent="0.25">
      <c r="A815" s="82"/>
      <c r="B815" s="82"/>
      <c r="C815" s="83"/>
      <c r="D815" s="84"/>
      <c r="E815" s="82"/>
      <c r="G815" s="85"/>
      <c r="H815" s="85"/>
      <c r="I815" s="86"/>
      <c r="M815" s="87"/>
      <c r="N815" s="88"/>
    </row>
    <row r="816" spans="1:14" ht="18.75" x14ac:dyDescent="0.25">
      <c r="A816" s="82"/>
      <c r="B816" s="82"/>
      <c r="C816" s="83"/>
      <c r="D816" s="84"/>
      <c r="E816" s="82"/>
      <c r="G816" s="85"/>
      <c r="H816" s="85"/>
      <c r="I816" s="86"/>
      <c r="M816" s="87"/>
      <c r="N816" s="88"/>
    </row>
    <row r="817" spans="1:14" ht="18.75" x14ac:dyDescent="0.25">
      <c r="A817" s="82"/>
      <c r="B817" s="82"/>
      <c r="C817" s="83"/>
      <c r="D817" s="84"/>
      <c r="E817" s="82"/>
      <c r="G817" s="85"/>
      <c r="H817" s="85"/>
      <c r="I817" s="86"/>
      <c r="M817" s="87"/>
      <c r="N817" s="88"/>
    </row>
    <row r="818" spans="1:14" ht="18.75" x14ac:dyDescent="0.25">
      <c r="A818" s="82"/>
      <c r="B818" s="82"/>
      <c r="C818" s="83"/>
      <c r="D818" s="84"/>
      <c r="E818" s="82"/>
      <c r="G818" s="85"/>
      <c r="H818" s="85"/>
      <c r="I818" s="86"/>
      <c r="M818" s="87"/>
      <c r="N818" s="88"/>
    </row>
    <row r="819" spans="1:14" ht="18.75" x14ac:dyDescent="0.25">
      <c r="A819" s="82"/>
      <c r="B819" s="82"/>
      <c r="C819" s="83"/>
      <c r="D819" s="84"/>
      <c r="E819" s="82"/>
      <c r="G819" s="85"/>
      <c r="H819" s="85"/>
      <c r="I819" s="86"/>
      <c r="M819" s="87"/>
      <c r="N819" s="88"/>
    </row>
    <row r="820" spans="1:14" ht="18.75" x14ac:dyDescent="0.25">
      <c r="A820" s="82"/>
      <c r="B820" s="82"/>
      <c r="C820" s="83"/>
      <c r="D820" s="84"/>
      <c r="E820" s="82"/>
      <c r="G820" s="85"/>
      <c r="H820" s="85"/>
      <c r="I820" s="86"/>
      <c r="M820" s="87"/>
      <c r="N820" s="88"/>
    </row>
    <row r="821" spans="1:14" ht="18.75" x14ac:dyDescent="0.25">
      <c r="A821" s="82"/>
      <c r="B821" s="82"/>
      <c r="C821" s="83"/>
      <c r="D821" s="84"/>
      <c r="E821" s="82"/>
      <c r="G821" s="85"/>
      <c r="H821" s="85"/>
      <c r="I821" s="86"/>
      <c r="M821" s="87"/>
      <c r="N821" s="88"/>
    </row>
    <row r="822" spans="1:14" ht="18.75" x14ac:dyDescent="0.25">
      <c r="A822" s="82"/>
      <c r="B822" s="82"/>
      <c r="C822" s="83"/>
      <c r="D822" s="84"/>
      <c r="E822" s="82"/>
      <c r="G822" s="85"/>
      <c r="H822" s="85"/>
      <c r="I822" s="86"/>
      <c r="M822" s="87"/>
      <c r="N822" s="88"/>
    </row>
    <row r="823" spans="1:14" ht="18.75" x14ac:dyDescent="0.25">
      <c r="A823" s="82"/>
      <c r="B823" s="82"/>
      <c r="C823" s="83"/>
      <c r="D823" s="84"/>
      <c r="E823" s="82"/>
      <c r="G823" s="85"/>
      <c r="H823" s="85"/>
      <c r="I823" s="86"/>
      <c r="M823" s="87"/>
      <c r="N823" s="88"/>
    </row>
    <row r="824" spans="1:14" ht="18.75" x14ac:dyDescent="0.25">
      <c r="A824" s="82"/>
      <c r="B824" s="82"/>
      <c r="C824" s="83"/>
      <c r="D824" s="84"/>
      <c r="E824" s="82"/>
      <c r="G824" s="85"/>
      <c r="H824" s="85"/>
      <c r="I824" s="86"/>
      <c r="M824" s="87"/>
      <c r="N824" s="88"/>
    </row>
    <row r="825" spans="1:14" ht="18.75" x14ac:dyDescent="0.25">
      <c r="A825" s="82"/>
      <c r="B825" s="82"/>
      <c r="C825" s="83"/>
      <c r="D825" s="84"/>
      <c r="E825" s="82"/>
      <c r="G825" s="85"/>
      <c r="H825" s="85"/>
      <c r="I825" s="86"/>
      <c r="M825" s="87"/>
      <c r="N825" s="88"/>
    </row>
    <row r="826" spans="1:14" ht="18.75" x14ac:dyDescent="0.25">
      <c r="A826" s="82"/>
      <c r="B826" s="82"/>
      <c r="C826" s="83"/>
      <c r="D826" s="84"/>
      <c r="E826" s="82"/>
      <c r="G826" s="85"/>
      <c r="H826" s="85"/>
      <c r="I826" s="86"/>
      <c r="M826" s="87"/>
      <c r="N826" s="88"/>
    </row>
    <row r="827" spans="1:14" ht="18.75" x14ac:dyDescent="0.25">
      <c r="A827" s="82"/>
      <c r="B827" s="82"/>
      <c r="C827" s="83"/>
      <c r="D827" s="84"/>
      <c r="E827" s="82"/>
      <c r="G827" s="85"/>
      <c r="H827" s="85"/>
      <c r="I827" s="86"/>
      <c r="M827" s="87"/>
      <c r="N827" s="88"/>
    </row>
    <row r="828" spans="1:14" ht="18.75" x14ac:dyDescent="0.25">
      <c r="A828" s="82"/>
      <c r="B828" s="82"/>
      <c r="C828" s="83"/>
      <c r="D828" s="84"/>
      <c r="E828" s="82"/>
      <c r="G828" s="85"/>
      <c r="H828" s="85"/>
      <c r="I828" s="86"/>
      <c r="M828" s="87"/>
      <c r="N828" s="88"/>
    </row>
    <row r="829" spans="1:14" ht="18.75" x14ac:dyDescent="0.25">
      <c r="A829" s="82"/>
      <c r="B829" s="82"/>
      <c r="C829" s="83"/>
      <c r="D829" s="84"/>
      <c r="E829" s="82"/>
      <c r="G829" s="85"/>
      <c r="H829" s="85"/>
      <c r="I829" s="86"/>
      <c r="M829" s="87"/>
      <c r="N829" s="88"/>
    </row>
    <row r="830" spans="1:14" ht="18.75" x14ac:dyDescent="0.25">
      <c r="A830" s="82"/>
      <c r="B830" s="82"/>
      <c r="C830" s="83"/>
      <c r="D830" s="84"/>
      <c r="E830" s="82"/>
      <c r="G830" s="85"/>
      <c r="H830" s="85"/>
      <c r="I830" s="86"/>
      <c r="M830" s="87"/>
      <c r="N830" s="88"/>
    </row>
    <row r="831" spans="1:14" ht="18.75" x14ac:dyDescent="0.25">
      <c r="A831" s="82"/>
      <c r="B831" s="82"/>
      <c r="C831" s="83"/>
      <c r="D831" s="84"/>
      <c r="E831" s="82"/>
      <c r="G831" s="85"/>
      <c r="H831" s="85"/>
      <c r="I831" s="86"/>
      <c r="M831" s="87"/>
      <c r="N831" s="88"/>
    </row>
    <row r="832" spans="1:14" ht="18.75" x14ac:dyDescent="0.25">
      <c r="A832" s="82"/>
      <c r="B832" s="82"/>
      <c r="C832" s="83"/>
      <c r="D832" s="84"/>
      <c r="E832" s="82"/>
      <c r="G832" s="85"/>
      <c r="H832" s="85"/>
      <c r="I832" s="86"/>
      <c r="M832" s="87"/>
      <c r="N832" s="88"/>
    </row>
    <row r="833" spans="1:14" ht="18.75" x14ac:dyDescent="0.25">
      <c r="A833" s="82"/>
      <c r="B833" s="82"/>
      <c r="C833" s="83"/>
      <c r="D833" s="84"/>
      <c r="E833" s="82"/>
      <c r="G833" s="85"/>
      <c r="H833" s="85"/>
      <c r="I833" s="86"/>
      <c r="M833" s="87"/>
      <c r="N833" s="88"/>
    </row>
    <row r="834" spans="1:14" ht="18.75" x14ac:dyDescent="0.25">
      <c r="A834" s="82"/>
      <c r="B834" s="82"/>
      <c r="C834" s="83"/>
      <c r="D834" s="84"/>
      <c r="E834" s="82"/>
      <c r="G834" s="85"/>
      <c r="H834" s="85"/>
      <c r="I834" s="86"/>
      <c r="M834" s="87"/>
      <c r="N834" s="88"/>
    </row>
    <row r="835" spans="1:14" ht="18.75" x14ac:dyDescent="0.25">
      <c r="A835" s="82"/>
      <c r="B835" s="82"/>
      <c r="C835" s="83"/>
      <c r="D835" s="84"/>
      <c r="E835" s="82"/>
      <c r="G835" s="85"/>
      <c r="H835" s="85"/>
      <c r="I835" s="86"/>
      <c r="M835" s="87"/>
      <c r="N835" s="88"/>
    </row>
    <row r="836" spans="1:14" ht="18.75" x14ac:dyDescent="0.25">
      <c r="A836" s="82"/>
      <c r="B836" s="82"/>
      <c r="C836" s="83"/>
      <c r="D836" s="84"/>
      <c r="E836" s="82"/>
      <c r="G836" s="85"/>
      <c r="H836" s="85"/>
      <c r="I836" s="86"/>
      <c r="M836" s="87"/>
      <c r="N836" s="88"/>
    </row>
    <row r="837" spans="1:14" ht="18.75" x14ac:dyDescent="0.25">
      <c r="A837" s="82"/>
      <c r="B837" s="82"/>
      <c r="C837" s="83"/>
      <c r="D837" s="84"/>
      <c r="E837" s="82"/>
      <c r="G837" s="85"/>
      <c r="H837" s="85"/>
      <c r="I837" s="86"/>
      <c r="M837" s="87"/>
      <c r="N837" s="88"/>
    </row>
    <row r="838" spans="1:14" ht="18.75" x14ac:dyDescent="0.25">
      <c r="A838" s="82"/>
      <c r="B838" s="82"/>
      <c r="C838" s="83"/>
      <c r="D838" s="84"/>
      <c r="E838" s="82"/>
      <c r="G838" s="85"/>
      <c r="H838" s="85"/>
      <c r="I838" s="86"/>
      <c r="M838" s="87"/>
      <c r="N838" s="88"/>
    </row>
    <row r="839" spans="1:14" ht="18.75" x14ac:dyDescent="0.25">
      <c r="A839" s="82"/>
      <c r="B839" s="82"/>
      <c r="C839" s="83"/>
      <c r="D839" s="84"/>
      <c r="E839" s="82"/>
      <c r="G839" s="85"/>
      <c r="H839" s="85"/>
      <c r="I839" s="86"/>
      <c r="M839" s="87"/>
      <c r="N839" s="88"/>
    </row>
    <row r="840" spans="1:14" ht="18.75" x14ac:dyDescent="0.25">
      <c r="A840" s="82"/>
      <c r="B840" s="82"/>
      <c r="C840" s="83"/>
      <c r="D840" s="84"/>
      <c r="E840" s="82"/>
      <c r="G840" s="85"/>
      <c r="H840" s="85"/>
      <c r="I840" s="86"/>
      <c r="M840" s="87"/>
      <c r="N840" s="88"/>
    </row>
    <row r="841" spans="1:14" ht="18.75" x14ac:dyDescent="0.25">
      <c r="A841" s="82"/>
      <c r="B841" s="82"/>
      <c r="C841" s="83"/>
      <c r="D841" s="84"/>
      <c r="E841" s="82"/>
      <c r="G841" s="85"/>
      <c r="H841" s="85"/>
      <c r="I841" s="86"/>
      <c r="M841" s="87"/>
      <c r="N841" s="88"/>
    </row>
    <row r="842" spans="1:14" ht="18.75" x14ac:dyDescent="0.25">
      <c r="A842" s="82"/>
      <c r="B842" s="82"/>
      <c r="C842" s="83"/>
      <c r="D842" s="84"/>
      <c r="E842" s="82"/>
      <c r="G842" s="85"/>
      <c r="H842" s="85"/>
      <c r="I842" s="86"/>
      <c r="M842" s="87"/>
      <c r="N842" s="88"/>
    </row>
    <row r="843" spans="1:14" ht="18.75" x14ac:dyDescent="0.25">
      <c r="A843" s="82"/>
      <c r="B843" s="82"/>
      <c r="C843" s="83"/>
      <c r="D843" s="84"/>
      <c r="E843" s="82"/>
      <c r="G843" s="85"/>
      <c r="H843" s="85"/>
      <c r="I843" s="86"/>
      <c r="M843" s="87"/>
      <c r="N843" s="88"/>
    </row>
    <row r="844" spans="1:14" ht="18.75" x14ac:dyDescent="0.25">
      <c r="A844" s="82"/>
      <c r="B844" s="82"/>
      <c r="C844" s="83"/>
      <c r="D844" s="84"/>
      <c r="E844" s="82"/>
      <c r="G844" s="85"/>
      <c r="H844" s="85"/>
      <c r="I844" s="86"/>
      <c r="M844" s="87"/>
      <c r="N844" s="88"/>
    </row>
    <row r="845" spans="1:14" ht="18.75" x14ac:dyDescent="0.25">
      <c r="A845" s="82"/>
      <c r="B845" s="82"/>
      <c r="C845" s="83"/>
      <c r="D845" s="84"/>
      <c r="E845" s="82"/>
      <c r="G845" s="85"/>
      <c r="H845" s="85"/>
      <c r="I845" s="86"/>
      <c r="M845" s="87"/>
      <c r="N845" s="88"/>
    </row>
    <row r="846" spans="1:14" ht="18.75" x14ac:dyDescent="0.25">
      <c r="A846" s="82"/>
      <c r="B846" s="82"/>
      <c r="C846" s="83"/>
      <c r="D846" s="84"/>
      <c r="E846" s="82"/>
      <c r="G846" s="85"/>
      <c r="H846" s="85"/>
      <c r="I846" s="86"/>
      <c r="M846" s="87"/>
      <c r="N846" s="88"/>
    </row>
    <row r="847" spans="1:14" ht="18.75" x14ac:dyDescent="0.25">
      <c r="A847" s="82"/>
      <c r="B847" s="82"/>
      <c r="C847" s="83"/>
      <c r="D847" s="84"/>
      <c r="E847" s="82"/>
      <c r="G847" s="85"/>
      <c r="H847" s="85"/>
      <c r="I847" s="86"/>
      <c r="M847" s="87"/>
      <c r="N847" s="88"/>
    </row>
    <row r="848" spans="1:14" ht="18.75" x14ac:dyDescent="0.25">
      <c r="A848" s="82"/>
      <c r="B848" s="82"/>
      <c r="C848" s="83"/>
      <c r="D848" s="84"/>
      <c r="E848" s="82"/>
      <c r="G848" s="85"/>
      <c r="H848" s="85"/>
      <c r="I848" s="86"/>
      <c r="M848" s="87"/>
      <c r="N848" s="88"/>
    </row>
    <row r="849" spans="1:14" ht="18.75" x14ac:dyDescent="0.25">
      <c r="A849" s="82"/>
      <c r="B849" s="82"/>
      <c r="C849" s="83"/>
      <c r="D849" s="84"/>
      <c r="E849" s="82"/>
      <c r="G849" s="85"/>
      <c r="H849" s="85"/>
      <c r="I849" s="86"/>
      <c r="M849" s="87"/>
      <c r="N849" s="88"/>
    </row>
    <row r="850" spans="1:14" ht="18.75" x14ac:dyDescent="0.25">
      <c r="A850" s="82"/>
      <c r="B850" s="82"/>
      <c r="C850" s="83"/>
      <c r="D850" s="84"/>
      <c r="E850" s="82"/>
      <c r="G850" s="85"/>
      <c r="H850" s="85"/>
      <c r="I850" s="86"/>
      <c r="M850" s="87"/>
      <c r="N850" s="88"/>
    </row>
    <row r="851" spans="1:14" ht="18.75" x14ac:dyDescent="0.25">
      <c r="A851" s="82"/>
      <c r="B851" s="82"/>
      <c r="C851" s="83"/>
      <c r="D851" s="84"/>
      <c r="E851" s="82"/>
      <c r="G851" s="85"/>
      <c r="H851" s="85"/>
      <c r="I851" s="86"/>
      <c r="M851" s="87"/>
      <c r="N851" s="88"/>
    </row>
    <row r="852" spans="1:14" ht="18.75" x14ac:dyDescent="0.25">
      <c r="A852" s="82"/>
      <c r="B852" s="82"/>
      <c r="C852" s="83"/>
      <c r="D852" s="84"/>
      <c r="E852" s="82"/>
      <c r="G852" s="85"/>
      <c r="H852" s="85"/>
      <c r="I852" s="86"/>
      <c r="M852" s="87"/>
      <c r="N852" s="88"/>
    </row>
    <row r="853" spans="1:14" ht="18.75" x14ac:dyDescent="0.25">
      <c r="A853" s="82"/>
      <c r="B853" s="82"/>
      <c r="C853" s="83"/>
      <c r="D853" s="84"/>
      <c r="E853" s="82"/>
      <c r="G853" s="85"/>
      <c r="H853" s="85"/>
      <c r="I853" s="86"/>
      <c r="M853" s="87"/>
      <c r="N853" s="88"/>
    </row>
    <row r="854" spans="1:14" ht="18.75" x14ac:dyDescent="0.25">
      <c r="A854" s="82"/>
      <c r="B854" s="82"/>
      <c r="C854" s="83"/>
      <c r="D854" s="84"/>
      <c r="E854" s="82"/>
      <c r="G854" s="85"/>
      <c r="H854" s="85"/>
      <c r="I854" s="86"/>
      <c r="M854" s="87"/>
      <c r="N854" s="88"/>
    </row>
    <row r="855" spans="1:14" ht="18.75" x14ac:dyDescent="0.25">
      <c r="A855" s="82"/>
      <c r="B855" s="82"/>
      <c r="C855" s="83"/>
      <c r="D855" s="84"/>
      <c r="E855" s="82"/>
      <c r="G855" s="85"/>
      <c r="H855" s="85"/>
      <c r="I855" s="86"/>
      <c r="M855" s="87"/>
      <c r="N855" s="88"/>
    </row>
    <row r="856" spans="1:14" ht="18.75" x14ac:dyDescent="0.25">
      <c r="A856" s="82"/>
      <c r="B856" s="82"/>
      <c r="C856" s="83"/>
      <c r="D856" s="84"/>
      <c r="E856" s="82"/>
      <c r="G856" s="85"/>
      <c r="H856" s="85"/>
      <c r="I856" s="86"/>
      <c r="M856" s="87"/>
      <c r="N856" s="88"/>
    </row>
    <row r="857" spans="1:14" ht="18.75" x14ac:dyDescent="0.25">
      <c r="A857" s="82"/>
      <c r="B857" s="82"/>
      <c r="C857" s="83"/>
      <c r="D857" s="84"/>
      <c r="E857" s="82"/>
      <c r="G857" s="85"/>
      <c r="H857" s="85"/>
      <c r="I857" s="86"/>
      <c r="M857" s="87"/>
      <c r="N857" s="88"/>
    </row>
    <row r="858" spans="1:14" ht="18.75" x14ac:dyDescent="0.25">
      <c r="A858" s="82"/>
      <c r="B858" s="82"/>
      <c r="C858" s="83"/>
      <c r="D858" s="84"/>
      <c r="E858" s="82"/>
      <c r="G858" s="85"/>
      <c r="H858" s="85"/>
      <c r="I858" s="86"/>
      <c r="M858" s="87"/>
      <c r="N858" s="88"/>
    </row>
    <row r="859" spans="1:14" ht="18.75" x14ac:dyDescent="0.25">
      <c r="A859" s="82"/>
      <c r="B859" s="82"/>
      <c r="C859" s="83"/>
      <c r="D859" s="84"/>
      <c r="E859" s="82"/>
      <c r="G859" s="85"/>
      <c r="H859" s="85"/>
      <c r="I859" s="86"/>
      <c r="M859" s="87"/>
      <c r="N859" s="88"/>
    </row>
    <row r="860" spans="1:14" ht="18.75" x14ac:dyDescent="0.25">
      <c r="A860" s="82"/>
      <c r="B860" s="82"/>
      <c r="C860" s="83"/>
      <c r="D860" s="84"/>
      <c r="E860" s="82"/>
      <c r="G860" s="85"/>
      <c r="H860" s="85"/>
      <c r="I860" s="86"/>
      <c r="M860" s="87"/>
      <c r="N860" s="88"/>
    </row>
    <row r="861" spans="1:14" ht="18.75" x14ac:dyDescent="0.25">
      <c r="A861" s="82"/>
      <c r="B861" s="82"/>
      <c r="C861" s="83"/>
      <c r="D861" s="84"/>
      <c r="E861" s="82"/>
      <c r="G861" s="85"/>
      <c r="H861" s="85"/>
      <c r="I861" s="86"/>
      <c r="M861" s="87"/>
      <c r="N861" s="88"/>
    </row>
    <row r="862" spans="1:14" ht="18.75" x14ac:dyDescent="0.25">
      <c r="A862" s="82"/>
      <c r="B862" s="82"/>
      <c r="C862" s="83"/>
      <c r="D862" s="84"/>
      <c r="E862" s="82"/>
      <c r="G862" s="85"/>
      <c r="H862" s="85"/>
      <c r="I862" s="86"/>
      <c r="M862" s="87"/>
      <c r="N862" s="88"/>
    </row>
    <row r="863" spans="1:14" ht="18.75" x14ac:dyDescent="0.25">
      <c r="A863" s="82"/>
      <c r="B863" s="82"/>
      <c r="C863" s="83"/>
      <c r="D863" s="84"/>
      <c r="E863" s="82"/>
      <c r="G863" s="85"/>
      <c r="H863" s="85"/>
      <c r="I863" s="86"/>
      <c r="M863" s="87"/>
      <c r="N863" s="88"/>
    </row>
    <row r="864" spans="1:14" ht="18.75" x14ac:dyDescent="0.25">
      <c r="A864" s="82"/>
      <c r="B864" s="82"/>
      <c r="C864" s="83"/>
      <c r="D864" s="84"/>
      <c r="E864" s="82"/>
      <c r="G864" s="85"/>
      <c r="H864" s="85"/>
      <c r="I864" s="86"/>
      <c r="M864" s="87"/>
      <c r="N864" s="88"/>
    </row>
    <row r="865" spans="1:14" ht="18.75" x14ac:dyDescent="0.25">
      <c r="A865" s="82"/>
      <c r="B865" s="82"/>
      <c r="C865" s="83"/>
      <c r="D865" s="84"/>
      <c r="E865" s="82"/>
      <c r="G865" s="85"/>
      <c r="H865" s="85"/>
      <c r="I865" s="86"/>
      <c r="M865" s="87"/>
      <c r="N865" s="88"/>
    </row>
    <row r="866" spans="1:14" ht="18.75" x14ac:dyDescent="0.25">
      <c r="A866" s="82"/>
      <c r="B866" s="82"/>
      <c r="C866" s="83"/>
      <c r="D866" s="84"/>
      <c r="E866" s="82"/>
      <c r="G866" s="85"/>
      <c r="H866" s="85"/>
      <c r="I866" s="86"/>
      <c r="M866" s="87"/>
      <c r="N866" s="88"/>
    </row>
    <row r="867" spans="1:14" ht="18.75" x14ac:dyDescent="0.25">
      <c r="A867" s="82"/>
      <c r="B867" s="82"/>
      <c r="C867" s="83"/>
      <c r="D867" s="84"/>
      <c r="E867" s="82"/>
      <c r="G867" s="85"/>
      <c r="H867" s="85"/>
      <c r="I867" s="86"/>
      <c r="M867" s="87"/>
      <c r="N867" s="88"/>
    </row>
    <row r="868" spans="1:14" ht="18.75" x14ac:dyDescent="0.25">
      <c r="A868" s="82"/>
      <c r="B868" s="82"/>
      <c r="C868" s="83"/>
      <c r="D868" s="84"/>
      <c r="E868" s="82"/>
      <c r="G868" s="85"/>
      <c r="H868" s="85"/>
      <c r="I868" s="86"/>
      <c r="M868" s="87"/>
      <c r="N868" s="88"/>
    </row>
    <row r="869" spans="1:14" ht="18.75" x14ac:dyDescent="0.25">
      <c r="A869" s="82"/>
      <c r="B869" s="82"/>
      <c r="C869" s="83"/>
      <c r="D869" s="84"/>
      <c r="E869" s="82"/>
      <c r="G869" s="85"/>
      <c r="H869" s="85"/>
      <c r="I869" s="86"/>
      <c r="M869" s="87"/>
      <c r="N869" s="88"/>
    </row>
    <row r="870" spans="1:14" ht="18.75" x14ac:dyDescent="0.25">
      <c r="A870" s="82"/>
      <c r="B870" s="82"/>
      <c r="C870" s="83"/>
      <c r="D870" s="84"/>
      <c r="E870" s="82"/>
      <c r="G870" s="85"/>
      <c r="H870" s="85"/>
      <c r="I870" s="86"/>
      <c r="M870" s="87"/>
      <c r="N870" s="88"/>
    </row>
    <row r="871" spans="1:14" ht="18.75" x14ac:dyDescent="0.25">
      <c r="A871" s="82"/>
      <c r="B871" s="82"/>
      <c r="C871" s="83"/>
      <c r="D871" s="84"/>
      <c r="E871" s="82"/>
      <c r="G871" s="85"/>
      <c r="H871" s="85"/>
      <c r="I871" s="86"/>
      <c r="M871" s="87"/>
      <c r="N871" s="88"/>
    </row>
    <row r="872" spans="1:14" ht="18.75" x14ac:dyDescent="0.25">
      <c r="A872" s="82"/>
      <c r="B872" s="82"/>
      <c r="C872" s="83"/>
      <c r="D872" s="84"/>
      <c r="E872" s="82"/>
      <c r="G872" s="85"/>
      <c r="H872" s="85"/>
      <c r="I872" s="86"/>
      <c r="M872" s="87"/>
      <c r="N872" s="88"/>
    </row>
    <row r="873" spans="1:14" ht="18.75" x14ac:dyDescent="0.25">
      <c r="A873" s="82"/>
      <c r="B873" s="82"/>
      <c r="C873" s="83"/>
      <c r="D873" s="84"/>
      <c r="E873" s="82"/>
      <c r="G873" s="85"/>
      <c r="H873" s="85"/>
      <c r="I873" s="86"/>
      <c r="M873" s="87"/>
      <c r="N873" s="88"/>
    </row>
    <row r="874" spans="1:14" ht="18.75" x14ac:dyDescent="0.25">
      <c r="A874" s="82"/>
      <c r="B874" s="82"/>
      <c r="C874" s="83"/>
      <c r="D874" s="84"/>
      <c r="E874" s="82"/>
      <c r="G874" s="85"/>
      <c r="H874" s="85"/>
      <c r="I874" s="86"/>
      <c r="M874" s="87"/>
      <c r="N874" s="88"/>
    </row>
    <row r="875" spans="1:14" ht="18.75" x14ac:dyDescent="0.25">
      <c r="A875" s="82"/>
      <c r="B875" s="82"/>
      <c r="C875" s="83"/>
      <c r="D875" s="84"/>
      <c r="E875" s="82"/>
      <c r="G875" s="85"/>
      <c r="H875" s="85"/>
      <c r="I875" s="86"/>
      <c r="M875" s="87"/>
      <c r="N875" s="88"/>
    </row>
    <row r="876" spans="1:14" ht="18.75" x14ac:dyDescent="0.25">
      <c r="A876" s="82"/>
      <c r="B876" s="82"/>
      <c r="C876" s="83"/>
      <c r="D876" s="84"/>
      <c r="E876" s="82"/>
      <c r="G876" s="85"/>
      <c r="H876" s="85"/>
      <c r="I876" s="86"/>
      <c r="M876" s="87"/>
      <c r="N876" s="88"/>
    </row>
    <row r="877" spans="1:14" ht="18.75" x14ac:dyDescent="0.25">
      <c r="A877" s="82"/>
      <c r="B877" s="82"/>
      <c r="C877" s="83"/>
      <c r="D877" s="84"/>
      <c r="E877" s="82"/>
      <c r="G877" s="85"/>
      <c r="H877" s="85"/>
      <c r="I877" s="86"/>
      <c r="M877" s="87"/>
      <c r="N877" s="88"/>
    </row>
    <row r="878" spans="1:14" ht="18.75" x14ac:dyDescent="0.25">
      <c r="A878" s="82"/>
      <c r="B878" s="82"/>
      <c r="C878" s="83"/>
      <c r="D878" s="84"/>
      <c r="E878" s="82"/>
      <c r="G878" s="85"/>
      <c r="H878" s="85"/>
      <c r="I878" s="86"/>
      <c r="M878" s="87"/>
      <c r="N878" s="88"/>
    </row>
    <row r="879" spans="1:14" ht="18.75" x14ac:dyDescent="0.25">
      <c r="A879" s="82"/>
      <c r="B879" s="82"/>
      <c r="C879" s="83"/>
      <c r="D879" s="84"/>
      <c r="E879" s="82"/>
      <c r="G879" s="85"/>
      <c r="H879" s="85"/>
      <c r="I879" s="86"/>
      <c r="M879" s="87"/>
      <c r="N879" s="88"/>
    </row>
    <row r="880" spans="1:14" ht="18.75" x14ac:dyDescent="0.25">
      <c r="A880" s="82"/>
      <c r="B880" s="82"/>
      <c r="C880" s="83"/>
      <c r="D880" s="84"/>
      <c r="E880" s="82"/>
      <c r="G880" s="85"/>
      <c r="H880" s="85"/>
      <c r="I880" s="86"/>
      <c r="M880" s="87"/>
      <c r="N880" s="88"/>
    </row>
    <row r="881" spans="1:14" ht="18.75" x14ac:dyDescent="0.25">
      <c r="A881" s="82"/>
      <c r="B881" s="82"/>
      <c r="C881" s="83"/>
      <c r="D881" s="84"/>
      <c r="E881" s="82"/>
      <c r="G881" s="85"/>
      <c r="H881" s="85"/>
      <c r="I881" s="86"/>
      <c r="M881" s="87"/>
      <c r="N881" s="88"/>
    </row>
    <row r="882" spans="1:14" ht="18.75" x14ac:dyDescent="0.25">
      <c r="A882" s="82"/>
      <c r="B882" s="82"/>
      <c r="C882" s="83"/>
      <c r="D882" s="84"/>
      <c r="E882" s="82"/>
      <c r="G882" s="85"/>
      <c r="H882" s="85"/>
      <c r="I882" s="86"/>
      <c r="M882" s="87"/>
      <c r="N882" s="88"/>
    </row>
    <row r="883" spans="1:14" ht="18.75" x14ac:dyDescent="0.25">
      <c r="A883" s="82"/>
      <c r="B883" s="82"/>
      <c r="C883" s="83"/>
      <c r="D883" s="84"/>
      <c r="E883" s="82"/>
      <c r="G883" s="85"/>
      <c r="H883" s="85"/>
      <c r="I883" s="86"/>
      <c r="M883" s="87"/>
      <c r="N883" s="88"/>
    </row>
    <row r="884" spans="1:14" ht="18.75" x14ac:dyDescent="0.25">
      <c r="A884" s="82"/>
      <c r="B884" s="82"/>
      <c r="C884" s="83"/>
      <c r="D884" s="84"/>
      <c r="E884" s="82"/>
      <c r="G884" s="85"/>
      <c r="H884" s="85"/>
      <c r="I884" s="86"/>
      <c r="M884" s="87"/>
      <c r="N884" s="88"/>
    </row>
    <row r="885" spans="1:14" ht="18.75" x14ac:dyDescent="0.25">
      <c r="A885" s="82"/>
      <c r="B885" s="82"/>
      <c r="C885" s="83"/>
      <c r="D885" s="84"/>
      <c r="E885" s="82"/>
      <c r="G885" s="85"/>
      <c r="H885" s="85"/>
      <c r="I885" s="86"/>
      <c r="M885" s="87"/>
      <c r="N885" s="88"/>
    </row>
    <row r="886" spans="1:14" ht="18.75" x14ac:dyDescent="0.25">
      <c r="A886" s="82"/>
      <c r="B886" s="82"/>
      <c r="C886" s="83"/>
      <c r="D886" s="84"/>
      <c r="E886" s="82"/>
      <c r="G886" s="85"/>
      <c r="H886" s="85"/>
      <c r="I886" s="86"/>
      <c r="M886" s="87"/>
      <c r="N886" s="88"/>
    </row>
    <row r="887" spans="1:14" ht="18.75" x14ac:dyDescent="0.25">
      <c r="A887" s="82"/>
      <c r="B887" s="82"/>
      <c r="C887" s="83"/>
      <c r="D887" s="84"/>
      <c r="E887" s="82"/>
      <c r="G887" s="85"/>
      <c r="H887" s="85"/>
      <c r="I887" s="86"/>
      <c r="M887" s="87"/>
      <c r="N887" s="88"/>
    </row>
    <row r="888" spans="1:14" ht="18.75" x14ac:dyDescent="0.25">
      <c r="A888" s="82"/>
      <c r="B888" s="82"/>
      <c r="C888" s="83"/>
      <c r="D888" s="84"/>
      <c r="E888" s="82"/>
      <c r="G888" s="85"/>
      <c r="H888" s="85"/>
      <c r="I888" s="86"/>
      <c r="M888" s="87"/>
      <c r="N888" s="88"/>
    </row>
    <row r="889" spans="1:14" ht="18.75" x14ac:dyDescent="0.25">
      <c r="A889" s="82"/>
      <c r="B889" s="82"/>
      <c r="C889" s="83"/>
      <c r="D889" s="84"/>
      <c r="E889" s="82"/>
      <c r="G889" s="85"/>
      <c r="H889" s="85"/>
      <c r="I889" s="86"/>
      <c r="M889" s="87"/>
      <c r="N889" s="88"/>
    </row>
    <row r="890" spans="1:14" ht="18.75" x14ac:dyDescent="0.25">
      <c r="A890" s="82"/>
      <c r="B890" s="82"/>
      <c r="C890" s="83"/>
      <c r="D890" s="84"/>
      <c r="E890" s="82"/>
      <c r="G890" s="85"/>
      <c r="H890" s="85"/>
      <c r="I890" s="86"/>
      <c r="M890" s="87"/>
      <c r="N890" s="88"/>
    </row>
    <row r="891" spans="1:14" ht="18.75" x14ac:dyDescent="0.25">
      <c r="A891" s="82"/>
      <c r="B891" s="82"/>
      <c r="C891" s="83"/>
      <c r="D891" s="84"/>
      <c r="E891" s="82"/>
      <c r="G891" s="85"/>
      <c r="H891" s="85"/>
      <c r="I891" s="86"/>
      <c r="M891" s="87"/>
      <c r="N891" s="88"/>
    </row>
    <row r="892" spans="1:14" ht="18.75" x14ac:dyDescent="0.25">
      <c r="A892" s="82"/>
      <c r="B892" s="82"/>
      <c r="C892" s="83"/>
      <c r="D892" s="84"/>
      <c r="E892" s="82"/>
      <c r="G892" s="85"/>
      <c r="H892" s="85"/>
      <c r="I892" s="86"/>
      <c r="M892" s="87"/>
      <c r="N892" s="88"/>
    </row>
    <row r="893" spans="1:14" ht="18.75" x14ac:dyDescent="0.25">
      <c r="A893" s="82"/>
      <c r="B893" s="82"/>
      <c r="C893" s="83"/>
      <c r="D893" s="84"/>
      <c r="E893" s="82"/>
      <c r="G893" s="85"/>
      <c r="H893" s="85"/>
      <c r="I893" s="86"/>
      <c r="M893" s="87"/>
      <c r="N893" s="88"/>
    </row>
    <row r="894" spans="1:14" ht="18.75" x14ac:dyDescent="0.25">
      <c r="A894" s="82"/>
      <c r="B894" s="82"/>
      <c r="C894" s="83"/>
      <c r="D894" s="84"/>
      <c r="E894" s="82"/>
      <c r="G894" s="85"/>
      <c r="H894" s="85"/>
      <c r="I894" s="86"/>
      <c r="M894" s="87"/>
      <c r="N894" s="88"/>
    </row>
    <row r="895" spans="1:14" ht="18.75" x14ac:dyDescent="0.25">
      <c r="A895" s="82"/>
      <c r="B895" s="82"/>
      <c r="C895" s="83"/>
      <c r="D895" s="84"/>
      <c r="E895" s="82"/>
      <c r="G895" s="85"/>
      <c r="H895" s="85"/>
      <c r="I895" s="86"/>
      <c r="M895" s="87"/>
      <c r="N895" s="88"/>
    </row>
    <row r="896" spans="1:14" ht="18.75" x14ac:dyDescent="0.25">
      <c r="A896" s="82"/>
      <c r="B896" s="82"/>
      <c r="C896" s="83"/>
      <c r="D896" s="84"/>
      <c r="E896" s="82"/>
      <c r="G896" s="85"/>
      <c r="H896" s="85"/>
      <c r="I896" s="86"/>
      <c r="M896" s="87"/>
      <c r="N896" s="88"/>
    </row>
    <row r="897" spans="1:14" ht="18.75" x14ac:dyDescent="0.25">
      <c r="A897" s="82"/>
      <c r="B897" s="82"/>
      <c r="C897" s="83"/>
      <c r="D897" s="84"/>
      <c r="E897" s="82"/>
      <c r="G897" s="85"/>
      <c r="H897" s="85"/>
      <c r="I897" s="86"/>
      <c r="M897" s="87"/>
      <c r="N897" s="88"/>
    </row>
    <row r="898" spans="1:14" ht="18.75" x14ac:dyDescent="0.25">
      <c r="A898" s="82"/>
      <c r="B898" s="82"/>
      <c r="C898" s="83"/>
      <c r="D898" s="84"/>
      <c r="E898" s="82"/>
      <c r="G898" s="85"/>
      <c r="H898" s="85"/>
      <c r="I898" s="86"/>
      <c r="M898" s="87"/>
      <c r="N898" s="88"/>
    </row>
    <row r="899" spans="1:14" ht="18.75" x14ac:dyDescent="0.25">
      <c r="A899" s="82"/>
      <c r="B899" s="82"/>
      <c r="C899" s="83"/>
      <c r="D899" s="84"/>
      <c r="E899" s="82"/>
      <c r="G899" s="85"/>
      <c r="H899" s="85"/>
      <c r="I899" s="86"/>
      <c r="M899" s="87"/>
      <c r="N899" s="88"/>
    </row>
    <row r="900" spans="1:14" ht="18.75" x14ac:dyDescent="0.25">
      <c r="A900" s="82"/>
      <c r="B900" s="82"/>
      <c r="C900" s="83"/>
      <c r="D900" s="84"/>
      <c r="E900" s="82"/>
      <c r="G900" s="85"/>
      <c r="H900" s="85"/>
      <c r="I900" s="86"/>
      <c r="M900" s="87"/>
      <c r="N900" s="88"/>
    </row>
    <row r="901" spans="1:14" ht="18.75" x14ac:dyDescent="0.25">
      <c r="A901" s="82"/>
      <c r="B901" s="82"/>
      <c r="C901" s="83"/>
      <c r="D901" s="84"/>
      <c r="E901" s="82"/>
      <c r="G901" s="85"/>
      <c r="H901" s="85"/>
      <c r="I901" s="86"/>
      <c r="M901" s="87"/>
      <c r="N901" s="88"/>
    </row>
    <row r="902" spans="1:14" ht="18.75" x14ac:dyDescent="0.25">
      <c r="A902" s="82"/>
      <c r="B902" s="82"/>
      <c r="C902" s="83"/>
      <c r="D902" s="84"/>
      <c r="E902" s="82"/>
      <c r="G902" s="85"/>
      <c r="H902" s="85"/>
      <c r="I902" s="86"/>
      <c r="M902" s="87"/>
      <c r="N902" s="88"/>
    </row>
    <row r="903" spans="1:14" ht="18.75" x14ac:dyDescent="0.25">
      <c r="A903" s="82"/>
      <c r="B903" s="82"/>
      <c r="C903" s="83"/>
      <c r="D903" s="84"/>
      <c r="E903" s="82"/>
      <c r="G903" s="85"/>
      <c r="H903" s="85"/>
      <c r="I903" s="86"/>
      <c r="M903" s="87"/>
      <c r="N903" s="88"/>
    </row>
    <row r="904" spans="1:14" ht="18.75" x14ac:dyDescent="0.25">
      <c r="A904" s="82"/>
      <c r="B904" s="82"/>
      <c r="C904" s="83"/>
      <c r="D904" s="84"/>
      <c r="E904" s="82"/>
      <c r="G904" s="85"/>
      <c r="H904" s="85"/>
      <c r="I904" s="86"/>
      <c r="M904" s="87"/>
      <c r="N904" s="88"/>
    </row>
    <row r="905" spans="1:14" ht="18.75" x14ac:dyDescent="0.25">
      <c r="A905" s="82"/>
      <c r="B905" s="82"/>
      <c r="C905" s="83"/>
      <c r="D905" s="84"/>
      <c r="E905" s="82"/>
      <c r="G905" s="85"/>
      <c r="H905" s="85"/>
      <c r="I905" s="86"/>
      <c r="M905" s="87"/>
      <c r="N905" s="88"/>
    </row>
    <row r="906" spans="1:14" ht="18.75" x14ac:dyDescent="0.25">
      <c r="A906" s="82"/>
      <c r="B906" s="82"/>
      <c r="C906" s="83"/>
      <c r="D906" s="84"/>
      <c r="E906" s="82"/>
      <c r="G906" s="85"/>
      <c r="H906" s="85"/>
      <c r="I906" s="86"/>
      <c r="M906" s="87"/>
      <c r="N906" s="88"/>
    </row>
    <row r="907" spans="1:14" ht="18.75" x14ac:dyDescent="0.25">
      <c r="A907" s="82"/>
      <c r="B907" s="82"/>
      <c r="C907" s="83"/>
      <c r="D907" s="84"/>
      <c r="E907" s="82"/>
      <c r="G907" s="85"/>
      <c r="H907" s="85"/>
      <c r="I907" s="86"/>
      <c r="M907" s="87"/>
      <c r="N907" s="88"/>
    </row>
    <row r="908" spans="1:14" ht="18.75" x14ac:dyDescent="0.25">
      <c r="A908" s="82"/>
      <c r="B908" s="82"/>
      <c r="C908" s="83"/>
      <c r="D908" s="84"/>
      <c r="E908" s="82"/>
      <c r="G908" s="85"/>
      <c r="H908" s="85"/>
      <c r="I908" s="86"/>
      <c r="M908" s="87"/>
      <c r="N908" s="88"/>
    </row>
    <row r="909" spans="1:14" ht="18.75" x14ac:dyDescent="0.25">
      <c r="A909" s="82"/>
      <c r="B909" s="82"/>
      <c r="C909" s="83"/>
      <c r="D909" s="84"/>
      <c r="E909" s="82"/>
      <c r="G909" s="85"/>
      <c r="H909" s="85"/>
      <c r="I909" s="86"/>
      <c r="M909" s="87"/>
      <c r="N909" s="88"/>
    </row>
    <row r="910" spans="1:14" ht="18.75" x14ac:dyDescent="0.25">
      <c r="A910" s="82"/>
      <c r="B910" s="82"/>
      <c r="C910" s="83"/>
      <c r="D910" s="84"/>
      <c r="E910" s="82"/>
      <c r="G910" s="85"/>
      <c r="H910" s="85"/>
      <c r="I910" s="86"/>
      <c r="M910" s="87"/>
      <c r="N910" s="88"/>
    </row>
    <row r="911" spans="1:14" ht="18.75" x14ac:dyDescent="0.25">
      <c r="A911" s="82"/>
      <c r="B911" s="82"/>
      <c r="C911" s="83"/>
      <c r="D911" s="84"/>
      <c r="E911" s="82"/>
      <c r="G911" s="85"/>
      <c r="H911" s="85"/>
      <c r="I911" s="86"/>
      <c r="M911" s="87"/>
      <c r="N911" s="88"/>
    </row>
    <row r="912" spans="1:14" ht="18.75" x14ac:dyDescent="0.25">
      <c r="A912" s="82"/>
      <c r="B912" s="82"/>
      <c r="C912" s="83"/>
      <c r="D912" s="84"/>
      <c r="E912" s="82"/>
      <c r="G912" s="85"/>
      <c r="H912" s="85"/>
      <c r="I912" s="86"/>
      <c r="M912" s="87"/>
      <c r="N912" s="88"/>
    </row>
    <row r="913" spans="1:14" ht="18.75" x14ac:dyDescent="0.25">
      <c r="A913" s="82"/>
      <c r="B913" s="82"/>
      <c r="C913" s="83"/>
      <c r="D913" s="84"/>
      <c r="E913" s="82"/>
      <c r="G913" s="85"/>
      <c r="H913" s="85"/>
      <c r="I913" s="86"/>
      <c r="M913" s="87"/>
      <c r="N913" s="88"/>
    </row>
    <row r="914" spans="1:14" ht="18.75" x14ac:dyDescent="0.25">
      <c r="A914" s="82"/>
      <c r="B914" s="82"/>
      <c r="C914" s="83"/>
      <c r="D914" s="84"/>
      <c r="E914" s="82"/>
      <c r="G914" s="85"/>
      <c r="H914" s="85"/>
      <c r="I914" s="86"/>
      <c r="M914" s="87"/>
      <c r="N914" s="88"/>
    </row>
    <row r="915" spans="1:14" ht="18.75" x14ac:dyDescent="0.25">
      <c r="A915" s="82"/>
      <c r="B915" s="82"/>
      <c r="C915" s="83"/>
      <c r="D915" s="84"/>
      <c r="E915" s="82"/>
      <c r="G915" s="85"/>
      <c r="H915" s="85"/>
      <c r="I915" s="86"/>
      <c r="M915" s="87"/>
      <c r="N915" s="88"/>
    </row>
    <row r="916" spans="1:14" ht="18.75" x14ac:dyDescent="0.25">
      <c r="A916" s="82"/>
      <c r="B916" s="82"/>
      <c r="C916" s="83"/>
      <c r="D916" s="84"/>
      <c r="E916" s="82"/>
      <c r="G916" s="85"/>
      <c r="H916" s="85"/>
      <c r="I916" s="86"/>
      <c r="M916" s="87"/>
      <c r="N916" s="88"/>
    </row>
    <row r="917" spans="1:14" ht="18.75" x14ac:dyDescent="0.25">
      <c r="A917" s="82"/>
      <c r="B917" s="82"/>
      <c r="C917" s="83"/>
      <c r="D917" s="84"/>
      <c r="E917" s="82"/>
      <c r="G917" s="85"/>
      <c r="H917" s="85"/>
      <c r="I917" s="86"/>
      <c r="M917" s="87"/>
      <c r="N917" s="88"/>
    </row>
    <row r="918" spans="1:14" ht="18.75" x14ac:dyDescent="0.25">
      <c r="A918" s="82"/>
      <c r="B918" s="82"/>
      <c r="C918" s="83"/>
      <c r="D918" s="84"/>
      <c r="E918" s="82"/>
      <c r="G918" s="85"/>
      <c r="H918" s="85"/>
      <c r="I918" s="86"/>
      <c r="M918" s="87"/>
      <c r="N918" s="88"/>
    </row>
    <row r="919" spans="1:14" ht="18.75" x14ac:dyDescent="0.25">
      <c r="A919" s="82"/>
      <c r="B919" s="82"/>
      <c r="C919" s="83"/>
      <c r="D919" s="84"/>
      <c r="E919" s="82"/>
      <c r="G919" s="85"/>
      <c r="H919" s="85"/>
      <c r="I919" s="86"/>
      <c r="M919" s="87"/>
      <c r="N919" s="88"/>
    </row>
    <row r="920" spans="1:14" ht="18.75" x14ac:dyDescent="0.25">
      <c r="A920" s="82"/>
      <c r="B920" s="82"/>
      <c r="C920" s="83"/>
      <c r="D920" s="84"/>
      <c r="E920" s="82"/>
      <c r="G920" s="85"/>
      <c r="H920" s="85"/>
      <c r="I920" s="86"/>
      <c r="M920" s="87"/>
      <c r="N920" s="88"/>
    </row>
    <row r="921" spans="1:14" ht="18.75" x14ac:dyDescent="0.25">
      <c r="A921" s="82"/>
      <c r="B921" s="82"/>
      <c r="C921" s="83"/>
      <c r="D921" s="84"/>
      <c r="E921" s="82"/>
      <c r="G921" s="85"/>
      <c r="H921" s="85"/>
      <c r="I921" s="86"/>
      <c r="M921" s="87"/>
      <c r="N921" s="88"/>
    </row>
    <row r="922" spans="1:14" ht="18.75" x14ac:dyDescent="0.25">
      <c r="A922" s="82"/>
      <c r="B922" s="82"/>
      <c r="C922" s="83"/>
      <c r="D922" s="84"/>
      <c r="E922" s="82"/>
      <c r="G922" s="85"/>
      <c r="H922" s="85"/>
      <c r="I922" s="86"/>
      <c r="M922" s="87"/>
      <c r="N922" s="88"/>
    </row>
    <row r="923" spans="1:14" ht="18.75" x14ac:dyDescent="0.25">
      <c r="A923" s="82"/>
      <c r="B923" s="82"/>
      <c r="C923" s="83"/>
      <c r="D923" s="84"/>
      <c r="E923" s="82"/>
      <c r="G923" s="85"/>
      <c r="H923" s="85"/>
      <c r="I923" s="86"/>
      <c r="M923" s="87"/>
      <c r="N923" s="88"/>
    </row>
    <row r="924" spans="1:14" ht="18.75" x14ac:dyDescent="0.25">
      <c r="A924" s="82"/>
      <c r="B924" s="82"/>
      <c r="C924" s="83"/>
      <c r="D924" s="84"/>
      <c r="E924" s="82"/>
      <c r="G924" s="85"/>
      <c r="H924" s="85"/>
      <c r="I924" s="86"/>
      <c r="M924" s="87"/>
      <c r="N924" s="88"/>
    </row>
    <row r="925" spans="1:14" ht="18.75" x14ac:dyDescent="0.25">
      <c r="A925" s="82"/>
      <c r="B925" s="82"/>
      <c r="C925" s="83"/>
      <c r="D925" s="84"/>
      <c r="E925" s="82"/>
      <c r="G925" s="85"/>
      <c r="H925" s="85"/>
      <c r="I925" s="86"/>
      <c r="M925" s="87"/>
      <c r="N925" s="88"/>
    </row>
    <row r="926" spans="1:14" ht="18.75" x14ac:dyDescent="0.25">
      <c r="A926" s="82"/>
      <c r="B926" s="82"/>
      <c r="C926" s="83"/>
      <c r="D926" s="84"/>
      <c r="E926" s="82"/>
      <c r="G926" s="85"/>
      <c r="H926" s="85"/>
      <c r="I926" s="86"/>
      <c r="M926" s="87"/>
      <c r="N926" s="88"/>
    </row>
    <row r="927" spans="1:14" ht="18.75" x14ac:dyDescent="0.25">
      <c r="A927" s="82"/>
      <c r="B927" s="82"/>
      <c r="C927" s="83"/>
      <c r="D927" s="84"/>
      <c r="E927" s="82"/>
      <c r="G927" s="85"/>
      <c r="H927" s="85"/>
      <c r="I927" s="86"/>
      <c r="M927" s="87"/>
      <c r="N927" s="88"/>
    </row>
    <row r="928" spans="1:14" ht="18.75" x14ac:dyDescent="0.25">
      <c r="A928" s="82"/>
      <c r="B928" s="82"/>
      <c r="C928" s="83"/>
      <c r="D928" s="84"/>
      <c r="E928" s="82"/>
      <c r="G928" s="85"/>
      <c r="H928" s="85"/>
      <c r="I928" s="86"/>
      <c r="M928" s="87"/>
      <c r="N928" s="88"/>
    </row>
    <row r="929" spans="1:14" ht="18.75" x14ac:dyDescent="0.25">
      <c r="A929" s="82"/>
      <c r="B929" s="82"/>
      <c r="C929" s="83"/>
      <c r="D929" s="84"/>
      <c r="E929" s="82"/>
      <c r="G929" s="85"/>
      <c r="H929" s="85"/>
      <c r="I929" s="86"/>
      <c r="M929" s="87"/>
      <c r="N929" s="88"/>
    </row>
    <row r="930" spans="1:14" ht="18.75" x14ac:dyDescent="0.25">
      <c r="A930" s="82"/>
      <c r="B930" s="82"/>
      <c r="C930" s="83"/>
      <c r="D930" s="84"/>
      <c r="E930" s="82"/>
      <c r="G930" s="85"/>
      <c r="H930" s="85"/>
      <c r="I930" s="86"/>
      <c r="M930" s="87"/>
      <c r="N930" s="88"/>
    </row>
    <row r="931" spans="1:14" ht="18.75" x14ac:dyDescent="0.25">
      <c r="A931" s="82"/>
      <c r="B931" s="82"/>
      <c r="C931" s="83"/>
      <c r="D931" s="84"/>
      <c r="E931" s="82"/>
      <c r="G931" s="85"/>
      <c r="H931" s="85"/>
      <c r="I931" s="86"/>
      <c r="M931" s="87"/>
      <c r="N931" s="88"/>
    </row>
    <row r="932" spans="1:14" ht="18.75" x14ac:dyDescent="0.25">
      <c r="A932" s="82"/>
      <c r="B932" s="82"/>
      <c r="C932" s="83"/>
      <c r="D932" s="84"/>
      <c r="E932" s="82"/>
      <c r="G932" s="85"/>
      <c r="H932" s="85"/>
      <c r="I932" s="86"/>
      <c r="M932" s="87"/>
      <c r="N932" s="88"/>
    </row>
    <row r="933" spans="1:14" ht="18.75" x14ac:dyDescent="0.25">
      <c r="A933" s="82"/>
      <c r="B933" s="82"/>
      <c r="C933" s="83"/>
      <c r="D933" s="84"/>
      <c r="E933" s="82"/>
      <c r="G933" s="85"/>
      <c r="H933" s="85"/>
      <c r="I933" s="86"/>
      <c r="M933" s="87"/>
      <c r="N933" s="88"/>
    </row>
    <row r="934" spans="1:14" ht="18.75" x14ac:dyDescent="0.25">
      <c r="A934" s="82"/>
      <c r="B934" s="82"/>
      <c r="C934" s="83"/>
      <c r="D934" s="84"/>
      <c r="E934" s="82"/>
      <c r="G934" s="85"/>
      <c r="H934" s="85"/>
      <c r="I934" s="86"/>
      <c r="M934" s="87"/>
      <c r="N934" s="88"/>
    </row>
    <row r="935" spans="1:14" ht="18.75" x14ac:dyDescent="0.25">
      <c r="A935" s="82"/>
      <c r="B935" s="82"/>
      <c r="C935" s="83"/>
      <c r="D935" s="84"/>
      <c r="E935" s="82"/>
      <c r="G935" s="85"/>
      <c r="H935" s="85"/>
      <c r="I935" s="86"/>
      <c r="M935" s="87"/>
      <c r="N935" s="88"/>
    </row>
    <row r="936" spans="1:14" ht="18.75" x14ac:dyDescent="0.25">
      <c r="A936" s="82"/>
      <c r="B936" s="82"/>
      <c r="C936" s="83"/>
      <c r="D936" s="84"/>
      <c r="E936" s="82"/>
      <c r="G936" s="85"/>
      <c r="H936" s="85"/>
      <c r="I936" s="86"/>
      <c r="M936" s="87"/>
      <c r="N936" s="88"/>
    </row>
    <row r="937" spans="1:14" ht="18.75" x14ac:dyDescent="0.25">
      <c r="A937" s="82"/>
      <c r="B937" s="82"/>
      <c r="C937" s="83"/>
      <c r="D937" s="84"/>
      <c r="E937" s="82"/>
      <c r="G937" s="85"/>
      <c r="H937" s="85"/>
      <c r="I937" s="86"/>
      <c r="M937" s="87"/>
      <c r="N937" s="88"/>
    </row>
    <row r="938" spans="1:14" ht="18.75" x14ac:dyDescent="0.25">
      <c r="A938" s="82"/>
      <c r="B938" s="82"/>
      <c r="C938" s="83"/>
      <c r="D938" s="84"/>
      <c r="E938" s="82"/>
      <c r="G938" s="85"/>
      <c r="H938" s="85"/>
      <c r="I938" s="86"/>
      <c r="M938" s="87"/>
      <c r="N938" s="88"/>
    </row>
    <row r="939" spans="1:14" ht="18.75" x14ac:dyDescent="0.25">
      <c r="A939" s="82"/>
      <c r="B939" s="82"/>
      <c r="C939" s="83"/>
      <c r="D939" s="84"/>
      <c r="E939" s="82"/>
      <c r="G939" s="85"/>
      <c r="H939" s="85"/>
      <c r="I939" s="86"/>
      <c r="M939" s="87"/>
      <c r="N939" s="88"/>
    </row>
    <row r="940" spans="1:14" ht="18.75" x14ac:dyDescent="0.25">
      <c r="A940" s="82"/>
      <c r="B940" s="82"/>
      <c r="C940" s="83"/>
      <c r="D940" s="84"/>
      <c r="E940" s="82"/>
      <c r="G940" s="85"/>
      <c r="H940" s="85"/>
      <c r="I940" s="86"/>
      <c r="M940" s="87"/>
      <c r="N940" s="88"/>
    </row>
    <row r="941" spans="1:14" ht="18.75" x14ac:dyDescent="0.25">
      <c r="A941" s="82"/>
      <c r="B941" s="82"/>
      <c r="C941" s="83"/>
      <c r="D941" s="84"/>
      <c r="E941" s="82"/>
      <c r="G941" s="85"/>
      <c r="H941" s="85"/>
      <c r="I941" s="86"/>
      <c r="M941" s="87"/>
      <c r="N941" s="88"/>
    </row>
    <row r="942" spans="1:14" ht="18.75" x14ac:dyDescent="0.25">
      <c r="A942" s="82"/>
      <c r="B942" s="82"/>
      <c r="C942" s="83"/>
      <c r="D942" s="84"/>
      <c r="E942" s="82"/>
      <c r="G942" s="85"/>
      <c r="H942" s="85"/>
      <c r="I942" s="86"/>
      <c r="M942" s="87"/>
      <c r="N942" s="88"/>
    </row>
    <row r="943" spans="1:14" ht="18.75" x14ac:dyDescent="0.25">
      <c r="A943" s="82"/>
      <c r="B943" s="82"/>
      <c r="C943" s="83"/>
      <c r="D943" s="84"/>
      <c r="E943" s="82"/>
      <c r="G943" s="85"/>
      <c r="H943" s="85"/>
      <c r="I943" s="86"/>
      <c r="M943" s="87"/>
      <c r="N943" s="88"/>
    </row>
    <row r="944" spans="1:14" ht="18.75" x14ac:dyDescent="0.25">
      <c r="A944" s="82"/>
      <c r="B944" s="82"/>
      <c r="C944" s="83"/>
      <c r="D944" s="84"/>
      <c r="E944" s="82"/>
      <c r="G944" s="85"/>
      <c r="H944" s="85"/>
      <c r="I944" s="86"/>
      <c r="M944" s="87"/>
      <c r="N944" s="88"/>
    </row>
    <row r="945" spans="1:14" ht="18.75" x14ac:dyDescent="0.25">
      <c r="A945" s="82"/>
      <c r="B945" s="82"/>
      <c r="C945" s="83"/>
      <c r="D945" s="84"/>
      <c r="E945" s="82"/>
      <c r="G945" s="85"/>
      <c r="H945" s="85"/>
      <c r="I945" s="86"/>
      <c r="M945" s="87"/>
      <c r="N945" s="88"/>
    </row>
    <row r="946" spans="1:14" ht="18.75" x14ac:dyDescent="0.25">
      <c r="A946" s="82"/>
      <c r="B946" s="82"/>
      <c r="C946" s="83"/>
      <c r="D946" s="84"/>
      <c r="E946" s="82"/>
      <c r="G946" s="85"/>
      <c r="H946" s="85"/>
      <c r="I946" s="86"/>
      <c r="M946" s="87"/>
      <c r="N946" s="88"/>
    </row>
    <row r="947" spans="1:14" ht="18.75" x14ac:dyDescent="0.25">
      <c r="A947" s="82"/>
      <c r="B947" s="82"/>
      <c r="C947" s="83"/>
      <c r="D947" s="84"/>
      <c r="E947" s="82"/>
      <c r="G947" s="85"/>
      <c r="H947" s="85"/>
      <c r="I947" s="86"/>
      <c r="M947" s="87"/>
      <c r="N947" s="88"/>
    </row>
    <row r="948" spans="1:14" ht="18.75" x14ac:dyDescent="0.25">
      <c r="A948" s="82"/>
      <c r="B948" s="82"/>
      <c r="C948" s="83"/>
      <c r="D948" s="84"/>
      <c r="E948" s="82"/>
      <c r="G948" s="85"/>
      <c r="H948" s="85"/>
      <c r="I948" s="86"/>
      <c r="M948" s="87"/>
      <c r="N948" s="88"/>
    </row>
    <row r="949" spans="1:14" ht="18.75" x14ac:dyDescent="0.25">
      <c r="A949" s="82"/>
      <c r="B949" s="82"/>
      <c r="C949" s="83"/>
      <c r="D949" s="84"/>
      <c r="E949" s="82"/>
      <c r="G949" s="85"/>
      <c r="H949" s="85"/>
      <c r="I949" s="86"/>
      <c r="M949" s="87"/>
      <c r="N949" s="88"/>
    </row>
    <row r="950" spans="1:14" ht="18.75" x14ac:dyDescent="0.25">
      <c r="A950" s="82"/>
      <c r="B950" s="82"/>
      <c r="C950" s="83"/>
      <c r="D950" s="84"/>
      <c r="E950" s="82"/>
      <c r="G950" s="85"/>
      <c r="H950" s="85"/>
      <c r="I950" s="86"/>
      <c r="M950" s="87"/>
      <c r="N950" s="88"/>
    </row>
    <row r="951" spans="1:14" ht="18.75" x14ac:dyDescent="0.25">
      <c r="A951" s="82"/>
      <c r="B951" s="82"/>
      <c r="C951" s="83"/>
      <c r="D951" s="84"/>
      <c r="E951" s="82"/>
      <c r="G951" s="85"/>
      <c r="H951" s="85"/>
      <c r="I951" s="86"/>
      <c r="M951" s="87"/>
      <c r="N951" s="88"/>
    </row>
    <row r="952" spans="1:14" ht="18.75" x14ac:dyDescent="0.25">
      <c r="A952" s="82"/>
      <c r="B952" s="82"/>
      <c r="C952" s="83"/>
      <c r="D952" s="84"/>
      <c r="E952" s="82"/>
      <c r="G952" s="85"/>
      <c r="H952" s="85"/>
      <c r="I952" s="86"/>
      <c r="M952" s="87"/>
      <c r="N952" s="88"/>
    </row>
    <row r="953" spans="1:14" ht="18.75" x14ac:dyDescent="0.25">
      <c r="A953" s="82"/>
      <c r="B953" s="82"/>
      <c r="C953" s="83"/>
      <c r="D953" s="84"/>
      <c r="E953" s="82"/>
      <c r="G953" s="85"/>
      <c r="H953" s="85"/>
      <c r="I953" s="86"/>
      <c r="M953" s="87"/>
      <c r="N953" s="88"/>
    </row>
    <row r="954" spans="1:14" ht="18.75" x14ac:dyDescent="0.25">
      <c r="A954" s="82"/>
      <c r="B954" s="82"/>
      <c r="C954" s="83"/>
      <c r="D954" s="84"/>
      <c r="E954" s="82"/>
      <c r="G954" s="85"/>
      <c r="H954" s="85"/>
      <c r="I954" s="86"/>
      <c r="M954" s="87"/>
      <c r="N954" s="88"/>
    </row>
    <row r="955" spans="1:14" ht="18.75" x14ac:dyDescent="0.25">
      <c r="A955" s="82"/>
      <c r="B955" s="82"/>
      <c r="C955" s="83"/>
      <c r="D955" s="84"/>
      <c r="E955" s="82"/>
      <c r="G955" s="85"/>
      <c r="H955" s="85"/>
      <c r="I955" s="86"/>
      <c r="M955" s="87"/>
      <c r="N955" s="88"/>
    </row>
    <row r="956" spans="1:14" ht="18.75" x14ac:dyDescent="0.25">
      <c r="A956" s="82"/>
      <c r="B956" s="82"/>
      <c r="C956" s="83"/>
      <c r="D956" s="84"/>
      <c r="E956" s="82"/>
      <c r="G956" s="85"/>
      <c r="H956" s="85"/>
      <c r="I956" s="86"/>
      <c r="M956" s="87"/>
      <c r="N956" s="88"/>
    </row>
    <row r="957" spans="1:14" ht="18.75" x14ac:dyDescent="0.25">
      <c r="A957" s="82"/>
      <c r="B957" s="82"/>
      <c r="C957" s="83"/>
      <c r="D957" s="84"/>
      <c r="E957" s="82"/>
      <c r="G957" s="85"/>
      <c r="H957" s="85"/>
      <c r="I957" s="86"/>
      <c r="M957" s="87"/>
      <c r="N957" s="88"/>
    </row>
    <row r="958" spans="1:14" ht="18.75" x14ac:dyDescent="0.25">
      <c r="A958" s="82"/>
      <c r="B958" s="82"/>
      <c r="C958" s="83"/>
      <c r="D958" s="84"/>
      <c r="E958" s="82"/>
      <c r="G958" s="85"/>
      <c r="H958" s="85"/>
      <c r="I958" s="86"/>
      <c r="M958" s="87"/>
      <c r="N958" s="88"/>
    </row>
    <row r="959" spans="1:14" ht="18.75" x14ac:dyDescent="0.25">
      <c r="A959" s="82"/>
      <c r="B959" s="82"/>
      <c r="C959" s="83"/>
      <c r="D959" s="84"/>
      <c r="E959" s="82"/>
      <c r="G959" s="85"/>
      <c r="H959" s="85"/>
      <c r="I959" s="86"/>
      <c r="M959" s="87"/>
      <c r="N959" s="88"/>
    </row>
    <row r="960" spans="1:14" ht="18.75" x14ac:dyDescent="0.25">
      <c r="A960" s="82"/>
      <c r="B960" s="82"/>
      <c r="C960" s="83"/>
      <c r="D960" s="84"/>
      <c r="E960" s="82"/>
      <c r="G960" s="85"/>
      <c r="H960" s="85"/>
      <c r="I960" s="86"/>
      <c r="M960" s="87"/>
      <c r="N960" s="88"/>
    </row>
    <row r="961" spans="1:14" ht="18.75" x14ac:dyDescent="0.25">
      <c r="A961" s="82"/>
      <c r="B961" s="82"/>
      <c r="C961" s="83"/>
      <c r="D961" s="84"/>
      <c r="E961" s="82"/>
      <c r="G961" s="85"/>
      <c r="H961" s="85"/>
      <c r="I961" s="86"/>
      <c r="M961" s="87"/>
      <c r="N961" s="88"/>
    </row>
    <row r="962" spans="1:14" ht="18.75" x14ac:dyDescent="0.25">
      <c r="A962" s="82"/>
      <c r="B962" s="82"/>
      <c r="C962" s="83"/>
      <c r="D962" s="84"/>
      <c r="E962" s="82"/>
      <c r="G962" s="85"/>
      <c r="H962" s="85"/>
      <c r="I962" s="86"/>
      <c r="M962" s="87"/>
      <c r="N962" s="88"/>
    </row>
    <row r="963" spans="1:14" ht="18.75" x14ac:dyDescent="0.25">
      <c r="A963" s="82"/>
      <c r="B963" s="82"/>
      <c r="C963" s="83"/>
      <c r="D963" s="84"/>
      <c r="E963" s="82"/>
      <c r="G963" s="85"/>
      <c r="H963" s="85"/>
      <c r="I963" s="86"/>
      <c r="M963" s="87"/>
      <c r="N963" s="88"/>
    </row>
    <row r="964" spans="1:14" ht="18.75" x14ac:dyDescent="0.25">
      <c r="A964" s="82"/>
      <c r="B964" s="82"/>
      <c r="C964" s="83"/>
      <c r="D964" s="84"/>
      <c r="E964" s="82"/>
      <c r="G964" s="85"/>
      <c r="H964" s="85"/>
      <c r="I964" s="86"/>
      <c r="M964" s="87"/>
      <c r="N964" s="88"/>
    </row>
    <row r="965" spans="1:14" ht="18.75" x14ac:dyDescent="0.25">
      <c r="A965" s="82"/>
      <c r="B965" s="82"/>
      <c r="C965" s="83"/>
      <c r="D965" s="84"/>
      <c r="E965" s="82"/>
      <c r="G965" s="85"/>
      <c r="H965" s="85"/>
      <c r="I965" s="86"/>
      <c r="M965" s="87"/>
      <c r="N965" s="88"/>
    </row>
    <row r="966" spans="1:14" ht="18.75" x14ac:dyDescent="0.25">
      <c r="A966" s="82"/>
      <c r="B966" s="82"/>
      <c r="C966" s="83"/>
      <c r="D966" s="84"/>
      <c r="E966" s="82"/>
      <c r="G966" s="85"/>
      <c r="H966" s="85"/>
      <c r="I966" s="86"/>
      <c r="M966" s="87"/>
      <c r="N966" s="88"/>
    </row>
    <row r="967" spans="1:14" ht="18.75" x14ac:dyDescent="0.25">
      <c r="A967" s="82"/>
      <c r="B967" s="82"/>
      <c r="C967" s="83"/>
      <c r="D967" s="84"/>
      <c r="E967" s="82"/>
      <c r="G967" s="85"/>
      <c r="H967" s="85"/>
      <c r="I967" s="86"/>
      <c r="M967" s="87"/>
      <c r="N967" s="88"/>
    </row>
    <row r="968" spans="1:14" ht="18.75" x14ac:dyDescent="0.25">
      <c r="A968" s="82"/>
      <c r="B968" s="82"/>
      <c r="C968" s="83"/>
      <c r="D968" s="84"/>
      <c r="E968" s="82"/>
      <c r="G968" s="85"/>
      <c r="H968" s="85"/>
      <c r="I968" s="86"/>
      <c r="M968" s="87"/>
      <c r="N968" s="88"/>
    </row>
    <row r="969" spans="1:14" ht="18.75" x14ac:dyDescent="0.25">
      <c r="A969" s="82"/>
      <c r="B969" s="82"/>
      <c r="C969" s="83"/>
      <c r="D969" s="84"/>
      <c r="E969" s="82"/>
      <c r="G969" s="85"/>
      <c r="H969" s="85"/>
      <c r="I969" s="86"/>
      <c r="M969" s="87"/>
      <c r="N969" s="88"/>
    </row>
    <row r="970" spans="1:14" ht="18.75" x14ac:dyDescent="0.25">
      <c r="A970" s="82"/>
      <c r="B970" s="82"/>
      <c r="C970" s="83"/>
      <c r="D970" s="84"/>
      <c r="E970" s="82"/>
      <c r="G970" s="85"/>
      <c r="H970" s="85"/>
      <c r="I970" s="86"/>
      <c r="M970" s="87"/>
      <c r="N970" s="88"/>
    </row>
    <row r="971" spans="1:14" ht="18.75" x14ac:dyDescent="0.25">
      <c r="A971" s="82"/>
      <c r="B971" s="82"/>
      <c r="C971" s="83"/>
      <c r="D971" s="84"/>
      <c r="E971" s="82"/>
      <c r="G971" s="85"/>
      <c r="H971" s="85"/>
      <c r="I971" s="86"/>
      <c r="M971" s="87"/>
      <c r="N971" s="88"/>
    </row>
    <row r="972" spans="1:14" ht="18.75" x14ac:dyDescent="0.25">
      <c r="A972" s="82"/>
      <c r="B972" s="82"/>
      <c r="C972" s="83"/>
      <c r="D972" s="84"/>
      <c r="E972" s="82"/>
      <c r="G972" s="85"/>
      <c r="H972" s="85"/>
      <c r="I972" s="86"/>
      <c r="M972" s="87"/>
      <c r="N972" s="88"/>
    </row>
    <row r="973" spans="1:14" ht="18.75" x14ac:dyDescent="0.25">
      <c r="A973" s="82"/>
      <c r="B973" s="82"/>
      <c r="C973" s="83"/>
      <c r="D973" s="84"/>
      <c r="E973" s="82"/>
      <c r="G973" s="85"/>
      <c r="H973" s="85"/>
      <c r="I973" s="86"/>
      <c r="M973" s="87"/>
      <c r="N973" s="88"/>
    </row>
    <row r="974" spans="1:14" ht="18.75" x14ac:dyDescent="0.25">
      <c r="A974" s="82"/>
      <c r="B974" s="82"/>
      <c r="C974" s="83"/>
      <c r="D974" s="84"/>
      <c r="E974" s="82"/>
      <c r="G974" s="85"/>
      <c r="H974" s="85"/>
      <c r="I974" s="86"/>
      <c r="M974" s="87"/>
      <c r="N974" s="88"/>
    </row>
    <row r="975" spans="1:14" ht="18.75" x14ac:dyDescent="0.25">
      <c r="A975" s="82"/>
      <c r="B975" s="82"/>
      <c r="C975" s="83"/>
      <c r="D975" s="84"/>
      <c r="E975" s="82"/>
      <c r="G975" s="85"/>
      <c r="H975" s="85"/>
      <c r="I975" s="86"/>
      <c r="M975" s="87"/>
      <c r="N975" s="88"/>
    </row>
    <row r="976" spans="1:14" ht="18.75" x14ac:dyDescent="0.25">
      <c r="A976" s="82"/>
      <c r="B976" s="82"/>
      <c r="C976" s="83"/>
      <c r="D976" s="84"/>
      <c r="E976" s="82"/>
      <c r="G976" s="85"/>
      <c r="H976" s="85"/>
      <c r="I976" s="86"/>
      <c r="M976" s="87"/>
      <c r="N976" s="88"/>
    </row>
    <row r="977" spans="1:14" ht="18.75" x14ac:dyDescent="0.25">
      <c r="A977" s="82"/>
      <c r="B977" s="82"/>
      <c r="C977" s="83"/>
      <c r="D977" s="84"/>
      <c r="E977" s="82"/>
      <c r="G977" s="85"/>
      <c r="H977" s="85"/>
      <c r="I977" s="86"/>
      <c r="M977" s="87"/>
      <c r="N977" s="88"/>
    </row>
    <row r="978" spans="1:14" ht="18.75" x14ac:dyDescent="0.25">
      <c r="A978" s="82"/>
      <c r="B978" s="82"/>
      <c r="C978" s="83"/>
      <c r="D978" s="84"/>
      <c r="E978" s="82"/>
      <c r="G978" s="85"/>
      <c r="H978" s="85"/>
      <c r="I978" s="86"/>
      <c r="M978" s="87"/>
      <c r="N978" s="88"/>
    </row>
    <row r="979" spans="1:14" ht="18.75" x14ac:dyDescent="0.25">
      <c r="A979" s="82"/>
      <c r="B979" s="82"/>
      <c r="C979" s="83"/>
      <c r="D979" s="84"/>
      <c r="E979" s="82"/>
      <c r="G979" s="85"/>
      <c r="H979" s="85"/>
      <c r="I979" s="86"/>
      <c r="M979" s="87"/>
      <c r="N979" s="88"/>
    </row>
    <row r="980" spans="1:14" ht="18.75" x14ac:dyDescent="0.25">
      <c r="A980" s="82"/>
      <c r="B980" s="82"/>
      <c r="C980" s="83"/>
      <c r="D980" s="84"/>
      <c r="E980" s="82"/>
      <c r="G980" s="85"/>
      <c r="H980" s="85"/>
      <c r="I980" s="86"/>
      <c r="M980" s="87"/>
      <c r="N980" s="88"/>
    </row>
    <row r="981" spans="1:14" ht="18.75" x14ac:dyDescent="0.25">
      <c r="A981" s="82"/>
      <c r="B981" s="82"/>
      <c r="C981" s="83"/>
      <c r="D981" s="84"/>
      <c r="E981" s="82"/>
      <c r="G981" s="85"/>
      <c r="H981" s="85"/>
      <c r="I981" s="86"/>
      <c r="M981" s="87"/>
      <c r="N981" s="88"/>
    </row>
    <row r="982" spans="1:14" ht="18.75" x14ac:dyDescent="0.25">
      <c r="A982" s="82"/>
      <c r="B982" s="82"/>
      <c r="C982" s="83"/>
      <c r="D982" s="84"/>
      <c r="E982" s="82"/>
      <c r="G982" s="85"/>
      <c r="H982" s="85"/>
      <c r="I982" s="86"/>
      <c r="M982" s="87"/>
      <c r="N982" s="88"/>
    </row>
    <row r="983" spans="1:14" ht="18.75" x14ac:dyDescent="0.25">
      <c r="A983" s="82"/>
      <c r="B983" s="82"/>
      <c r="C983" s="83"/>
      <c r="D983" s="84"/>
      <c r="E983" s="82"/>
      <c r="G983" s="85"/>
      <c r="H983" s="85"/>
      <c r="I983" s="86"/>
      <c r="M983" s="87"/>
      <c r="N983" s="88"/>
    </row>
    <row r="984" spans="1:14" ht="18.75" x14ac:dyDescent="0.25">
      <c r="A984" s="82"/>
      <c r="B984" s="82"/>
      <c r="C984" s="83"/>
      <c r="D984" s="84"/>
      <c r="E984" s="82"/>
      <c r="G984" s="85"/>
      <c r="H984" s="85"/>
      <c r="I984" s="86"/>
      <c r="M984" s="87"/>
      <c r="N984" s="88"/>
    </row>
    <row r="985" spans="1:14" ht="18.75" x14ac:dyDescent="0.25">
      <c r="A985" s="82"/>
      <c r="B985" s="82"/>
      <c r="C985" s="83"/>
      <c r="D985" s="84"/>
      <c r="E985" s="82"/>
      <c r="G985" s="85"/>
      <c r="H985" s="85"/>
      <c r="I985" s="86"/>
      <c r="M985" s="87"/>
      <c r="N985" s="88"/>
    </row>
    <row r="986" spans="1:14" ht="18.75" x14ac:dyDescent="0.25">
      <c r="A986" s="82"/>
      <c r="B986" s="82"/>
      <c r="C986" s="83"/>
      <c r="D986" s="84"/>
      <c r="E986" s="82"/>
      <c r="G986" s="85"/>
      <c r="H986" s="85"/>
      <c r="I986" s="86"/>
      <c r="M986" s="87"/>
      <c r="N986" s="88"/>
    </row>
    <row r="987" spans="1:14" ht="18.75" x14ac:dyDescent="0.25">
      <c r="A987" s="82"/>
      <c r="B987" s="82"/>
      <c r="C987" s="83"/>
      <c r="D987" s="84"/>
      <c r="E987" s="82"/>
      <c r="G987" s="85"/>
      <c r="H987" s="85"/>
      <c r="I987" s="86"/>
      <c r="M987" s="87"/>
      <c r="N987" s="88"/>
    </row>
    <row r="988" spans="1:14" ht="18.75" x14ac:dyDescent="0.25">
      <c r="A988" s="82"/>
      <c r="B988" s="82"/>
      <c r="C988" s="83"/>
      <c r="D988" s="84"/>
      <c r="E988" s="82"/>
      <c r="G988" s="85"/>
      <c r="H988" s="85"/>
      <c r="I988" s="86"/>
      <c r="M988" s="87"/>
      <c r="N988" s="88"/>
    </row>
    <row r="989" spans="1:14" ht="18.75" x14ac:dyDescent="0.25">
      <c r="A989" s="82"/>
      <c r="B989" s="82"/>
      <c r="C989" s="83"/>
      <c r="D989" s="84"/>
      <c r="E989" s="82"/>
      <c r="G989" s="85"/>
      <c r="H989" s="85"/>
      <c r="I989" s="86"/>
      <c r="M989" s="87"/>
      <c r="N989" s="88"/>
    </row>
    <row r="990" spans="1:14" ht="18.75" x14ac:dyDescent="0.25">
      <c r="A990" s="82"/>
      <c r="B990" s="82"/>
      <c r="C990" s="83"/>
      <c r="D990" s="84"/>
      <c r="E990" s="82"/>
      <c r="G990" s="85"/>
      <c r="H990" s="85"/>
      <c r="I990" s="86"/>
      <c r="M990" s="87"/>
      <c r="N990" s="88"/>
    </row>
    <row r="991" spans="1:14" ht="18.75" x14ac:dyDescent="0.25">
      <c r="A991" s="82"/>
      <c r="B991" s="82"/>
      <c r="C991" s="83"/>
      <c r="D991" s="84"/>
      <c r="E991" s="82"/>
      <c r="G991" s="85"/>
      <c r="H991" s="85"/>
      <c r="I991" s="86"/>
      <c r="M991" s="87"/>
      <c r="N991" s="88"/>
    </row>
    <row r="992" spans="1:14" ht="18.75" x14ac:dyDescent="0.25">
      <c r="A992" s="82"/>
      <c r="B992" s="82"/>
      <c r="C992" s="83"/>
      <c r="D992" s="84"/>
      <c r="E992" s="82"/>
      <c r="G992" s="85"/>
      <c r="H992" s="85"/>
      <c r="I992" s="86"/>
      <c r="M992" s="87"/>
      <c r="N992" s="88"/>
    </row>
    <row r="993" spans="1:14" ht="18.75" x14ac:dyDescent="0.25">
      <c r="A993" s="82"/>
      <c r="B993" s="82"/>
      <c r="C993" s="83"/>
      <c r="D993" s="84"/>
      <c r="E993" s="82"/>
      <c r="G993" s="85"/>
      <c r="H993" s="85"/>
      <c r="I993" s="86"/>
      <c r="M993" s="87"/>
      <c r="N993" s="88"/>
    </row>
    <row r="994" spans="1:14" ht="18.75" x14ac:dyDescent="0.25">
      <c r="A994" s="82"/>
      <c r="B994" s="82"/>
      <c r="C994" s="83"/>
      <c r="D994" s="84"/>
      <c r="E994" s="82"/>
      <c r="G994" s="85"/>
      <c r="H994" s="85"/>
      <c r="I994" s="86"/>
      <c r="M994" s="87"/>
      <c r="N994" s="88"/>
    </row>
    <row r="995" spans="1:14" ht="18.75" x14ac:dyDescent="0.25">
      <c r="A995" s="82"/>
      <c r="B995" s="82"/>
      <c r="C995" s="83"/>
      <c r="D995" s="84"/>
      <c r="E995" s="82"/>
      <c r="G995" s="85"/>
      <c r="H995" s="85"/>
      <c r="I995" s="86"/>
      <c r="M995" s="87"/>
      <c r="N995" s="88"/>
    </row>
    <row r="996" spans="1:14" ht="18.75" x14ac:dyDescent="0.25">
      <c r="A996" s="82"/>
      <c r="B996" s="82"/>
      <c r="C996" s="83"/>
      <c r="D996" s="84"/>
      <c r="E996" s="82"/>
      <c r="G996" s="85"/>
      <c r="H996" s="85"/>
      <c r="I996" s="86"/>
      <c r="M996" s="87"/>
      <c r="N996" s="88"/>
    </row>
    <row r="997" spans="1:14" ht="18.75" x14ac:dyDescent="0.25">
      <c r="A997" s="82"/>
      <c r="B997" s="82"/>
      <c r="C997" s="83"/>
      <c r="D997" s="84"/>
      <c r="E997" s="82"/>
      <c r="G997" s="85"/>
      <c r="H997" s="85"/>
      <c r="I997" s="86"/>
      <c r="M997" s="87"/>
      <c r="N997" s="88"/>
    </row>
    <row r="998" spans="1:14" ht="18.75" x14ac:dyDescent="0.25">
      <c r="A998" s="82"/>
      <c r="B998" s="82"/>
      <c r="C998" s="83"/>
      <c r="D998" s="84"/>
      <c r="E998" s="82"/>
      <c r="G998" s="85"/>
      <c r="H998" s="85"/>
      <c r="I998" s="86"/>
      <c r="M998" s="87"/>
      <c r="N998" s="88"/>
    </row>
    <row r="999" spans="1:14" ht="18.75" x14ac:dyDescent="0.25">
      <c r="A999" s="82"/>
      <c r="B999" s="82"/>
      <c r="C999" s="83"/>
      <c r="D999" s="84"/>
      <c r="E999" s="82"/>
      <c r="G999" s="85"/>
      <c r="H999" s="85"/>
      <c r="I999" s="86"/>
      <c r="M999" s="87"/>
      <c r="N999" s="88"/>
    </row>
    <row r="1000" spans="1:14" ht="18.75" x14ac:dyDescent="0.25">
      <c r="A1000" s="82"/>
      <c r="B1000" s="82"/>
      <c r="C1000" s="83"/>
      <c r="D1000" s="84"/>
      <c r="E1000" s="82"/>
      <c r="G1000" s="85"/>
      <c r="H1000" s="85"/>
      <c r="I1000" s="86"/>
      <c r="M1000" s="87"/>
      <c r="N1000" s="88"/>
    </row>
    <row r="1001" spans="1:14" ht="18.75" x14ac:dyDescent="0.25">
      <c r="A1001" s="82"/>
      <c r="B1001" s="82"/>
      <c r="C1001" s="83"/>
      <c r="D1001" s="84"/>
      <c r="E1001" s="82"/>
      <c r="G1001" s="85"/>
      <c r="H1001" s="85"/>
      <c r="I1001" s="86"/>
      <c r="M1001" s="87"/>
      <c r="N1001" s="88"/>
    </row>
    <row r="1002" spans="1:14" ht="18.75" x14ac:dyDescent="0.25">
      <c r="A1002" s="82"/>
      <c r="B1002" s="82"/>
      <c r="C1002" s="83"/>
      <c r="D1002" s="84"/>
      <c r="E1002" s="82"/>
      <c r="G1002" s="85"/>
      <c r="H1002" s="85"/>
      <c r="I1002" s="86"/>
      <c r="M1002" s="87"/>
      <c r="N1002" s="88"/>
    </row>
    <row r="1003" spans="1:14" ht="18.75" x14ac:dyDescent="0.25">
      <c r="A1003" s="82"/>
      <c r="B1003" s="82"/>
      <c r="C1003" s="83"/>
      <c r="D1003" s="84"/>
      <c r="E1003" s="82"/>
      <c r="G1003" s="85"/>
      <c r="H1003" s="85"/>
      <c r="I1003" s="86"/>
      <c r="M1003" s="87"/>
      <c r="N1003" s="88"/>
    </row>
    <row r="1004" spans="1:14" ht="18.75" x14ac:dyDescent="0.25">
      <c r="A1004" s="82"/>
      <c r="B1004" s="82"/>
      <c r="C1004" s="83"/>
      <c r="D1004" s="84"/>
      <c r="E1004" s="82"/>
      <c r="G1004" s="85"/>
      <c r="H1004" s="85"/>
      <c r="I1004" s="86"/>
      <c r="M1004" s="87"/>
      <c r="N1004" s="88"/>
    </row>
    <row r="1005" spans="1:14" ht="18.75" x14ac:dyDescent="0.25">
      <c r="A1005" s="82"/>
      <c r="B1005" s="82"/>
      <c r="C1005" s="83"/>
      <c r="D1005" s="84"/>
      <c r="E1005" s="82"/>
      <c r="G1005" s="85"/>
      <c r="H1005" s="85"/>
      <c r="I1005" s="86"/>
      <c r="M1005" s="87"/>
      <c r="N1005" s="88"/>
    </row>
    <row r="1006" spans="1:14" ht="18.75" x14ac:dyDescent="0.25">
      <c r="A1006" s="82"/>
      <c r="B1006" s="82"/>
      <c r="C1006" s="83"/>
      <c r="D1006" s="84"/>
      <c r="E1006" s="82"/>
      <c r="G1006" s="85"/>
      <c r="H1006" s="85"/>
      <c r="I1006" s="86"/>
      <c r="M1006" s="87"/>
      <c r="N1006" s="88"/>
    </row>
    <row r="1007" spans="1:14" ht="18.75" x14ac:dyDescent="0.25">
      <c r="A1007" s="82"/>
      <c r="B1007" s="82"/>
      <c r="C1007" s="83"/>
      <c r="D1007" s="84"/>
      <c r="E1007" s="82"/>
      <c r="G1007" s="85"/>
      <c r="H1007" s="85"/>
      <c r="I1007" s="86"/>
      <c r="M1007" s="87"/>
      <c r="N1007" s="88"/>
    </row>
    <row r="1008" spans="1:14" ht="18.75" x14ac:dyDescent="0.25">
      <c r="A1008" s="82"/>
      <c r="B1008" s="82"/>
      <c r="C1008" s="83"/>
      <c r="D1008" s="84"/>
      <c r="E1008" s="82"/>
      <c r="G1008" s="85"/>
      <c r="H1008" s="85"/>
      <c r="I1008" s="86"/>
      <c r="M1008" s="87"/>
      <c r="N1008" s="88"/>
    </row>
    <row r="1009" spans="1:14" ht="18.75" x14ac:dyDescent="0.25">
      <c r="A1009" s="82"/>
      <c r="B1009" s="82"/>
      <c r="C1009" s="83"/>
      <c r="D1009" s="84"/>
      <c r="E1009" s="82"/>
      <c r="G1009" s="85"/>
      <c r="H1009" s="85"/>
      <c r="I1009" s="86"/>
      <c r="M1009" s="87"/>
      <c r="N1009" s="88"/>
    </row>
    <row r="1010" spans="1:14" ht="18.75" x14ac:dyDescent="0.25">
      <c r="A1010" s="82"/>
      <c r="B1010" s="82"/>
      <c r="C1010" s="83"/>
      <c r="D1010" s="84"/>
      <c r="E1010" s="82"/>
      <c r="G1010" s="85"/>
      <c r="H1010" s="85"/>
      <c r="I1010" s="86"/>
      <c r="M1010" s="87"/>
      <c r="N1010" s="88"/>
    </row>
    <row r="1011" spans="1:14" ht="18.75" x14ac:dyDescent="0.25">
      <c r="A1011" s="82"/>
      <c r="B1011" s="82"/>
      <c r="C1011" s="83"/>
      <c r="D1011" s="84"/>
      <c r="E1011" s="82"/>
      <c r="G1011" s="85"/>
      <c r="H1011" s="85"/>
      <c r="I1011" s="86"/>
      <c r="M1011" s="87"/>
      <c r="N1011" s="88"/>
    </row>
    <row r="1012" spans="1:14" ht="18.75" x14ac:dyDescent="0.25">
      <c r="A1012" s="82"/>
      <c r="B1012" s="82"/>
      <c r="C1012" s="83"/>
      <c r="D1012" s="84"/>
      <c r="E1012" s="82"/>
      <c r="G1012" s="85"/>
      <c r="H1012" s="85"/>
      <c r="I1012" s="86"/>
      <c r="M1012" s="87"/>
      <c r="N1012" s="88"/>
    </row>
    <row r="1013" spans="1:14" ht="18.75" x14ac:dyDescent="0.25">
      <c r="A1013" s="82"/>
      <c r="B1013" s="82"/>
      <c r="C1013" s="83"/>
      <c r="D1013" s="84"/>
      <c r="E1013" s="82"/>
      <c r="G1013" s="85"/>
      <c r="H1013" s="85"/>
      <c r="I1013" s="86"/>
      <c r="M1013" s="87"/>
      <c r="N1013" s="88"/>
    </row>
    <row r="1014" spans="1:14" ht="18.75" x14ac:dyDescent="0.25">
      <c r="A1014" s="82"/>
      <c r="B1014" s="82"/>
      <c r="C1014" s="83"/>
      <c r="D1014" s="84"/>
      <c r="E1014" s="82"/>
      <c r="G1014" s="85"/>
      <c r="H1014" s="85"/>
      <c r="I1014" s="86"/>
      <c r="M1014" s="87"/>
      <c r="N1014" s="88"/>
    </row>
    <row r="1015" spans="1:14" ht="18.75" x14ac:dyDescent="0.25">
      <c r="A1015" s="82"/>
      <c r="B1015" s="82"/>
      <c r="C1015" s="83"/>
      <c r="D1015" s="84"/>
      <c r="E1015" s="82"/>
      <c r="G1015" s="85"/>
      <c r="H1015" s="85"/>
      <c r="I1015" s="86"/>
      <c r="M1015" s="87"/>
      <c r="N1015" s="88"/>
    </row>
    <row r="1016" spans="1:14" ht="18.75" x14ac:dyDescent="0.25">
      <c r="A1016" s="82"/>
      <c r="B1016" s="82"/>
      <c r="C1016" s="83"/>
      <c r="D1016" s="84"/>
      <c r="E1016" s="82"/>
      <c r="G1016" s="85"/>
      <c r="H1016" s="85"/>
      <c r="I1016" s="86"/>
      <c r="M1016" s="87"/>
      <c r="N1016" s="88"/>
    </row>
    <row r="1017" spans="1:14" ht="18.75" x14ac:dyDescent="0.25">
      <c r="A1017" s="82"/>
      <c r="B1017" s="82"/>
      <c r="C1017" s="83"/>
      <c r="D1017" s="84"/>
      <c r="E1017" s="82"/>
      <c r="G1017" s="85"/>
      <c r="H1017" s="85"/>
      <c r="I1017" s="86"/>
      <c r="M1017" s="87"/>
      <c r="N1017" s="88"/>
    </row>
    <row r="1018" spans="1:14" ht="18.75" x14ac:dyDescent="0.25">
      <c r="A1018" s="82"/>
      <c r="B1018" s="82"/>
      <c r="C1018" s="83"/>
      <c r="D1018" s="84"/>
      <c r="E1018" s="82"/>
      <c r="G1018" s="85"/>
      <c r="H1018" s="85"/>
      <c r="I1018" s="86"/>
      <c r="M1018" s="87"/>
      <c r="N1018" s="88"/>
    </row>
    <row r="1019" spans="1:14" ht="18.75" x14ac:dyDescent="0.25">
      <c r="A1019" s="82"/>
      <c r="B1019" s="82"/>
      <c r="C1019" s="83"/>
      <c r="D1019" s="84"/>
      <c r="E1019" s="82"/>
      <c r="G1019" s="85"/>
      <c r="H1019" s="85"/>
      <c r="I1019" s="86"/>
      <c r="M1019" s="87"/>
      <c r="N1019" s="88"/>
    </row>
    <row r="1020" spans="1:14" ht="18.75" x14ac:dyDescent="0.25">
      <c r="A1020" s="82"/>
      <c r="B1020" s="82"/>
      <c r="C1020" s="83"/>
      <c r="D1020" s="84"/>
      <c r="E1020" s="82"/>
      <c r="G1020" s="85"/>
      <c r="H1020" s="85"/>
      <c r="I1020" s="86"/>
      <c r="M1020" s="87"/>
      <c r="N1020" s="88"/>
    </row>
    <row r="1021" spans="1:14" ht="18.75" x14ac:dyDescent="0.25">
      <c r="A1021" s="82"/>
      <c r="B1021" s="82"/>
      <c r="C1021" s="83"/>
      <c r="D1021" s="84"/>
      <c r="E1021" s="82"/>
      <c r="G1021" s="85"/>
      <c r="H1021" s="85"/>
      <c r="I1021" s="86"/>
      <c r="M1021" s="87"/>
      <c r="N1021" s="88"/>
    </row>
    <row r="1022" spans="1:14" ht="18.75" x14ac:dyDescent="0.25">
      <c r="A1022" s="82"/>
      <c r="B1022" s="82"/>
      <c r="C1022" s="83"/>
      <c r="D1022" s="84"/>
      <c r="E1022" s="82"/>
      <c r="G1022" s="85"/>
      <c r="H1022" s="85"/>
      <c r="I1022" s="86"/>
      <c r="M1022" s="87"/>
      <c r="N1022" s="88"/>
    </row>
    <row r="1023" spans="1:14" ht="18.75" x14ac:dyDescent="0.25">
      <c r="A1023" s="82"/>
      <c r="B1023" s="82"/>
      <c r="C1023" s="83"/>
      <c r="D1023" s="84"/>
      <c r="E1023" s="82"/>
      <c r="G1023" s="85"/>
      <c r="H1023" s="85"/>
      <c r="I1023" s="86"/>
      <c r="M1023" s="87"/>
      <c r="N1023" s="88"/>
    </row>
    <row r="1024" spans="1:14" ht="18.75" x14ac:dyDescent="0.25">
      <c r="A1024" s="82"/>
      <c r="B1024" s="82"/>
      <c r="C1024" s="83"/>
      <c r="D1024" s="84"/>
      <c r="E1024" s="82"/>
      <c r="G1024" s="85"/>
      <c r="H1024" s="85"/>
      <c r="I1024" s="86"/>
      <c r="M1024" s="87"/>
      <c r="N1024" s="88"/>
    </row>
    <row r="1025" spans="1:14" ht="18.75" x14ac:dyDescent="0.25">
      <c r="A1025" s="82"/>
      <c r="B1025" s="82"/>
      <c r="C1025" s="83"/>
      <c r="D1025" s="84"/>
      <c r="E1025" s="82"/>
      <c r="G1025" s="85"/>
      <c r="H1025" s="85"/>
      <c r="I1025" s="86"/>
      <c r="M1025" s="87"/>
      <c r="N1025" s="88"/>
    </row>
    <row r="1026" spans="1:14" ht="18.75" x14ac:dyDescent="0.25">
      <c r="A1026" s="82"/>
      <c r="B1026" s="82"/>
      <c r="C1026" s="83"/>
      <c r="D1026" s="84"/>
      <c r="E1026" s="82"/>
      <c r="G1026" s="85"/>
      <c r="H1026" s="85"/>
      <c r="I1026" s="86"/>
      <c r="M1026" s="87"/>
      <c r="N1026" s="88"/>
    </row>
    <row r="1027" spans="1:14" ht="18.75" x14ac:dyDescent="0.25">
      <c r="A1027" s="82"/>
      <c r="B1027" s="82"/>
      <c r="C1027" s="83"/>
      <c r="D1027" s="84"/>
      <c r="E1027" s="82"/>
      <c r="G1027" s="85"/>
      <c r="H1027" s="85"/>
      <c r="I1027" s="86"/>
      <c r="M1027" s="87"/>
      <c r="N1027" s="88"/>
    </row>
    <row r="1028" spans="1:14" ht="18.75" x14ac:dyDescent="0.25">
      <c r="A1028" s="82"/>
      <c r="B1028" s="82"/>
      <c r="C1028" s="83"/>
      <c r="D1028" s="84"/>
      <c r="E1028" s="82"/>
      <c r="G1028" s="85"/>
      <c r="H1028" s="85"/>
      <c r="I1028" s="86"/>
      <c r="M1028" s="87"/>
      <c r="N1028" s="88"/>
    </row>
    <row r="1029" spans="1:14" ht="18.75" x14ac:dyDescent="0.25">
      <c r="A1029" s="82"/>
      <c r="B1029" s="82"/>
      <c r="C1029" s="83"/>
      <c r="D1029" s="84"/>
      <c r="E1029" s="82"/>
      <c r="G1029" s="85"/>
      <c r="H1029" s="85"/>
      <c r="I1029" s="86"/>
      <c r="M1029" s="87"/>
      <c r="N1029" s="88"/>
    </row>
    <row r="1030" spans="1:14" ht="18.75" x14ac:dyDescent="0.25">
      <c r="A1030" s="82"/>
      <c r="B1030" s="82"/>
      <c r="C1030" s="83"/>
      <c r="D1030" s="84"/>
      <c r="E1030" s="82"/>
      <c r="G1030" s="85"/>
      <c r="H1030" s="85"/>
      <c r="I1030" s="86"/>
      <c r="M1030" s="87"/>
      <c r="N1030" s="88"/>
    </row>
    <row r="1031" spans="1:14" ht="18.75" x14ac:dyDescent="0.25">
      <c r="A1031" s="82"/>
      <c r="B1031" s="82"/>
      <c r="C1031" s="83"/>
      <c r="D1031" s="84"/>
      <c r="E1031" s="82"/>
      <c r="G1031" s="85"/>
      <c r="H1031" s="85"/>
      <c r="I1031" s="86"/>
      <c r="M1031" s="87"/>
      <c r="N1031" s="88"/>
    </row>
    <row r="1032" spans="1:14" ht="18.75" x14ac:dyDescent="0.25">
      <c r="A1032" s="82"/>
      <c r="B1032" s="82"/>
      <c r="C1032" s="83"/>
      <c r="D1032" s="84"/>
      <c r="E1032" s="82"/>
      <c r="G1032" s="85"/>
      <c r="H1032" s="85"/>
      <c r="I1032" s="86"/>
      <c r="M1032" s="87"/>
      <c r="N1032" s="88"/>
    </row>
    <row r="1033" spans="1:14" ht="18.75" x14ac:dyDescent="0.25">
      <c r="A1033" s="82"/>
      <c r="B1033" s="82"/>
      <c r="C1033" s="83"/>
      <c r="D1033" s="84"/>
      <c r="E1033" s="82"/>
      <c r="G1033" s="85"/>
      <c r="H1033" s="85"/>
      <c r="I1033" s="86"/>
      <c r="M1033" s="87"/>
      <c r="N1033" s="88"/>
    </row>
    <row r="1034" spans="1:14" ht="18.75" x14ac:dyDescent="0.25">
      <c r="A1034" s="82"/>
      <c r="B1034" s="82"/>
      <c r="C1034" s="83"/>
      <c r="D1034" s="84"/>
      <c r="E1034" s="82"/>
      <c r="G1034" s="85"/>
      <c r="H1034" s="85"/>
      <c r="I1034" s="86"/>
      <c r="M1034" s="87"/>
      <c r="N1034" s="88"/>
    </row>
    <row r="1035" spans="1:14" ht="18.75" x14ac:dyDescent="0.25">
      <c r="A1035" s="82"/>
      <c r="B1035" s="82"/>
      <c r="C1035" s="83"/>
      <c r="D1035" s="84"/>
      <c r="E1035" s="82"/>
      <c r="G1035" s="85"/>
      <c r="H1035" s="85"/>
      <c r="I1035" s="86"/>
      <c r="M1035" s="87"/>
      <c r="N1035" s="88"/>
    </row>
    <row r="1036" spans="1:14" ht="18.75" x14ac:dyDescent="0.25">
      <c r="A1036" s="82"/>
      <c r="B1036" s="82"/>
      <c r="C1036" s="83"/>
      <c r="D1036" s="84"/>
      <c r="E1036" s="82"/>
      <c r="G1036" s="85"/>
      <c r="H1036" s="85"/>
      <c r="I1036" s="86"/>
      <c r="M1036" s="87"/>
      <c r="N1036" s="88"/>
    </row>
    <row r="1037" spans="1:14" ht="18.75" x14ac:dyDescent="0.25">
      <c r="A1037" s="82"/>
      <c r="B1037" s="82"/>
      <c r="C1037" s="83"/>
      <c r="D1037" s="84"/>
      <c r="E1037" s="82"/>
      <c r="G1037" s="85"/>
      <c r="H1037" s="85"/>
      <c r="I1037" s="86"/>
      <c r="M1037" s="87"/>
      <c r="N1037" s="88"/>
    </row>
    <row r="1038" spans="1:14" ht="18.75" x14ac:dyDescent="0.25">
      <c r="A1038" s="82"/>
      <c r="B1038" s="82"/>
      <c r="C1038" s="83"/>
      <c r="D1038" s="84"/>
      <c r="E1038" s="82"/>
      <c r="G1038" s="85"/>
      <c r="H1038" s="85"/>
      <c r="I1038" s="86"/>
      <c r="M1038" s="87"/>
      <c r="N1038" s="88"/>
    </row>
    <row r="1039" spans="1:14" ht="18.75" x14ac:dyDescent="0.25">
      <c r="A1039" s="82"/>
      <c r="B1039" s="82"/>
      <c r="C1039" s="83"/>
      <c r="D1039" s="84"/>
      <c r="E1039" s="82"/>
      <c r="G1039" s="85"/>
      <c r="H1039" s="85"/>
      <c r="I1039" s="86"/>
      <c r="M1039" s="87"/>
      <c r="N1039" s="88"/>
    </row>
    <row r="1040" spans="1:14" ht="18.75" x14ac:dyDescent="0.25">
      <c r="A1040" s="82"/>
      <c r="B1040" s="82"/>
      <c r="C1040" s="83"/>
      <c r="D1040" s="84"/>
      <c r="E1040" s="82"/>
      <c r="G1040" s="85"/>
      <c r="H1040" s="85"/>
      <c r="I1040" s="86"/>
      <c r="M1040" s="87"/>
      <c r="N1040" s="88"/>
    </row>
    <row r="1041" spans="1:14" ht="18.75" x14ac:dyDescent="0.25">
      <c r="A1041" s="82"/>
      <c r="B1041" s="82"/>
      <c r="C1041" s="83"/>
      <c r="D1041" s="84"/>
      <c r="E1041" s="82"/>
      <c r="G1041" s="85"/>
      <c r="H1041" s="85"/>
      <c r="I1041" s="86"/>
      <c r="M1041" s="87"/>
      <c r="N1041" s="88"/>
    </row>
    <row r="1042" spans="1:14" ht="18.75" x14ac:dyDescent="0.25">
      <c r="A1042" s="82"/>
      <c r="B1042" s="82"/>
      <c r="C1042" s="83"/>
      <c r="D1042" s="84"/>
      <c r="E1042" s="82"/>
      <c r="G1042" s="85"/>
      <c r="H1042" s="85"/>
      <c r="I1042" s="86"/>
      <c r="M1042" s="87"/>
      <c r="N1042" s="88"/>
    </row>
    <row r="1043" spans="1:14" ht="18.75" x14ac:dyDescent="0.25">
      <c r="A1043" s="82"/>
      <c r="B1043" s="82"/>
      <c r="C1043" s="83"/>
      <c r="D1043" s="84"/>
      <c r="E1043" s="82"/>
      <c r="G1043" s="85"/>
      <c r="H1043" s="85"/>
      <c r="I1043" s="86"/>
      <c r="M1043" s="87"/>
      <c r="N1043" s="88"/>
    </row>
    <row r="1044" spans="1:14" ht="18.75" x14ac:dyDescent="0.25">
      <c r="A1044" s="82"/>
      <c r="B1044" s="82"/>
      <c r="C1044" s="83"/>
      <c r="D1044" s="84"/>
      <c r="E1044" s="82"/>
      <c r="G1044" s="85"/>
      <c r="H1044" s="85"/>
      <c r="I1044" s="86"/>
      <c r="M1044" s="87"/>
      <c r="N1044" s="88"/>
    </row>
    <row r="1045" spans="1:14" ht="18.75" x14ac:dyDescent="0.25">
      <c r="A1045" s="82"/>
      <c r="B1045" s="82"/>
      <c r="C1045" s="83"/>
      <c r="D1045" s="84"/>
      <c r="E1045" s="82"/>
      <c r="G1045" s="85"/>
      <c r="H1045" s="85"/>
      <c r="I1045" s="86"/>
      <c r="M1045" s="87"/>
      <c r="N1045" s="88"/>
    </row>
    <row r="1046" spans="1:14" ht="18.75" x14ac:dyDescent="0.25">
      <c r="A1046" s="82"/>
      <c r="B1046" s="82"/>
      <c r="C1046" s="83"/>
      <c r="D1046" s="84"/>
      <c r="E1046" s="82"/>
      <c r="G1046" s="85"/>
      <c r="H1046" s="85"/>
      <c r="I1046" s="86"/>
      <c r="M1046" s="87"/>
      <c r="N1046" s="88"/>
    </row>
    <row r="1047" spans="1:14" ht="18.75" x14ac:dyDescent="0.25">
      <c r="A1047" s="82"/>
      <c r="B1047" s="82"/>
      <c r="C1047" s="83"/>
      <c r="D1047" s="84"/>
      <c r="E1047" s="82"/>
      <c r="G1047" s="85"/>
      <c r="H1047" s="85"/>
      <c r="I1047" s="86"/>
      <c r="M1047" s="87"/>
      <c r="N1047" s="88"/>
    </row>
    <row r="1048" spans="1:14" ht="18.75" x14ac:dyDescent="0.25">
      <c r="A1048" s="82"/>
      <c r="B1048" s="82"/>
      <c r="C1048" s="83"/>
      <c r="D1048" s="84"/>
      <c r="E1048" s="82"/>
      <c r="G1048" s="85"/>
      <c r="H1048" s="85"/>
      <c r="I1048" s="86"/>
      <c r="M1048" s="87"/>
      <c r="N1048" s="88"/>
    </row>
    <row r="1049" spans="1:14" ht="18.75" x14ac:dyDescent="0.25">
      <c r="A1049" s="82"/>
      <c r="B1049" s="82"/>
      <c r="C1049" s="83"/>
      <c r="D1049" s="84"/>
      <c r="E1049" s="82"/>
      <c r="G1049" s="85"/>
      <c r="H1049" s="85"/>
      <c r="I1049" s="86"/>
      <c r="M1049" s="87"/>
      <c r="N1049" s="88"/>
    </row>
    <row r="1050" spans="1:14" ht="18.75" x14ac:dyDescent="0.25">
      <c r="A1050" s="82"/>
      <c r="B1050" s="82"/>
      <c r="C1050" s="83"/>
      <c r="D1050" s="84"/>
      <c r="E1050" s="82"/>
      <c r="G1050" s="85"/>
      <c r="H1050" s="85"/>
      <c r="I1050" s="86"/>
      <c r="M1050" s="87"/>
      <c r="N1050" s="88"/>
    </row>
    <row r="1051" spans="1:14" ht="18.75" x14ac:dyDescent="0.25">
      <c r="A1051" s="82"/>
      <c r="B1051" s="82"/>
      <c r="C1051" s="83"/>
      <c r="D1051" s="84"/>
      <c r="E1051" s="82"/>
      <c r="G1051" s="85"/>
      <c r="H1051" s="85"/>
      <c r="I1051" s="86"/>
      <c r="M1051" s="87"/>
      <c r="N1051" s="88"/>
    </row>
    <row r="1052" spans="1:14" ht="18.75" x14ac:dyDescent="0.25">
      <c r="A1052" s="82"/>
      <c r="B1052" s="82"/>
      <c r="C1052" s="83"/>
      <c r="D1052" s="84"/>
      <c r="E1052" s="82"/>
      <c r="G1052" s="85"/>
      <c r="H1052" s="85"/>
      <c r="I1052" s="86"/>
      <c r="M1052" s="87"/>
      <c r="N1052" s="88"/>
    </row>
    <row r="1053" spans="1:14" ht="18.75" x14ac:dyDescent="0.25">
      <c r="A1053" s="82"/>
      <c r="B1053" s="82"/>
      <c r="C1053" s="83"/>
      <c r="D1053" s="84"/>
      <c r="E1053" s="82"/>
      <c r="G1053" s="85"/>
      <c r="H1053" s="85"/>
      <c r="I1053" s="86"/>
      <c r="M1053" s="87"/>
      <c r="N1053" s="88"/>
    </row>
    <row r="1054" spans="1:14" ht="18.75" x14ac:dyDescent="0.25">
      <c r="A1054" s="82"/>
      <c r="B1054" s="82"/>
      <c r="C1054" s="83"/>
      <c r="D1054" s="84"/>
      <c r="E1054" s="82"/>
      <c r="G1054" s="85"/>
      <c r="H1054" s="85"/>
      <c r="I1054" s="86"/>
      <c r="M1054" s="87"/>
      <c r="N1054" s="88"/>
    </row>
    <row r="1055" spans="1:14" ht="18.75" x14ac:dyDescent="0.25">
      <c r="A1055" s="82"/>
      <c r="B1055" s="82"/>
      <c r="C1055" s="83"/>
      <c r="D1055" s="84"/>
      <c r="E1055" s="82"/>
      <c r="G1055" s="85"/>
      <c r="H1055" s="85"/>
      <c r="I1055" s="86"/>
      <c r="M1055" s="87"/>
      <c r="N1055" s="88"/>
    </row>
    <row r="1056" spans="1:14" ht="18.75" x14ac:dyDescent="0.25">
      <c r="A1056" s="82"/>
      <c r="B1056" s="82"/>
      <c r="C1056" s="83"/>
      <c r="D1056" s="84"/>
      <c r="E1056" s="82"/>
      <c r="G1056" s="85"/>
      <c r="H1056" s="85"/>
      <c r="I1056" s="86"/>
      <c r="M1056" s="87"/>
      <c r="N1056" s="88"/>
    </row>
    <row r="1057" spans="1:14" ht="18.75" x14ac:dyDescent="0.25">
      <c r="A1057" s="82"/>
      <c r="B1057" s="82"/>
      <c r="C1057" s="83"/>
      <c r="D1057" s="84"/>
      <c r="E1057" s="82"/>
      <c r="G1057" s="85"/>
      <c r="H1057" s="85"/>
      <c r="I1057" s="86"/>
      <c r="M1057" s="87"/>
      <c r="N1057" s="88"/>
    </row>
    <row r="1058" spans="1:14" ht="18.75" x14ac:dyDescent="0.25">
      <c r="A1058" s="82"/>
      <c r="B1058" s="82"/>
      <c r="C1058" s="83"/>
      <c r="D1058" s="84"/>
      <c r="E1058" s="82"/>
      <c r="G1058" s="85"/>
      <c r="H1058" s="85"/>
      <c r="I1058" s="86"/>
      <c r="M1058" s="87"/>
      <c r="N1058" s="88"/>
    </row>
    <row r="1059" spans="1:14" ht="18.75" x14ac:dyDescent="0.25">
      <c r="A1059" s="82"/>
      <c r="B1059" s="82"/>
      <c r="C1059" s="83"/>
      <c r="D1059" s="84"/>
      <c r="E1059" s="82"/>
      <c r="G1059" s="85"/>
      <c r="H1059" s="85"/>
      <c r="I1059" s="86"/>
      <c r="M1059" s="87"/>
      <c r="N1059" s="88"/>
    </row>
    <row r="1060" spans="1:14" ht="18.75" x14ac:dyDescent="0.25">
      <c r="A1060" s="82"/>
      <c r="B1060" s="82"/>
      <c r="C1060" s="83"/>
      <c r="D1060" s="84"/>
      <c r="E1060" s="82"/>
      <c r="G1060" s="85"/>
      <c r="H1060" s="85"/>
      <c r="I1060" s="86"/>
      <c r="M1060" s="87"/>
      <c r="N1060" s="88"/>
    </row>
    <row r="1061" spans="1:14" ht="18.75" x14ac:dyDescent="0.25">
      <c r="A1061" s="82"/>
      <c r="B1061" s="82"/>
      <c r="C1061" s="83"/>
      <c r="D1061" s="84"/>
      <c r="E1061" s="82"/>
      <c r="G1061" s="85"/>
      <c r="H1061" s="85"/>
      <c r="I1061" s="86"/>
      <c r="M1061" s="87"/>
      <c r="N1061" s="88"/>
    </row>
    <row r="1062" spans="1:14" ht="18.75" x14ac:dyDescent="0.25">
      <c r="A1062" s="82"/>
      <c r="B1062" s="82"/>
      <c r="C1062" s="83"/>
      <c r="D1062" s="84"/>
      <c r="E1062" s="82"/>
      <c r="G1062" s="85"/>
      <c r="H1062" s="85"/>
      <c r="I1062" s="86"/>
      <c r="M1062" s="87"/>
      <c r="N1062" s="88"/>
    </row>
    <row r="1063" spans="1:14" ht="18.75" x14ac:dyDescent="0.25">
      <c r="A1063" s="82"/>
      <c r="B1063" s="82"/>
      <c r="C1063" s="83"/>
      <c r="D1063" s="84"/>
      <c r="E1063" s="82"/>
      <c r="G1063" s="85"/>
      <c r="H1063" s="85"/>
      <c r="I1063" s="86"/>
      <c r="M1063" s="87"/>
      <c r="N1063" s="88"/>
    </row>
    <row r="1064" spans="1:14" ht="18.75" x14ac:dyDescent="0.25">
      <c r="A1064" s="82"/>
      <c r="B1064" s="82"/>
      <c r="C1064" s="83"/>
      <c r="D1064" s="84"/>
      <c r="E1064" s="82"/>
      <c r="G1064" s="85"/>
      <c r="H1064" s="85"/>
      <c r="I1064" s="86"/>
      <c r="M1064" s="87"/>
      <c r="N1064" s="88"/>
    </row>
    <row r="1065" spans="1:14" ht="18.75" x14ac:dyDescent="0.25">
      <c r="A1065" s="82"/>
      <c r="B1065" s="82"/>
      <c r="C1065" s="83"/>
      <c r="D1065" s="84"/>
      <c r="E1065" s="82"/>
      <c r="G1065" s="85"/>
      <c r="H1065" s="85"/>
      <c r="I1065" s="86"/>
      <c r="M1065" s="87"/>
      <c r="N1065" s="88"/>
    </row>
    <row r="1066" spans="1:14" ht="18.75" x14ac:dyDescent="0.25">
      <c r="A1066" s="82"/>
      <c r="B1066" s="82"/>
      <c r="C1066" s="83"/>
      <c r="D1066" s="84"/>
      <c r="E1066" s="82"/>
      <c r="G1066" s="85"/>
      <c r="H1066" s="85"/>
      <c r="I1066" s="86"/>
      <c r="M1066" s="87"/>
      <c r="N1066" s="88"/>
    </row>
    <row r="1067" spans="1:14" ht="18.75" x14ac:dyDescent="0.25">
      <c r="A1067" s="82"/>
      <c r="B1067" s="82"/>
      <c r="C1067" s="83"/>
      <c r="D1067" s="84"/>
      <c r="E1067" s="82"/>
      <c r="G1067" s="85"/>
      <c r="H1067" s="85"/>
      <c r="I1067" s="86"/>
      <c r="M1067" s="87"/>
      <c r="N1067" s="88"/>
    </row>
    <row r="1068" spans="1:14" ht="18.75" x14ac:dyDescent="0.25">
      <c r="A1068" s="82"/>
      <c r="B1068" s="82"/>
      <c r="C1068" s="83"/>
      <c r="D1068" s="84"/>
      <c r="E1068" s="82"/>
      <c r="G1068" s="85"/>
      <c r="H1068" s="85"/>
      <c r="I1068" s="86"/>
      <c r="M1068" s="87"/>
      <c r="N1068" s="88"/>
    </row>
    <row r="1069" spans="1:14" ht="18.75" x14ac:dyDescent="0.25">
      <c r="A1069" s="82"/>
      <c r="B1069" s="82"/>
      <c r="C1069" s="83"/>
      <c r="D1069" s="84"/>
      <c r="E1069" s="82"/>
      <c r="G1069" s="85"/>
      <c r="H1069" s="85"/>
      <c r="I1069" s="86"/>
      <c r="M1069" s="87"/>
      <c r="N1069" s="88"/>
    </row>
    <row r="1070" spans="1:14" ht="18.75" x14ac:dyDescent="0.25">
      <c r="A1070" s="82"/>
      <c r="B1070" s="82"/>
      <c r="C1070" s="83"/>
      <c r="D1070" s="84"/>
      <c r="E1070" s="82"/>
      <c r="G1070" s="85"/>
      <c r="H1070" s="85"/>
      <c r="I1070" s="86"/>
      <c r="M1070" s="87"/>
      <c r="N1070" s="88"/>
    </row>
    <row r="1071" spans="1:14" ht="18.75" x14ac:dyDescent="0.25">
      <c r="A1071" s="82"/>
      <c r="B1071" s="82"/>
      <c r="C1071" s="83"/>
      <c r="D1071" s="84"/>
      <c r="E1071" s="82"/>
      <c r="G1071" s="85"/>
      <c r="H1071" s="85"/>
      <c r="I1071" s="86"/>
      <c r="M1071" s="87"/>
      <c r="N1071" s="88"/>
    </row>
    <row r="1072" spans="1:14" ht="18.75" x14ac:dyDescent="0.25">
      <c r="A1072" s="82"/>
      <c r="B1072" s="82"/>
      <c r="C1072" s="83"/>
      <c r="D1072" s="84"/>
      <c r="E1072" s="82"/>
      <c r="G1072" s="85"/>
      <c r="H1072" s="85"/>
      <c r="I1072" s="86"/>
      <c r="M1072" s="87"/>
      <c r="N1072" s="88"/>
    </row>
    <row r="1073" spans="1:14" ht="18.75" x14ac:dyDescent="0.25">
      <c r="A1073" s="82"/>
      <c r="B1073" s="82"/>
      <c r="C1073" s="83"/>
      <c r="D1073" s="84"/>
      <c r="E1073" s="82"/>
      <c r="G1073" s="85"/>
      <c r="H1073" s="85"/>
      <c r="I1073" s="86"/>
      <c r="M1073" s="87"/>
      <c r="N1073" s="88"/>
    </row>
    <row r="1074" spans="1:14" ht="18.75" x14ac:dyDescent="0.25">
      <c r="A1074" s="82"/>
      <c r="B1074" s="82"/>
      <c r="C1074" s="83"/>
      <c r="D1074" s="84"/>
      <c r="E1074" s="82"/>
      <c r="G1074" s="85"/>
      <c r="H1074" s="85"/>
      <c r="I1074" s="86"/>
      <c r="M1074" s="87"/>
      <c r="N1074" s="88"/>
    </row>
    <row r="1075" spans="1:14" ht="18.75" x14ac:dyDescent="0.25">
      <c r="A1075" s="82"/>
      <c r="B1075" s="82"/>
      <c r="C1075" s="83"/>
      <c r="D1075" s="84"/>
      <c r="E1075" s="82"/>
      <c r="G1075" s="85"/>
      <c r="H1075" s="85"/>
      <c r="I1075" s="86"/>
      <c r="M1075" s="87"/>
      <c r="N1075" s="88"/>
    </row>
    <row r="1076" spans="1:14" ht="18.75" x14ac:dyDescent="0.25">
      <c r="A1076" s="82"/>
      <c r="B1076" s="82"/>
      <c r="C1076" s="83"/>
      <c r="D1076" s="84"/>
      <c r="E1076" s="82"/>
      <c r="G1076" s="85"/>
      <c r="H1076" s="85"/>
      <c r="I1076" s="86"/>
      <c r="M1076" s="87"/>
      <c r="N1076" s="88"/>
    </row>
    <row r="1077" spans="1:14" ht="18.75" x14ac:dyDescent="0.25">
      <c r="A1077" s="82"/>
      <c r="B1077" s="82"/>
      <c r="C1077" s="83"/>
      <c r="D1077" s="84"/>
      <c r="E1077" s="82"/>
      <c r="G1077" s="85"/>
      <c r="H1077" s="85"/>
      <c r="I1077" s="86"/>
      <c r="M1077" s="87"/>
      <c r="N1077" s="88"/>
    </row>
    <row r="1078" spans="1:14" ht="18.75" x14ac:dyDescent="0.25">
      <c r="A1078" s="82"/>
      <c r="B1078" s="82"/>
      <c r="C1078" s="83"/>
      <c r="D1078" s="84"/>
      <c r="E1078" s="82"/>
      <c r="G1078" s="85"/>
      <c r="H1078" s="85"/>
      <c r="I1078" s="86"/>
      <c r="M1078" s="87"/>
      <c r="N1078" s="88"/>
    </row>
    <row r="1079" spans="1:14" ht="18.75" x14ac:dyDescent="0.25">
      <c r="A1079" s="82"/>
      <c r="B1079" s="82"/>
      <c r="C1079" s="83"/>
      <c r="D1079" s="84"/>
      <c r="E1079" s="82"/>
      <c r="G1079" s="85"/>
      <c r="H1079" s="85"/>
      <c r="I1079" s="86"/>
      <c r="M1079" s="87"/>
      <c r="N1079" s="88"/>
    </row>
    <row r="1080" spans="1:14" ht="18.75" x14ac:dyDescent="0.25">
      <c r="A1080" s="82"/>
      <c r="B1080" s="82"/>
      <c r="C1080" s="83"/>
      <c r="D1080" s="84"/>
      <c r="E1080" s="82"/>
      <c r="G1080" s="85"/>
      <c r="H1080" s="85"/>
      <c r="I1080" s="86"/>
      <c r="M1080" s="87"/>
      <c r="N1080" s="88"/>
    </row>
    <row r="1081" spans="1:14" ht="18.75" x14ac:dyDescent="0.25">
      <c r="A1081" s="82"/>
      <c r="B1081" s="82"/>
      <c r="C1081" s="83"/>
      <c r="D1081" s="84"/>
      <c r="E1081" s="82"/>
      <c r="G1081" s="85"/>
      <c r="H1081" s="85"/>
      <c r="I1081" s="86"/>
      <c r="M1081" s="87"/>
      <c r="N1081" s="88"/>
    </row>
    <row r="1082" spans="1:14" ht="18.75" x14ac:dyDescent="0.25">
      <c r="A1082" s="82"/>
      <c r="B1082" s="82"/>
      <c r="C1082" s="83"/>
      <c r="D1082" s="84"/>
      <c r="E1082" s="82"/>
      <c r="G1082" s="85"/>
      <c r="H1082" s="85"/>
      <c r="I1082" s="86"/>
      <c r="M1082" s="87"/>
      <c r="N1082" s="88"/>
    </row>
    <row r="1083" spans="1:14" ht="18.75" x14ac:dyDescent="0.25">
      <c r="A1083" s="82"/>
      <c r="B1083" s="82"/>
      <c r="C1083" s="83"/>
      <c r="D1083" s="84"/>
      <c r="E1083" s="82"/>
      <c r="G1083" s="85"/>
      <c r="H1083" s="85"/>
      <c r="I1083" s="86"/>
      <c r="M1083" s="87"/>
      <c r="N1083" s="88"/>
    </row>
    <row r="1084" spans="1:14" ht="18.75" x14ac:dyDescent="0.25">
      <c r="A1084" s="82"/>
      <c r="B1084" s="82"/>
      <c r="C1084" s="83"/>
      <c r="D1084" s="84"/>
      <c r="E1084" s="82"/>
      <c r="G1084" s="85"/>
      <c r="H1084" s="85"/>
      <c r="I1084" s="86"/>
      <c r="M1084" s="87"/>
      <c r="N1084" s="88"/>
    </row>
    <row r="1085" spans="1:14" ht="18.75" x14ac:dyDescent="0.25">
      <c r="A1085" s="82"/>
      <c r="B1085" s="82"/>
      <c r="C1085" s="83"/>
      <c r="D1085" s="84"/>
      <c r="E1085" s="82"/>
      <c r="G1085" s="85"/>
      <c r="H1085" s="85"/>
      <c r="I1085" s="86"/>
      <c r="M1085" s="87"/>
      <c r="N1085" s="88"/>
    </row>
    <row r="1086" spans="1:14" ht="18.75" x14ac:dyDescent="0.25">
      <c r="A1086" s="82"/>
      <c r="B1086" s="82"/>
      <c r="C1086" s="83"/>
      <c r="D1086" s="84"/>
      <c r="E1086" s="82"/>
      <c r="G1086" s="85"/>
      <c r="H1086" s="85"/>
      <c r="I1086" s="86"/>
      <c r="M1086" s="87"/>
      <c r="N1086" s="88"/>
    </row>
    <row r="1087" spans="1:14" ht="18.75" x14ac:dyDescent="0.25">
      <c r="A1087" s="82"/>
      <c r="B1087" s="82"/>
      <c r="C1087" s="83"/>
      <c r="D1087" s="84"/>
      <c r="E1087" s="82"/>
      <c r="G1087" s="85"/>
      <c r="H1087" s="85"/>
      <c r="I1087" s="86"/>
      <c r="M1087" s="87"/>
      <c r="N1087" s="88"/>
    </row>
    <row r="1088" spans="1:14" ht="18.75" x14ac:dyDescent="0.25">
      <c r="A1088" s="82"/>
      <c r="B1088" s="82"/>
      <c r="C1088" s="83"/>
      <c r="D1088" s="84"/>
      <c r="E1088" s="82"/>
      <c r="G1088" s="85"/>
      <c r="H1088" s="85"/>
      <c r="I1088" s="86"/>
      <c r="M1088" s="87"/>
      <c r="N1088" s="88"/>
    </row>
    <row r="1089" spans="1:14" ht="18.75" x14ac:dyDescent="0.25">
      <c r="A1089" s="82"/>
      <c r="B1089" s="82"/>
      <c r="C1089" s="83"/>
      <c r="D1089" s="84"/>
      <c r="E1089" s="82"/>
      <c r="G1089" s="85"/>
      <c r="H1089" s="85"/>
      <c r="I1089" s="86"/>
      <c r="M1089" s="87"/>
      <c r="N1089" s="88"/>
    </row>
    <row r="1090" spans="1:14" ht="18.75" x14ac:dyDescent="0.25">
      <c r="A1090" s="82"/>
      <c r="B1090" s="82"/>
      <c r="C1090" s="83"/>
      <c r="D1090" s="84"/>
      <c r="E1090" s="82"/>
      <c r="G1090" s="85"/>
      <c r="H1090" s="85"/>
      <c r="I1090" s="86"/>
      <c r="M1090" s="87"/>
      <c r="N1090" s="88"/>
    </row>
    <row r="1091" spans="1:14" ht="18.75" x14ac:dyDescent="0.25">
      <c r="A1091" s="82"/>
      <c r="B1091" s="82"/>
      <c r="C1091" s="83"/>
      <c r="D1091" s="84"/>
      <c r="E1091" s="82"/>
      <c r="G1091" s="85"/>
      <c r="H1091" s="85"/>
      <c r="I1091" s="86"/>
      <c r="M1091" s="87"/>
      <c r="N1091" s="88"/>
    </row>
    <row r="1092" spans="1:14" ht="18.75" x14ac:dyDescent="0.25">
      <c r="A1092" s="82"/>
      <c r="B1092" s="82"/>
      <c r="C1092" s="83"/>
      <c r="D1092" s="84"/>
      <c r="E1092" s="82"/>
      <c r="G1092" s="85"/>
      <c r="H1092" s="85"/>
      <c r="I1092" s="86"/>
      <c r="M1092" s="87"/>
      <c r="N1092" s="88"/>
    </row>
    <row r="1093" spans="1:14" ht="18.75" x14ac:dyDescent="0.25">
      <c r="A1093" s="82"/>
      <c r="B1093" s="82"/>
      <c r="C1093" s="83"/>
      <c r="D1093" s="84"/>
      <c r="E1093" s="82"/>
      <c r="G1093" s="85"/>
      <c r="H1093" s="85"/>
      <c r="I1093" s="86"/>
      <c r="M1093" s="87"/>
      <c r="N1093" s="88"/>
    </row>
    <row r="1094" spans="1:14" ht="18.75" x14ac:dyDescent="0.25">
      <c r="A1094" s="82"/>
      <c r="B1094" s="82"/>
      <c r="C1094" s="83"/>
      <c r="D1094" s="84"/>
      <c r="E1094" s="82"/>
      <c r="G1094" s="85"/>
      <c r="H1094" s="85"/>
      <c r="I1094" s="86"/>
      <c r="M1094" s="87"/>
      <c r="N1094" s="88"/>
    </row>
    <row r="1095" spans="1:14" ht="18.75" x14ac:dyDescent="0.25">
      <c r="A1095" s="82"/>
      <c r="B1095" s="82"/>
      <c r="C1095" s="83"/>
      <c r="D1095" s="84"/>
      <c r="E1095" s="82"/>
      <c r="G1095" s="85"/>
      <c r="H1095" s="85"/>
      <c r="I1095" s="86"/>
      <c r="M1095" s="87"/>
      <c r="N1095" s="88"/>
    </row>
    <row r="1096" spans="1:14" ht="18.75" x14ac:dyDescent="0.25">
      <c r="A1096" s="82"/>
      <c r="B1096" s="82"/>
      <c r="C1096" s="83"/>
      <c r="D1096" s="84"/>
      <c r="E1096" s="82"/>
      <c r="G1096" s="85"/>
      <c r="H1096" s="85"/>
      <c r="I1096" s="86"/>
      <c r="M1096" s="87"/>
      <c r="N1096" s="88"/>
    </row>
    <row r="1097" spans="1:14" ht="18.75" x14ac:dyDescent="0.25">
      <c r="A1097" s="82"/>
      <c r="B1097" s="82"/>
      <c r="C1097" s="83"/>
      <c r="D1097" s="84"/>
      <c r="E1097" s="82"/>
      <c r="G1097" s="85"/>
      <c r="H1097" s="85"/>
      <c r="I1097" s="86"/>
      <c r="M1097" s="87"/>
      <c r="N1097" s="88"/>
    </row>
    <row r="1098" spans="1:14" ht="18.75" x14ac:dyDescent="0.25">
      <c r="A1098" s="82"/>
      <c r="B1098" s="82"/>
      <c r="C1098" s="83"/>
      <c r="D1098" s="84"/>
      <c r="E1098" s="82"/>
      <c r="G1098" s="85"/>
      <c r="H1098" s="85"/>
      <c r="I1098" s="86"/>
      <c r="M1098" s="87"/>
      <c r="N1098" s="88"/>
    </row>
    <row r="1099" spans="1:14" ht="18.75" x14ac:dyDescent="0.25">
      <c r="A1099" s="82"/>
      <c r="B1099" s="82"/>
      <c r="C1099" s="83"/>
      <c r="D1099" s="84"/>
      <c r="E1099" s="82"/>
      <c r="G1099" s="85"/>
      <c r="H1099" s="85"/>
      <c r="I1099" s="86"/>
      <c r="M1099" s="87"/>
      <c r="N1099" s="88"/>
    </row>
    <row r="1100" spans="1:14" ht="18.75" x14ac:dyDescent="0.25">
      <c r="A1100" s="82"/>
      <c r="B1100" s="82"/>
      <c r="C1100" s="83"/>
      <c r="D1100" s="84"/>
      <c r="E1100" s="82"/>
      <c r="G1100" s="85"/>
      <c r="H1100" s="85"/>
      <c r="I1100" s="86"/>
      <c r="M1100" s="87"/>
      <c r="N1100" s="88"/>
    </row>
    <row r="1101" spans="1:14" ht="18.75" x14ac:dyDescent="0.25">
      <c r="A1101" s="82"/>
      <c r="B1101" s="82"/>
      <c r="C1101" s="83"/>
      <c r="D1101" s="84"/>
      <c r="E1101" s="82"/>
      <c r="G1101" s="85"/>
      <c r="H1101" s="85"/>
      <c r="I1101" s="86"/>
      <c r="M1101" s="87"/>
      <c r="N1101" s="88"/>
    </row>
    <row r="1102" spans="1:14" ht="18.75" x14ac:dyDescent="0.25">
      <c r="A1102" s="82"/>
      <c r="B1102" s="82"/>
      <c r="C1102" s="83"/>
      <c r="D1102" s="84"/>
      <c r="E1102" s="82"/>
      <c r="G1102" s="85"/>
      <c r="H1102" s="85"/>
      <c r="I1102" s="86"/>
      <c r="M1102" s="87"/>
      <c r="N1102" s="88"/>
    </row>
    <row r="1103" spans="1:14" ht="18.75" x14ac:dyDescent="0.25">
      <c r="A1103" s="82"/>
      <c r="B1103" s="82"/>
      <c r="C1103" s="83"/>
      <c r="D1103" s="84"/>
      <c r="E1103" s="82"/>
      <c r="G1103" s="85"/>
      <c r="H1103" s="85"/>
      <c r="I1103" s="86"/>
      <c r="M1103" s="87"/>
      <c r="N1103" s="88"/>
    </row>
    <row r="1104" spans="1:14" ht="18.75" x14ac:dyDescent="0.25">
      <c r="A1104" s="82"/>
      <c r="B1104" s="82"/>
      <c r="C1104" s="83"/>
      <c r="D1104" s="84"/>
      <c r="E1104" s="82"/>
      <c r="G1104" s="85"/>
      <c r="H1104" s="85"/>
      <c r="I1104" s="86"/>
      <c r="M1104" s="87"/>
      <c r="N1104" s="88"/>
    </row>
    <row r="1105" spans="1:14" ht="18.75" x14ac:dyDescent="0.25">
      <c r="A1105" s="82"/>
      <c r="B1105" s="82"/>
      <c r="C1105" s="83"/>
      <c r="D1105" s="84"/>
      <c r="E1105" s="82"/>
      <c r="G1105" s="85"/>
      <c r="H1105" s="85"/>
      <c r="I1105" s="86"/>
      <c r="M1105" s="87"/>
      <c r="N1105" s="88"/>
    </row>
    <row r="1106" spans="1:14" ht="18.75" x14ac:dyDescent="0.25">
      <c r="A1106" s="82"/>
      <c r="B1106" s="82"/>
      <c r="C1106" s="83"/>
      <c r="D1106" s="84"/>
      <c r="E1106" s="82"/>
      <c r="G1106" s="85"/>
      <c r="H1106" s="85"/>
      <c r="I1106" s="86"/>
      <c r="M1106" s="87"/>
      <c r="N1106" s="88"/>
    </row>
    <row r="1107" spans="1:14" ht="18.75" x14ac:dyDescent="0.25">
      <c r="A1107" s="82"/>
      <c r="B1107" s="82"/>
      <c r="C1107" s="83"/>
      <c r="D1107" s="84"/>
      <c r="E1107" s="82"/>
      <c r="G1107" s="85"/>
      <c r="H1107" s="85"/>
      <c r="I1107" s="86"/>
      <c r="M1107" s="87"/>
      <c r="N1107" s="88"/>
    </row>
    <row r="1108" spans="1:14" ht="18.75" x14ac:dyDescent="0.25">
      <c r="A1108" s="82"/>
      <c r="B1108" s="82"/>
      <c r="C1108" s="83"/>
      <c r="D1108" s="84"/>
      <c r="E1108" s="82"/>
      <c r="G1108" s="85"/>
      <c r="H1108" s="85"/>
      <c r="I1108" s="86"/>
      <c r="M1108" s="87"/>
      <c r="N1108" s="88"/>
    </row>
    <row r="1109" spans="1:14" ht="18.75" x14ac:dyDescent="0.25">
      <c r="A1109" s="82"/>
      <c r="B1109" s="82"/>
      <c r="C1109" s="83"/>
      <c r="D1109" s="84"/>
      <c r="E1109" s="82"/>
      <c r="G1109" s="85"/>
      <c r="H1109" s="85"/>
      <c r="I1109" s="86"/>
      <c r="M1109" s="87"/>
      <c r="N1109" s="88"/>
    </row>
    <row r="1110" spans="1:14" ht="18.75" x14ac:dyDescent="0.25">
      <c r="A1110" s="82"/>
      <c r="B1110" s="82"/>
      <c r="C1110" s="83"/>
      <c r="D1110" s="84"/>
      <c r="E1110" s="82"/>
      <c r="G1110" s="85"/>
      <c r="H1110" s="85"/>
      <c r="I1110" s="86"/>
      <c r="M1110" s="87"/>
      <c r="N1110" s="88"/>
    </row>
    <row r="1111" spans="1:14" ht="18.75" x14ac:dyDescent="0.25">
      <c r="A1111" s="82"/>
      <c r="B1111" s="82"/>
      <c r="C1111" s="83"/>
      <c r="D1111" s="84"/>
      <c r="E1111" s="82"/>
      <c r="G1111" s="85"/>
      <c r="H1111" s="85"/>
      <c r="I1111" s="86"/>
      <c r="M1111" s="87"/>
      <c r="N1111" s="88"/>
    </row>
    <row r="1112" spans="1:14" ht="18.75" x14ac:dyDescent="0.25">
      <c r="A1112" s="82"/>
      <c r="B1112" s="82"/>
      <c r="C1112" s="83"/>
      <c r="D1112" s="84"/>
      <c r="E1112" s="82"/>
      <c r="G1112" s="85"/>
      <c r="H1112" s="85"/>
      <c r="I1112" s="86"/>
      <c r="M1112" s="87"/>
      <c r="N1112" s="88"/>
    </row>
    <row r="1113" spans="1:14" ht="18.75" x14ac:dyDescent="0.25">
      <c r="A1113" s="82"/>
      <c r="B1113" s="82"/>
      <c r="C1113" s="83"/>
      <c r="D1113" s="84"/>
      <c r="E1113" s="82"/>
      <c r="G1113" s="85"/>
      <c r="H1113" s="85"/>
      <c r="I1113" s="86"/>
      <c r="M1113" s="87"/>
      <c r="N1113" s="88"/>
    </row>
    <row r="1114" spans="1:14" ht="18.75" x14ac:dyDescent="0.25">
      <c r="A1114" s="82"/>
      <c r="B1114" s="82"/>
      <c r="C1114" s="83"/>
      <c r="D1114" s="84"/>
      <c r="E1114" s="82"/>
      <c r="G1114" s="85"/>
      <c r="H1114" s="85"/>
      <c r="I1114" s="86"/>
      <c r="M1114" s="87"/>
      <c r="N1114" s="88"/>
    </row>
    <row r="1115" spans="1:14" ht="18.75" x14ac:dyDescent="0.25">
      <c r="A1115" s="82"/>
      <c r="B1115" s="82"/>
      <c r="C1115" s="83"/>
      <c r="D1115" s="84"/>
      <c r="E1115" s="82"/>
      <c r="G1115" s="85"/>
      <c r="H1115" s="85"/>
      <c r="I1115" s="86"/>
      <c r="M1115" s="87"/>
      <c r="N1115" s="88"/>
    </row>
    <row r="1116" spans="1:14" ht="18.75" x14ac:dyDescent="0.25">
      <c r="A1116" s="82"/>
      <c r="B1116" s="82"/>
      <c r="C1116" s="83"/>
      <c r="D1116" s="84"/>
      <c r="E1116" s="82"/>
      <c r="G1116" s="85"/>
      <c r="H1116" s="85"/>
      <c r="I1116" s="86"/>
      <c r="M1116" s="87"/>
      <c r="N1116" s="88"/>
    </row>
    <row r="1117" spans="1:14" ht="18.75" x14ac:dyDescent="0.25">
      <c r="A1117" s="82"/>
      <c r="B1117" s="82"/>
      <c r="C1117" s="83"/>
      <c r="D1117" s="84"/>
      <c r="E1117" s="82"/>
      <c r="G1117" s="85"/>
      <c r="H1117" s="85"/>
      <c r="I1117" s="86"/>
      <c r="M1117" s="87"/>
      <c r="N1117" s="88"/>
    </row>
    <row r="1118" spans="1:14" ht="18.75" x14ac:dyDescent="0.25">
      <c r="A1118" s="82"/>
      <c r="B1118" s="82"/>
      <c r="C1118" s="83"/>
      <c r="D1118" s="84"/>
      <c r="E1118" s="82"/>
      <c r="G1118" s="85"/>
      <c r="H1118" s="85"/>
      <c r="I1118" s="86"/>
      <c r="M1118" s="87"/>
      <c r="N1118" s="88"/>
    </row>
    <row r="1119" spans="1:14" ht="18.75" x14ac:dyDescent="0.25">
      <c r="A1119" s="82"/>
      <c r="B1119" s="82"/>
      <c r="C1119" s="83"/>
      <c r="D1119" s="84"/>
      <c r="E1119" s="82"/>
      <c r="G1119" s="85"/>
      <c r="H1119" s="85"/>
      <c r="I1119" s="86"/>
      <c r="M1119" s="87"/>
      <c r="N1119" s="88"/>
    </row>
    <row r="1120" spans="1:14" ht="18.75" x14ac:dyDescent="0.25">
      <c r="A1120" s="82"/>
      <c r="B1120" s="82"/>
      <c r="C1120" s="83"/>
      <c r="D1120" s="84"/>
      <c r="E1120" s="82"/>
      <c r="G1120" s="85"/>
      <c r="H1120" s="85"/>
      <c r="I1120" s="86"/>
      <c r="M1120" s="87"/>
      <c r="N1120" s="88"/>
    </row>
    <row r="1121" spans="1:14" ht="18.75" x14ac:dyDescent="0.25">
      <c r="A1121" s="82"/>
      <c r="B1121" s="82"/>
      <c r="C1121" s="83"/>
      <c r="D1121" s="84"/>
      <c r="E1121" s="82"/>
      <c r="G1121" s="85"/>
      <c r="H1121" s="85"/>
      <c r="I1121" s="86"/>
      <c r="M1121" s="87"/>
      <c r="N1121" s="88"/>
    </row>
    <row r="1122" spans="1:14" ht="18.75" x14ac:dyDescent="0.25">
      <c r="A1122" s="82"/>
      <c r="B1122" s="82"/>
      <c r="C1122" s="83"/>
      <c r="D1122" s="84"/>
      <c r="E1122" s="82"/>
      <c r="G1122" s="85"/>
      <c r="H1122" s="85"/>
      <c r="I1122" s="86"/>
      <c r="M1122" s="87"/>
      <c r="N1122" s="88"/>
    </row>
    <row r="1123" spans="1:14" ht="18.75" x14ac:dyDescent="0.25">
      <c r="A1123" s="82"/>
      <c r="B1123" s="82"/>
      <c r="C1123" s="83"/>
      <c r="D1123" s="84"/>
      <c r="E1123" s="82"/>
      <c r="G1123" s="85"/>
      <c r="H1123" s="85"/>
      <c r="I1123" s="86"/>
      <c r="M1123" s="87"/>
      <c r="N1123" s="88"/>
    </row>
    <row r="1124" spans="1:14" ht="18.75" x14ac:dyDescent="0.25">
      <c r="A1124" s="82"/>
      <c r="B1124" s="82"/>
      <c r="C1124" s="83"/>
      <c r="D1124" s="84"/>
      <c r="E1124" s="82"/>
      <c r="G1124" s="85"/>
      <c r="H1124" s="85"/>
      <c r="I1124" s="86"/>
      <c r="M1124" s="87"/>
      <c r="N1124" s="88"/>
    </row>
    <row r="1125" spans="1:14" ht="18.75" x14ac:dyDescent="0.25">
      <c r="A1125" s="82"/>
      <c r="B1125" s="82"/>
      <c r="C1125" s="83"/>
      <c r="D1125" s="84"/>
      <c r="E1125" s="82"/>
      <c r="G1125" s="85"/>
      <c r="H1125" s="85"/>
      <c r="I1125" s="86"/>
      <c r="M1125" s="87"/>
      <c r="N1125" s="88"/>
    </row>
    <row r="1126" spans="1:14" ht="18.75" x14ac:dyDescent="0.25">
      <c r="A1126" s="82"/>
      <c r="B1126" s="82"/>
      <c r="C1126" s="83"/>
      <c r="D1126" s="84"/>
      <c r="E1126" s="82"/>
      <c r="G1126" s="85"/>
      <c r="H1126" s="85"/>
      <c r="I1126" s="86"/>
      <c r="M1126" s="87"/>
      <c r="N1126" s="88"/>
    </row>
    <row r="1127" spans="1:14" ht="18.75" x14ac:dyDescent="0.25">
      <c r="A1127" s="82"/>
      <c r="B1127" s="82"/>
      <c r="C1127" s="83"/>
      <c r="D1127" s="84"/>
      <c r="E1127" s="82"/>
      <c r="G1127" s="85"/>
      <c r="H1127" s="85"/>
      <c r="I1127" s="86"/>
      <c r="M1127" s="87"/>
      <c r="N1127" s="88"/>
    </row>
    <row r="1128" spans="1:14" ht="18.75" x14ac:dyDescent="0.25">
      <c r="A1128" s="82"/>
      <c r="B1128" s="82"/>
      <c r="C1128" s="83"/>
      <c r="D1128" s="84"/>
      <c r="E1128" s="82"/>
      <c r="G1128" s="85"/>
      <c r="H1128" s="85"/>
      <c r="I1128" s="86"/>
      <c r="M1128" s="87"/>
      <c r="N1128" s="88"/>
    </row>
    <row r="1129" spans="1:14" ht="18.75" x14ac:dyDescent="0.25">
      <c r="A1129" s="82"/>
      <c r="B1129" s="82"/>
      <c r="C1129" s="83"/>
      <c r="D1129" s="84"/>
      <c r="E1129" s="82"/>
      <c r="G1129" s="85"/>
      <c r="H1129" s="85"/>
      <c r="I1129" s="86"/>
      <c r="M1129" s="87"/>
      <c r="N1129" s="88"/>
    </row>
    <row r="1130" spans="1:14" ht="18.75" x14ac:dyDescent="0.25">
      <c r="A1130" s="82"/>
      <c r="B1130" s="82"/>
      <c r="C1130" s="83"/>
      <c r="D1130" s="84"/>
      <c r="E1130" s="82"/>
      <c r="G1130" s="85"/>
      <c r="H1130" s="85"/>
      <c r="I1130" s="86"/>
      <c r="M1130" s="87"/>
      <c r="N1130" s="88"/>
    </row>
    <row r="1131" spans="1:14" ht="18.75" x14ac:dyDescent="0.25">
      <c r="A1131" s="82"/>
      <c r="B1131" s="82"/>
      <c r="C1131" s="83"/>
      <c r="D1131" s="84"/>
      <c r="E1131" s="82"/>
      <c r="G1131" s="85"/>
      <c r="H1131" s="85"/>
      <c r="I1131" s="86"/>
      <c r="M1131" s="87"/>
      <c r="N1131" s="88"/>
    </row>
    <row r="1132" spans="1:14" ht="18.75" x14ac:dyDescent="0.25">
      <c r="A1132" s="82"/>
      <c r="B1132" s="82"/>
      <c r="C1132" s="83"/>
      <c r="D1132" s="84"/>
      <c r="E1132" s="82"/>
      <c r="G1132" s="85"/>
      <c r="H1132" s="85"/>
      <c r="I1132" s="86"/>
      <c r="M1132" s="87"/>
      <c r="N1132" s="88"/>
    </row>
    <row r="1133" spans="1:14" ht="18.75" x14ac:dyDescent="0.25">
      <c r="A1133" s="82"/>
      <c r="B1133" s="82"/>
      <c r="C1133" s="83"/>
      <c r="D1133" s="84"/>
      <c r="E1133" s="82"/>
      <c r="G1133" s="85"/>
      <c r="H1133" s="85"/>
      <c r="I1133" s="86"/>
      <c r="M1133" s="87"/>
      <c r="N1133" s="88"/>
    </row>
    <row r="1134" spans="1:14" ht="18.75" x14ac:dyDescent="0.25">
      <c r="A1134" s="82"/>
      <c r="B1134" s="82"/>
      <c r="C1134" s="83"/>
      <c r="D1134" s="84"/>
      <c r="E1134" s="82"/>
      <c r="G1134" s="85"/>
      <c r="H1134" s="85"/>
      <c r="I1134" s="86"/>
      <c r="M1134" s="87"/>
      <c r="N1134" s="88"/>
    </row>
    <row r="1135" spans="1:14" ht="18.75" x14ac:dyDescent="0.25">
      <c r="A1135" s="82"/>
      <c r="B1135" s="82"/>
      <c r="C1135" s="83"/>
      <c r="D1135" s="84"/>
      <c r="E1135" s="82"/>
      <c r="G1135" s="85"/>
      <c r="H1135" s="85"/>
      <c r="I1135" s="86"/>
      <c r="M1135" s="87"/>
      <c r="N1135" s="88"/>
    </row>
    <row r="1136" spans="1:14" ht="18.75" x14ac:dyDescent="0.25">
      <c r="A1136" s="82"/>
      <c r="B1136" s="82"/>
      <c r="C1136" s="83"/>
      <c r="D1136" s="84"/>
      <c r="E1136" s="82"/>
      <c r="G1136" s="85"/>
      <c r="H1136" s="85"/>
      <c r="I1136" s="86"/>
      <c r="M1136" s="87"/>
      <c r="N1136" s="88"/>
    </row>
    <row r="1137" spans="1:14" ht="18.75" x14ac:dyDescent="0.25">
      <c r="A1137" s="82"/>
      <c r="B1137" s="82"/>
      <c r="C1137" s="83"/>
      <c r="D1137" s="84"/>
      <c r="E1137" s="82"/>
      <c r="G1137" s="85"/>
      <c r="H1137" s="85"/>
      <c r="I1137" s="86"/>
      <c r="M1137" s="87"/>
      <c r="N1137" s="88"/>
    </row>
    <row r="1138" spans="1:14" ht="18.75" x14ac:dyDescent="0.25">
      <c r="A1138" s="82"/>
      <c r="B1138" s="82"/>
      <c r="C1138" s="83"/>
      <c r="D1138" s="84"/>
      <c r="E1138" s="82"/>
      <c r="G1138" s="85"/>
      <c r="H1138" s="85"/>
      <c r="I1138" s="86"/>
      <c r="M1138" s="87"/>
      <c r="N1138" s="88"/>
    </row>
    <row r="1139" spans="1:14" ht="18.75" x14ac:dyDescent="0.25">
      <c r="A1139" s="82"/>
      <c r="B1139" s="82"/>
      <c r="C1139" s="83"/>
      <c r="D1139" s="84"/>
      <c r="E1139" s="82"/>
      <c r="G1139" s="85"/>
      <c r="H1139" s="85"/>
      <c r="I1139" s="86"/>
      <c r="M1139" s="87"/>
      <c r="N1139" s="88"/>
    </row>
    <row r="1140" spans="1:14" ht="18.75" x14ac:dyDescent="0.25">
      <c r="A1140" s="82"/>
      <c r="B1140" s="82"/>
      <c r="C1140" s="83"/>
      <c r="D1140" s="84"/>
      <c r="E1140" s="82"/>
      <c r="G1140" s="85"/>
      <c r="H1140" s="85"/>
      <c r="I1140" s="86"/>
      <c r="M1140" s="87"/>
      <c r="N1140" s="88"/>
    </row>
    <row r="1141" spans="1:14" ht="18.75" x14ac:dyDescent="0.25">
      <c r="A1141" s="82"/>
      <c r="B1141" s="82"/>
      <c r="C1141" s="83"/>
      <c r="D1141" s="84"/>
      <c r="E1141" s="82"/>
      <c r="G1141" s="85"/>
      <c r="H1141" s="85"/>
      <c r="I1141" s="86"/>
      <c r="M1141" s="87"/>
      <c r="N1141" s="88"/>
    </row>
    <row r="1142" spans="1:14" ht="18.75" x14ac:dyDescent="0.25">
      <c r="A1142" s="82"/>
      <c r="B1142" s="82"/>
      <c r="C1142" s="83"/>
      <c r="D1142" s="84"/>
      <c r="E1142" s="82"/>
      <c r="G1142" s="85"/>
      <c r="H1142" s="85"/>
      <c r="I1142" s="86"/>
      <c r="M1142" s="87"/>
      <c r="N1142" s="88"/>
    </row>
    <row r="1143" spans="1:14" ht="18.75" x14ac:dyDescent="0.25">
      <c r="A1143" s="82"/>
      <c r="B1143" s="82"/>
      <c r="C1143" s="83"/>
      <c r="D1143" s="84"/>
      <c r="E1143" s="82"/>
      <c r="G1143" s="85"/>
      <c r="H1143" s="85"/>
      <c r="I1143" s="86"/>
      <c r="M1143" s="87"/>
      <c r="N1143" s="88"/>
    </row>
    <row r="1144" spans="1:14" ht="18.75" x14ac:dyDescent="0.25">
      <c r="A1144" s="82"/>
      <c r="B1144" s="82"/>
      <c r="C1144" s="83"/>
      <c r="D1144" s="84"/>
      <c r="E1144" s="82"/>
      <c r="G1144" s="85"/>
      <c r="H1144" s="85"/>
      <c r="I1144" s="86"/>
      <c r="M1144" s="87"/>
      <c r="N1144" s="88"/>
    </row>
    <row r="1145" spans="1:14" ht="18.75" x14ac:dyDescent="0.25">
      <c r="A1145" s="82"/>
      <c r="B1145" s="82"/>
      <c r="C1145" s="83"/>
      <c r="D1145" s="84"/>
      <c r="E1145" s="82"/>
      <c r="G1145" s="85"/>
      <c r="H1145" s="85"/>
      <c r="I1145" s="86"/>
      <c r="M1145" s="87"/>
      <c r="N1145" s="88"/>
    </row>
    <row r="1146" spans="1:14" ht="18.75" x14ac:dyDescent="0.25">
      <c r="A1146" s="82"/>
      <c r="B1146" s="82"/>
      <c r="C1146" s="83"/>
      <c r="D1146" s="84"/>
      <c r="E1146" s="82"/>
      <c r="G1146" s="85"/>
      <c r="H1146" s="85"/>
      <c r="I1146" s="86"/>
      <c r="M1146" s="87"/>
      <c r="N1146" s="88"/>
    </row>
    <row r="1147" spans="1:14" ht="18.75" x14ac:dyDescent="0.25">
      <c r="A1147" s="82"/>
      <c r="B1147" s="82"/>
      <c r="C1147" s="83"/>
      <c r="D1147" s="84"/>
      <c r="E1147" s="82"/>
      <c r="G1147" s="85"/>
      <c r="H1147" s="85"/>
      <c r="I1147" s="86"/>
      <c r="M1147" s="87"/>
      <c r="N1147" s="88"/>
    </row>
    <row r="1148" spans="1:14" ht="18.75" x14ac:dyDescent="0.25">
      <c r="A1148" s="82"/>
      <c r="B1148" s="82"/>
      <c r="C1148" s="83"/>
      <c r="D1148" s="84"/>
      <c r="E1148" s="82"/>
      <c r="G1148" s="85"/>
      <c r="H1148" s="85"/>
      <c r="I1148" s="86"/>
      <c r="M1148" s="87"/>
      <c r="N1148" s="88"/>
    </row>
    <row r="1149" spans="1:14" ht="18.75" x14ac:dyDescent="0.25">
      <c r="A1149" s="82"/>
      <c r="B1149" s="82"/>
      <c r="C1149" s="83"/>
      <c r="D1149" s="84"/>
      <c r="E1149" s="82"/>
      <c r="G1149" s="85"/>
      <c r="H1149" s="85"/>
      <c r="I1149" s="86"/>
      <c r="M1149" s="87"/>
      <c r="N1149" s="88"/>
    </row>
    <row r="1150" spans="1:14" ht="18.75" x14ac:dyDescent="0.25">
      <c r="A1150" s="82"/>
      <c r="B1150" s="82"/>
      <c r="C1150" s="83"/>
      <c r="D1150" s="84"/>
      <c r="E1150" s="82"/>
      <c r="G1150" s="85"/>
      <c r="H1150" s="85"/>
      <c r="I1150" s="86"/>
      <c r="M1150" s="87"/>
      <c r="N1150" s="88"/>
    </row>
    <row r="1151" spans="1:14" ht="18.75" x14ac:dyDescent="0.25">
      <c r="A1151" s="82"/>
      <c r="B1151" s="82"/>
      <c r="C1151" s="83"/>
      <c r="D1151" s="84"/>
      <c r="E1151" s="82"/>
      <c r="G1151" s="85"/>
      <c r="H1151" s="85"/>
      <c r="I1151" s="86"/>
      <c r="M1151" s="87"/>
      <c r="N1151" s="88"/>
    </row>
    <row r="1152" spans="1:14" ht="18.75" x14ac:dyDescent="0.25">
      <c r="A1152" s="82"/>
      <c r="B1152" s="82"/>
      <c r="C1152" s="83"/>
      <c r="D1152" s="84"/>
      <c r="E1152" s="82"/>
      <c r="G1152" s="85"/>
      <c r="H1152" s="85"/>
      <c r="I1152" s="86"/>
      <c r="M1152" s="87"/>
      <c r="N1152" s="88"/>
    </row>
    <row r="1153" spans="1:14" ht="18.75" x14ac:dyDescent="0.25">
      <c r="A1153" s="82"/>
      <c r="B1153" s="82"/>
      <c r="C1153" s="83"/>
      <c r="D1153" s="84"/>
      <c r="E1153" s="82"/>
      <c r="G1153" s="85"/>
      <c r="H1153" s="85"/>
      <c r="I1153" s="86"/>
      <c r="M1153" s="87"/>
      <c r="N1153" s="88"/>
    </row>
    <row r="1154" spans="1:14" ht="18.75" x14ac:dyDescent="0.25">
      <c r="A1154" s="82"/>
      <c r="B1154" s="82"/>
      <c r="C1154" s="83"/>
      <c r="D1154" s="84"/>
      <c r="E1154" s="82"/>
      <c r="G1154" s="85"/>
      <c r="H1154" s="85"/>
      <c r="I1154" s="86"/>
      <c r="M1154" s="87"/>
      <c r="N1154" s="88"/>
    </row>
    <row r="1155" spans="1:14" ht="18.75" x14ac:dyDescent="0.25">
      <c r="A1155" s="82"/>
      <c r="B1155" s="82"/>
      <c r="C1155" s="83"/>
      <c r="D1155" s="84"/>
      <c r="E1155" s="82"/>
      <c r="G1155" s="85"/>
      <c r="H1155" s="85"/>
      <c r="I1155" s="86"/>
      <c r="M1155" s="87"/>
      <c r="N1155" s="88"/>
    </row>
    <row r="1156" spans="1:14" ht="18.75" x14ac:dyDescent="0.25">
      <c r="A1156" s="82"/>
      <c r="B1156" s="82"/>
      <c r="C1156" s="83"/>
      <c r="D1156" s="84"/>
      <c r="E1156" s="82"/>
      <c r="G1156" s="85"/>
      <c r="H1156" s="85"/>
      <c r="I1156" s="86"/>
      <c r="M1156" s="87"/>
      <c r="N1156" s="88"/>
    </row>
    <row r="1157" spans="1:14" ht="18.75" x14ac:dyDescent="0.25">
      <c r="A1157" s="82"/>
      <c r="B1157" s="82"/>
      <c r="C1157" s="83"/>
      <c r="D1157" s="84"/>
      <c r="E1157" s="82"/>
      <c r="G1157" s="85"/>
      <c r="H1157" s="85"/>
      <c r="I1157" s="86"/>
      <c r="M1157" s="87"/>
      <c r="N1157" s="88"/>
    </row>
    <row r="1158" spans="1:14" ht="18.75" x14ac:dyDescent="0.25">
      <c r="A1158" s="82"/>
      <c r="B1158" s="82"/>
      <c r="C1158" s="83"/>
      <c r="D1158" s="84"/>
      <c r="E1158" s="82"/>
      <c r="G1158" s="85"/>
      <c r="H1158" s="85"/>
      <c r="I1158" s="86"/>
      <c r="M1158" s="87"/>
      <c r="N1158" s="88"/>
    </row>
    <row r="1159" spans="1:14" ht="18.75" x14ac:dyDescent="0.25">
      <c r="A1159" s="82"/>
      <c r="B1159" s="82"/>
      <c r="C1159" s="83"/>
      <c r="D1159" s="84"/>
      <c r="E1159" s="82"/>
      <c r="G1159" s="85"/>
      <c r="H1159" s="85"/>
      <c r="I1159" s="86"/>
      <c r="M1159" s="87"/>
      <c r="N1159" s="88"/>
    </row>
    <row r="1160" spans="1:14" ht="18.75" x14ac:dyDescent="0.25">
      <c r="A1160" s="82"/>
      <c r="B1160" s="82"/>
      <c r="C1160" s="83"/>
      <c r="D1160" s="84"/>
      <c r="E1160" s="82"/>
      <c r="G1160" s="85"/>
      <c r="H1160" s="85"/>
      <c r="I1160" s="86"/>
      <c r="M1160" s="87"/>
      <c r="N1160" s="88"/>
    </row>
    <row r="1161" spans="1:14" ht="18.75" x14ac:dyDescent="0.25">
      <c r="A1161" s="82"/>
      <c r="B1161" s="82"/>
      <c r="C1161" s="83"/>
      <c r="D1161" s="84"/>
      <c r="E1161" s="82"/>
      <c r="G1161" s="85"/>
      <c r="H1161" s="85"/>
      <c r="I1161" s="86"/>
      <c r="M1161" s="87"/>
      <c r="N1161" s="88"/>
    </row>
    <row r="1162" spans="1:14" ht="18.75" x14ac:dyDescent="0.25">
      <c r="A1162" s="82"/>
      <c r="B1162" s="82"/>
      <c r="C1162" s="83"/>
      <c r="D1162" s="84"/>
      <c r="E1162" s="82"/>
      <c r="G1162" s="85"/>
      <c r="H1162" s="85"/>
      <c r="I1162" s="86"/>
      <c r="M1162" s="87"/>
      <c r="N1162" s="88"/>
    </row>
    <row r="1163" spans="1:14" ht="18.75" x14ac:dyDescent="0.25">
      <c r="A1163" s="82"/>
      <c r="B1163" s="82"/>
      <c r="C1163" s="83"/>
      <c r="D1163" s="84"/>
      <c r="E1163" s="82"/>
      <c r="G1163" s="85"/>
      <c r="H1163" s="85"/>
      <c r="I1163" s="86"/>
      <c r="M1163" s="87"/>
      <c r="N1163" s="88"/>
    </row>
    <row r="1164" spans="1:14" ht="18.75" x14ac:dyDescent="0.25">
      <c r="A1164" s="82"/>
      <c r="B1164" s="82"/>
      <c r="C1164" s="83"/>
      <c r="D1164" s="84"/>
      <c r="E1164" s="82"/>
      <c r="G1164" s="85"/>
      <c r="H1164" s="85"/>
      <c r="I1164" s="86"/>
      <c r="M1164" s="87"/>
      <c r="N1164" s="88"/>
    </row>
    <row r="1165" spans="1:14" ht="18.75" x14ac:dyDescent="0.25">
      <c r="A1165" s="82"/>
      <c r="B1165" s="82"/>
      <c r="C1165" s="83"/>
      <c r="D1165" s="84"/>
      <c r="E1165" s="82"/>
      <c r="G1165" s="85"/>
      <c r="H1165" s="85"/>
      <c r="I1165" s="86"/>
      <c r="M1165" s="87"/>
      <c r="N1165" s="88"/>
    </row>
    <row r="1166" spans="1:14" ht="18.75" x14ac:dyDescent="0.25">
      <c r="A1166" s="82"/>
      <c r="B1166" s="82"/>
      <c r="C1166" s="83"/>
      <c r="D1166" s="84"/>
      <c r="E1166" s="82"/>
      <c r="G1166" s="85"/>
      <c r="H1166" s="85"/>
      <c r="I1166" s="86"/>
      <c r="M1166" s="87"/>
      <c r="N1166" s="88"/>
    </row>
    <row r="1167" spans="1:14" ht="18.75" x14ac:dyDescent="0.25">
      <c r="A1167" s="82"/>
      <c r="B1167" s="82"/>
      <c r="C1167" s="83"/>
      <c r="D1167" s="84"/>
      <c r="E1167" s="82"/>
      <c r="G1167" s="85"/>
      <c r="H1167" s="85"/>
      <c r="I1167" s="86"/>
      <c r="M1167" s="87"/>
      <c r="N1167" s="88"/>
    </row>
    <row r="1168" spans="1:14" ht="18.75" x14ac:dyDescent="0.25">
      <c r="A1168" s="82"/>
      <c r="B1168" s="82"/>
      <c r="C1168" s="83"/>
      <c r="D1168" s="84"/>
      <c r="E1168" s="82"/>
      <c r="G1168" s="85"/>
      <c r="H1168" s="85"/>
      <c r="I1168" s="86"/>
      <c r="M1168" s="87"/>
      <c r="N1168" s="88"/>
    </row>
    <row r="1169" spans="1:14" ht="18.75" x14ac:dyDescent="0.25">
      <c r="A1169" s="82"/>
      <c r="B1169" s="82"/>
      <c r="C1169" s="83"/>
      <c r="D1169" s="84"/>
      <c r="E1169" s="82"/>
      <c r="G1169" s="85"/>
      <c r="H1169" s="85"/>
      <c r="I1169" s="86"/>
      <c r="M1169" s="87"/>
      <c r="N1169" s="88"/>
    </row>
    <row r="1170" spans="1:14" ht="18.75" x14ac:dyDescent="0.25">
      <c r="A1170" s="82"/>
      <c r="B1170" s="82"/>
      <c r="C1170" s="83"/>
      <c r="D1170" s="84"/>
      <c r="E1170" s="82"/>
      <c r="G1170" s="85"/>
      <c r="H1170" s="85"/>
      <c r="I1170" s="86"/>
      <c r="M1170" s="87"/>
      <c r="N1170" s="88"/>
    </row>
    <row r="1171" spans="1:14" ht="18.75" x14ac:dyDescent="0.25">
      <c r="A1171" s="82"/>
      <c r="B1171" s="82"/>
      <c r="C1171" s="83"/>
      <c r="D1171" s="84"/>
      <c r="E1171" s="82"/>
      <c r="G1171" s="85"/>
      <c r="H1171" s="85"/>
      <c r="I1171" s="86"/>
      <c r="M1171" s="87"/>
      <c r="N1171" s="88"/>
    </row>
    <row r="1172" spans="1:14" ht="18.75" x14ac:dyDescent="0.25">
      <c r="A1172" s="82"/>
      <c r="B1172" s="82"/>
      <c r="C1172" s="83"/>
      <c r="D1172" s="84"/>
      <c r="E1172" s="82"/>
      <c r="G1172" s="85"/>
      <c r="H1172" s="85"/>
      <c r="I1172" s="86"/>
      <c r="M1172" s="87"/>
      <c r="N1172" s="88"/>
    </row>
    <row r="1173" spans="1:14" ht="18.75" x14ac:dyDescent="0.25">
      <c r="A1173" s="82"/>
      <c r="B1173" s="82"/>
      <c r="C1173" s="83"/>
      <c r="D1173" s="84"/>
      <c r="E1173" s="82"/>
      <c r="G1173" s="85"/>
      <c r="H1173" s="85"/>
      <c r="I1173" s="86"/>
      <c r="M1173" s="87"/>
      <c r="N1173" s="88"/>
    </row>
    <row r="1174" spans="1:14" ht="18.75" x14ac:dyDescent="0.25">
      <c r="A1174" s="82"/>
      <c r="B1174" s="82"/>
      <c r="C1174" s="83"/>
      <c r="D1174" s="84"/>
      <c r="E1174" s="82"/>
      <c r="G1174" s="85"/>
      <c r="H1174" s="85"/>
      <c r="I1174" s="86"/>
      <c r="M1174" s="87"/>
      <c r="N1174" s="88"/>
    </row>
    <row r="1175" spans="1:14" ht="18.75" x14ac:dyDescent="0.25">
      <c r="A1175" s="82"/>
      <c r="B1175" s="82"/>
      <c r="C1175" s="83"/>
      <c r="D1175" s="84"/>
      <c r="E1175" s="82"/>
      <c r="G1175" s="85"/>
      <c r="H1175" s="85"/>
      <c r="I1175" s="86"/>
      <c r="M1175" s="87"/>
      <c r="N1175" s="88"/>
    </row>
    <row r="1176" spans="1:14" ht="18.75" x14ac:dyDescent="0.25">
      <c r="A1176" s="82"/>
      <c r="B1176" s="82"/>
      <c r="C1176" s="83"/>
      <c r="D1176" s="84"/>
      <c r="E1176" s="82"/>
      <c r="G1176" s="85"/>
      <c r="H1176" s="85"/>
      <c r="I1176" s="86"/>
      <c r="M1176" s="87"/>
      <c r="N1176" s="88"/>
    </row>
    <row r="1177" spans="1:14" ht="18.75" x14ac:dyDescent="0.25">
      <c r="A1177" s="82"/>
      <c r="B1177" s="82"/>
      <c r="C1177" s="83"/>
      <c r="D1177" s="84"/>
      <c r="E1177" s="82"/>
      <c r="G1177" s="85"/>
      <c r="H1177" s="85"/>
      <c r="I1177" s="86"/>
      <c r="M1177" s="87"/>
      <c r="N1177" s="88"/>
    </row>
    <row r="1178" spans="1:14" ht="18.75" x14ac:dyDescent="0.25">
      <c r="A1178" s="82"/>
      <c r="B1178" s="82"/>
      <c r="C1178" s="83"/>
      <c r="D1178" s="84"/>
      <c r="E1178" s="82"/>
      <c r="G1178" s="85"/>
      <c r="H1178" s="85"/>
      <c r="I1178" s="86"/>
      <c r="M1178" s="87"/>
      <c r="N1178" s="88"/>
    </row>
    <row r="1179" spans="1:14" ht="18.75" x14ac:dyDescent="0.25">
      <c r="A1179" s="82"/>
      <c r="B1179" s="82"/>
      <c r="C1179" s="83"/>
      <c r="D1179" s="84"/>
      <c r="E1179" s="82"/>
      <c r="G1179" s="85"/>
      <c r="H1179" s="85"/>
      <c r="I1179" s="86"/>
      <c r="M1179" s="87"/>
      <c r="N1179" s="88"/>
    </row>
    <row r="1180" spans="1:14" ht="18.75" x14ac:dyDescent="0.25">
      <c r="A1180" s="82"/>
      <c r="B1180" s="82"/>
      <c r="C1180" s="83"/>
      <c r="D1180" s="84"/>
      <c r="E1180" s="82"/>
      <c r="G1180" s="85"/>
      <c r="H1180" s="85"/>
      <c r="I1180" s="86"/>
      <c r="M1180" s="87"/>
      <c r="N1180" s="88"/>
    </row>
    <row r="1181" spans="1:14" ht="18.75" x14ac:dyDescent="0.25">
      <c r="A1181" s="82"/>
      <c r="B1181" s="82"/>
      <c r="C1181" s="83"/>
      <c r="D1181" s="84"/>
      <c r="E1181" s="82"/>
      <c r="G1181" s="85"/>
      <c r="H1181" s="85"/>
      <c r="I1181" s="86"/>
      <c r="M1181" s="87"/>
      <c r="N1181" s="88"/>
    </row>
    <row r="1182" spans="1:14" ht="18.75" x14ac:dyDescent="0.25">
      <c r="A1182" s="82"/>
      <c r="B1182" s="82"/>
      <c r="C1182" s="83"/>
      <c r="D1182" s="84"/>
      <c r="E1182" s="82"/>
      <c r="G1182" s="85"/>
      <c r="H1182" s="85"/>
      <c r="I1182" s="86"/>
      <c r="M1182" s="87"/>
      <c r="N1182" s="88"/>
    </row>
    <row r="1183" spans="1:14" ht="18.75" x14ac:dyDescent="0.25">
      <c r="A1183" s="82"/>
      <c r="B1183" s="82"/>
      <c r="C1183" s="83"/>
      <c r="D1183" s="84"/>
      <c r="E1183" s="82"/>
      <c r="G1183" s="85"/>
      <c r="H1183" s="85"/>
      <c r="I1183" s="86"/>
      <c r="M1183" s="87"/>
      <c r="N1183" s="88"/>
    </row>
    <row r="1184" spans="1:14" ht="18.75" x14ac:dyDescent="0.25">
      <c r="A1184" s="82"/>
      <c r="B1184" s="82"/>
      <c r="C1184" s="83"/>
      <c r="D1184" s="84"/>
      <c r="E1184" s="82"/>
      <c r="G1184" s="85"/>
      <c r="H1184" s="85"/>
      <c r="I1184" s="86"/>
      <c r="M1184" s="87"/>
      <c r="N1184" s="88"/>
    </row>
    <row r="1185" spans="1:14" ht="18.75" x14ac:dyDescent="0.25">
      <c r="A1185" s="82"/>
      <c r="B1185" s="82"/>
      <c r="C1185" s="83"/>
      <c r="D1185" s="84"/>
      <c r="E1185" s="82"/>
      <c r="G1185" s="85"/>
      <c r="H1185" s="85"/>
      <c r="I1185" s="86"/>
      <c r="M1185" s="87"/>
      <c r="N1185" s="88"/>
    </row>
    <row r="1186" spans="1:14" ht="18.75" x14ac:dyDescent="0.25">
      <c r="A1186" s="82"/>
      <c r="B1186" s="82"/>
      <c r="C1186" s="83"/>
      <c r="D1186" s="84"/>
      <c r="E1186" s="82"/>
      <c r="G1186" s="85"/>
      <c r="H1186" s="85"/>
      <c r="I1186" s="86"/>
      <c r="M1186" s="87"/>
      <c r="N1186" s="88"/>
    </row>
    <row r="1187" spans="1:14" ht="18.75" x14ac:dyDescent="0.25">
      <c r="A1187" s="82"/>
      <c r="B1187" s="82"/>
      <c r="C1187" s="83"/>
      <c r="D1187" s="84"/>
      <c r="E1187" s="82"/>
      <c r="G1187" s="85"/>
      <c r="H1187" s="85"/>
      <c r="I1187" s="86"/>
      <c r="M1187" s="87"/>
      <c r="N1187" s="88"/>
    </row>
    <row r="1188" spans="1:14" ht="18.75" x14ac:dyDescent="0.25">
      <c r="A1188" s="82"/>
      <c r="B1188" s="82"/>
      <c r="C1188" s="83"/>
      <c r="D1188" s="84"/>
      <c r="E1188" s="82"/>
      <c r="G1188" s="85"/>
      <c r="H1188" s="85"/>
      <c r="I1188" s="86"/>
      <c r="M1188" s="87"/>
      <c r="N1188" s="88"/>
    </row>
    <row r="1189" spans="1:14" ht="18.75" x14ac:dyDescent="0.25">
      <c r="A1189" s="82"/>
      <c r="B1189" s="82"/>
      <c r="C1189" s="83"/>
      <c r="D1189" s="84"/>
      <c r="E1189" s="82"/>
      <c r="G1189" s="85"/>
      <c r="H1189" s="85"/>
      <c r="I1189" s="86"/>
      <c r="M1189" s="87"/>
      <c r="N1189" s="88"/>
    </row>
    <row r="1190" spans="1:14" ht="18.75" x14ac:dyDescent="0.25">
      <c r="A1190" s="82"/>
      <c r="B1190" s="82"/>
      <c r="C1190" s="83"/>
      <c r="D1190" s="84"/>
      <c r="E1190" s="82"/>
      <c r="G1190" s="85"/>
      <c r="H1190" s="85"/>
      <c r="I1190" s="86"/>
      <c r="M1190" s="87"/>
      <c r="N1190" s="88"/>
    </row>
    <row r="1191" spans="1:14" ht="18.75" x14ac:dyDescent="0.25">
      <c r="A1191" s="82"/>
      <c r="B1191" s="82"/>
      <c r="C1191" s="83"/>
      <c r="D1191" s="84"/>
      <c r="E1191" s="82"/>
      <c r="G1191" s="85"/>
      <c r="H1191" s="85"/>
      <c r="I1191" s="86"/>
      <c r="M1191" s="87"/>
      <c r="N1191" s="88"/>
    </row>
    <row r="1192" spans="1:14" ht="18.75" x14ac:dyDescent="0.25">
      <c r="A1192" s="82"/>
      <c r="B1192" s="82"/>
      <c r="C1192" s="83"/>
      <c r="D1192" s="84"/>
      <c r="E1192" s="82"/>
      <c r="G1192" s="85"/>
      <c r="H1192" s="85"/>
      <c r="I1192" s="86"/>
      <c r="M1192" s="87"/>
      <c r="N1192" s="88"/>
    </row>
    <row r="1193" spans="1:14" ht="18.75" x14ac:dyDescent="0.25">
      <c r="A1193" s="82"/>
      <c r="B1193" s="82"/>
      <c r="C1193" s="83"/>
      <c r="D1193" s="84"/>
      <c r="E1193" s="82"/>
      <c r="G1193" s="85"/>
      <c r="H1193" s="85"/>
      <c r="I1193" s="86"/>
      <c r="M1193" s="87"/>
      <c r="N1193" s="88"/>
    </row>
    <row r="1194" spans="1:14" ht="18.75" x14ac:dyDescent="0.25">
      <c r="A1194" s="82"/>
      <c r="B1194" s="82"/>
      <c r="C1194" s="83"/>
      <c r="D1194" s="84"/>
      <c r="E1194" s="82"/>
      <c r="G1194" s="85"/>
      <c r="H1194" s="85"/>
      <c r="I1194" s="86"/>
      <c r="M1194" s="87"/>
      <c r="N1194" s="88"/>
    </row>
    <row r="1195" spans="1:14" ht="18.75" x14ac:dyDescent="0.25">
      <c r="A1195" s="82"/>
      <c r="B1195" s="82"/>
      <c r="C1195" s="83"/>
      <c r="D1195" s="84"/>
      <c r="E1195" s="82"/>
      <c r="G1195" s="85"/>
      <c r="H1195" s="85"/>
      <c r="I1195" s="86"/>
      <c r="M1195" s="87"/>
      <c r="N1195" s="88"/>
    </row>
    <row r="1196" spans="1:14" ht="18.75" x14ac:dyDescent="0.25">
      <c r="A1196" s="82"/>
      <c r="B1196" s="82"/>
      <c r="C1196" s="83"/>
      <c r="D1196" s="84"/>
      <c r="E1196" s="82"/>
      <c r="G1196" s="85"/>
      <c r="H1196" s="85"/>
      <c r="I1196" s="86"/>
      <c r="M1196" s="87"/>
      <c r="N1196" s="88"/>
    </row>
    <row r="1197" spans="1:14" ht="18.75" x14ac:dyDescent="0.25">
      <c r="A1197" s="82"/>
      <c r="B1197" s="82"/>
      <c r="C1197" s="83"/>
      <c r="D1197" s="84"/>
      <c r="E1197" s="82"/>
      <c r="G1197" s="85"/>
      <c r="H1197" s="85"/>
      <c r="I1197" s="86"/>
      <c r="M1197" s="87"/>
      <c r="N1197" s="88"/>
    </row>
    <row r="1198" spans="1:14" ht="18.75" x14ac:dyDescent="0.25">
      <c r="A1198" s="82"/>
      <c r="B1198" s="82"/>
      <c r="C1198" s="83"/>
      <c r="D1198" s="84"/>
      <c r="E1198" s="82"/>
      <c r="G1198" s="85"/>
      <c r="H1198" s="85"/>
      <c r="I1198" s="86"/>
      <c r="M1198" s="87"/>
      <c r="N1198" s="88"/>
    </row>
    <row r="1199" spans="1:14" ht="18.75" x14ac:dyDescent="0.25">
      <c r="A1199" s="82"/>
      <c r="B1199" s="82"/>
      <c r="C1199" s="83"/>
      <c r="D1199" s="84"/>
      <c r="E1199" s="82"/>
      <c r="G1199" s="85"/>
      <c r="H1199" s="85"/>
      <c r="I1199" s="86"/>
      <c r="M1199" s="87"/>
      <c r="N1199" s="88"/>
    </row>
    <row r="1200" spans="1:14" ht="18.75" x14ac:dyDescent="0.25">
      <c r="A1200" s="82"/>
      <c r="B1200" s="82"/>
      <c r="C1200" s="83"/>
      <c r="D1200" s="84"/>
      <c r="E1200" s="82"/>
      <c r="G1200" s="85"/>
      <c r="H1200" s="85"/>
      <c r="I1200" s="86"/>
      <c r="M1200" s="87"/>
      <c r="N1200" s="88"/>
    </row>
    <row r="1201" spans="1:14" ht="18.75" x14ac:dyDescent="0.25">
      <c r="A1201" s="82"/>
      <c r="B1201" s="82"/>
      <c r="C1201" s="83"/>
      <c r="D1201" s="84"/>
      <c r="E1201" s="82"/>
      <c r="G1201" s="85"/>
      <c r="H1201" s="85"/>
      <c r="I1201" s="86"/>
      <c r="M1201" s="87"/>
      <c r="N1201" s="88"/>
    </row>
    <row r="1202" spans="1:14" ht="18.75" x14ac:dyDescent="0.25">
      <c r="A1202" s="82"/>
      <c r="B1202" s="82"/>
      <c r="C1202" s="83"/>
      <c r="D1202" s="84"/>
      <c r="E1202" s="82"/>
      <c r="G1202" s="85"/>
      <c r="H1202" s="85"/>
      <c r="I1202" s="86"/>
      <c r="M1202" s="87"/>
      <c r="N1202" s="88"/>
    </row>
    <row r="1203" spans="1:14" ht="18.75" x14ac:dyDescent="0.25">
      <c r="A1203" s="82"/>
      <c r="B1203" s="82"/>
      <c r="C1203" s="83"/>
      <c r="D1203" s="84"/>
      <c r="E1203" s="82"/>
      <c r="G1203" s="85"/>
      <c r="H1203" s="85"/>
      <c r="I1203" s="86"/>
      <c r="M1203" s="87"/>
      <c r="N1203" s="88"/>
    </row>
    <row r="1204" spans="1:14" ht="18.75" x14ac:dyDescent="0.25">
      <c r="A1204" s="82"/>
      <c r="B1204" s="82"/>
      <c r="C1204" s="83"/>
      <c r="D1204" s="84"/>
      <c r="E1204" s="82"/>
      <c r="G1204" s="85"/>
      <c r="H1204" s="85"/>
      <c r="I1204" s="86"/>
      <c r="M1204" s="87"/>
      <c r="N1204" s="88"/>
    </row>
    <row r="1205" spans="1:14" ht="18.75" x14ac:dyDescent="0.25">
      <c r="A1205" s="82"/>
      <c r="B1205" s="82"/>
      <c r="C1205" s="83"/>
      <c r="D1205" s="84"/>
      <c r="E1205" s="82"/>
      <c r="G1205" s="85"/>
      <c r="H1205" s="85"/>
      <c r="I1205" s="86"/>
      <c r="M1205" s="87"/>
      <c r="N1205" s="88"/>
    </row>
    <row r="1206" spans="1:14" ht="18.75" x14ac:dyDescent="0.25">
      <c r="A1206" s="82"/>
      <c r="B1206" s="82"/>
      <c r="C1206" s="83"/>
      <c r="D1206" s="84"/>
      <c r="E1206" s="82"/>
      <c r="G1206" s="85"/>
      <c r="H1206" s="85"/>
      <c r="I1206" s="86"/>
      <c r="M1206" s="87"/>
      <c r="N1206" s="88"/>
    </row>
    <row r="1207" spans="1:14" ht="18.75" x14ac:dyDescent="0.25">
      <c r="A1207" s="82"/>
      <c r="B1207" s="82"/>
      <c r="C1207" s="83"/>
      <c r="D1207" s="84"/>
      <c r="E1207" s="82"/>
      <c r="G1207" s="85"/>
      <c r="H1207" s="85"/>
      <c r="I1207" s="86"/>
      <c r="M1207" s="87"/>
      <c r="N1207" s="88"/>
    </row>
    <row r="1208" spans="1:14" ht="18.75" x14ac:dyDescent="0.25">
      <c r="A1208" s="82"/>
      <c r="B1208" s="82"/>
      <c r="C1208" s="83"/>
      <c r="D1208" s="84"/>
      <c r="E1208" s="82"/>
      <c r="G1208" s="85"/>
      <c r="H1208" s="85"/>
      <c r="I1208" s="86"/>
      <c r="M1208" s="87"/>
      <c r="N1208" s="88"/>
    </row>
    <row r="1209" spans="1:14" ht="18.75" x14ac:dyDescent="0.25">
      <c r="A1209" s="82"/>
      <c r="B1209" s="82"/>
      <c r="C1209" s="83"/>
      <c r="D1209" s="84"/>
      <c r="E1209" s="82"/>
      <c r="G1209" s="85"/>
      <c r="H1209" s="85"/>
      <c r="I1209" s="86"/>
      <c r="M1209" s="87"/>
      <c r="N1209" s="88"/>
    </row>
    <row r="1210" spans="1:14" ht="18.75" x14ac:dyDescent="0.25">
      <c r="A1210" s="82"/>
      <c r="B1210" s="82"/>
      <c r="C1210" s="83"/>
      <c r="D1210" s="84"/>
      <c r="E1210" s="82"/>
      <c r="G1210" s="85"/>
      <c r="H1210" s="85"/>
      <c r="I1210" s="86"/>
      <c r="M1210" s="87"/>
      <c r="N1210" s="88"/>
    </row>
    <row r="1211" spans="1:14" ht="18.75" x14ac:dyDescent="0.25">
      <c r="A1211" s="82"/>
      <c r="B1211" s="82"/>
      <c r="C1211" s="83"/>
      <c r="D1211" s="84"/>
      <c r="E1211" s="82"/>
      <c r="G1211" s="85"/>
      <c r="H1211" s="85"/>
      <c r="I1211" s="86"/>
      <c r="M1211" s="87"/>
      <c r="N1211" s="88"/>
    </row>
    <row r="1212" spans="1:14" ht="18.75" x14ac:dyDescent="0.25">
      <c r="A1212" s="82"/>
      <c r="B1212" s="82"/>
      <c r="C1212" s="83"/>
      <c r="D1212" s="84"/>
      <c r="E1212" s="82"/>
      <c r="G1212" s="85"/>
      <c r="H1212" s="85"/>
      <c r="I1212" s="86"/>
      <c r="M1212" s="87"/>
      <c r="N1212" s="88"/>
    </row>
    <row r="1213" spans="1:14" ht="18.75" x14ac:dyDescent="0.25">
      <c r="A1213" s="82"/>
      <c r="B1213" s="82"/>
      <c r="C1213" s="83"/>
      <c r="D1213" s="84"/>
      <c r="E1213" s="82"/>
      <c r="G1213" s="85"/>
      <c r="H1213" s="85"/>
      <c r="I1213" s="86"/>
      <c r="M1213" s="87"/>
      <c r="N1213" s="88"/>
    </row>
    <row r="1214" spans="1:14" ht="18.75" x14ac:dyDescent="0.25">
      <c r="A1214" s="82"/>
      <c r="B1214" s="82"/>
      <c r="C1214" s="83"/>
      <c r="D1214" s="84"/>
      <c r="E1214" s="82"/>
      <c r="G1214" s="85"/>
      <c r="H1214" s="85"/>
      <c r="I1214" s="86"/>
      <c r="M1214" s="87"/>
      <c r="N1214" s="88"/>
    </row>
    <row r="1215" spans="1:14" ht="18.75" x14ac:dyDescent="0.25">
      <c r="A1215" s="82"/>
      <c r="B1215" s="82"/>
      <c r="C1215" s="83"/>
      <c r="D1215" s="84"/>
      <c r="E1215" s="82"/>
      <c r="G1215" s="85"/>
      <c r="H1215" s="85"/>
      <c r="I1215" s="86"/>
      <c r="M1215" s="87"/>
      <c r="N1215" s="88"/>
    </row>
    <row r="1216" spans="1:14" ht="18.75" x14ac:dyDescent="0.25">
      <c r="A1216" s="82"/>
      <c r="B1216" s="82"/>
      <c r="C1216" s="83"/>
      <c r="D1216" s="84"/>
      <c r="E1216" s="82"/>
      <c r="G1216" s="85"/>
      <c r="H1216" s="85"/>
      <c r="I1216" s="86"/>
      <c r="M1216" s="87"/>
      <c r="N1216" s="88"/>
    </row>
    <row r="1217" spans="1:14" ht="18.75" x14ac:dyDescent="0.25">
      <c r="A1217" s="82"/>
      <c r="B1217" s="82"/>
      <c r="C1217" s="83"/>
      <c r="D1217" s="84"/>
      <c r="E1217" s="82"/>
      <c r="G1217" s="85"/>
      <c r="H1217" s="85"/>
      <c r="I1217" s="86"/>
      <c r="M1217" s="87"/>
      <c r="N1217" s="88"/>
    </row>
    <row r="1218" spans="1:14" ht="18.75" x14ac:dyDescent="0.25">
      <c r="A1218" s="82"/>
      <c r="B1218" s="82"/>
      <c r="C1218" s="83"/>
      <c r="D1218" s="84"/>
      <c r="E1218" s="82"/>
      <c r="G1218" s="85"/>
      <c r="H1218" s="85"/>
      <c r="I1218" s="86"/>
      <c r="M1218" s="87"/>
      <c r="N1218" s="88"/>
    </row>
    <row r="1219" spans="1:14" ht="18.75" x14ac:dyDescent="0.25">
      <c r="A1219" s="82"/>
      <c r="B1219" s="82"/>
      <c r="C1219" s="83"/>
      <c r="D1219" s="84"/>
      <c r="E1219" s="82"/>
      <c r="G1219" s="85"/>
      <c r="H1219" s="85"/>
      <c r="I1219" s="86"/>
      <c r="M1219" s="87"/>
      <c r="N1219" s="88"/>
    </row>
    <row r="1220" spans="1:14" ht="18.75" x14ac:dyDescent="0.25">
      <c r="A1220" s="82"/>
      <c r="B1220" s="82"/>
      <c r="C1220" s="83"/>
      <c r="D1220" s="84"/>
      <c r="E1220" s="82"/>
      <c r="G1220" s="85"/>
      <c r="H1220" s="85"/>
      <c r="I1220" s="86"/>
      <c r="M1220" s="87"/>
      <c r="N1220" s="88"/>
    </row>
    <row r="1221" spans="1:14" ht="18.75" x14ac:dyDescent="0.25">
      <c r="A1221" s="82"/>
      <c r="B1221" s="82"/>
      <c r="C1221" s="83"/>
      <c r="D1221" s="84"/>
      <c r="E1221" s="82"/>
      <c r="G1221" s="85"/>
      <c r="H1221" s="85"/>
      <c r="I1221" s="86"/>
      <c r="M1221" s="87"/>
      <c r="N1221" s="88"/>
    </row>
    <row r="1222" spans="1:14" ht="18.75" x14ac:dyDescent="0.25">
      <c r="A1222" s="82"/>
      <c r="B1222" s="82"/>
      <c r="C1222" s="83"/>
      <c r="D1222" s="84"/>
      <c r="E1222" s="82"/>
      <c r="G1222" s="85"/>
      <c r="H1222" s="85"/>
      <c r="I1222" s="86"/>
      <c r="M1222" s="87"/>
      <c r="N1222" s="88"/>
    </row>
    <row r="1223" spans="1:14" ht="18.75" x14ac:dyDescent="0.25">
      <c r="A1223" s="82"/>
      <c r="B1223" s="82"/>
      <c r="C1223" s="83"/>
      <c r="D1223" s="84"/>
      <c r="E1223" s="82"/>
      <c r="G1223" s="85"/>
      <c r="H1223" s="85"/>
      <c r="I1223" s="86"/>
      <c r="M1223" s="87"/>
      <c r="N1223" s="88"/>
    </row>
    <row r="1224" spans="1:14" ht="18.75" x14ac:dyDescent="0.25">
      <c r="A1224" s="82"/>
      <c r="B1224" s="82"/>
      <c r="C1224" s="83"/>
      <c r="D1224" s="84"/>
      <c r="E1224" s="82"/>
      <c r="G1224" s="85"/>
      <c r="H1224" s="85"/>
      <c r="I1224" s="86"/>
      <c r="M1224" s="87"/>
      <c r="N1224" s="88"/>
    </row>
    <row r="1225" spans="1:14" ht="18.75" x14ac:dyDescent="0.25">
      <c r="A1225" s="82"/>
      <c r="B1225" s="82"/>
      <c r="C1225" s="83"/>
      <c r="D1225" s="84"/>
      <c r="E1225" s="82"/>
      <c r="G1225" s="85"/>
      <c r="H1225" s="85"/>
      <c r="I1225" s="86"/>
      <c r="M1225" s="87"/>
      <c r="N1225" s="88"/>
    </row>
    <row r="1226" spans="1:14" ht="18.75" x14ac:dyDescent="0.25">
      <c r="A1226" s="82"/>
      <c r="B1226" s="82"/>
      <c r="C1226" s="83"/>
      <c r="D1226" s="84"/>
      <c r="E1226" s="82"/>
      <c r="G1226" s="85"/>
      <c r="H1226" s="85"/>
      <c r="I1226" s="86"/>
      <c r="M1226" s="87"/>
      <c r="N1226" s="88"/>
    </row>
    <row r="1227" spans="1:14" ht="18.75" x14ac:dyDescent="0.25">
      <c r="A1227" s="82"/>
      <c r="B1227" s="82"/>
      <c r="C1227" s="83"/>
      <c r="D1227" s="84"/>
      <c r="E1227" s="82"/>
      <c r="G1227" s="85"/>
      <c r="H1227" s="85"/>
      <c r="I1227" s="86"/>
      <c r="M1227" s="87"/>
      <c r="N1227" s="88"/>
    </row>
    <row r="1228" spans="1:14" ht="18.75" x14ac:dyDescent="0.25">
      <c r="A1228" s="82"/>
      <c r="B1228" s="82"/>
      <c r="C1228" s="83"/>
      <c r="D1228" s="84"/>
      <c r="E1228" s="82"/>
      <c r="G1228" s="85"/>
      <c r="H1228" s="85"/>
      <c r="I1228" s="86"/>
      <c r="M1228" s="87"/>
      <c r="N1228" s="88"/>
    </row>
    <row r="1229" spans="1:14" ht="18.75" x14ac:dyDescent="0.25">
      <c r="A1229" s="82"/>
      <c r="B1229" s="82"/>
      <c r="C1229" s="83"/>
      <c r="D1229" s="84"/>
      <c r="E1229" s="82"/>
      <c r="G1229" s="85"/>
      <c r="H1229" s="85"/>
      <c r="I1229" s="86"/>
      <c r="M1229" s="87"/>
      <c r="N1229" s="88"/>
    </row>
    <row r="1230" spans="1:14" ht="18.75" x14ac:dyDescent="0.25">
      <c r="A1230" s="82"/>
      <c r="B1230" s="82"/>
      <c r="C1230" s="83"/>
      <c r="D1230" s="84"/>
      <c r="E1230" s="82"/>
      <c r="G1230" s="85"/>
      <c r="H1230" s="85"/>
      <c r="I1230" s="86"/>
      <c r="M1230" s="87"/>
      <c r="N1230" s="88"/>
    </row>
    <row r="1231" spans="1:14" ht="18.75" x14ac:dyDescent="0.25">
      <c r="A1231" s="82"/>
      <c r="B1231" s="82"/>
      <c r="C1231" s="83"/>
      <c r="D1231" s="84"/>
      <c r="E1231" s="82"/>
      <c r="G1231" s="85"/>
      <c r="H1231" s="85"/>
      <c r="I1231" s="86"/>
      <c r="M1231" s="87"/>
      <c r="N1231" s="88"/>
    </row>
    <row r="1232" spans="1:14" ht="18.75" x14ac:dyDescent="0.25">
      <c r="A1232" s="82"/>
      <c r="B1232" s="82"/>
      <c r="C1232" s="83"/>
      <c r="D1232" s="84"/>
      <c r="E1232" s="82"/>
      <c r="G1232" s="85"/>
      <c r="H1232" s="85"/>
      <c r="I1232" s="86"/>
      <c r="M1232" s="87"/>
      <c r="N1232" s="88"/>
    </row>
    <row r="1233" spans="1:14" ht="18.75" x14ac:dyDescent="0.25">
      <c r="A1233" s="82"/>
      <c r="B1233" s="82"/>
      <c r="C1233" s="83"/>
      <c r="D1233" s="84"/>
      <c r="E1233" s="82"/>
      <c r="G1233" s="85"/>
      <c r="H1233" s="85"/>
      <c r="I1233" s="86"/>
      <c r="M1233" s="87"/>
      <c r="N1233" s="88"/>
    </row>
    <row r="1234" spans="1:14" ht="18.75" x14ac:dyDescent="0.25">
      <c r="A1234" s="82"/>
      <c r="B1234" s="82"/>
      <c r="C1234" s="83"/>
      <c r="D1234" s="84"/>
      <c r="E1234" s="82"/>
      <c r="G1234" s="85"/>
      <c r="H1234" s="85"/>
      <c r="I1234" s="86"/>
      <c r="M1234" s="87"/>
      <c r="N1234" s="88"/>
    </row>
    <row r="1235" spans="1:14" ht="18.75" x14ac:dyDescent="0.25">
      <c r="A1235" s="82"/>
      <c r="B1235" s="82"/>
      <c r="C1235" s="83"/>
      <c r="D1235" s="84"/>
      <c r="E1235" s="82"/>
      <c r="G1235" s="85"/>
      <c r="H1235" s="85"/>
      <c r="I1235" s="86"/>
      <c r="M1235" s="87"/>
      <c r="N1235" s="88"/>
    </row>
    <row r="1236" spans="1:14" ht="18.75" x14ac:dyDescent="0.25">
      <c r="A1236" s="82"/>
      <c r="B1236" s="82"/>
      <c r="C1236" s="83"/>
      <c r="D1236" s="84"/>
      <c r="E1236" s="82"/>
      <c r="G1236" s="85"/>
      <c r="H1236" s="85"/>
      <c r="I1236" s="86"/>
      <c r="M1236" s="87"/>
      <c r="N1236" s="88"/>
    </row>
    <row r="1237" spans="1:14" ht="18.75" x14ac:dyDescent="0.25">
      <c r="A1237" s="82"/>
      <c r="B1237" s="82"/>
      <c r="C1237" s="83"/>
      <c r="D1237" s="84"/>
      <c r="E1237" s="82"/>
      <c r="G1237" s="85"/>
      <c r="H1237" s="85"/>
      <c r="I1237" s="86"/>
      <c r="M1237" s="87"/>
      <c r="N1237" s="88"/>
    </row>
    <row r="1238" spans="1:14" ht="18.75" x14ac:dyDescent="0.25">
      <c r="A1238" s="82"/>
      <c r="B1238" s="82"/>
      <c r="C1238" s="83"/>
      <c r="D1238" s="84"/>
      <c r="E1238" s="82"/>
      <c r="G1238" s="85"/>
      <c r="H1238" s="85"/>
      <c r="I1238" s="86"/>
      <c r="M1238" s="87"/>
      <c r="N1238" s="88"/>
    </row>
    <row r="1239" spans="1:14" ht="18.75" x14ac:dyDescent="0.25">
      <c r="A1239" s="82"/>
      <c r="B1239" s="82"/>
      <c r="C1239" s="83"/>
      <c r="D1239" s="84"/>
      <c r="E1239" s="82"/>
      <c r="G1239" s="85"/>
      <c r="H1239" s="85"/>
      <c r="I1239" s="86"/>
      <c r="M1239" s="87"/>
      <c r="N1239" s="88"/>
    </row>
    <row r="1240" spans="1:14" ht="18.75" x14ac:dyDescent="0.25">
      <c r="A1240" s="82"/>
      <c r="B1240" s="82"/>
      <c r="C1240" s="83"/>
      <c r="D1240" s="84"/>
      <c r="E1240" s="82"/>
      <c r="G1240" s="85"/>
      <c r="H1240" s="85"/>
      <c r="I1240" s="86"/>
      <c r="M1240" s="87"/>
      <c r="N1240" s="88"/>
    </row>
    <row r="1241" spans="1:14" ht="18.75" x14ac:dyDescent="0.25">
      <c r="A1241" s="82"/>
      <c r="B1241" s="82"/>
      <c r="C1241" s="83"/>
      <c r="D1241" s="84"/>
      <c r="E1241" s="82"/>
      <c r="G1241" s="85"/>
      <c r="H1241" s="85"/>
      <c r="I1241" s="86"/>
      <c r="M1241" s="87"/>
      <c r="N1241" s="88"/>
    </row>
    <row r="1242" spans="1:14" ht="18.75" x14ac:dyDescent="0.25">
      <c r="A1242" s="82"/>
      <c r="B1242" s="82"/>
      <c r="C1242" s="83"/>
      <c r="D1242" s="84"/>
      <c r="E1242" s="82"/>
      <c r="G1242" s="85"/>
      <c r="H1242" s="85"/>
      <c r="I1242" s="86"/>
      <c r="M1242" s="87"/>
      <c r="N1242" s="88"/>
    </row>
    <row r="1243" spans="1:14" ht="18.75" x14ac:dyDescent="0.25">
      <c r="A1243" s="82"/>
      <c r="B1243" s="82"/>
      <c r="C1243" s="83"/>
      <c r="D1243" s="84"/>
      <c r="E1243" s="82"/>
      <c r="G1243" s="85"/>
      <c r="H1243" s="85"/>
      <c r="I1243" s="86"/>
      <c r="M1243" s="87"/>
      <c r="N1243" s="88"/>
    </row>
    <row r="1244" spans="1:14" ht="18.75" x14ac:dyDescent="0.25">
      <c r="A1244" s="82"/>
      <c r="B1244" s="82"/>
      <c r="C1244" s="83"/>
      <c r="D1244" s="84"/>
      <c r="E1244" s="82"/>
      <c r="G1244" s="85"/>
      <c r="H1244" s="85"/>
      <c r="I1244" s="86"/>
      <c r="M1244" s="87"/>
      <c r="N1244" s="88"/>
    </row>
    <row r="1245" spans="1:14" ht="18.75" x14ac:dyDescent="0.25">
      <c r="A1245" s="82"/>
      <c r="B1245" s="82"/>
      <c r="C1245" s="83"/>
      <c r="D1245" s="84"/>
      <c r="E1245" s="82"/>
      <c r="G1245" s="85"/>
      <c r="H1245" s="85"/>
      <c r="I1245" s="86"/>
      <c r="M1245" s="87"/>
      <c r="N1245" s="88"/>
    </row>
    <row r="1246" spans="1:14" ht="18.75" x14ac:dyDescent="0.25">
      <c r="A1246" s="82"/>
      <c r="B1246" s="82"/>
      <c r="C1246" s="83"/>
      <c r="D1246" s="84"/>
      <c r="E1246" s="82"/>
      <c r="G1246" s="85"/>
      <c r="H1246" s="85"/>
      <c r="I1246" s="86"/>
      <c r="M1246" s="87"/>
      <c r="N1246" s="88"/>
    </row>
    <row r="1247" spans="1:14" ht="18.75" x14ac:dyDescent="0.25">
      <c r="A1247" s="82"/>
      <c r="B1247" s="82"/>
      <c r="C1247" s="83"/>
      <c r="D1247" s="84"/>
      <c r="E1247" s="82"/>
      <c r="G1247" s="85"/>
      <c r="H1247" s="85"/>
      <c r="I1247" s="86"/>
      <c r="M1247" s="87"/>
      <c r="N1247" s="88"/>
    </row>
    <row r="1248" spans="1:14" ht="18.75" x14ac:dyDescent="0.25">
      <c r="A1248" s="82"/>
      <c r="B1248" s="82"/>
      <c r="C1248" s="83"/>
      <c r="D1248" s="84"/>
      <c r="E1248" s="82"/>
      <c r="G1248" s="85"/>
      <c r="H1248" s="85"/>
      <c r="I1248" s="86"/>
      <c r="M1248" s="87"/>
      <c r="N1248" s="88"/>
    </row>
    <row r="1249" spans="1:14" ht="18.75" x14ac:dyDescent="0.25">
      <c r="A1249" s="82"/>
      <c r="B1249" s="82"/>
      <c r="C1249" s="83"/>
      <c r="D1249" s="84"/>
      <c r="E1249" s="82"/>
      <c r="G1249" s="85"/>
      <c r="H1249" s="85"/>
      <c r="I1249" s="86"/>
      <c r="M1249" s="87"/>
      <c r="N1249" s="88"/>
    </row>
    <row r="1250" spans="1:14" ht="18.75" x14ac:dyDescent="0.25">
      <c r="A1250" s="82"/>
      <c r="B1250" s="82"/>
      <c r="C1250" s="83"/>
      <c r="D1250" s="84"/>
      <c r="E1250" s="82"/>
      <c r="G1250" s="85"/>
      <c r="H1250" s="85"/>
      <c r="I1250" s="86"/>
      <c r="M1250" s="87"/>
      <c r="N1250" s="88"/>
    </row>
    <row r="1251" spans="1:14" ht="18.75" x14ac:dyDescent="0.25">
      <c r="A1251" s="82"/>
      <c r="B1251" s="82"/>
      <c r="C1251" s="83"/>
      <c r="D1251" s="84"/>
      <c r="E1251" s="82"/>
      <c r="G1251" s="85"/>
      <c r="H1251" s="85"/>
      <c r="I1251" s="86"/>
      <c r="M1251" s="87"/>
      <c r="N1251" s="88"/>
    </row>
    <row r="1252" spans="1:14" ht="18.75" x14ac:dyDescent="0.25">
      <c r="A1252" s="82"/>
      <c r="B1252" s="82"/>
      <c r="C1252" s="83"/>
      <c r="D1252" s="84"/>
      <c r="E1252" s="82"/>
      <c r="G1252" s="85"/>
      <c r="H1252" s="85"/>
      <c r="I1252" s="86"/>
      <c r="M1252" s="87"/>
      <c r="N1252" s="88"/>
    </row>
    <row r="1253" spans="1:14" ht="18.75" x14ac:dyDescent="0.25">
      <c r="A1253" s="82"/>
      <c r="B1253" s="82"/>
      <c r="C1253" s="83"/>
      <c r="D1253" s="84"/>
      <c r="E1253" s="82"/>
      <c r="G1253" s="85"/>
      <c r="H1253" s="85"/>
      <c r="I1253" s="86"/>
      <c r="M1253" s="87"/>
      <c r="N1253" s="88"/>
    </row>
    <row r="1254" spans="1:14" ht="18.75" x14ac:dyDescent="0.25">
      <c r="A1254" s="82"/>
      <c r="B1254" s="82"/>
      <c r="C1254" s="83"/>
      <c r="D1254" s="84"/>
      <c r="E1254" s="82"/>
      <c r="G1254" s="85"/>
      <c r="H1254" s="85"/>
      <c r="I1254" s="86"/>
      <c r="M1254" s="87"/>
      <c r="N1254" s="88"/>
    </row>
    <row r="1255" spans="1:14" ht="18.75" x14ac:dyDescent="0.25">
      <c r="A1255" s="82"/>
      <c r="B1255" s="82"/>
      <c r="C1255" s="83"/>
      <c r="D1255" s="84"/>
      <c r="E1255" s="82"/>
      <c r="G1255" s="85"/>
      <c r="H1255" s="85"/>
      <c r="I1255" s="86"/>
      <c r="M1255" s="87"/>
      <c r="N1255" s="88"/>
    </row>
    <row r="1256" spans="1:14" ht="18.75" x14ac:dyDescent="0.25">
      <c r="A1256" s="82"/>
      <c r="B1256" s="82"/>
      <c r="C1256" s="83"/>
      <c r="D1256" s="84"/>
      <c r="E1256" s="82"/>
      <c r="G1256" s="85"/>
      <c r="H1256" s="85"/>
      <c r="I1256" s="86"/>
      <c r="M1256" s="87"/>
      <c r="N1256" s="88"/>
    </row>
    <row r="1257" spans="1:14" ht="18.75" x14ac:dyDescent="0.25">
      <c r="A1257" s="82"/>
      <c r="B1257" s="82"/>
      <c r="C1257" s="83"/>
      <c r="D1257" s="84"/>
      <c r="E1257" s="82"/>
      <c r="G1257" s="85"/>
      <c r="H1257" s="85"/>
      <c r="I1257" s="86"/>
      <c r="M1257" s="87"/>
      <c r="N1257" s="88"/>
    </row>
    <row r="1258" spans="1:14" ht="18.75" x14ac:dyDescent="0.25">
      <c r="A1258" s="82"/>
      <c r="B1258" s="82"/>
      <c r="C1258" s="83"/>
      <c r="D1258" s="84"/>
      <c r="E1258" s="82"/>
      <c r="G1258" s="85"/>
      <c r="H1258" s="85"/>
      <c r="I1258" s="86"/>
      <c r="M1258" s="87"/>
      <c r="N1258" s="88"/>
    </row>
    <row r="1259" spans="1:14" ht="18.75" x14ac:dyDescent="0.25">
      <c r="A1259" s="82"/>
      <c r="B1259" s="82"/>
      <c r="C1259" s="83"/>
      <c r="D1259" s="84"/>
      <c r="E1259" s="82"/>
      <c r="G1259" s="85"/>
      <c r="H1259" s="85"/>
      <c r="I1259" s="86"/>
      <c r="M1259" s="87"/>
      <c r="N1259" s="88"/>
    </row>
    <row r="1260" spans="1:14" ht="18.75" x14ac:dyDescent="0.25">
      <c r="A1260" s="82"/>
      <c r="B1260" s="82"/>
      <c r="C1260" s="83"/>
      <c r="D1260" s="84"/>
      <c r="E1260" s="82"/>
      <c r="G1260" s="85"/>
      <c r="H1260" s="85"/>
      <c r="I1260" s="86"/>
      <c r="M1260" s="87"/>
      <c r="N1260" s="88"/>
    </row>
    <row r="1261" spans="1:14" ht="18.75" x14ac:dyDescent="0.25">
      <c r="A1261" s="82"/>
      <c r="B1261" s="82"/>
      <c r="C1261" s="83"/>
      <c r="D1261" s="84"/>
      <c r="E1261" s="82"/>
      <c r="G1261" s="85"/>
      <c r="H1261" s="85"/>
      <c r="I1261" s="86"/>
      <c r="M1261" s="87"/>
      <c r="N1261" s="88"/>
    </row>
    <row r="1262" spans="1:14" ht="18.75" x14ac:dyDescent="0.25">
      <c r="A1262" s="82"/>
      <c r="B1262" s="82"/>
      <c r="C1262" s="83"/>
      <c r="D1262" s="84"/>
      <c r="E1262" s="82"/>
      <c r="G1262" s="85"/>
      <c r="H1262" s="85"/>
      <c r="I1262" s="86"/>
      <c r="M1262" s="87"/>
      <c r="N1262" s="88"/>
    </row>
    <row r="1263" spans="1:14" ht="18.75" x14ac:dyDescent="0.25">
      <c r="A1263" s="82"/>
      <c r="B1263" s="82"/>
      <c r="C1263" s="83"/>
      <c r="D1263" s="84"/>
      <c r="E1263" s="82"/>
      <c r="G1263" s="85"/>
      <c r="H1263" s="85"/>
      <c r="I1263" s="86"/>
      <c r="M1263" s="87"/>
      <c r="N1263" s="88"/>
    </row>
    <row r="1264" spans="1:14" ht="18.75" x14ac:dyDescent="0.25">
      <c r="A1264" s="82"/>
      <c r="B1264" s="82"/>
      <c r="C1264" s="83"/>
      <c r="D1264" s="84"/>
      <c r="E1264" s="82"/>
      <c r="G1264" s="85"/>
      <c r="H1264" s="85"/>
      <c r="I1264" s="86"/>
      <c r="M1264" s="87"/>
      <c r="N1264" s="88"/>
    </row>
    <row r="1265" spans="1:14" ht="18.75" x14ac:dyDescent="0.25">
      <c r="A1265" s="82"/>
      <c r="B1265" s="82"/>
      <c r="C1265" s="83"/>
      <c r="D1265" s="84"/>
      <c r="E1265" s="82"/>
      <c r="G1265" s="85"/>
      <c r="H1265" s="85"/>
      <c r="I1265" s="86"/>
      <c r="M1265" s="87"/>
      <c r="N1265" s="88"/>
    </row>
    <row r="1266" spans="1:14" ht="18.75" x14ac:dyDescent="0.25">
      <c r="A1266" s="82"/>
      <c r="B1266" s="82"/>
      <c r="C1266" s="83"/>
      <c r="D1266" s="84"/>
      <c r="E1266" s="82"/>
      <c r="G1266" s="85"/>
      <c r="H1266" s="85"/>
      <c r="I1266" s="86"/>
      <c r="M1266" s="87"/>
      <c r="N1266" s="88"/>
    </row>
    <row r="1267" spans="1:14" ht="18.75" x14ac:dyDescent="0.25">
      <c r="A1267" s="82"/>
      <c r="B1267" s="82"/>
      <c r="C1267" s="83"/>
      <c r="D1267" s="84"/>
      <c r="E1267" s="82"/>
      <c r="G1267" s="85"/>
      <c r="H1267" s="85"/>
      <c r="I1267" s="86"/>
      <c r="M1267" s="87"/>
      <c r="N1267" s="88"/>
    </row>
    <row r="1268" spans="1:14" ht="18.75" x14ac:dyDescent="0.25">
      <c r="A1268" s="82"/>
      <c r="B1268" s="82"/>
      <c r="C1268" s="83"/>
      <c r="D1268" s="84"/>
      <c r="E1268" s="82"/>
      <c r="G1268" s="85"/>
      <c r="H1268" s="85"/>
      <c r="I1268" s="86"/>
      <c r="M1268" s="87"/>
      <c r="N1268" s="88"/>
    </row>
    <row r="1269" spans="1:14" ht="18.75" x14ac:dyDescent="0.25">
      <c r="A1269" s="82"/>
      <c r="B1269" s="82"/>
      <c r="C1269" s="83"/>
      <c r="D1269" s="84"/>
      <c r="E1269" s="82"/>
      <c r="G1269" s="85"/>
      <c r="H1269" s="85"/>
      <c r="I1269" s="86"/>
      <c r="M1269" s="87"/>
      <c r="N1269" s="88"/>
    </row>
    <row r="1270" spans="1:14" ht="18.75" x14ac:dyDescent="0.25">
      <c r="A1270" s="82"/>
      <c r="B1270" s="82"/>
      <c r="C1270" s="83"/>
      <c r="D1270" s="84"/>
      <c r="E1270" s="82"/>
      <c r="G1270" s="85"/>
      <c r="H1270" s="85"/>
      <c r="I1270" s="86"/>
      <c r="M1270" s="87"/>
      <c r="N1270" s="88"/>
    </row>
    <row r="1271" spans="1:14" ht="18.75" x14ac:dyDescent="0.25">
      <c r="A1271" s="82"/>
      <c r="B1271" s="82"/>
      <c r="C1271" s="83"/>
      <c r="D1271" s="84"/>
      <c r="E1271" s="82"/>
      <c r="G1271" s="85"/>
      <c r="H1271" s="85"/>
      <c r="I1271" s="86"/>
      <c r="M1271" s="87"/>
      <c r="N1271" s="88"/>
    </row>
    <row r="1272" spans="1:14" ht="18.75" x14ac:dyDescent="0.25">
      <c r="A1272" s="82"/>
      <c r="B1272" s="82"/>
      <c r="C1272" s="83"/>
      <c r="D1272" s="84"/>
      <c r="E1272" s="82"/>
      <c r="G1272" s="85"/>
      <c r="H1272" s="85"/>
      <c r="I1272" s="86"/>
      <c r="M1272" s="87"/>
      <c r="N1272" s="88"/>
    </row>
    <row r="1273" spans="1:14" ht="18.75" x14ac:dyDescent="0.25">
      <c r="A1273" s="82"/>
      <c r="B1273" s="82"/>
      <c r="C1273" s="83"/>
      <c r="D1273" s="84"/>
      <c r="E1273" s="82"/>
      <c r="G1273" s="85"/>
      <c r="H1273" s="85"/>
      <c r="I1273" s="86"/>
      <c r="M1273" s="87"/>
      <c r="N1273" s="88"/>
    </row>
    <row r="1274" spans="1:14" ht="18.75" x14ac:dyDescent="0.25">
      <c r="A1274" s="82"/>
      <c r="B1274" s="82"/>
      <c r="C1274" s="83"/>
      <c r="D1274" s="84"/>
      <c r="E1274" s="82"/>
      <c r="G1274" s="85"/>
      <c r="H1274" s="85"/>
      <c r="I1274" s="86"/>
      <c r="M1274" s="87"/>
      <c r="N1274" s="88"/>
    </row>
    <row r="1275" spans="1:14" ht="18.75" x14ac:dyDescent="0.25">
      <c r="A1275" s="82"/>
      <c r="B1275" s="82"/>
      <c r="C1275" s="83"/>
      <c r="D1275" s="84"/>
      <c r="E1275" s="82"/>
      <c r="G1275" s="85"/>
      <c r="H1275" s="85"/>
      <c r="I1275" s="86"/>
      <c r="M1275" s="87"/>
      <c r="N1275" s="88"/>
    </row>
    <row r="1276" spans="1:14" ht="18.75" x14ac:dyDescent="0.25">
      <c r="A1276" s="82"/>
      <c r="B1276" s="82"/>
      <c r="C1276" s="83"/>
      <c r="D1276" s="84"/>
      <c r="E1276" s="82"/>
      <c r="G1276" s="85"/>
      <c r="H1276" s="85"/>
      <c r="I1276" s="86"/>
      <c r="M1276" s="87"/>
      <c r="N1276" s="88"/>
    </row>
    <row r="1277" spans="1:14" ht="18.75" x14ac:dyDescent="0.25">
      <c r="A1277" s="82"/>
      <c r="B1277" s="82"/>
      <c r="C1277" s="83"/>
      <c r="D1277" s="84"/>
      <c r="E1277" s="82"/>
      <c r="G1277" s="85"/>
      <c r="H1277" s="85"/>
      <c r="I1277" s="86"/>
      <c r="M1277" s="87"/>
      <c r="N1277" s="88"/>
    </row>
    <row r="1278" spans="1:14" ht="18.75" x14ac:dyDescent="0.25">
      <c r="A1278" s="82"/>
      <c r="B1278" s="82"/>
      <c r="C1278" s="83"/>
      <c r="D1278" s="84"/>
      <c r="E1278" s="82"/>
      <c r="G1278" s="85"/>
      <c r="H1278" s="85"/>
      <c r="I1278" s="86"/>
      <c r="M1278" s="87"/>
      <c r="N1278" s="88"/>
    </row>
    <row r="1279" spans="1:14" ht="18.75" x14ac:dyDescent="0.25">
      <c r="A1279" s="82"/>
      <c r="B1279" s="82"/>
      <c r="C1279" s="83"/>
      <c r="D1279" s="84"/>
      <c r="E1279" s="82"/>
      <c r="G1279" s="85"/>
      <c r="H1279" s="85"/>
      <c r="I1279" s="86"/>
      <c r="M1279" s="87"/>
      <c r="N1279" s="88"/>
    </row>
    <row r="1280" spans="1:14" ht="18.75" x14ac:dyDescent="0.25">
      <c r="A1280" s="82"/>
      <c r="B1280" s="82"/>
      <c r="C1280" s="83"/>
      <c r="D1280" s="84"/>
      <c r="E1280" s="82"/>
      <c r="G1280" s="85"/>
      <c r="H1280" s="85"/>
      <c r="I1280" s="86"/>
      <c r="M1280" s="87"/>
      <c r="N1280" s="88"/>
    </row>
    <row r="1281" spans="1:14" ht="18.75" x14ac:dyDescent="0.25">
      <c r="A1281" s="82"/>
      <c r="B1281" s="82"/>
      <c r="C1281" s="83"/>
      <c r="D1281" s="84"/>
      <c r="E1281" s="82"/>
      <c r="G1281" s="85"/>
      <c r="H1281" s="85"/>
      <c r="I1281" s="86"/>
      <c r="M1281" s="87"/>
      <c r="N1281" s="88"/>
    </row>
    <row r="1282" spans="1:14" ht="18.75" x14ac:dyDescent="0.25">
      <c r="A1282" s="82"/>
      <c r="B1282" s="82"/>
      <c r="C1282" s="83"/>
      <c r="D1282" s="84"/>
      <c r="E1282" s="82"/>
      <c r="G1282" s="85"/>
      <c r="H1282" s="85"/>
      <c r="I1282" s="86"/>
      <c r="M1282" s="87"/>
      <c r="N1282" s="88"/>
    </row>
    <row r="1283" spans="1:14" ht="18.75" x14ac:dyDescent="0.25">
      <c r="A1283" s="82"/>
      <c r="B1283" s="82"/>
      <c r="C1283" s="83"/>
      <c r="D1283" s="84"/>
      <c r="E1283" s="82"/>
      <c r="G1283" s="85"/>
      <c r="H1283" s="85"/>
      <c r="I1283" s="86"/>
      <c r="M1283" s="87"/>
      <c r="N1283" s="88"/>
    </row>
    <row r="1284" spans="1:14" ht="18.75" x14ac:dyDescent="0.25">
      <c r="A1284" s="82"/>
      <c r="B1284" s="82"/>
      <c r="C1284" s="83"/>
      <c r="D1284" s="84"/>
      <c r="E1284" s="82"/>
      <c r="G1284" s="85"/>
      <c r="H1284" s="85"/>
      <c r="I1284" s="86"/>
      <c r="M1284" s="87"/>
      <c r="N1284" s="88"/>
    </row>
    <row r="1285" spans="1:14" ht="18.75" x14ac:dyDescent="0.25">
      <c r="A1285" s="82"/>
      <c r="B1285" s="82"/>
      <c r="C1285" s="83"/>
      <c r="D1285" s="84"/>
      <c r="E1285" s="82"/>
      <c r="G1285" s="85"/>
      <c r="H1285" s="85"/>
      <c r="I1285" s="86"/>
      <c r="M1285" s="87"/>
      <c r="N1285" s="88"/>
    </row>
    <row r="1286" spans="1:14" ht="18.75" x14ac:dyDescent="0.25">
      <c r="A1286" s="82"/>
      <c r="B1286" s="82"/>
      <c r="C1286" s="83"/>
      <c r="D1286" s="84"/>
      <c r="E1286" s="82"/>
      <c r="G1286" s="85"/>
      <c r="H1286" s="85"/>
      <c r="I1286" s="86"/>
      <c r="M1286" s="87"/>
      <c r="N1286" s="88"/>
    </row>
    <row r="1287" spans="1:14" ht="18.75" x14ac:dyDescent="0.25">
      <c r="A1287" s="82"/>
      <c r="B1287" s="82"/>
      <c r="C1287" s="83"/>
      <c r="D1287" s="84"/>
      <c r="E1287" s="82"/>
      <c r="G1287" s="85"/>
      <c r="H1287" s="85"/>
      <c r="I1287" s="86"/>
      <c r="M1287" s="87"/>
      <c r="N1287" s="88"/>
    </row>
    <row r="1288" spans="1:14" ht="18.75" x14ac:dyDescent="0.25">
      <c r="A1288" s="82"/>
      <c r="B1288" s="82"/>
      <c r="C1288" s="83"/>
      <c r="D1288" s="84"/>
      <c r="E1288" s="82"/>
      <c r="G1288" s="85"/>
      <c r="H1288" s="85"/>
      <c r="I1288" s="86"/>
      <c r="M1288" s="87"/>
      <c r="N1288" s="88"/>
    </row>
    <row r="1289" spans="1:14" ht="18.75" x14ac:dyDescent="0.25">
      <c r="A1289" s="82"/>
      <c r="B1289" s="82"/>
      <c r="C1289" s="83"/>
      <c r="D1289" s="84"/>
      <c r="E1289" s="82"/>
      <c r="G1289" s="85"/>
      <c r="H1289" s="85"/>
      <c r="I1289" s="86"/>
      <c r="M1289" s="87"/>
      <c r="N1289" s="88"/>
    </row>
    <row r="1290" spans="1:14" ht="18.75" x14ac:dyDescent="0.25">
      <c r="A1290" s="82"/>
      <c r="B1290" s="82"/>
      <c r="C1290" s="83"/>
      <c r="D1290" s="84"/>
      <c r="E1290" s="82"/>
      <c r="G1290" s="85"/>
      <c r="H1290" s="85"/>
      <c r="I1290" s="86"/>
      <c r="M1290" s="87"/>
      <c r="N1290" s="88"/>
    </row>
    <row r="1291" spans="1:14" ht="18.75" x14ac:dyDescent="0.25">
      <c r="A1291" s="82"/>
      <c r="B1291" s="82"/>
      <c r="C1291" s="83"/>
      <c r="D1291" s="84"/>
      <c r="E1291" s="82"/>
      <c r="G1291" s="85"/>
      <c r="H1291" s="85"/>
      <c r="I1291" s="86"/>
      <c r="M1291" s="87"/>
      <c r="N1291" s="88"/>
    </row>
    <row r="1292" spans="1:14" ht="18.75" x14ac:dyDescent="0.25">
      <c r="A1292" s="82"/>
      <c r="B1292" s="82"/>
      <c r="C1292" s="83"/>
      <c r="D1292" s="84"/>
      <c r="E1292" s="82"/>
      <c r="G1292" s="85"/>
      <c r="H1292" s="85"/>
      <c r="I1292" s="86"/>
      <c r="M1292" s="87"/>
      <c r="N1292" s="88"/>
    </row>
    <row r="1293" spans="1:14" ht="18.75" x14ac:dyDescent="0.25">
      <c r="A1293" s="82"/>
      <c r="B1293" s="82"/>
      <c r="C1293" s="83"/>
      <c r="D1293" s="84"/>
      <c r="E1293" s="82"/>
      <c r="G1293" s="85"/>
      <c r="H1293" s="85"/>
      <c r="I1293" s="86"/>
      <c r="M1293" s="87"/>
      <c r="N1293" s="88"/>
    </row>
    <row r="1294" spans="1:14" ht="18.75" x14ac:dyDescent="0.25">
      <c r="A1294" s="82"/>
      <c r="B1294" s="82"/>
      <c r="C1294" s="83"/>
      <c r="D1294" s="84"/>
      <c r="E1294" s="82"/>
      <c r="G1294" s="85"/>
      <c r="H1294" s="85"/>
      <c r="I1294" s="86"/>
      <c r="M1294" s="87"/>
      <c r="N1294" s="88"/>
    </row>
    <row r="1295" spans="1:14" ht="18.75" x14ac:dyDescent="0.25">
      <c r="A1295" s="82"/>
      <c r="B1295" s="82"/>
      <c r="C1295" s="83"/>
      <c r="D1295" s="84"/>
      <c r="E1295" s="82"/>
      <c r="G1295" s="85"/>
      <c r="H1295" s="85"/>
      <c r="I1295" s="86"/>
      <c r="M1295" s="87"/>
      <c r="N1295" s="88"/>
    </row>
    <row r="1296" spans="1:14" ht="18.75" x14ac:dyDescent="0.25">
      <c r="A1296" s="82"/>
      <c r="B1296" s="82"/>
      <c r="C1296" s="83"/>
      <c r="D1296" s="84"/>
      <c r="E1296" s="82"/>
      <c r="G1296" s="85"/>
      <c r="H1296" s="85"/>
      <c r="I1296" s="86"/>
      <c r="M1296" s="87"/>
      <c r="N1296" s="88"/>
    </row>
    <row r="1297" spans="1:14" ht="18.75" x14ac:dyDescent="0.25">
      <c r="A1297" s="82"/>
      <c r="B1297" s="82"/>
      <c r="C1297" s="83"/>
      <c r="D1297" s="84"/>
      <c r="E1297" s="82"/>
      <c r="G1297" s="85"/>
      <c r="H1297" s="85"/>
      <c r="I1297" s="86"/>
      <c r="M1297" s="87"/>
      <c r="N1297" s="88"/>
    </row>
    <row r="1298" spans="1:14" ht="18.75" x14ac:dyDescent="0.25">
      <c r="A1298" s="82"/>
      <c r="B1298" s="82"/>
      <c r="C1298" s="83"/>
      <c r="D1298" s="84"/>
      <c r="E1298" s="82"/>
      <c r="G1298" s="85"/>
      <c r="H1298" s="85"/>
      <c r="I1298" s="86"/>
      <c r="M1298" s="87"/>
      <c r="N1298" s="88"/>
    </row>
    <row r="1299" spans="1:14" ht="18.75" x14ac:dyDescent="0.25">
      <c r="A1299" s="82"/>
      <c r="B1299" s="82"/>
      <c r="C1299" s="83"/>
      <c r="D1299" s="84"/>
      <c r="E1299" s="82"/>
      <c r="G1299" s="85"/>
      <c r="H1299" s="85"/>
      <c r="I1299" s="86"/>
      <c r="M1299" s="87"/>
      <c r="N1299" s="88"/>
    </row>
    <row r="1300" spans="1:14" ht="18.75" x14ac:dyDescent="0.25">
      <c r="A1300" s="82"/>
      <c r="B1300" s="82"/>
      <c r="C1300" s="83"/>
      <c r="D1300" s="84"/>
      <c r="E1300" s="82"/>
      <c r="G1300" s="85"/>
      <c r="H1300" s="85"/>
      <c r="I1300" s="86"/>
      <c r="M1300" s="87"/>
      <c r="N1300" s="88"/>
    </row>
    <row r="1301" spans="1:14" ht="18.75" x14ac:dyDescent="0.25">
      <c r="A1301" s="82"/>
      <c r="B1301" s="82"/>
      <c r="C1301" s="83"/>
      <c r="D1301" s="84"/>
      <c r="E1301" s="82"/>
      <c r="G1301" s="85"/>
      <c r="H1301" s="85"/>
      <c r="I1301" s="86"/>
      <c r="M1301" s="87"/>
      <c r="N1301" s="88"/>
    </row>
    <row r="1302" spans="1:14" ht="18.75" x14ac:dyDescent="0.25">
      <c r="A1302" s="82"/>
      <c r="B1302" s="82"/>
      <c r="C1302" s="83"/>
      <c r="D1302" s="84"/>
      <c r="E1302" s="82"/>
      <c r="G1302" s="85"/>
      <c r="H1302" s="85"/>
      <c r="I1302" s="86"/>
      <c r="M1302" s="87"/>
      <c r="N1302" s="88"/>
    </row>
    <row r="1303" spans="1:14" ht="18.75" x14ac:dyDescent="0.25">
      <c r="A1303" s="82"/>
      <c r="B1303" s="82"/>
      <c r="C1303" s="83"/>
      <c r="D1303" s="84"/>
      <c r="E1303" s="82"/>
      <c r="G1303" s="85"/>
      <c r="H1303" s="85"/>
      <c r="I1303" s="86"/>
      <c r="M1303" s="87"/>
      <c r="N1303" s="88"/>
    </row>
    <row r="1304" spans="1:14" ht="18.75" x14ac:dyDescent="0.25">
      <c r="A1304" s="82"/>
      <c r="B1304" s="82"/>
      <c r="C1304" s="83"/>
      <c r="D1304" s="84"/>
      <c r="E1304" s="82"/>
      <c r="G1304" s="85"/>
      <c r="H1304" s="85"/>
      <c r="I1304" s="86"/>
      <c r="M1304" s="87"/>
      <c r="N1304" s="88"/>
    </row>
    <row r="1305" spans="1:14" ht="18.75" x14ac:dyDescent="0.25">
      <c r="A1305" s="82"/>
      <c r="B1305" s="82"/>
      <c r="C1305" s="83"/>
      <c r="D1305" s="84"/>
      <c r="E1305" s="82"/>
      <c r="G1305" s="85"/>
      <c r="H1305" s="85"/>
      <c r="I1305" s="86"/>
      <c r="M1305" s="87"/>
      <c r="N1305" s="88"/>
    </row>
    <row r="1306" spans="1:14" ht="18.75" x14ac:dyDescent="0.25">
      <c r="A1306" s="82"/>
      <c r="B1306" s="82"/>
      <c r="C1306" s="83"/>
      <c r="D1306" s="84"/>
      <c r="E1306" s="82"/>
      <c r="G1306" s="85"/>
      <c r="H1306" s="85"/>
      <c r="I1306" s="86"/>
      <c r="M1306" s="87"/>
      <c r="N1306" s="88"/>
    </row>
    <row r="1307" spans="1:14" ht="18.75" x14ac:dyDescent="0.25">
      <c r="A1307" s="82"/>
      <c r="B1307" s="82"/>
      <c r="C1307" s="83"/>
      <c r="D1307" s="84"/>
      <c r="E1307" s="82"/>
      <c r="G1307" s="85"/>
      <c r="H1307" s="85"/>
      <c r="I1307" s="86"/>
      <c r="M1307" s="87"/>
      <c r="N1307" s="88"/>
    </row>
    <row r="1308" spans="1:14" ht="18.75" x14ac:dyDescent="0.25">
      <c r="A1308" s="82"/>
      <c r="B1308" s="82"/>
      <c r="C1308" s="83"/>
      <c r="D1308" s="84"/>
      <c r="E1308" s="82"/>
      <c r="G1308" s="85"/>
      <c r="H1308" s="85"/>
      <c r="I1308" s="86"/>
      <c r="M1308" s="87"/>
      <c r="N1308" s="88"/>
    </row>
    <row r="1309" spans="1:14" ht="18.75" x14ac:dyDescent="0.25">
      <c r="A1309" s="82"/>
      <c r="B1309" s="82"/>
      <c r="C1309" s="83"/>
      <c r="D1309" s="84"/>
      <c r="E1309" s="82"/>
      <c r="G1309" s="85"/>
      <c r="H1309" s="85"/>
      <c r="I1309" s="86"/>
      <c r="M1309" s="87"/>
      <c r="N1309" s="88"/>
    </row>
    <row r="1310" spans="1:14" ht="18.75" x14ac:dyDescent="0.25">
      <c r="A1310" s="82"/>
      <c r="B1310" s="82"/>
      <c r="C1310" s="83"/>
      <c r="D1310" s="84"/>
      <c r="E1310" s="82"/>
      <c r="G1310" s="85"/>
      <c r="H1310" s="85"/>
      <c r="I1310" s="86"/>
      <c r="M1310" s="87"/>
      <c r="N1310" s="88"/>
    </row>
    <row r="1311" spans="1:14" ht="18.75" x14ac:dyDescent="0.25">
      <c r="A1311" s="82"/>
      <c r="B1311" s="82"/>
      <c r="C1311" s="83"/>
      <c r="D1311" s="84"/>
      <c r="E1311" s="82"/>
      <c r="G1311" s="85"/>
      <c r="H1311" s="85"/>
      <c r="I1311" s="86"/>
      <c r="M1311" s="87"/>
      <c r="N1311" s="88"/>
    </row>
    <row r="1312" spans="1:14" ht="18.75" x14ac:dyDescent="0.25">
      <c r="A1312" s="82"/>
      <c r="B1312" s="82"/>
      <c r="C1312" s="83"/>
      <c r="D1312" s="84"/>
      <c r="E1312" s="82"/>
      <c r="G1312" s="85"/>
      <c r="H1312" s="85"/>
      <c r="I1312" s="86"/>
      <c r="M1312" s="87"/>
      <c r="N1312" s="88"/>
    </row>
    <row r="1313" spans="1:14" ht="18.75" x14ac:dyDescent="0.25">
      <c r="A1313" s="82"/>
      <c r="B1313" s="82"/>
      <c r="C1313" s="83"/>
      <c r="D1313" s="84"/>
      <c r="E1313" s="82"/>
      <c r="G1313" s="85"/>
      <c r="H1313" s="85"/>
      <c r="I1313" s="86"/>
      <c r="M1313" s="87"/>
      <c r="N1313" s="88"/>
    </row>
    <row r="1314" spans="1:14" ht="18.75" x14ac:dyDescent="0.25">
      <c r="A1314" s="82"/>
      <c r="B1314" s="82"/>
      <c r="C1314" s="83"/>
      <c r="D1314" s="84"/>
      <c r="E1314" s="82"/>
      <c r="G1314" s="85"/>
      <c r="H1314" s="85"/>
      <c r="I1314" s="86"/>
      <c r="M1314" s="87"/>
      <c r="N1314" s="88"/>
    </row>
    <row r="1315" spans="1:14" ht="18.75" x14ac:dyDescent="0.25">
      <c r="A1315" s="82"/>
      <c r="B1315" s="82"/>
      <c r="C1315" s="83"/>
      <c r="D1315" s="84"/>
      <c r="E1315" s="82"/>
      <c r="G1315" s="85"/>
      <c r="H1315" s="85"/>
      <c r="I1315" s="86"/>
      <c r="M1315" s="87"/>
      <c r="N1315" s="88"/>
    </row>
    <row r="1316" spans="1:14" ht="18.75" x14ac:dyDescent="0.25">
      <c r="A1316" s="82"/>
      <c r="B1316" s="82"/>
      <c r="C1316" s="83"/>
      <c r="D1316" s="84"/>
      <c r="E1316" s="82"/>
      <c r="G1316" s="85"/>
      <c r="H1316" s="85"/>
      <c r="I1316" s="86"/>
      <c r="M1316" s="87"/>
      <c r="N1316" s="88"/>
    </row>
    <row r="1317" spans="1:14" ht="18.75" x14ac:dyDescent="0.25">
      <c r="A1317" s="82"/>
      <c r="B1317" s="82"/>
      <c r="C1317" s="83"/>
      <c r="D1317" s="84"/>
      <c r="E1317" s="82"/>
      <c r="G1317" s="85"/>
      <c r="H1317" s="85"/>
      <c r="I1317" s="86"/>
      <c r="M1317" s="87"/>
      <c r="N1317" s="88"/>
    </row>
    <row r="1318" spans="1:14" ht="18.75" x14ac:dyDescent="0.25">
      <c r="A1318" s="82"/>
      <c r="B1318" s="82"/>
      <c r="C1318" s="83"/>
      <c r="D1318" s="84"/>
      <c r="E1318" s="82"/>
      <c r="G1318" s="85"/>
      <c r="H1318" s="85"/>
      <c r="I1318" s="86"/>
      <c r="M1318" s="87"/>
      <c r="N1318" s="88"/>
    </row>
    <row r="1319" spans="1:14" ht="18.75" x14ac:dyDescent="0.25">
      <c r="A1319" s="82"/>
      <c r="B1319" s="82"/>
      <c r="C1319" s="83"/>
      <c r="D1319" s="84"/>
      <c r="E1319" s="82"/>
      <c r="G1319" s="85"/>
      <c r="H1319" s="85"/>
      <c r="I1319" s="86"/>
      <c r="M1319" s="87"/>
      <c r="N1319" s="88"/>
    </row>
    <row r="1320" spans="1:14" ht="18.75" x14ac:dyDescent="0.25">
      <c r="A1320" s="82"/>
      <c r="B1320" s="82"/>
      <c r="C1320" s="83"/>
      <c r="D1320" s="84"/>
      <c r="E1320" s="82"/>
      <c r="G1320" s="85"/>
      <c r="H1320" s="85"/>
      <c r="I1320" s="86"/>
      <c r="M1320" s="87"/>
      <c r="N1320" s="88"/>
    </row>
    <row r="1321" spans="1:14" ht="18.75" x14ac:dyDescent="0.25">
      <c r="A1321" s="82"/>
      <c r="B1321" s="82"/>
      <c r="C1321" s="83"/>
      <c r="D1321" s="84"/>
      <c r="E1321" s="82"/>
      <c r="G1321" s="85"/>
      <c r="H1321" s="85"/>
      <c r="I1321" s="86"/>
      <c r="M1321" s="87"/>
      <c r="N1321" s="88"/>
    </row>
    <row r="1322" spans="1:14" ht="18.75" x14ac:dyDescent="0.25">
      <c r="A1322" s="82"/>
      <c r="B1322" s="82"/>
      <c r="C1322" s="83"/>
      <c r="D1322" s="84"/>
      <c r="E1322" s="82"/>
      <c r="G1322" s="85"/>
      <c r="H1322" s="85"/>
      <c r="I1322" s="86"/>
      <c r="M1322" s="87"/>
      <c r="N1322" s="88"/>
    </row>
    <row r="1323" spans="1:14" ht="18.75" x14ac:dyDescent="0.25">
      <c r="A1323" s="82"/>
      <c r="B1323" s="82"/>
      <c r="C1323" s="83"/>
      <c r="D1323" s="84"/>
      <c r="E1323" s="82"/>
      <c r="G1323" s="85"/>
      <c r="H1323" s="85"/>
      <c r="I1323" s="86"/>
      <c r="M1323" s="87"/>
      <c r="N1323" s="88"/>
    </row>
    <row r="1324" spans="1:14" ht="18.75" x14ac:dyDescent="0.25">
      <c r="A1324" s="82"/>
      <c r="B1324" s="82"/>
      <c r="C1324" s="83"/>
      <c r="D1324" s="84"/>
      <c r="E1324" s="82"/>
      <c r="G1324" s="85"/>
      <c r="H1324" s="85"/>
      <c r="I1324" s="86"/>
      <c r="M1324" s="87"/>
      <c r="N1324" s="88"/>
    </row>
    <row r="1325" spans="1:14" ht="18.75" x14ac:dyDescent="0.25">
      <c r="A1325" s="82"/>
      <c r="B1325" s="82"/>
      <c r="C1325" s="83"/>
      <c r="D1325" s="84"/>
      <c r="E1325" s="82"/>
      <c r="G1325" s="85"/>
      <c r="H1325" s="85"/>
      <c r="I1325" s="86"/>
      <c r="M1325" s="87"/>
      <c r="N1325" s="88"/>
    </row>
    <row r="1326" spans="1:14" ht="18.75" x14ac:dyDescent="0.25">
      <c r="A1326" s="82"/>
      <c r="B1326" s="82"/>
      <c r="C1326" s="83"/>
      <c r="D1326" s="84"/>
      <c r="E1326" s="82"/>
      <c r="G1326" s="85"/>
      <c r="H1326" s="85"/>
      <c r="I1326" s="86"/>
      <c r="M1326" s="87"/>
      <c r="N1326" s="88"/>
    </row>
    <row r="1327" spans="1:14" ht="18.75" x14ac:dyDescent="0.25">
      <c r="A1327" s="82"/>
      <c r="B1327" s="82"/>
      <c r="C1327" s="83"/>
      <c r="D1327" s="84"/>
      <c r="E1327" s="82"/>
      <c r="G1327" s="85"/>
      <c r="H1327" s="85"/>
      <c r="I1327" s="86"/>
      <c r="M1327" s="87"/>
      <c r="N1327" s="88"/>
    </row>
    <row r="1328" spans="1:14" ht="18.75" x14ac:dyDescent="0.25">
      <c r="A1328" s="82"/>
      <c r="B1328" s="82"/>
      <c r="C1328" s="83"/>
      <c r="D1328" s="84"/>
      <c r="E1328" s="82"/>
      <c r="G1328" s="85"/>
      <c r="H1328" s="85"/>
      <c r="I1328" s="86"/>
      <c r="M1328" s="87"/>
      <c r="N1328" s="88"/>
    </row>
    <row r="1329" spans="1:14" ht="18.75" x14ac:dyDescent="0.25">
      <c r="A1329" s="82"/>
      <c r="B1329" s="82"/>
      <c r="C1329" s="83"/>
      <c r="D1329" s="84"/>
      <c r="E1329" s="82"/>
      <c r="G1329" s="85"/>
      <c r="H1329" s="85"/>
      <c r="I1329" s="86"/>
      <c r="M1329" s="87"/>
      <c r="N1329" s="88"/>
    </row>
    <row r="1330" spans="1:14" ht="18.75" x14ac:dyDescent="0.25">
      <c r="A1330" s="82"/>
      <c r="B1330" s="82"/>
      <c r="C1330" s="83"/>
      <c r="D1330" s="84"/>
      <c r="E1330" s="82"/>
      <c r="G1330" s="85"/>
      <c r="H1330" s="85"/>
      <c r="I1330" s="86"/>
      <c r="M1330" s="87"/>
      <c r="N1330" s="88"/>
    </row>
    <row r="1331" spans="1:14" ht="18.75" x14ac:dyDescent="0.25">
      <c r="A1331" s="82"/>
      <c r="B1331" s="82"/>
      <c r="C1331" s="83"/>
      <c r="D1331" s="84"/>
      <c r="E1331" s="82"/>
      <c r="G1331" s="85"/>
      <c r="H1331" s="85"/>
      <c r="I1331" s="86"/>
      <c r="M1331" s="87"/>
      <c r="N1331" s="88"/>
    </row>
    <row r="1332" spans="1:14" ht="18.75" x14ac:dyDescent="0.25">
      <c r="A1332" s="82"/>
      <c r="B1332" s="82"/>
      <c r="C1332" s="83"/>
      <c r="D1332" s="84"/>
      <c r="E1332" s="82"/>
      <c r="G1332" s="85"/>
      <c r="H1332" s="85"/>
      <c r="I1332" s="86"/>
      <c r="M1332" s="87"/>
      <c r="N1332" s="88"/>
    </row>
    <row r="1333" spans="1:14" ht="18.75" x14ac:dyDescent="0.25">
      <c r="A1333" s="82"/>
      <c r="B1333" s="82"/>
      <c r="C1333" s="83"/>
      <c r="D1333" s="84"/>
      <c r="E1333" s="82"/>
      <c r="G1333" s="85"/>
      <c r="H1333" s="85"/>
      <c r="I1333" s="86"/>
      <c r="M1333" s="87"/>
      <c r="N1333" s="88"/>
    </row>
    <row r="1334" spans="1:14" ht="18.75" x14ac:dyDescent="0.25">
      <c r="A1334" s="82"/>
      <c r="B1334" s="82"/>
      <c r="C1334" s="83"/>
      <c r="D1334" s="84"/>
      <c r="E1334" s="82"/>
      <c r="G1334" s="85"/>
      <c r="H1334" s="85"/>
      <c r="I1334" s="86"/>
      <c r="M1334" s="87"/>
      <c r="N1334" s="88"/>
    </row>
    <row r="1335" spans="1:14" ht="18.75" x14ac:dyDescent="0.25">
      <c r="A1335" s="82"/>
      <c r="B1335" s="82"/>
      <c r="C1335" s="83"/>
      <c r="D1335" s="84"/>
      <c r="E1335" s="82"/>
      <c r="G1335" s="85"/>
      <c r="H1335" s="85"/>
      <c r="I1335" s="86"/>
      <c r="M1335" s="87"/>
      <c r="N1335" s="88"/>
    </row>
    <row r="1336" spans="1:14" ht="18.75" x14ac:dyDescent="0.25">
      <c r="A1336" s="82"/>
      <c r="B1336" s="82"/>
      <c r="C1336" s="83"/>
      <c r="D1336" s="84"/>
      <c r="E1336" s="82"/>
      <c r="G1336" s="85"/>
      <c r="H1336" s="85"/>
      <c r="I1336" s="86"/>
      <c r="M1336" s="87"/>
      <c r="N1336" s="88"/>
    </row>
    <row r="1337" spans="1:14" ht="18.75" x14ac:dyDescent="0.25">
      <c r="A1337" s="82"/>
      <c r="B1337" s="82"/>
      <c r="C1337" s="83"/>
      <c r="D1337" s="84"/>
      <c r="E1337" s="82"/>
      <c r="G1337" s="85"/>
      <c r="H1337" s="85"/>
      <c r="I1337" s="86"/>
      <c r="M1337" s="87"/>
      <c r="N1337" s="88"/>
    </row>
    <row r="1338" spans="1:14" ht="18.75" x14ac:dyDescent="0.25">
      <c r="A1338" s="82"/>
      <c r="B1338" s="82"/>
      <c r="C1338" s="83"/>
      <c r="D1338" s="84"/>
      <c r="E1338" s="82"/>
      <c r="G1338" s="85"/>
      <c r="H1338" s="85"/>
      <c r="I1338" s="86"/>
      <c r="M1338" s="87"/>
      <c r="N1338" s="88"/>
    </row>
    <row r="1339" spans="1:14" ht="18.75" x14ac:dyDescent="0.25">
      <c r="A1339" s="82"/>
      <c r="B1339" s="82"/>
      <c r="C1339" s="83"/>
      <c r="D1339" s="84"/>
      <c r="E1339" s="82"/>
      <c r="G1339" s="85"/>
      <c r="H1339" s="85"/>
      <c r="I1339" s="86"/>
      <c r="M1339" s="87"/>
      <c r="N1339" s="88"/>
    </row>
    <row r="1340" spans="1:14" ht="18.75" x14ac:dyDescent="0.25">
      <c r="A1340" s="82"/>
      <c r="B1340" s="82"/>
      <c r="C1340" s="83"/>
      <c r="D1340" s="84"/>
      <c r="E1340" s="82"/>
      <c r="G1340" s="85"/>
      <c r="H1340" s="85"/>
      <c r="I1340" s="86"/>
      <c r="M1340" s="87"/>
      <c r="N1340" s="88"/>
    </row>
    <row r="1341" spans="1:14" ht="18.75" x14ac:dyDescent="0.25">
      <c r="A1341" s="82"/>
      <c r="B1341" s="82"/>
      <c r="C1341" s="83"/>
      <c r="D1341" s="84"/>
      <c r="E1341" s="82"/>
      <c r="G1341" s="85"/>
      <c r="H1341" s="85"/>
      <c r="I1341" s="86"/>
      <c r="M1341" s="87"/>
      <c r="N1341" s="88"/>
    </row>
    <row r="1342" spans="1:14" ht="18.75" x14ac:dyDescent="0.25">
      <c r="A1342" s="82"/>
      <c r="B1342" s="82"/>
      <c r="C1342" s="83"/>
      <c r="D1342" s="84"/>
      <c r="E1342" s="82"/>
      <c r="G1342" s="85"/>
      <c r="H1342" s="85"/>
      <c r="I1342" s="86"/>
      <c r="M1342" s="87"/>
      <c r="N1342" s="88"/>
    </row>
    <row r="1343" spans="1:14" ht="18.75" x14ac:dyDescent="0.25">
      <c r="A1343" s="82"/>
      <c r="B1343" s="82"/>
      <c r="C1343" s="83"/>
      <c r="D1343" s="84"/>
      <c r="E1343" s="82"/>
      <c r="G1343" s="85"/>
      <c r="H1343" s="85"/>
      <c r="I1343" s="86"/>
      <c r="M1343" s="87"/>
      <c r="N1343" s="88"/>
    </row>
    <row r="1344" spans="1:14" ht="18.75" x14ac:dyDescent="0.25">
      <c r="A1344" s="82"/>
      <c r="B1344" s="82"/>
      <c r="C1344" s="83"/>
      <c r="D1344" s="84"/>
      <c r="E1344" s="82"/>
      <c r="G1344" s="85"/>
      <c r="H1344" s="85"/>
      <c r="I1344" s="86"/>
      <c r="M1344" s="87"/>
      <c r="N1344" s="88"/>
    </row>
    <row r="1345" spans="1:14" ht="18.75" x14ac:dyDescent="0.25">
      <c r="A1345" s="82"/>
      <c r="B1345" s="82"/>
      <c r="C1345" s="83"/>
      <c r="D1345" s="84"/>
      <c r="E1345" s="82"/>
      <c r="G1345" s="85"/>
      <c r="H1345" s="85"/>
      <c r="I1345" s="86"/>
      <c r="M1345" s="87"/>
      <c r="N1345" s="88"/>
    </row>
    <row r="1346" spans="1:14" ht="18.75" x14ac:dyDescent="0.25">
      <c r="A1346" s="82"/>
      <c r="B1346" s="82"/>
      <c r="C1346" s="83"/>
      <c r="D1346" s="84"/>
      <c r="E1346" s="82"/>
      <c r="G1346" s="85"/>
      <c r="H1346" s="85"/>
      <c r="I1346" s="86"/>
      <c r="M1346" s="87"/>
      <c r="N1346" s="88"/>
    </row>
    <row r="1347" spans="1:14" ht="18.75" x14ac:dyDescent="0.25">
      <c r="A1347" s="82"/>
      <c r="B1347" s="82"/>
      <c r="C1347" s="83"/>
      <c r="D1347" s="84"/>
      <c r="E1347" s="82"/>
      <c r="G1347" s="85"/>
      <c r="H1347" s="85"/>
      <c r="I1347" s="86"/>
      <c r="M1347" s="87"/>
      <c r="N1347" s="88"/>
    </row>
    <row r="1348" spans="1:14" ht="18.75" x14ac:dyDescent="0.25">
      <c r="A1348" s="82"/>
      <c r="B1348" s="82"/>
      <c r="C1348" s="83"/>
      <c r="D1348" s="84"/>
      <c r="E1348" s="82"/>
      <c r="G1348" s="85"/>
      <c r="H1348" s="85"/>
      <c r="I1348" s="86"/>
      <c r="M1348" s="87"/>
      <c r="N1348" s="88"/>
    </row>
    <row r="1349" spans="1:14" ht="18.75" x14ac:dyDescent="0.25">
      <c r="A1349" s="82"/>
      <c r="B1349" s="82"/>
      <c r="C1349" s="83"/>
      <c r="D1349" s="84"/>
      <c r="E1349" s="82"/>
      <c r="G1349" s="85"/>
      <c r="H1349" s="85"/>
      <c r="I1349" s="86"/>
      <c r="M1349" s="87"/>
      <c r="N1349" s="88"/>
    </row>
    <row r="1350" spans="1:14" ht="18.75" x14ac:dyDescent="0.25">
      <c r="A1350" s="82"/>
      <c r="B1350" s="82"/>
      <c r="C1350" s="83"/>
      <c r="D1350" s="84"/>
      <c r="E1350" s="82"/>
      <c r="G1350" s="85"/>
      <c r="H1350" s="85"/>
      <c r="I1350" s="86"/>
      <c r="M1350" s="87"/>
      <c r="N1350" s="88"/>
    </row>
    <row r="1351" spans="1:14" ht="18.75" x14ac:dyDescent="0.25">
      <c r="A1351" s="82"/>
      <c r="B1351" s="82"/>
      <c r="C1351" s="83"/>
      <c r="D1351" s="84"/>
      <c r="E1351" s="82"/>
      <c r="G1351" s="85"/>
      <c r="H1351" s="85"/>
      <c r="I1351" s="86"/>
      <c r="M1351" s="87"/>
      <c r="N1351" s="88"/>
    </row>
    <row r="1352" spans="1:14" ht="18.75" x14ac:dyDescent="0.25">
      <c r="A1352" s="82"/>
      <c r="B1352" s="82"/>
      <c r="C1352" s="83"/>
      <c r="D1352" s="84"/>
      <c r="E1352" s="82"/>
      <c r="G1352" s="85"/>
      <c r="H1352" s="85"/>
      <c r="I1352" s="86"/>
      <c r="M1352" s="87"/>
      <c r="N1352" s="88"/>
    </row>
    <row r="1353" spans="1:14" ht="18.75" x14ac:dyDescent="0.25">
      <c r="A1353" s="82"/>
      <c r="B1353" s="82"/>
      <c r="C1353" s="83"/>
      <c r="D1353" s="84"/>
      <c r="E1353" s="82"/>
      <c r="G1353" s="85"/>
      <c r="H1353" s="85"/>
      <c r="I1353" s="86"/>
      <c r="M1353" s="87"/>
      <c r="N1353" s="88"/>
    </row>
    <row r="1354" spans="1:14" ht="18.75" x14ac:dyDescent="0.25">
      <c r="A1354" s="82"/>
      <c r="B1354" s="82"/>
      <c r="C1354" s="83"/>
      <c r="D1354" s="84"/>
      <c r="E1354" s="82"/>
      <c r="G1354" s="85"/>
      <c r="H1354" s="85"/>
      <c r="I1354" s="86"/>
      <c r="M1354" s="87"/>
      <c r="N1354" s="88"/>
    </row>
    <row r="1355" spans="1:14" ht="18.75" x14ac:dyDescent="0.25">
      <c r="A1355" s="82"/>
      <c r="B1355" s="82"/>
      <c r="C1355" s="83"/>
      <c r="D1355" s="84"/>
      <c r="E1355" s="82"/>
      <c r="G1355" s="85"/>
      <c r="H1355" s="85"/>
      <c r="I1355" s="86"/>
      <c r="M1355" s="87"/>
      <c r="N1355" s="88"/>
    </row>
    <row r="1356" spans="1:14" ht="18.75" x14ac:dyDescent="0.25">
      <c r="A1356" s="82"/>
      <c r="B1356" s="82"/>
      <c r="C1356" s="83"/>
      <c r="D1356" s="84"/>
      <c r="E1356" s="82"/>
      <c r="G1356" s="85"/>
      <c r="H1356" s="85"/>
      <c r="I1356" s="86"/>
      <c r="M1356" s="87"/>
      <c r="N1356" s="88"/>
    </row>
    <row r="1357" spans="1:14" ht="18.75" x14ac:dyDescent="0.25">
      <c r="A1357" s="82"/>
      <c r="B1357" s="82"/>
      <c r="C1357" s="83"/>
      <c r="D1357" s="84"/>
      <c r="E1357" s="82"/>
      <c r="G1357" s="85"/>
      <c r="H1357" s="85"/>
      <c r="I1357" s="86"/>
      <c r="M1357" s="87"/>
      <c r="N1357" s="88"/>
    </row>
    <row r="1358" spans="1:14" ht="18.75" x14ac:dyDescent="0.25">
      <c r="A1358" s="82"/>
      <c r="B1358" s="82"/>
      <c r="C1358" s="83"/>
      <c r="D1358" s="84"/>
      <c r="E1358" s="82"/>
      <c r="G1358" s="85"/>
      <c r="H1358" s="85"/>
      <c r="I1358" s="86"/>
      <c r="M1358" s="87"/>
      <c r="N1358" s="88"/>
    </row>
    <row r="1359" spans="1:14" ht="18.75" x14ac:dyDescent="0.25">
      <c r="A1359" s="82"/>
      <c r="B1359" s="82"/>
      <c r="C1359" s="83"/>
      <c r="D1359" s="84"/>
      <c r="E1359" s="82"/>
      <c r="G1359" s="85"/>
      <c r="H1359" s="85"/>
      <c r="I1359" s="86"/>
      <c r="M1359" s="87"/>
      <c r="N1359" s="88"/>
    </row>
    <row r="1360" spans="1:14" ht="18.75" x14ac:dyDescent="0.25">
      <c r="A1360" s="82"/>
      <c r="B1360" s="82"/>
      <c r="C1360" s="83"/>
      <c r="D1360" s="84"/>
      <c r="E1360" s="82"/>
      <c r="G1360" s="85"/>
      <c r="H1360" s="85"/>
      <c r="I1360" s="86"/>
      <c r="M1360" s="87"/>
      <c r="N1360" s="88"/>
    </row>
    <row r="1361" spans="1:14" ht="18.75" x14ac:dyDescent="0.25">
      <c r="A1361" s="82"/>
      <c r="B1361" s="82"/>
      <c r="C1361" s="83"/>
      <c r="D1361" s="84"/>
      <c r="E1361" s="82"/>
      <c r="G1361" s="85"/>
      <c r="H1361" s="85"/>
      <c r="I1361" s="86"/>
      <c r="M1361" s="87"/>
      <c r="N1361" s="88"/>
    </row>
    <row r="1362" spans="1:14" ht="18.75" x14ac:dyDescent="0.25">
      <c r="A1362" s="82"/>
      <c r="B1362" s="82"/>
      <c r="C1362" s="83"/>
      <c r="D1362" s="84"/>
      <c r="E1362" s="82"/>
      <c r="G1362" s="85"/>
      <c r="H1362" s="85"/>
      <c r="I1362" s="86"/>
      <c r="M1362" s="87"/>
      <c r="N1362" s="88"/>
    </row>
    <row r="1363" spans="1:14" ht="18.75" x14ac:dyDescent="0.25">
      <c r="A1363" s="82"/>
      <c r="B1363" s="82"/>
      <c r="C1363" s="83"/>
      <c r="D1363" s="84"/>
      <c r="E1363" s="82"/>
      <c r="G1363" s="85"/>
      <c r="H1363" s="85"/>
      <c r="I1363" s="86"/>
      <c r="M1363" s="87"/>
      <c r="N1363" s="88"/>
    </row>
    <row r="1364" spans="1:14" ht="18.75" x14ac:dyDescent="0.25">
      <c r="A1364" s="82"/>
      <c r="B1364" s="82"/>
      <c r="C1364" s="83"/>
      <c r="D1364" s="84"/>
      <c r="E1364" s="82"/>
      <c r="G1364" s="85"/>
      <c r="H1364" s="85"/>
      <c r="I1364" s="86"/>
      <c r="M1364" s="87"/>
      <c r="N1364" s="88"/>
    </row>
    <row r="1365" spans="1:14" ht="18.75" x14ac:dyDescent="0.25">
      <c r="A1365" s="82"/>
      <c r="B1365" s="82"/>
      <c r="C1365" s="83"/>
      <c r="D1365" s="84"/>
      <c r="E1365" s="82"/>
      <c r="G1365" s="85"/>
      <c r="H1365" s="85"/>
      <c r="I1365" s="86"/>
      <c r="M1365" s="87"/>
      <c r="N1365" s="88"/>
    </row>
    <row r="1366" spans="1:14" ht="18.75" x14ac:dyDescent="0.25">
      <c r="A1366" s="82"/>
      <c r="B1366" s="82"/>
      <c r="C1366" s="83"/>
      <c r="D1366" s="84"/>
      <c r="E1366" s="82"/>
      <c r="G1366" s="85"/>
      <c r="H1366" s="85"/>
      <c r="I1366" s="86"/>
      <c r="M1366" s="87"/>
      <c r="N1366" s="88"/>
    </row>
    <row r="1367" spans="1:14" ht="18.75" x14ac:dyDescent="0.25">
      <c r="A1367" s="82"/>
      <c r="B1367" s="82"/>
      <c r="C1367" s="83"/>
      <c r="D1367" s="84"/>
      <c r="E1367" s="82"/>
      <c r="G1367" s="85"/>
      <c r="H1367" s="85"/>
      <c r="I1367" s="86"/>
      <c r="M1367" s="87"/>
      <c r="N1367" s="88"/>
    </row>
    <row r="1368" spans="1:14" ht="18.75" x14ac:dyDescent="0.25">
      <c r="A1368" s="82"/>
      <c r="B1368" s="82"/>
      <c r="C1368" s="83"/>
      <c r="D1368" s="84"/>
      <c r="E1368" s="82"/>
      <c r="G1368" s="85"/>
      <c r="H1368" s="85"/>
      <c r="I1368" s="86"/>
      <c r="M1368" s="87"/>
      <c r="N1368" s="88"/>
    </row>
    <row r="1369" spans="1:14" ht="18.75" x14ac:dyDescent="0.25">
      <c r="A1369" s="82"/>
      <c r="B1369" s="82"/>
      <c r="C1369" s="83"/>
      <c r="D1369" s="84"/>
      <c r="E1369" s="82"/>
      <c r="G1369" s="85"/>
      <c r="H1369" s="85"/>
      <c r="I1369" s="86"/>
      <c r="M1369" s="87"/>
      <c r="N1369" s="88"/>
    </row>
    <row r="1370" spans="1:14" ht="18.75" x14ac:dyDescent="0.25">
      <c r="A1370" s="82"/>
      <c r="B1370" s="82"/>
      <c r="C1370" s="83"/>
      <c r="D1370" s="84"/>
      <c r="E1370" s="82"/>
      <c r="G1370" s="85"/>
      <c r="H1370" s="85"/>
      <c r="I1370" s="86"/>
      <c r="M1370" s="87"/>
      <c r="N1370" s="88"/>
    </row>
    <row r="1371" spans="1:14" ht="18.75" x14ac:dyDescent="0.25">
      <c r="A1371" s="82"/>
      <c r="B1371" s="82"/>
      <c r="C1371" s="83"/>
      <c r="D1371" s="84"/>
      <c r="E1371" s="82"/>
      <c r="G1371" s="85"/>
      <c r="H1371" s="85"/>
      <c r="I1371" s="86"/>
      <c r="M1371" s="87"/>
      <c r="N1371" s="88"/>
    </row>
    <row r="1372" spans="1:14" ht="18.75" x14ac:dyDescent="0.25">
      <c r="A1372" s="82"/>
      <c r="B1372" s="82"/>
      <c r="C1372" s="83"/>
      <c r="D1372" s="84"/>
      <c r="E1372" s="82"/>
      <c r="G1372" s="85"/>
      <c r="H1372" s="85"/>
      <c r="I1372" s="86"/>
      <c r="M1372" s="87"/>
      <c r="N1372" s="88"/>
    </row>
    <row r="1373" spans="1:14" ht="18.75" x14ac:dyDescent="0.25">
      <c r="A1373" s="82"/>
      <c r="B1373" s="82"/>
      <c r="C1373" s="83"/>
      <c r="D1373" s="84"/>
      <c r="E1373" s="82"/>
      <c r="G1373" s="85"/>
      <c r="H1373" s="85"/>
      <c r="I1373" s="86"/>
      <c r="M1373" s="87"/>
      <c r="N1373" s="88"/>
    </row>
    <row r="1374" spans="1:14" ht="18.75" x14ac:dyDescent="0.25">
      <c r="A1374" s="82"/>
      <c r="B1374" s="82"/>
      <c r="C1374" s="83"/>
      <c r="D1374" s="84"/>
      <c r="E1374" s="82"/>
      <c r="G1374" s="85"/>
      <c r="H1374" s="85"/>
      <c r="I1374" s="86"/>
      <c r="M1374" s="87"/>
      <c r="N1374" s="88"/>
    </row>
    <row r="1375" spans="1:14" ht="18.75" x14ac:dyDescent="0.25">
      <c r="A1375" s="82"/>
      <c r="B1375" s="82"/>
      <c r="C1375" s="83"/>
      <c r="D1375" s="84"/>
      <c r="E1375" s="82"/>
      <c r="G1375" s="85"/>
      <c r="H1375" s="85"/>
      <c r="I1375" s="86"/>
      <c r="M1375" s="87"/>
      <c r="N1375" s="88"/>
    </row>
    <row r="1376" spans="1:14" ht="18.75" x14ac:dyDescent="0.25">
      <c r="A1376" s="82"/>
      <c r="B1376" s="82"/>
      <c r="C1376" s="83"/>
      <c r="D1376" s="84"/>
      <c r="E1376" s="82"/>
      <c r="G1376" s="85"/>
      <c r="H1376" s="85"/>
      <c r="I1376" s="86"/>
      <c r="M1376" s="87"/>
      <c r="N1376" s="88"/>
    </row>
    <row r="1377" spans="1:14" ht="18.75" x14ac:dyDescent="0.25">
      <c r="A1377" s="82"/>
      <c r="B1377" s="82"/>
      <c r="C1377" s="83"/>
      <c r="D1377" s="84"/>
      <c r="E1377" s="82"/>
      <c r="G1377" s="85"/>
      <c r="H1377" s="85"/>
      <c r="I1377" s="86"/>
      <c r="M1377" s="87"/>
      <c r="N1377" s="88"/>
    </row>
    <row r="1378" spans="1:14" ht="18.75" x14ac:dyDescent="0.25">
      <c r="A1378" s="82"/>
      <c r="B1378" s="82"/>
      <c r="C1378" s="83"/>
      <c r="D1378" s="84"/>
      <c r="E1378" s="82"/>
      <c r="G1378" s="85"/>
      <c r="H1378" s="85"/>
      <c r="I1378" s="86"/>
      <c r="M1378" s="87"/>
      <c r="N1378" s="88"/>
    </row>
    <row r="1379" spans="1:14" ht="18.75" x14ac:dyDescent="0.25">
      <c r="A1379" s="82"/>
      <c r="B1379" s="82"/>
      <c r="C1379" s="83"/>
      <c r="D1379" s="84"/>
      <c r="E1379" s="82"/>
      <c r="G1379" s="85"/>
      <c r="H1379" s="85"/>
      <c r="I1379" s="86"/>
      <c r="M1379" s="87"/>
      <c r="N1379" s="88"/>
    </row>
    <row r="1380" spans="1:14" ht="18.75" x14ac:dyDescent="0.25">
      <c r="A1380" s="82"/>
      <c r="B1380" s="82"/>
      <c r="C1380" s="83"/>
      <c r="D1380" s="84"/>
      <c r="E1380" s="82"/>
      <c r="G1380" s="85"/>
      <c r="H1380" s="85"/>
      <c r="I1380" s="86"/>
      <c r="M1380" s="87"/>
      <c r="N1380" s="88"/>
    </row>
    <row r="1381" spans="1:14" ht="18.75" x14ac:dyDescent="0.25">
      <c r="A1381" s="82"/>
      <c r="B1381" s="82"/>
      <c r="C1381" s="83"/>
      <c r="D1381" s="84"/>
      <c r="E1381" s="82"/>
      <c r="G1381" s="85"/>
      <c r="H1381" s="85"/>
      <c r="I1381" s="86"/>
      <c r="M1381" s="87"/>
      <c r="N1381" s="88"/>
    </row>
    <row r="1382" spans="1:14" ht="18.75" x14ac:dyDescent="0.25">
      <c r="A1382" s="82"/>
      <c r="B1382" s="82"/>
      <c r="C1382" s="83"/>
      <c r="D1382" s="84"/>
      <c r="E1382" s="82"/>
      <c r="G1382" s="85"/>
      <c r="H1382" s="85"/>
      <c r="I1382" s="86"/>
      <c r="M1382" s="87"/>
      <c r="N1382" s="88"/>
    </row>
    <row r="1383" spans="1:14" ht="18.75" x14ac:dyDescent="0.25">
      <c r="A1383" s="82"/>
      <c r="B1383" s="82"/>
      <c r="C1383" s="83"/>
      <c r="D1383" s="84"/>
      <c r="E1383" s="82"/>
      <c r="G1383" s="85"/>
      <c r="H1383" s="85"/>
      <c r="I1383" s="86"/>
      <c r="M1383" s="87"/>
      <c r="N1383" s="88"/>
    </row>
    <row r="1384" spans="1:14" ht="18.75" x14ac:dyDescent="0.25">
      <c r="A1384" s="82"/>
      <c r="B1384" s="82"/>
      <c r="C1384" s="83"/>
      <c r="D1384" s="84"/>
      <c r="E1384" s="82"/>
      <c r="G1384" s="85"/>
      <c r="H1384" s="85"/>
      <c r="I1384" s="86"/>
      <c r="M1384" s="87"/>
      <c r="N1384" s="88"/>
    </row>
    <row r="1385" spans="1:14" ht="18.75" x14ac:dyDescent="0.25">
      <c r="A1385" s="82"/>
      <c r="B1385" s="82"/>
      <c r="C1385" s="83"/>
      <c r="D1385" s="84"/>
      <c r="E1385" s="82"/>
      <c r="G1385" s="85"/>
      <c r="H1385" s="85"/>
      <c r="I1385" s="86"/>
      <c r="M1385" s="87"/>
      <c r="N1385" s="88"/>
    </row>
    <row r="1386" spans="1:14" ht="18.75" x14ac:dyDescent="0.25">
      <c r="A1386" s="82"/>
      <c r="B1386" s="82"/>
      <c r="C1386" s="83"/>
      <c r="D1386" s="84"/>
      <c r="E1386" s="82"/>
      <c r="G1386" s="85"/>
      <c r="H1386" s="85"/>
      <c r="I1386" s="86"/>
      <c r="M1386" s="87"/>
      <c r="N1386" s="88"/>
    </row>
    <row r="1387" spans="1:14" ht="18.75" x14ac:dyDescent="0.25">
      <c r="A1387" s="82"/>
      <c r="B1387" s="82"/>
      <c r="C1387" s="83"/>
      <c r="D1387" s="84"/>
      <c r="E1387" s="82"/>
      <c r="G1387" s="85"/>
      <c r="H1387" s="85"/>
      <c r="I1387" s="86"/>
      <c r="M1387" s="87"/>
      <c r="N1387" s="88"/>
    </row>
    <row r="1388" spans="1:14" ht="18.75" x14ac:dyDescent="0.25">
      <c r="A1388" s="82"/>
      <c r="B1388" s="82"/>
      <c r="C1388" s="83"/>
      <c r="D1388" s="84"/>
      <c r="E1388" s="82"/>
      <c r="G1388" s="85"/>
      <c r="H1388" s="85"/>
      <c r="I1388" s="86"/>
      <c r="M1388" s="87"/>
      <c r="N1388" s="88"/>
    </row>
    <row r="1389" spans="1:14" ht="18.75" x14ac:dyDescent="0.25">
      <c r="A1389" s="82"/>
      <c r="B1389" s="82"/>
      <c r="C1389" s="83"/>
      <c r="D1389" s="84"/>
      <c r="E1389" s="82"/>
      <c r="G1389" s="85"/>
      <c r="H1389" s="85"/>
      <c r="I1389" s="86"/>
      <c r="M1389" s="87"/>
      <c r="N1389" s="88"/>
    </row>
    <row r="1390" spans="1:14" ht="18.75" x14ac:dyDescent="0.25">
      <c r="A1390" s="82"/>
      <c r="B1390" s="82"/>
      <c r="C1390" s="83"/>
      <c r="D1390" s="84"/>
      <c r="E1390" s="82"/>
      <c r="G1390" s="85"/>
      <c r="H1390" s="85"/>
      <c r="I1390" s="86"/>
      <c r="M1390" s="87"/>
      <c r="N1390" s="88"/>
    </row>
    <row r="1391" spans="1:14" ht="18.75" x14ac:dyDescent="0.25">
      <c r="A1391" s="82"/>
      <c r="B1391" s="82"/>
      <c r="C1391" s="83"/>
      <c r="D1391" s="84"/>
      <c r="E1391" s="82"/>
      <c r="G1391" s="85"/>
      <c r="H1391" s="85"/>
      <c r="I1391" s="86"/>
      <c r="M1391" s="87"/>
      <c r="N1391" s="88"/>
    </row>
    <row r="1392" spans="1:14" ht="18.75" x14ac:dyDescent="0.25">
      <c r="A1392" s="82"/>
      <c r="B1392" s="82"/>
      <c r="C1392" s="83"/>
      <c r="D1392" s="84"/>
      <c r="E1392" s="82"/>
      <c r="G1392" s="85"/>
      <c r="H1392" s="85"/>
      <c r="I1392" s="86"/>
      <c r="M1392" s="87"/>
      <c r="N1392" s="88"/>
    </row>
    <row r="1393" spans="1:14" ht="18.75" x14ac:dyDescent="0.25">
      <c r="A1393" s="82"/>
      <c r="B1393" s="82"/>
      <c r="C1393" s="83"/>
      <c r="D1393" s="84"/>
      <c r="E1393" s="82"/>
      <c r="G1393" s="85"/>
      <c r="H1393" s="85"/>
      <c r="I1393" s="86"/>
      <c r="M1393" s="87"/>
      <c r="N1393" s="88"/>
    </row>
    <row r="1394" spans="1:14" ht="18.75" x14ac:dyDescent="0.25">
      <c r="A1394" s="82"/>
      <c r="B1394" s="82"/>
      <c r="C1394" s="83"/>
      <c r="D1394" s="84"/>
      <c r="E1394" s="82"/>
      <c r="G1394" s="85"/>
      <c r="H1394" s="85"/>
      <c r="I1394" s="86"/>
      <c r="M1394" s="87"/>
      <c r="N1394" s="88"/>
    </row>
    <row r="1395" spans="1:14" ht="18.75" x14ac:dyDescent="0.25">
      <c r="A1395" s="82"/>
      <c r="B1395" s="82"/>
      <c r="C1395" s="83"/>
      <c r="D1395" s="84"/>
      <c r="E1395" s="82"/>
      <c r="G1395" s="85"/>
      <c r="H1395" s="85"/>
      <c r="I1395" s="86"/>
      <c r="M1395" s="87"/>
      <c r="N1395" s="88"/>
    </row>
    <row r="1396" spans="1:14" ht="18.75" x14ac:dyDescent="0.25">
      <c r="A1396" s="82"/>
      <c r="B1396" s="82"/>
      <c r="C1396" s="83"/>
      <c r="D1396" s="84"/>
      <c r="E1396" s="82"/>
      <c r="G1396" s="85"/>
      <c r="H1396" s="85"/>
      <c r="I1396" s="86"/>
      <c r="M1396" s="87"/>
      <c r="N1396" s="88"/>
    </row>
    <row r="1397" spans="1:14" ht="18.75" x14ac:dyDescent="0.25">
      <c r="A1397" s="82"/>
      <c r="B1397" s="82"/>
      <c r="C1397" s="83"/>
      <c r="D1397" s="84"/>
      <c r="E1397" s="82"/>
      <c r="G1397" s="85"/>
      <c r="H1397" s="85"/>
      <c r="I1397" s="86"/>
      <c r="M1397" s="87"/>
      <c r="N1397" s="88"/>
    </row>
    <row r="1398" spans="1:14" ht="18.75" x14ac:dyDescent="0.25">
      <c r="A1398" s="82"/>
      <c r="B1398" s="82"/>
      <c r="C1398" s="83"/>
      <c r="D1398" s="84"/>
      <c r="E1398" s="82"/>
      <c r="G1398" s="85"/>
      <c r="H1398" s="85"/>
      <c r="I1398" s="86"/>
      <c r="M1398" s="87"/>
      <c r="N1398" s="88"/>
    </row>
    <row r="1399" spans="1:14" ht="18.75" x14ac:dyDescent="0.25">
      <c r="A1399" s="82"/>
      <c r="B1399" s="82"/>
      <c r="C1399" s="83"/>
      <c r="D1399" s="84"/>
      <c r="E1399" s="82"/>
      <c r="G1399" s="85"/>
      <c r="H1399" s="85"/>
      <c r="I1399" s="86"/>
      <c r="M1399" s="87"/>
      <c r="N1399" s="88"/>
    </row>
    <row r="1400" spans="1:14" ht="18.75" x14ac:dyDescent="0.25">
      <c r="A1400" s="82"/>
      <c r="B1400" s="82"/>
      <c r="C1400" s="83"/>
      <c r="D1400" s="84"/>
      <c r="E1400" s="82"/>
      <c r="G1400" s="85"/>
      <c r="H1400" s="85"/>
      <c r="I1400" s="86"/>
      <c r="M1400" s="87"/>
      <c r="N1400" s="88"/>
    </row>
    <row r="1401" spans="1:14" ht="18.75" x14ac:dyDescent="0.25">
      <c r="A1401" s="82"/>
      <c r="B1401" s="82"/>
      <c r="C1401" s="83"/>
      <c r="D1401" s="84"/>
      <c r="E1401" s="82"/>
      <c r="G1401" s="85"/>
      <c r="H1401" s="85"/>
      <c r="I1401" s="86"/>
      <c r="M1401" s="87"/>
      <c r="N1401" s="88"/>
    </row>
    <row r="1402" spans="1:14" ht="18.75" x14ac:dyDescent="0.25">
      <c r="A1402" s="82"/>
      <c r="B1402" s="82"/>
      <c r="C1402" s="83"/>
      <c r="D1402" s="84"/>
      <c r="E1402" s="82"/>
      <c r="G1402" s="85"/>
      <c r="H1402" s="85"/>
      <c r="I1402" s="86"/>
      <c r="M1402" s="87"/>
      <c r="N1402" s="88"/>
    </row>
    <row r="1403" spans="1:14" ht="18.75" x14ac:dyDescent="0.25">
      <c r="A1403" s="82"/>
      <c r="B1403" s="82"/>
      <c r="C1403" s="83"/>
      <c r="D1403" s="84"/>
      <c r="E1403" s="82"/>
      <c r="G1403" s="85"/>
      <c r="H1403" s="85"/>
      <c r="I1403" s="86"/>
      <c r="M1403" s="87"/>
      <c r="N1403" s="88"/>
    </row>
    <row r="1404" spans="1:14" ht="18.75" x14ac:dyDescent="0.25">
      <c r="A1404" s="82"/>
      <c r="B1404" s="82"/>
      <c r="C1404" s="83"/>
      <c r="D1404" s="84"/>
      <c r="E1404" s="82"/>
      <c r="G1404" s="85"/>
      <c r="H1404" s="85"/>
      <c r="I1404" s="86"/>
      <c r="M1404" s="87"/>
      <c r="N1404" s="88"/>
    </row>
    <row r="1405" spans="1:14" ht="18.75" x14ac:dyDescent="0.25">
      <c r="A1405" s="82"/>
      <c r="B1405" s="82"/>
      <c r="C1405" s="83"/>
      <c r="D1405" s="84"/>
      <c r="E1405" s="82"/>
      <c r="G1405" s="85"/>
      <c r="H1405" s="85"/>
      <c r="I1405" s="86"/>
      <c r="M1405" s="87"/>
      <c r="N1405" s="88"/>
    </row>
    <row r="1406" spans="1:14" ht="18.75" x14ac:dyDescent="0.25">
      <c r="A1406" s="82"/>
      <c r="B1406" s="82"/>
      <c r="C1406" s="83"/>
      <c r="D1406" s="84"/>
      <c r="E1406" s="82"/>
      <c r="G1406" s="85"/>
      <c r="H1406" s="85"/>
      <c r="I1406" s="86"/>
      <c r="M1406" s="87"/>
      <c r="N1406" s="88"/>
    </row>
    <row r="1407" spans="1:14" ht="18.75" x14ac:dyDescent="0.25">
      <c r="A1407" s="82"/>
      <c r="B1407" s="82"/>
      <c r="C1407" s="83"/>
      <c r="D1407" s="84"/>
      <c r="E1407" s="82"/>
      <c r="G1407" s="85"/>
      <c r="H1407" s="85"/>
      <c r="I1407" s="86"/>
      <c r="M1407" s="87"/>
      <c r="N1407" s="88"/>
    </row>
    <row r="1408" spans="1:14" ht="18.75" x14ac:dyDescent="0.25">
      <c r="A1408" s="82"/>
      <c r="B1408" s="82"/>
      <c r="C1408" s="83"/>
      <c r="D1408" s="84"/>
      <c r="E1408" s="82"/>
      <c r="G1408" s="85"/>
      <c r="H1408" s="85"/>
      <c r="I1408" s="86"/>
      <c r="M1408" s="87"/>
      <c r="N1408" s="88"/>
    </row>
    <row r="1409" spans="1:14" ht="18.75" x14ac:dyDescent="0.25">
      <c r="A1409" s="82"/>
      <c r="B1409" s="82"/>
      <c r="C1409" s="83"/>
      <c r="D1409" s="84"/>
      <c r="E1409" s="82"/>
      <c r="G1409" s="85"/>
      <c r="H1409" s="85"/>
      <c r="I1409" s="86"/>
      <c r="M1409" s="87"/>
      <c r="N1409" s="88"/>
    </row>
    <row r="1410" spans="1:14" ht="18.75" x14ac:dyDescent="0.25">
      <c r="A1410" s="82"/>
      <c r="B1410" s="82"/>
      <c r="C1410" s="83"/>
      <c r="D1410" s="84"/>
      <c r="E1410" s="82"/>
      <c r="G1410" s="85"/>
      <c r="H1410" s="85"/>
      <c r="I1410" s="86"/>
      <c r="M1410" s="87"/>
      <c r="N1410" s="88"/>
    </row>
    <row r="1411" spans="1:14" ht="18.75" x14ac:dyDescent="0.25">
      <c r="A1411" s="82"/>
      <c r="B1411" s="82"/>
      <c r="C1411" s="83"/>
      <c r="D1411" s="84"/>
      <c r="E1411" s="82"/>
      <c r="G1411" s="85"/>
      <c r="H1411" s="85"/>
      <c r="I1411" s="86"/>
      <c r="M1411" s="87"/>
      <c r="N1411" s="88"/>
    </row>
    <row r="1412" spans="1:14" ht="18.75" x14ac:dyDescent="0.25">
      <c r="A1412" s="82"/>
      <c r="B1412" s="82"/>
      <c r="C1412" s="83"/>
      <c r="D1412" s="84"/>
      <c r="E1412" s="82"/>
      <c r="G1412" s="85"/>
      <c r="H1412" s="85"/>
      <c r="I1412" s="86"/>
      <c r="M1412" s="87"/>
      <c r="N1412" s="88"/>
    </row>
    <row r="1413" spans="1:14" ht="18.75" x14ac:dyDescent="0.25">
      <c r="A1413" s="82"/>
      <c r="B1413" s="82"/>
      <c r="C1413" s="83"/>
      <c r="D1413" s="84"/>
      <c r="E1413" s="82"/>
      <c r="G1413" s="85"/>
      <c r="H1413" s="85"/>
      <c r="I1413" s="86"/>
      <c r="M1413" s="87"/>
      <c r="N1413" s="88"/>
    </row>
    <row r="1414" spans="1:14" ht="18.75" x14ac:dyDescent="0.25">
      <c r="A1414" s="82"/>
      <c r="B1414" s="82"/>
      <c r="C1414" s="83"/>
      <c r="D1414" s="84"/>
      <c r="E1414" s="82"/>
      <c r="G1414" s="85"/>
      <c r="H1414" s="85"/>
      <c r="I1414" s="86"/>
      <c r="M1414" s="87"/>
      <c r="N1414" s="88"/>
    </row>
    <row r="1415" spans="1:14" ht="18.75" x14ac:dyDescent="0.25">
      <c r="A1415" s="82"/>
      <c r="B1415" s="82"/>
      <c r="C1415" s="83"/>
      <c r="D1415" s="84"/>
      <c r="E1415" s="82"/>
      <c r="G1415" s="85"/>
      <c r="H1415" s="85"/>
      <c r="I1415" s="86"/>
      <c r="M1415" s="87"/>
      <c r="N1415" s="88"/>
    </row>
    <row r="1416" spans="1:14" ht="18.75" x14ac:dyDescent="0.25">
      <c r="A1416" s="82"/>
      <c r="B1416" s="82"/>
      <c r="C1416" s="83"/>
      <c r="D1416" s="84"/>
      <c r="E1416" s="82"/>
      <c r="G1416" s="85"/>
      <c r="H1416" s="85"/>
      <c r="I1416" s="86"/>
      <c r="M1416" s="87"/>
      <c r="N1416" s="88"/>
    </row>
    <row r="1417" spans="1:14" ht="18.75" x14ac:dyDescent="0.25">
      <c r="A1417" s="82"/>
      <c r="B1417" s="82"/>
      <c r="C1417" s="83"/>
      <c r="D1417" s="84"/>
      <c r="E1417" s="82"/>
      <c r="G1417" s="85"/>
      <c r="H1417" s="85"/>
      <c r="I1417" s="86"/>
      <c r="M1417" s="87"/>
      <c r="N1417" s="88"/>
    </row>
    <row r="1418" spans="1:14" ht="18.75" x14ac:dyDescent="0.25">
      <c r="A1418" s="82"/>
      <c r="B1418" s="82"/>
      <c r="C1418" s="83"/>
      <c r="D1418" s="84"/>
      <c r="E1418" s="82"/>
      <c r="G1418" s="85"/>
      <c r="H1418" s="85"/>
      <c r="I1418" s="86"/>
      <c r="M1418" s="87"/>
      <c r="N1418" s="88"/>
    </row>
    <row r="1419" spans="1:14" ht="18.75" x14ac:dyDescent="0.25">
      <c r="A1419" s="82"/>
      <c r="B1419" s="82"/>
      <c r="C1419" s="83"/>
      <c r="D1419" s="84"/>
      <c r="E1419" s="82"/>
      <c r="G1419" s="85"/>
      <c r="H1419" s="85"/>
      <c r="I1419" s="86"/>
      <c r="M1419" s="87"/>
      <c r="N1419" s="88"/>
    </row>
    <row r="1420" spans="1:14" ht="18.75" x14ac:dyDescent="0.25">
      <c r="A1420" s="82"/>
      <c r="B1420" s="82"/>
      <c r="C1420" s="83"/>
      <c r="D1420" s="84"/>
      <c r="E1420" s="82"/>
      <c r="G1420" s="85"/>
      <c r="H1420" s="85"/>
      <c r="I1420" s="86"/>
      <c r="M1420" s="87"/>
      <c r="N1420" s="88"/>
    </row>
    <row r="1421" spans="1:14" ht="18.75" x14ac:dyDescent="0.25">
      <c r="A1421" s="82"/>
      <c r="B1421" s="82"/>
      <c r="C1421" s="83"/>
      <c r="D1421" s="84"/>
      <c r="E1421" s="82"/>
      <c r="G1421" s="85"/>
      <c r="H1421" s="85"/>
      <c r="I1421" s="86"/>
      <c r="M1421" s="87"/>
      <c r="N1421" s="88"/>
    </row>
    <row r="1422" spans="1:14" ht="18.75" x14ac:dyDescent="0.25">
      <c r="A1422" s="82"/>
      <c r="B1422" s="82"/>
      <c r="C1422" s="83"/>
      <c r="D1422" s="84"/>
      <c r="E1422" s="82"/>
      <c r="G1422" s="85"/>
      <c r="H1422" s="85"/>
      <c r="I1422" s="86"/>
      <c r="M1422" s="87"/>
      <c r="N1422" s="88"/>
    </row>
    <row r="1423" spans="1:14" ht="18.75" x14ac:dyDescent="0.25">
      <c r="A1423" s="82"/>
      <c r="B1423" s="82"/>
      <c r="C1423" s="83"/>
      <c r="D1423" s="84"/>
      <c r="E1423" s="82"/>
      <c r="G1423" s="85"/>
      <c r="H1423" s="85"/>
      <c r="I1423" s="86"/>
      <c r="M1423" s="87"/>
      <c r="N1423" s="88"/>
    </row>
    <row r="1424" spans="1:14" ht="18.75" x14ac:dyDescent="0.25">
      <c r="A1424" s="82"/>
      <c r="B1424" s="82"/>
      <c r="C1424" s="83"/>
      <c r="D1424" s="84"/>
      <c r="E1424" s="82"/>
      <c r="G1424" s="85"/>
      <c r="H1424" s="85"/>
      <c r="I1424" s="86"/>
      <c r="M1424" s="87"/>
      <c r="N1424" s="88"/>
    </row>
    <row r="1425" spans="1:14" ht="18.75" x14ac:dyDescent="0.25">
      <c r="A1425" s="82"/>
      <c r="B1425" s="82"/>
      <c r="C1425" s="83"/>
      <c r="D1425" s="84"/>
      <c r="E1425" s="82"/>
      <c r="G1425" s="85"/>
      <c r="H1425" s="85"/>
      <c r="I1425" s="86"/>
      <c r="M1425" s="87"/>
      <c r="N1425" s="88"/>
    </row>
    <row r="1426" spans="1:14" ht="18.75" x14ac:dyDescent="0.25">
      <c r="A1426" s="82"/>
      <c r="B1426" s="82"/>
      <c r="C1426" s="83"/>
      <c r="D1426" s="84"/>
      <c r="E1426" s="82"/>
      <c r="G1426" s="85"/>
      <c r="H1426" s="85"/>
      <c r="I1426" s="86"/>
      <c r="M1426" s="87"/>
      <c r="N1426" s="88"/>
    </row>
    <row r="1427" spans="1:14" ht="18.75" x14ac:dyDescent="0.25">
      <c r="A1427" s="82"/>
      <c r="B1427" s="82"/>
      <c r="C1427" s="83"/>
      <c r="D1427" s="84"/>
      <c r="E1427" s="82"/>
      <c r="G1427" s="85"/>
      <c r="H1427" s="85"/>
      <c r="I1427" s="86"/>
      <c r="M1427" s="87"/>
      <c r="N1427" s="88"/>
    </row>
    <row r="1428" spans="1:14" ht="18.75" x14ac:dyDescent="0.25">
      <c r="A1428" s="82"/>
      <c r="B1428" s="82"/>
      <c r="C1428" s="83"/>
      <c r="D1428" s="84"/>
      <c r="E1428" s="82"/>
      <c r="G1428" s="85"/>
      <c r="H1428" s="85"/>
      <c r="I1428" s="86"/>
      <c r="M1428" s="87"/>
      <c r="N1428" s="88"/>
    </row>
    <row r="1429" spans="1:14" ht="18.75" x14ac:dyDescent="0.25">
      <c r="A1429" s="82"/>
      <c r="B1429" s="82"/>
      <c r="C1429" s="83"/>
      <c r="D1429" s="84"/>
      <c r="E1429" s="82"/>
      <c r="G1429" s="85"/>
      <c r="H1429" s="85"/>
      <c r="I1429" s="86"/>
      <c r="M1429" s="87"/>
      <c r="N1429" s="88"/>
    </row>
    <row r="1430" spans="1:14" ht="18.75" x14ac:dyDescent="0.25">
      <c r="A1430" s="82"/>
      <c r="B1430" s="82"/>
      <c r="C1430" s="83"/>
      <c r="D1430" s="84"/>
      <c r="E1430" s="82"/>
      <c r="G1430" s="85"/>
      <c r="H1430" s="85"/>
      <c r="I1430" s="86"/>
      <c r="M1430" s="87"/>
      <c r="N1430" s="88"/>
    </row>
    <row r="1431" spans="1:14" ht="18.75" x14ac:dyDescent="0.25">
      <c r="A1431" s="82"/>
      <c r="B1431" s="82"/>
      <c r="C1431" s="83"/>
      <c r="D1431" s="84"/>
      <c r="E1431" s="82"/>
      <c r="G1431" s="85"/>
      <c r="H1431" s="85"/>
      <c r="I1431" s="86"/>
      <c r="M1431" s="87"/>
      <c r="N1431" s="88"/>
    </row>
    <row r="1432" spans="1:14" ht="18.75" x14ac:dyDescent="0.25">
      <c r="A1432" s="82"/>
      <c r="B1432" s="82"/>
      <c r="C1432" s="83"/>
      <c r="D1432" s="84"/>
      <c r="E1432" s="82"/>
      <c r="G1432" s="85"/>
      <c r="H1432" s="85"/>
      <c r="I1432" s="86"/>
      <c r="M1432" s="87"/>
      <c r="N1432" s="88"/>
    </row>
    <row r="1433" spans="1:14" ht="18.75" x14ac:dyDescent="0.25">
      <c r="A1433" s="82"/>
      <c r="B1433" s="82"/>
      <c r="C1433" s="83"/>
      <c r="D1433" s="84"/>
      <c r="E1433" s="82"/>
      <c r="G1433" s="85"/>
      <c r="H1433" s="85"/>
      <c r="I1433" s="86"/>
      <c r="M1433" s="87"/>
      <c r="N1433" s="88"/>
    </row>
    <row r="1434" spans="1:14" ht="18.75" x14ac:dyDescent="0.25">
      <c r="A1434" s="82"/>
      <c r="B1434" s="82"/>
      <c r="C1434" s="83"/>
      <c r="D1434" s="84"/>
      <c r="E1434" s="82"/>
      <c r="G1434" s="85"/>
      <c r="H1434" s="85"/>
      <c r="I1434" s="86"/>
      <c r="M1434" s="87"/>
      <c r="N1434" s="88"/>
    </row>
    <row r="1435" spans="1:14" ht="18.75" x14ac:dyDescent="0.25">
      <c r="A1435" s="82"/>
      <c r="B1435" s="82"/>
      <c r="C1435" s="83"/>
      <c r="D1435" s="84"/>
      <c r="E1435" s="82"/>
      <c r="G1435" s="85"/>
      <c r="H1435" s="85"/>
      <c r="I1435" s="86"/>
      <c r="M1435" s="87"/>
      <c r="N1435" s="88"/>
    </row>
    <row r="1436" spans="1:14" ht="18.75" x14ac:dyDescent="0.25">
      <c r="A1436" s="82"/>
      <c r="B1436" s="82"/>
      <c r="C1436" s="83"/>
      <c r="D1436" s="84"/>
      <c r="E1436" s="82"/>
      <c r="G1436" s="85"/>
      <c r="H1436" s="85"/>
      <c r="I1436" s="86"/>
      <c r="M1436" s="87"/>
      <c r="N1436" s="88"/>
    </row>
    <row r="1437" spans="1:14" ht="18.75" x14ac:dyDescent="0.25">
      <c r="A1437" s="82"/>
      <c r="B1437" s="82"/>
      <c r="C1437" s="83"/>
      <c r="D1437" s="84"/>
      <c r="E1437" s="82"/>
      <c r="G1437" s="85"/>
      <c r="H1437" s="85"/>
      <c r="I1437" s="86"/>
      <c r="M1437" s="87"/>
      <c r="N1437" s="88"/>
    </row>
    <row r="1438" spans="1:14" ht="18.75" x14ac:dyDescent="0.25">
      <c r="A1438" s="82"/>
      <c r="B1438" s="82"/>
      <c r="C1438" s="83"/>
      <c r="D1438" s="84"/>
      <c r="E1438" s="82"/>
      <c r="G1438" s="85"/>
      <c r="H1438" s="85"/>
      <c r="I1438" s="86"/>
      <c r="M1438" s="87"/>
      <c r="N1438" s="88"/>
    </row>
    <row r="1439" spans="1:14" ht="18.75" x14ac:dyDescent="0.25">
      <c r="A1439" s="82"/>
      <c r="B1439" s="82"/>
      <c r="C1439" s="83"/>
      <c r="D1439" s="84"/>
      <c r="E1439" s="82"/>
      <c r="G1439" s="85"/>
      <c r="H1439" s="85"/>
      <c r="I1439" s="86"/>
      <c r="M1439" s="87"/>
      <c r="N1439" s="88"/>
    </row>
    <row r="1440" spans="1:14" ht="18.75" x14ac:dyDescent="0.25">
      <c r="A1440" s="82"/>
      <c r="B1440" s="82"/>
      <c r="C1440" s="83"/>
      <c r="D1440" s="84"/>
      <c r="E1440" s="82"/>
      <c r="G1440" s="85"/>
      <c r="H1440" s="85"/>
      <c r="I1440" s="86"/>
      <c r="M1440" s="87"/>
      <c r="N1440" s="88"/>
    </row>
    <row r="1441" spans="1:14" ht="18.75" x14ac:dyDescent="0.25">
      <c r="A1441" s="82"/>
      <c r="B1441" s="82"/>
      <c r="C1441" s="83"/>
      <c r="D1441" s="84"/>
      <c r="E1441" s="82"/>
      <c r="G1441" s="85"/>
      <c r="H1441" s="85"/>
      <c r="I1441" s="86"/>
      <c r="M1441" s="87"/>
      <c r="N1441" s="88"/>
    </row>
    <row r="1442" spans="1:14" ht="18.75" x14ac:dyDescent="0.25">
      <c r="A1442" s="82"/>
      <c r="B1442" s="82"/>
      <c r="C1442" s="83"/>
      <c r="D1442" s="84"/>
      <c r="E1442" s="82"/>
      <c r="G1442" s="85"/>
      <c r="H1442" s="85"/>
      <c r="I1442" s="86"/>
      <c r="M1442" s="87"/>
      <c r="N1442" s="88"/>
    </row>
    <row r="1443" spans="1:14" ht="18.75" x14ac:dyDescent="0.25">
      <c r="A1443" s="82"/>
      <c r="B1443" s="82"/>
      <c r="C1443" s="83"/>
      <c r="D1443" s="84"/>
      <c r="E1443" s="82"/>
      <c r="G1443" s="85"/>
      <c r="H1443" s="85"/>
      <c r="I1443" s="86"/>
      <c r="M1443" s="87"/>
      <c r="N1443" s="88"/>
    </row>
    <row r="1444" spans="1:14" ht="18.75" x14ac:dyDescent="0.25">
      <c r="A1444" s="82"/>
      <c r="B1444" s="82"/>
      <c r="C1444" s="83"/>
      <c r="D1444" s="84"/>
      <c r="E1444" s="82"/>
      <c r="G1444" s="85"/>
      <c r="H1444" s="85"/>
      <c r="I1444" s="86"/>
      <c r="M1444" s="87"/>
      <c r="N1444" s="88"/>
    </row>
    <row r="1445" spans="1:14" ht="18.75" x14ac:dyDescent="0.25">
      <c r="A1445" s="82"/>
      <c r="B1445" s="82"/>
      <c r="C1445" s="83"/>
      <c r="D1445" s="84"/>
      <c r="E1445" s="82"/>
      <c r="G1445" s="85"/>
      <c r="H1445" s="85"/>
      <c r="I1445" s="86"/>
      <c r="M1445" s="87"/>
      <c r="N1445" s="88"/>
    </row>
    <row r="1446" spans="1:14" ht="18.75" x14ac:dyDescent="0.25">
      <c r="A1446" s="82"/>
      <c r="B1446" s="82"/>
      <c r="C1446" s="83"/>
      <c r="D1446" s="84"/>
      <c r="E1446" s="82"/>
      <c r="G1446" s="85"/>
      <c r="H1446" s="85"/>
      <c r="I1446" s="86"/>
      <c r="M1446" s="87"/>
      <c r="N1446" s="88"/>
    </row>
    <row r="1447" spans="1:14" ht="18.75" x14ac:dyDescent="0.25">
      <c r="A1447" s="82"/>
      <c r="B1447" s="82"/>
      <c r="C1447" s="83"/>
      <c r="D1447" s="84"/>
      <c r="E1447" s="82"/>
      <c r="G1447" s="85"/>
      <c r="H1447" s="85"/>
      <c r="I1447" s="86"/>
      <c r="M1447" s="87"/>
      <c r="N1447" s="88"/>
    </row>
    <row r="1448" spans="1:14" ht="18.75" x14ac:dyDescent="0.25">
      <c r="A1448" s="82"/>
      <c r="B1448" s="82"/>
      <c r="C1448" s="83"/>
      <c r="D1448" s="84"/>
      <c r="E1448" s="82"/>
      <c r="G1448" s="85"/>
      <c r="H1448" s="85"/>
      <c r="I1448" s="86"/>
      <c r="M1448" s="87"/>
      <c r="N1448" s="88"/>
    </row>
    <row r="1449" spans="1:14" ht="18.75" x14ac:dyDescent="0.25">
      <c r="A1449" s="82"/>
      <c r="B1449" s="82"/>
      <c r="C1449" s="83"/>
      <c r="D1449" s="84"/>
      <c r="E1449" s="82"/>
      <c r="G1449" s="85"/>
      <c r="H1449" s="85"/>
      <c r="I1449" s="86"/>
      <c r="M1449" s="87"/>
      <c r="N1449" s="88"/>
    </row>
    <row r="1450" spans="1:14" ht="18.75" x14ac:dyDescent="0.25">
      <c r="A1450" s="82"/>
      <c r="B1450" s="82"/>
      <c r="C1450" s="83"/>
      <c r="D1450" s="84"/>
      <c r="E1450" s="82"/>
      <c r="G1450" s="85"/>
      <c r="H1450" s="85"/>
      <c r="I1450" s="86"/>
      <c r="M1450" s="87"/>
      <c r="N1450" s="88"/>
    </row>
    <row r="1451" spans="1:14" ht="18.75" x14ac:dyDescent="0.25">
      <c r="A1451" s="82"/>
      <c r="B1451" s="82"/>
      <c r="C1451" s="83"/>
      <c r="D1451" s="84"/>
      <c r="E1451" s="82"/>
      <c r="G1451" s="85"/>
      <c r="H1451" s="85"/>
      <c r="I1451" s="86"/>
      <c r="M1451" s="87"/>
      <c r="N1451" s="88"/>
    </row>
    <row r="1452" spans="1:14" ht="18.75" x14ac:dyDescent="0.25">
      <c r="A1452" s="82"/>
      <c r="B1452" s="82"/>
      <c r="C1452" s="83"/>
      <c r="D1452" s="84"/>
      <c r="E1452" s="82"/>
      <c r="G1452" s="85"/>
      <c r="H1452" s="85"/>
      <c r="I1452" s="86"/>
      <c r="M1452" s="87"/>
      <c r="N1452" s="88"/>
    </row>
    <row r="1453" spans="1:14" ht="18.75" x14ac:dyDescent="0.25">
      <c r="A1453" s="82"/>
      <c r="B1453" s="82"/>
      <c r="C1453" s="83"/>
      <c r="D1453" s="84"/>
      <c r="E1453" s="82"/>
      <c r="G1453" s="85"/>
      <c r="H1453" s="85"/>
      <c r="I1453" s="86"/>
      <c r="M1453" s="87"/>
      <c r="N1453" s="88"/>
    </row>
    <row r="1454" spans="1:14" ht="18.75" x14ac:dyDescent="0.25">
      <c r="A1454" s="82"/>
      <c r="B1454" s="82"/>
      <c r="C1454" s="83"/>
      <c r="D1454" s="84"/>
      <c r="E1454" s="82"/>
      <c r="G1454" s="85"/>
      <c r="H1454" s="85"/>
      <c r="I1454" s="86"/>
      <c r="M1454" s="87"/>
      <c r="N1454" s="88"/>
    </row>
    <row r="1455" spans="1:14" ht="18.75" x14ac:dyDescent="0.25">
      <c r="A1455" s="82"/>
      <c r="B1455" s="82"/>
      <c r="C1455" s="83"/>
      <c r="D1455" s="84"/>
      <c r="E1455" s="82"/>
      <c r="G1455" s="85"/>
      <c r="H1455" s="85"/>
      <c r="I1455" s="86"/>
      <c r="M1455" s="87"/>
      <c r="N1455" s="88"/>
    </row>
    <row r="1456" spans="1:14" ht="18.75" x14ac:dyDescent="0.25">
      <c r="A1456" s="82"/>
      <c r="B1456" s="82"/>
      <c r="C1456" s="83"/>
      <c r="D1456" s="84"/>
      <c r="E1456" s="82"/>
      <c r="G1456" s="85"/>
      <c r="H1456" s="85"/>
      <c r="I1456" s="86"/>
      <c r="M1456" s="87"/>
      <c r="N1456" s="88"/>
    </row>
    <row r="1457" spans="1:14" ht="18.75" x14ac:dyDescent="0.25">
      <c r="A1457" s="82"/>
      <c r="B1457" s="82"/>
      <c r="C1457" s="83"/>
      <c r="D1457" s="84"/>
      <c r="E1457" s="82"/>
      <c r="G1457" s="85"/>
      <c r="H1457" s="85"/>
      <c r="I1457" s="86"/>
      <c r="M1457" s="87"/>
      <c r="N1457" s="88"/>
    </row>
    <row r="1458" spans="1:14" ht="18.75" x14ac:dyDescent="0.25">
      <c r="A1458" s="82"/>
      <c r="B1458" s="82"/>
      <c r="C1458" s="83"/>
      <c r="D1458" s="84"/>
      <c r="E1458" s="82"/>
      <c r="G1458" s="85"/>
      <c r="H1458" s="85"/>
      <c r="I1458" s="86"/>
      <c r="M1458" s="87"/>
      <c r="N1458" s="88"/>
    </row>
    <row r="1459" spans="1:14" ht="18.75" x14ac:dyDescent="0.25">
      <c r="A1459" s="82"/>
      <c r="B1459" s="82"/>
      <c r="C1459" s="83"/>
      <c r="D1459" s="84"/>
      <c r="E1459" s="82"/>
      <c r="G1459" s="85"/>
      <c r="H1459" s="85"/>
      <c r="I1459" s="86"/>
      <c r="M1459" s="87"/>
      <c r="N1459" s="88"/>
    </row>
    <row r="1460" spans="1:14" ht="18.75" x14ac:dyDescent="0.25">
      <c r="A1460" s="82"/>
      <c r="B1460" s="82"/>
      <c r="C1460" s="83"/>
      <c r="D1460" s="84"/>
      <c r="E1460" s="82"/>
      <c r="G1460" s="85"/>
      <c r="H1460" s="85"/>
      <c r="I1460" s="86"/>
      <c r="M1460" s="87"/>
      <c r="N1460" s="88"/>
    </row>
    <row r="1461" spans="1:14" ht="18.75" x14ac:dyDescent="0.25">
      <c r="A1461" s="82"/>
      <c r="B1461" s="82"/>
      <c r="C1461" s="83"/>
      <c r="D1461" s="84"/>
      <c r="E1461" s="82"/>
      <c r="G1461" s="85"/>
      <c r="H1461" s="85"/>
      <c r="I1461" s="86"/>
      <c r="M1461" s="87"/>
      <c r="N1461" s="88"/>
    </row>
    <row r="1462" spans="1:14" ht="18.75" x14ac:dyDescent="0.25">
      <c r="A1462" s="82"/>
      <c r="B1462" s="82"/>
      <c r="C1462" s="83"/>
      <c r="D1462" s="84"/>
      <c r="E1462" s="82"/>
      <c r="G1462" s="85"/>
      <c r="H1462" s="85"/>
      <c r="I1462" s="86"/>
      <c r="M1462" s="87"/>
      <c r="N1462" s="88"/>
    </row>
    <row r="1463" spans="1:14" ht="18.75" x14ac:dyDescent="0.25">
      <c r="A1463" s="82"/>
      <c r="B1463" s="82"/>
      <c r="C1463" s="83"/>
      <c r="D1463" s="84"/>
      <c r="E1463" s="82"/>
      <c r="G1463" s="85"/>
      <c r="H1463" s="85"/>
      <c r="I1463" s="86"/>
      <c r="M1463" s="87"/>
      <c r="N1463" s="88"/>
    </row>
    <row r="1464" spans="1:14" ht="18.75" x14ac:dyDescent="0.25">
      <c r="A1464" s="82"/>
      <c r="B1464" s="82"/>
      <c r="C1464" s="83"/>
      <c r="D1464" s="84"/>
      <c r="E1464" s="82"/>
      <c r="G1464" s="85"/>
      <c r="H1464" s="85"/>
      <c r="I1464" s="86"/>
      <c r="M1464" s="87"/>
      <c r="N1464" s="88"/>
    </row>
    <row r="1465" spans="1:14" ht="18.75" x14ac:dyDescent="0.25">
      <c r="A1465" s="82"/>
      <c r="B1465" s="82"/>
      <c r="C1465" s="83"/>
      <c r="D1465" s="84"/>
      <c r="E1465" s="82"/>
      <c r="G1465" s="85"/>
      <c r="H1465" s="85"/>
      <c r="I1465" s="86"/>
      <c r="M1465" s="87"/>
      <c r="N1465" s="88"/>
    </row>
    <row r="1466" spans="1:14" ht="18.75" x14ac:dyDescent="0.25">
      <c r="A1466" s="82"/>
      <c r="B1466" s="82"/>
      <c r="C1466" s="83"/>
      <c r="D1466" s="84"/>
      <c r="E1466" s="82"/>
      <c r="G1466" s="85"/>
      <c r="H1466" s="85"/>
      <c r="I1466" s="86"/>
      <c r="M1466" s="87"/>
      <c r="N1466" s="88"/>
    </row>
    <row r="1467" spans="1:14" ht="18.75" x14ac:dyDescent="0.25">
      <c r="A1467" s="82"/>
      <c r="B1467" s="82"/>
      <c r="C1467" s="83"/>
      <c r="D1467" s="84"/>
      <c r="E1467" s="82"/>
      <c r="G1467" s="85"/>
      <c r="H1467" s="85"/>
      <c r="I1467" s="86"/>
      <c r="M1467" s="87"/>
      <c r="N1467" s="88"/>
    </row>
    <row r="1468" spans="1:14" ht="18.75" x14ac:dyDescent="0.25">
      <c r="A1468" s="82"/>
      <c r="B1468" s="82"/>
      <c r="C1468" s="83"/>
      <c r="D1468" s="84"/>
      <c r="E1468" s="82"/>
      <c r="G1468" s="85"/>
      <c r="H1468" s="85"/>
      <c r="I1468" s="86"/>
      <c r="M1468" s="87"/>
      <c r="N1468" s="88"/>
    </row>
    <row r="1469" spans="1:14" ht="18.75" x14ac:dyDescent="0.25">
      <c r="A1469" s="82"/>
      <c r="B1469" s="82"/>
      <c r="C1469" s="83"/>
      <c r="D1469" s="84"/>
      <c r="E1469" s="82"/>
      <c r="G1469" s="85"/>
      <c r="H1469" s="85"/>
      <c r="I1469" s="86"/>
      <c r="M1469" s="87"/>
      <c r="N1469" s="88"/>
    </row>
    <row r="1470" spans="1:14" ht="18.75" x14ac:dyDescent="0.25">
      <c r="A1470" s="82"/>
      <c r="B1470" s="82"/>
      <c r="C1470" s="83"/>
      <c r="D1470" s="84"/>
      <c r="E1470" s="82"/>
      <c r="G1470" s="85"/>
      <c r="H1470" s="85"/>
      <c r="I1470" s="86"/>
      <c r="M1470" s="87"/>
      <c r="N1470" s="88"/>
    </row>
    <row r="1471" spans="1:14" ht="18.75" x14ac:dyDescent="0.25">
      <c r="A1471" s="82"/>
      <c r="B1471" s="82"/>
      <c r="C1471" s="83"/>
      <c r="D1471" s="84"/>
      <c r="E1471" s="82"/>
      <c r="G1471" s="85"/>
      <c r="H1471" s="85"/>
      <c r="I1471" s="86"/>
      <c r="M1471" s="87"/>
      <c r="N1471" s="88"/>
    </row>
    <row r="1472" spans="1:14" ht="18.75" x14ac:dyDescent="0.25">
      <c r="A1472" s="82"/>
      <c r="B1472" s="82"/>
      <c r="C1472" s="83"/>
      <c r="D1472" s="84"/>
      <c r="E1472" s="82"/>
      <c r="G1472" s="85"/>
      <c r="H1472" s="85"/>
      <c r="I1472" s="86"/>
      <c r="M1472" s="87"/>
      <c r="N1472" s="88"/>
    </row>
    <row r="1473" spans="1:14" ht="18.75" x14ac:dyDescent="0.25">
      <c r="A1473" s="82"/>
      <c r="B1473" s="82"/>
      <c r="C1473" s="83"/>
      <c r="D1473" s="84"/>
      <c r="E1473" s="82"/>
      <c r="G1473" s="85"/>
      <c r="H1473" s="85"/>
      <c r="I1473" s="86"/>
      <c r="M1473" s="87"/>
      <c r="N1473" s="88"/>
    </row>
    <row r="1474" spans="1:14" ht="18.75" x14ac:dyDescent="0.25">
      <c r="A1474" s="82"/>
      <c r="B1474" s="82"/>
      <c r="C1474" s="83"/>
      <c r="D1474" s="84"/>
      <c r="E1474" s="82"/>
      <c r="G1474" s="85"/>
      <c r="H1474" s="85"/>
      <c r="I1474" s="86"/>
      <c r="M1474" s="87"/>
      <c r="N1474" s="88"/>
    </row>
    <row r="1475" spans="1:14" ht="18.75" x14ac:dyDescent="0.25">
      <c r="A1475" s="82"/>
      <c r="B1475" s="82"/>
      <c r="C1475" s="83"/>
      <c r="D1475" s="84"/>
      <c r="E1475" s="82"/>
      <c r="G1475" s="85"/>
      <c r="H1475" s="85"/>
      <c r="I1475" s="86"/>
      <c r="M1475" s="87"/>
      <c r="N1475" s="88"/>
    </row>
    <row r="1476" spans="1:14" ht="18.75" x14ac:dyDescent="0.25">
      <c r="A1476" s="82"/>
      <c r="B1476" s="82"/>
      <c r="C1476" s="83"/>
      <c r="D1476" s="84"/>
      <c r="E1476" s="82"/>
      <c r="G1476" s="85"/>
      <c r="H1476" s="85"/>
      <c r="I1476" s="86"/>
      <c r="M1476" s="87"/>
      <c r="N1476" s="88"/>
    </row>
    <row r="1477" spans="1:14" ht="18.75" x14ac:dyDescent="0.25">
      <c r="A1477" s="82"/>
      <c r="B1477" s="82"/>
      <c r="C1477" s="83"/>
      <c r="D1477" s="84"/>
      <c r="E1477" s="82"/>
      <c r="G1477" s="85"/>
      <c r="H1477" s="85"/>
      <c r="I1477" s="86"/>
      <c r="M1477" s="87"/>
      <c r="N1477" s="88"/>
    </row>
    <row r="1478" spans="1:14" ht="18.75" x14ac:dyDescent="0.25">
      <c r="A1478" s="82"/>
      <c r="B1478" s="82"/>
      <c r="C1478" s="83"/>
      <c r="D1478" s="84"/>
      <c r="E1478" s="82"/>
      <c r="G1478" s="85"/>
      <c r="H1478" s="85"/>
      <c r="I1478" s="86"/>
      <c r="M1478" s="87"/>
      <c r="N1478" s="88"/>
    </row>
    <row r="1479" spans="1:14" ht="18.75" x14ac:dyDescent="0.25">
      <c r="A1479" s="82"/>
      <c r="B1479" s="82"/>
      <c r="C1479" s="83"/>
      <c r="D1479" s="84"/>
      <c r="E1479" s="82"/>
      <c r="G1479" s="85"/>
      <c r="H1479" s="85"/>
      <c r="I1479" s="86"/>
      <c r="M1479" s="87"/>
      <c r="N1479" s="88"/>
    </row>
    <row r="1480" spans="1:14" ht="18.75" x14ac:dyDescent="0.25">
      <c r="A1480" s="82"/>
      <c r="B1480" s="82"/>
      <c r="C1480" s="83"/>
      <c r="D1480" s="84"/>
      <c r="E1480" s="82"/>
      <c r="G1480" s="85"/>
      <c r="H1480" s="85"/>
      <c r="I1480" s="86"/>
      <c r="M1480" s="87"/>
      <c r="N1480" s="88"/>
    </row>
    <row r="1481" spans="1:14" ht="18.75" x14ac:dyDescent="0.25">
      <c r="A1481" s="82"/>
      <c r="B1481" s="82"/>
      <c r="C1481" s="83"/>
      <c r="D1481" s="84"/>
      <c r="E1481" s="82"/>
      <c r="G1481" s="85"/>
      <c r="H1481" s="85"/>
      <c r="I1481" s="86"/>
      <c r="M1481" s="87"/>
      <c r="N1481" s="88"/>
    </row>
    <row r="1482" spans="1:14" ht="18.75" x14ac:dyDescent="0.25">
      <c r="A1482" s="82"/>
      <c r="B1482" s="82"/>
      <c r="C1482" s="83"/>
      <c r="D1482" s="84"/>
      <c r="E1482" s="82"/>
      <c r="G1482" s="85"/>
      <c r="H1482" s="85"/>
      <c r="I1482" s="86"/>
      <c r="M1482" s="87"/>
      <c r="N1482" s="88"/>
    </row>
    <row r="1483" spans="1:14" ht="18.75" x14ac:dyDescent="0.25">
      <c r="A1483" s="82"/>
      <c r="B1483" s="82"/>
      <c r="C1483" s="83"/>
      <c r="D1483" s="84"/>
      <c r="E1483" s="82"/>
      <c r="G1483" s="85"/>
      <c r="H1483" s="85"/>
      <c r="I1483" s="86"/>
      <c r="M1483" s="87"/>
      <c r="N1483" s="88"/>
    </row>
    <row r="1484" spans="1:14" ht="18.75" x14ac:dyDescent="0.25">
      <c r="A1484" s="82"/>
      <c r="B1484" s="82"/>
      <c r="C1484" s="83"/>
      <c r="D1484" s="84"/>
      <c r="E1484" s="82"/>
      <c r="G1484" s="85"/>
      <c r="H1484" s="85"/>
      <c r="I1484" s="86"/>
      <c r="M1484" s="87"/>
      <c r="N1484" s="88"/>
    </row>
    <row r="1485" spans="1:14" ht="18.75" x14ac:dyDescent="0.25">
      <c r="A1485" s="82"/>
      <c r="B1485" s="82"/>
      <c r="C1485" s="83"/>
      <c r="D1485" s="84"/>
      <c r="E1485" s="82"/>
      <c r="G1485" s="85"/>
      <c r="H1485" s="85"/>
      <c r="I1485" s="86"/>
      <c r="M1485" s="87"/>
      <c r="N1485" s="88"/>
    </row>
    <row r="1486" spans="1:14" ht="18.75" x14ac:dyDescent="0.25">
      <c r="A1486" s="82"/>
      <c r="B1486" s="82"/>
      <c r="C1486" s="83"/>
      <c r="D1486" s="84"/>
      <c r="E1486" s="82"/>
      <c r="G1486" s="85"/>
      <c r="H1486" s="85"/>
      <c r="I1486" s="86"/>
      <c r="M1486" s="87"/>
      <c r="N1486" s="88"/>
    </row>
    <row r="1487" spans="1:14" ht="18.75" x14ac:dyDescent="0.25">
      <c r="A1487" s="82"/>
      <c r="B1487" s="82"/>
      <c r="C1487" s="83"/>
      <c r="D1487" s="84"/>
      <c r="E1487" s="82"/>
      <c r="G1487" s="85"/>
      <c r="H1487" s="85"/>
      <c r="I1487" s="86"/>
      <c r="M1487" s="87"/>
      <c r="N1487" s="88"/>
    </row>
    <row r="1488" spans="1:14" ht="18.75" x14ac:dyDescent="0.25">
      <c r="A1488" s="82"/>
      <c r="B1488" s="82"/>
      <c r="C1488" s="83"/>
      <c r="D1488" s="84"/>
      <c r="E1488" s="82"/>
      <c r="G1488" s="85"/>
      <c r="H1488" s="85"/>
      <c r="I1488" s="86"/>
      <c r="M1488" s="87"/>
      <c r="N1488" s="88"/>
    </row>
    <row r="1489" spans="1:14" ht="18.75" x14ac:dyDescent="0.25">
      <c r="A1489" s="82"/>
      <c r="B1489" s="82"/>
      <c r="C1489" s="83"/>
      <c r="D1489" s="84"/>
      <c r="E1489" s="82"/>
      <c r="G1489" s="85"/>
      <c r="H1489" s="85"/>
      <c r="I1489" s="86"/>
      <c r="M1489" s="87"/>
      <c r="N1489" s="88"/>
    </row>
    <row r="1490" spans="1:14" ht="18.75" x14ac:dyDescent="0.25">
      <c r="A1490" s="82"/>
      <c r="B1490" s="82"/>
      <c r="C1490" s="83"/>
      <c r="D1490" s="84"/>
      <c r="E1490" s="82"/>
      <c r="G1490" s="85"/>
      <c r="H1490" s="85"/>
      <c r="I1490" s="86"/>
      <c r="M1490" s="87"/>
      <c r="N1490" s="88"/>
    </row>
    <row r="1491" spans="1:14" ht="18.75" x14ac:dyDescent="0.25">
      <c r="A1491" s="82"/>
      <c r="B1491" s="82"/>
      <c r="C1491" s="83"/>
      <c r="D1491" s="84"/>
      <c r="E1491" s="82"/>
      <c r="G1491" s="85"/>
      <c r="H1491" s="85"/>
      <c r="I1491" s="86"/>
      <c r="M1491" s="87"/>
      <c r="N1491" s="88"/>
    </row>
    <row r="1492" spans="1:14" ht="18.75" x14ac:dyDescent="0.25">
      <c r="A1492" s="82"/>
      <c r="B1492" s="82"/>
      <c r="C1492" s="83"/>
      <c r="D1492" s="84"/>
      <c r="E1492" s="82"/>
      <c r="G1492" s="85"/>
      <c r="H1492" s="85"/>
      <c r="I1492" s="86"/>
      <c r="M1492" s="87"/>
      <c r="N1492" s="88"/>
    </row>
    <row r="1493" spans="1:14" ht="18.75" x14ac:dyDescent="0.25">
      <c r="A1493" s="82"/>
      <c r="B1493" s="82"/>
      <c r="C1493" s="83"/>
      <c r="D1493" s="84"/>
      <c r="E1493" s="82"/>
      <c r="G1493" s="85"/>
      <c r="H1493" s="85"/>
      <c r="I1493" s="86"/>
      <c r="M1493" s="87"/>
      <c r="N1493" s="88"/>
    </row>
    <row r="1494" spans="1:14" ht="18.75" x14ac:dyDescent="0.25">
      <c r="A1494" s="82"/>
      <c r="B1494" s="82"/>
      <c r="C1494" s="83"/>
      <c r="D1494" s="84"/>
      <c r="E1494" s="82"/>
      <c r="G1494" s="85"/>
      <c r="H1494" s="85"/>
      <c r="I1494" s="86"/>
      <c r="M1494" s="87"/>
      <c r="N1494" s="88"/>
    </row>
    <row r="1495" spans="1:14" ht="18.75" x14ac:dyDescent="0.25">
      <c r="A1495" s="82"/>
      <c r="B1495" s="82"/>
      <c r="C1495" s="83"/>
      <c r="D1495" s="84"/>
      <c r="E1495" s="82"/>
      <c r="G1495" s="85"/>
      <c r="H1495" s="85"/>
      <c r="I1495" s="86"/>
      <c r="M1495" s="87"/>
      <c r="N1495" s="88"/>
    </row>
    <row r="1496" spans="1:14" ht="18.75" x14ac:dyDescent="0.25">
      <c r="A1496" s="82"/>
      <c r="B1496" s="82"/>
      <c r="C1496" s="83"/>
      <c r="D1496" s="84"/>
      <c r="E1496" s="82"/>
      <c r="G1496" s="85"/>
      <c r="H1496" s="85"/>
      <c r="I1496" s="86"/>
      <c r="M1496" s="87"/>
      <c r="N1496" s="88"/>
    </row>
    <row r="1497" spans="1:14" ht="18.75" x14ac:dyDescent="0.25">
      <c r="A1497" s="82"/>
      <c r="B1497" s="82"/>
      <c r="C1497" s="83"/>
      <c r="D1497" s="84"/>
      <c r="E1497" s="82"/>
      <c r="G1497" s="85"/>
      <c r="H1497" s="85"/>
      <c r="I1497" s="86"/>
      <c r="M1497" s="87"/>
      <c r="N1497" s="88"/>
    </row>
    <row r="1498" spans="1:14" ht="18.75" x14ac:dyDescent="0.25">
      <c r="A1498" s="82"/>
      <c r="B1498" s="82"/>
      <c r="C1498" s="83"/>
      <c r="D1498" s="84"/>
      <c r="E1498" s="82"/>
      <c r="G1498" s="85"/>
      <c r="H1498" s="85"/>
      <c r="I1498" s="86"/>
      <c r="M1498" s="87"/>
      <c r="N1498" s="88"/>
    </row>
    <row r="1499" spans="1:14" ht="18.75" x14ac:dyDescent="0.25">
      <c r="A1499" s="82"/>
      <c r="B1499" s="82"/>
      <c r="C1499" s="83"/>
      <c r="D1499" s="84"/>
      <c r="E1499" s="82"/>
      <c r="G1499" s="85"/>
      <c r="H1499" s="85"/>
      <c r="I1499" s="86"/>
      <c r="M1499" s="87"/>
      <c r="N1499" s="88"/>
    </row>
    <row r="1500" spans="1:14" ht="18.75" x14ac:dyDescent="0.25">
      <c r="A1500" s="82"/>
      <c r="B1500" s="82"/>
      <c r="C1500" s="83"/>
      <c r="D1500" s="84"/>
      <c r="E1500" s="82"/>
      <c r="G1500" s="85"/>
      <c r="H1500" s="85"/>
      <c r="I1500" s="86"/>
      <c r="M1500" s="87"/>
      <c r="N1500" s="88"/>
    </row>
    <row r="1501" spans="1:14" ht="18.75" x14ac:dyDescent="0.25">
      <c r="A1501" s="82"/>
      <c r="B1501" s="82"/>
      <c r="C1501" s="83"/>
      <c r="D1501" s="84"/>
      <c r="E1501" s="82"/>
      <c r="G1501" s="85"/>
      <c r="H1501" s="85"/>
      <c r="I1501" s="86"/>
      <c r="M1501" s="87"/>
      <c r="N1501" s="88"/>
    </row>
    <row r="1502" spans="1:14" ht="18.75" x14ac:dyDescent="0.25">
      <c r="A1502" s="82"/>
      <c r="B1502" s="82"/>
      <c r="C1502" s="83"/>
      <c r="D1502" s="84"/>
      <c r="E1502" s="82"/>
      <c r="G1502" s="85"/>
      <c r="H1502" s="85"/>
      <c r="I1502" s="86"/>
      <c r="M1502" s="87"/>
      <c r="N1502" s="88"/>
    </row>
    <row r="1503" spans="1:14" ht="18.75" x14ac:dyDescent="0.25">
      <c r="A1503" s="82"/>
      <c r="B1503" s="82"/>
      <c r="C1503" s="83"/>
      <c r="D1503" s="84"/>
      <c r="E1503" s="82"/>
      <c r="G1503" s="85"/>
      <c r="H1503" s="85"/>
      <c r="I1503" s="86"/>
      <c r="M1503" s="87"/>
      <c r="N1503" s="88"/>
    </row>
    <row r="1504" spans="1:14" ht="18.75" x14ac:dyDescent="0.25">
      <c r="A1504" s="82"/>
      <c r="B1504" s="82"/>
      <c r="C1504" s="83"/>
      <c r="D1504" s="84"/>
      <c r="E1504" s="82"/>
      <c r="G1504" s="85"/>
      <c r="H1504" s="85"/>
      <c r="I1504" s="86"/>
      <c r="M1504" s="87"/>
      <c r="N1504" s="88"/>
    </row>
    <row r="1505" spans="1:14" ht="18.75" x14ac:dyDescent="0.25">
      <c r="A1505" s="82"/>
      <c r="B1505" s="82"/>
      <c r="C1505" s="83"/>
      <c r="D1505" s="84"/>
      <c r="E1505" s="82"/>
      <c r="G1505" s="85"/>
      <c r="H1505" s="85"/>
      <c r="I1505" s="86"/>
      <c r="M1505" s="87"/>
      <c r="N1505" s="88"/>
    </row>
    <row r="1506" spans="1:14" ht="18.75" x14ac:dyDescent="0.25">
      <c r="A1506" s="82"/>
      <c r="B1506" s="82"/>
      <c r="C1506" s="83"/>
      <c r="D1506" s="84"/>
      <c r="E1506" s="82"/>
      <c r="G1506" s="85"/>
      <c r="H1506" s="85"/>
      <c r="I1506" s="86"/>
      <c r="M1506" s="87"/>
      <c r="N1506" s="88"/>
    </row>
    <row r="1507" spans="1:14" ht="18.75" x14ac:dyDescent="0.25">
      <c r="A1507" s="82"/>
      <c r="B1507" s="82"/>
      <c r="C1507" s="83"/>
      <c r="D1507" s="84"/>
      <c r="E1507" s="82"/>
      <c r="G1507" s="85"/>
      <c r="H1507" s="85"/>
      <c r="I1507" s="86"/>
      <c r="M1507" s="87"/>
      <c r="N1507" s="88"/>
    </row>
    <row r="1508" spans="1:14" ht="18.75" x14ac:dyDescent="0.25">
      <c r="A1508" s="82"/>
      <c r="B1508" s="82"/>
      <c r="C1508" s="83"/>
      <c r="D1508" s="84"/>
      <c r="E1508" s="82"/>
      <c r="G1508" s="85"/>
      <c r="H1508" s="85"/>
      <c r="I1508" s="86"/>
      <c r="M1508" s="87"/>
      <c r="N1508" s="88"/>
    </row>
    <row r="1509" spans="1:14" ht="18.75" x14ac:dyDescent="0.25">
      <c r="A1509" s="82"/>
      <c r="B1509" s="82"/>
      <c r="C1509" s="83"/>
      <c r="D1509" s="84"/>
      <c r="E1509" s="82"/>
      <c r="G1509" s="85"/>
      <c r="H1509" s="85"/>
      <c r="I1509" s="86"/>
      <c r="M1509" s="87"/>
      <c r="N1509" s="88"/>
    </row>
    <row r="1510" spans="1:14" ht="18.75" x14ac:dyDescent="0.25">
      <c r="A1510" s="82"/>
      <c r="B1510" s="82"/>
      <c r="C1510" s="83"/>
      <c r="D1510" s="84"/>
      <c r="E1510" s="82"/>
      <c r="G1510" s="85"/>
      <c r="H1510" s="85"/>
      <c r="I1510" s="86"/>
      <c r="M1510" s="87"/>
      <c r="N1510" s="88"/>
    </row>
    <row r="1511" spans="1:14" ht="18.75" x14ac:dyDescent="0.25">
      <c r="A1511" s="82"/>
      <c r="B1511" s="82"/>
      <c r="C1511" s="83"/>
      <c r="D1511" s="84"/>
      <c r="E1511" s="82"/>
      <c r="G1511" s="85"/>
      <c r="H1511" s="85"/>
      <c r="I1511" s="86"/>
      <c r="M1511" s="87"/>
      <c r="N1511" s="88"/>
    </row>
    <row r="1512" spans="1:14" ht="18.75" x14ac:dyDescent="0.25">
      <c r="A1512" s="82"/>
      <c r="B1512" s="82"/>
      <c r="C1512" s="83"/>
      <c r="D1512" s="84"/>
      <c r="E1512" s="82"/>
      <c r="G1512" s="85"/>
      <c r="H1512" s="85"/>
      <c r="I1512" s="86"/>
      <c r="M1512" s="87"/>
      <c r="N1512" s="88"/>
    </row>
    <row r="1513" spans="1:14" ht="18.75" x14ac:dyDescent="0.25">
      <c r="A1513" s="82"/>
      <c r="B1513" s="82"/>
      <c r="C1513" s="83"/>
      <c r="D1513" s="84"/>
      <c r="E1513" s="82"/>
      <c r="G1513" s="85"/>
      <c r="H1513" s="85"/>
      <c r="I1513" s="86"/>
      <c r="M1513" s="87"/>
      <c r="N1513" s="88"/>
    </row>
    <row r="1514" spans="1:14" ht="18.75" x14ac:dyDescent="0.25">
      <c r="A1514" s="82"/>
      <c r="B1514" s="82"/>
      <c r="C1514" s="83"/>
      <c r="D1514" s="84"/>
      <c r="E1514" s="82"/>
      <c r="G1514" s="85"/>
      <c r="H1514" s="85"/>
      <c r="I1514" s="86"/>
      <c r="M1514" s="87"/>
      <c r="N1514" s="88"/>
    </row>
    <row r="1515" spans="1:14" ht="18.75" x14ac:dyDescent="0.25">
      <c r="A1515" s="82"/>
      <c r="B1515" s="82"/>
      <c r="C1515" s="83"/>
      <c r="D1515" s="84"/>
      <c r="E1515" s="82"/>
      <c r="G1515" s="85"/>
      <c r="H1515" s="85"/>
      <c r="I1515" s="86"/>
      <c r="M1515" s="87"/>
      <c r="N1515" s="88"/>
    </row>
    <row r="1516" spans="1:14" ht="18.75" x14ac:dyDescent="0.25">
      <c r="A1516" s="82"/>
      <c r="B1516" s="82"/>
      <c r="C1516" s="83"/>
      <c r="D1516" s="84"/>
      <c r="E1516" s="82"/>
      <c r="G1516" s="85"/>
      <c r="H1516" s="85"/>
      <c r="I1516" s="86"/>
      <c r="M1516" s="87"/>
      <c r="N1516" s="88"/>
    </row>
    <row r="1517" spans="1:14" ht="18.75" x14ac:dyDescent="0.25">
      <c r="A1517" s="82"/>
      <c r="B1517" s="82"/>
      <c r="C1517" s="83"/>
      <c r="D1517" s="84"/>
      <c r="E1517" s="82"/>
      <c r="G1517" s="85"/>
      <c r="H1517" s="85"/>
      <c r="I1517" s="86"/>
      <c r="M1517" s="87"/>
      <c r="N1517" s="88"/>
    </row>
    <row r="1518" spans="1:14" ht="18.75" x14ac:dyDescent="0.25">
      <c r="A1518" s="82"/>
      <c r="B1518" s="82"/>
      <c r="C1518" s="83"/>
      <c r="D1518" s="84"/>
      <c r="E1518" s="82"/>
      <c r="G1518" s="85"/>
      <c r="H1518" s="85"/>
      <c r="I1518" s="86"/>
      <c r="M1518" s="87"/>
      <c r="N1518" s="88"/>
    </row>
    <row r="1519" spans="1:14" ht="18.75" x14ac:dyDescent="0.25">
      <c r="A1519" s="82"/>
      <c r="B1519" s="82"/>
      <c r="C1519" s="83"/>
      <c r="D1519" s="84"/>
      <c r="E1519" s="82"/>
      <c r="G1519" s="85"/>
      <c r="H1519" s="85"/>
      <c r="I1519" s="86"/>
      <c r="M1519" s="87"/>
      <c r="N1519" s="88"/>
    </row>
    <row r="1520" spans="1:14" ht="18.75" x14ac:dyDescent="0.25">
      <c r="A1520" s="82"/>
      <c r="B1520" s="82"/>
      <c r="C1520" s="83"/>
      <c r="D1520" s="84"/>
      <c r="E1520" s="82"/>
      <c r="G1520" s="85"/>
      <c r="H1520" s="85"/>
      <c r="I1520" s="86"/>
      <c r="M1520" s="87"/>
      <c r="N1520" s="88"/>
    </row>
    <row r="1521" spans="1:14" ht="18.75" x14ac:dyDescent="0.25">
      <c r="A1521" s="82"/>
      <c r="B1521" s="82"/>
      <c r="C1521" s="83"/>
      <c r="D1521" s="84"/>
      <c r="E1521" s="82"/>
      <c r="G1521" s="85"/>
      <c r="H1521" s="85"/>
      <c r="I1521" s="86"/>
      <c r="M1521" s="87"/>
      <c r="N1521" s="88"/>
    </row>
    <row r="1522" spans="1:14" ht="18.75" x14ac:dyDescent="0.25">
      <c r="A1522" s="82"/>
      <c r="B1522" s="82"/>
      <c r="C1522" s="83"/>
      <c r="D1522" s="84"/>
      <c r="E1522" s="82"/>
      <c r="G1522" s="85"/>
      <c r="H1522" s="85"/>
      <c r="I1522" s="86"/>
      <c r="M1522" s="87"/>
      <c r="N1522" s="88"/>
    </row>
    <row r="1523" spans="1:14" ht="18.75" x14ac:dyDescent="0.25">
      <c r="A1523" s="82"/>
      <c r="B1523" s="82"/>
      <c r="C1523" s="83"/>
      <c r="D1523" s="84"/>
      <c r="E1523" s="82"/>
      <c r="G1523" s="85"/>
      <c r="H1523" s="85"/>
      <c r="I1523" s="86"/>
      <c r="M1523" s="87"/>
      <c r="N1523" s="88"/>
    </row>
    <row r="1524" spans="1:14" ht="18.75" x14ac:dyDescent="0.25">
      <c r="A1524" s="82"/>
      <c r="B1524" s="82"/>
      <c r="C1524" s="83"/>
      <c r="D1524" s="84"/>
      <c r="E1524" s="82"/>
      <c r="G1524" s="85"/>
      <c r="H1524" s="85"/>
      <c r="I1524" s="86"/>
      <c r="M1524" s="87"/>
      <c r="N1524" s="88"/>
    </row>
    <row r="1525" spans="1:14" ht="18.75" x14ac:dyDescent="0.25">
      <c r="A1525" s="82"/>
      <c r="B1525" s="82"/>
      <c r="C1525" s="83"/>
      <c r="D1525" s="84"/>
      <c r="E1525" s="82"/>
      <c r="G1525" s="85"/>
      <c r="H1525" s="85"/>
      <c r="I1525" s="86"/>
      <c r="M1525" s="87"/>
      <c r="N1525" s="88"/>
    </row>
    <row r="1526" spans="1:14" ht="18.75" x14ac:dyDescent="0.25">
      <c r="A1526" s="82"/>
      <c r="B1526" s="82"/>
      <c r="C1526" s="83"/>
      <c r="D1526" s="84"/>
      <c r="E1526" s="82"/>
      <c r="G1526" s="85"/>
      <c r="H1526" s="85"/>
      <c r="I1526" s="86"/>
      <c r="M1526" s="87"/>
      <c r="N1526" s="88"/>
    </row>
    <row r="1527" spans="1:14" ht="18.75" x14ac:dyDescent="0.25">
      <c r="A1527" s="82"/>
      <c r="B1527" s="82"/>
      <c r="C1527" s="83"/>
      <c r="D1527" s="84"/>
      <c r="E1527" s="82"/>
      <c r="G1527" s="85"/>
      <c r="H1527" s="85"/>
      <c r="I1527" s="86"/>
      <c r="M1527" s="87"/>
      <c r="N1527" s="88"/>
    </row>
    <row r="1528" spans="1:14" ht="18.75" x14ac:dyDescent="0.25">
      <c r="A1528" s="82"/>
      <c r="B1528" s="82"/>
      <c r="C1528" s="83"/>
      <c r="D1528" s="84"/>
      <c r="E1528" s="82"/>
      <c r="G1528" s="85"/>
      <c r="H1528" s="85"/>
      <c r="I1528" s="86"/>
      <c r="M1528" s="87"/>
      <c r="N1528" s="88"/>
    </row>
    <row r="1529" spans="1:14" ht="18.75" x14ac:dyDescent="0.25">
      <c r="A1529" s="82"/>
      <c r="B1529" s="82"/>
      <c r="C1529" s="83"/>
      <c r="D1529" s="84"/>
      <c r="E1529" s="82"/>
      <c r="G1529" s="85"/>
      <c r="H1529" s="85"/>
      <c r="I1529" s="86"/>
      <c r="M1529" s="87"/>
      <c r="N1529" s="88"/>
    </row>
    <row r="1530" spans="1:14" ht="18.75" x14ac:dyDescent="0.25">
      <c r="A1530" s="82"/>
      <c r="B1530" s="82"/>
      <c r="C1530" s="83"/>
      <c r="D1530" s="84"/>
      <c r="E1530" s="82"/>
      <c r="G1530" s="85"/>
      <c r="H1530" s="85"/>
      <c r="I1530" s="86"/>
      <c r="M1530" s="87"/>
      <c r="N1530" s="88"/>
    </row>
    <row r="1531" spans="1:14" ht="18.75" x14ac:dyDescent="0.25">
      <c r="A1531" s="82"/>
      <c r="B1531" s="82"/>
      <c r="C1531" s="83"/>
      <c r="D1531" s="84"/>
      <c r="E1531" s="82"/>
      <c r="G1531" s="85"/>
      <c r="H1531" s="85"/>
      <c r="I1531" s="86"/>
      <c r="M1531" s="87"/>
      <c r="N1531" s="88"/>
    </row>
    <row r="1532" spans="1:14" ht="18.75" x14ac:dyDescent="0.25">
      <c r="A1532" s="82"/>
      <c r="B1532" s="82"/>
      <c r="C1532" s="83"/>
      <c r="D1532" s="84"/>
      <c r="E1532" s="82"/>
      <c r="G1532" s="85"/>
      <c r="H1532" s="85"/>
      <c r="I1532" s="86"/>
      <c r="M1532" s="87"/>
      <c r="N1532" s="88"/>
    </row>
    <row r="1533" spans="1:14" ht="18.75" x14ac:dyDescent="0.25">
      <c r="A1533" s="82"/>
      <c r="B1533" s="82"/>
      <c r="C1533" s="83"/>
      <c r="D1533" s="84"/>
      <c r="E1533" s="82"/>
      <c r="G1533" s="85"/>
      <c r="H1533" s="85"/>
      <c r="I1533" s="86"/>
      <c r="M1533" s="87"/>
      <c r="N1533" s="88"/>
    </row>
    <row r="1534" spans="1:14" ht="18.75" x14ac:dyDescent="0.25">
      <c r="A1534" s="82"/>
      <c r="B1534" s="82"/>
      <c r="C1534" s="83"/>
      <c r="D1534" s="84"/>
      <c r="E1534" s="82"/>
      <c r="G1534" s="85"/>
      <c r="H1534" s="85"/>
      <c r="I1534" s="86"/>
      <c r="M1534" s="87"/>
      <c r="N1534" s="88"/>
    </row>
    <row r="1535" spans="1:14" ht="18.75" x14ac:dyDescent="0.25">
      <c r="A1535" s="82"/>
      <c r="B1535" s="82"/>
      <c r="C1535" s="83"/>
      <c r="D1535" s="84"/>
      <c r="E1535" s="82"/>
      <c r="G1535" s="85"/>
      <c r="H1535" s="85"/>
      <c r="I1535" s="86"/>
      <c r="M1535" s="87"/>
      <c r="N1535" s="88"/>
    </row>
    <row r="1536" spans="1:14" ht="18.75" x14ac:dyDescent="0.25">
      <c r="A1536" s="82"/>
      <c r="B1536" s="82"/>
      <c r="C1536" s="83"/>
      <c r="D1536" s="84"/>
      <c r="E1536" s="82"/>
      <c r="G1536" s="85"/>
      <c r="H1536" s="85"/>
      <c r="I1536" s="86"/>
      <c r="M1536" s="87"/>
      <c r="N1536" s="88"/>
    </row>
    <row r="1537" spans="1:14" ht="18.75" x14ac:dyDescent="0.25">
      <c r="A1537" s="82"/>
      <c r="B1537" s="82"/>
      <c r="C1537" s="83"/>
      <c r="D1537" s="84"/>
      <c r="E1537" s="82"/>
      <c r="G1537" s="85"/>
      <c r="H1537" s="85"/>
      <c r="I1537" s="86"/>
      <c r="M1537" s="87"/>
      <c r="N1537" s="88"/>
    </row>
    <row r="1538" spans="1:14" ht="18.75" x14ac:dyDescent="0.25">
      <c r="A1538" s="82"/>
      <c r="B1538" s="82"/>
      <c r="C1538" s="83"/>
      <c r="D1538" s="84"/>
      <c r="E1538" s="82"/>
      <c r="G1538" s="85"/>
      <c r="H1538" s="85"/>
      <c r="I1538" s="86"/>
      <c r="M1538" s="87"/>
      <c r="N1538" s="88"/>
    </row>
    <row r="1539" spans="1:14" ht="18.75" x14ac:dyDescent="0.25">
      <c r="A1539" s="82"/>
      <c r="B1539" s="82"/>
      <c r="C1539" s="83"/>
      <c r="D1539" s="84"/>
      <c r="E1539" s="82"/>
      <c r="G1539" s="85"/>
      <c r="H1539" s="85"/>
      <c r="I1539" s="86"/>
      <c r="M1539" s="87"/>
      <c r="N1539" s="88"/>
    </row>
    <row r="1540" spans="1:14" ht="18.75" x14ac:dyDescent="0.25">
      <c r="A1540" s="82"/>
      <c r="B1540" s="82"/>
      <c r="C1540" s="83"/>
      <c r="D1540" s="84"/>
      <c r="E1540" s="82"/>
      <c r="G1540" s="85"/>
      <c r="H1540" s="85"/>
      <c r="I1540" s="86"/>
      <c r="M1540" s="87"/>
      <c r="N1540" s="88"/>
    </row>
    <row r="1541" spans="1:14" ht="18.75" x14ac:dyDescent="0.25">
      <c r="A1541" s="82"/>
      <c r="B1541" s="82"/>
      <c r="C1541" s="83"/>
      <c r="D1541" s="84"/>
      <c r="E1541" s="82"/>
      <c r="G1541" s="85"/>
      <c r="H1541" s="85"/>
      <c r="I1541" s="86"/>
      <c r="M1541" s="87"/>
      <c r="N1541" s="88"/>
    </row>
    <row r="1542" spans="1:14" ht="18.75" x14ac:dyDescent="0.25">
      <c r="A1542" s="82"/>
      <c r="B1542" s="82"/>
      <c r="C1542" s="83"/>
      <c r="D1542" s="84"/>
      <c r="E1542" s="82"/>
      <c r="G1542" s="85"/>
      <c r="H1542" s="85"/>
      <c r="I1542" s="86"/>
      <c r="M1542" s="87"/>
      <c r="N1542" s="88"/>
    </row>
    <row r="1543" spans="1:14" ht="18.75" x14ac:dyDescent="0.25">
      <c r="A1543" s="82"/>
      <c r="B1543" s="82"/>
      <c r="C1543" s="83"/>
      <c r="D1543" s="84"/>
      <c r="E1543" s="82"/>
      <c r="G1543" s="85"/>
      <c r="H1543" s="85"/>
      <c r="I1543" s="86"/>
      <c r="M1543" s="87"/>
      <c r="N1543" s="88"/>
    </row>
    <row r="1544" spans="1:14" ht="18.75" x14ac:dyDescent="0.25">
      <c r="A1544" s="82"/>
      <c r="B1544" s="82"/>
      <c r="C1544" s="83"/>
      <c r="D1544" s="84"/>
      <c r="E1544" s="82"/>
      <c r="G1544" s="85"/>
      <c r="H1544" s="85"/>
      <c r="I1544" s="86"/>
      <c r="M1544" s="87"/>
      <c r="N1544" s="88"/>
    </row>
    <row r="1545" spans="1:14" ht="18.75" x14ac:dyDescent="0.25">
      <c r="A1545" s="82"/>
      <c r="B1545" s="82"/>
      <c r="C1545" s="83"/>
      <c r="D1545" s="84"/>
      <c r="E1545" s="82"/>
      <c r="G1545" s="85"/>
      <c r="H1545" s="85"/>
      <c r="I1545" s="86"/>
      <c r="M1545" s="87"/>
      <c r="N1545" s="88"/>
    </row>
    <row r="1546" spans="1:14" ht="18.75" x14ac:dyDescent="0.25">
      <c r="A1546" s="82"/>
      <c r="B1546" s="82"/>
      <c r="C1546" s="83"/>
      <c r="D1546" s="84"/>
      <c r="E1546" s="82"/>
      <c r="G1546" s="85"/>
      <c r="H1546" s="85"/>
      <c r="I1546" s="86"/>
      <c r="M1546" s="87"/>
      <c r="N1546" s="88"/>
    </row>
    <row r="1547" spans="1:14" ht="18.75" x14ac:dyDescent="0.25">
      <c r="A1547" s="82"/>
      <c r="B1547" s="82"/>
      <c r="C1547" s="83"/>
      <c r="D1547" s="84"/>
      <c r="E1547" s="82"/>
      <c r="G1547" s="85"/>
      <c r="H1547" s="85"/>
      <c r="I1547" s="86"/>
      <c r="M1547" s="87"/>
      <c r="N1547" s="88"/>
    </row>
    <row r="1548" spans="1:14" ht="18.75" x14ac:dyDescent="0.25">
      <c r="A1548" s="82"/>
      <c r="B1548" s="82"/>
      <c r="C1548" s="83"/>
      <c r="D1548" s="84"/>
      <c r="E1548" s="82"/>
      <c r="G1548" s="85"/>
      <c r="H1548" s="85"/>
      <c r="I1548" s="86"/>
      <c r="M1548" s="87"/>
      <c r="N1548" s="88"/>
    </row>
    <row r="1549" spans="1:14" ht="18.75" x14ac:dyDescent="0.25">
      <c r="A1549" s="82"/>
      <c r="B1549" s="82"/>
      <c r="C1549" s="83"/>
      <c r="D1549" s="84"/>
      <c r="E1549" s="82"/>
      <c r="G1549" s="85"/>
      <c r="H1549" s="85"/>
      <c r="I1549" s="86"/>
      <c r="M1549" s="87"/>
      <c r="N1549" s="88"/>
    </row>
    <row r="1550" spans="1:14" ht="18.75" x14ac:dyDescent="0.25">
      <c r="A1550" s="82"/>
      <c r="B1550" s="82"/>
      <c r="C1550" s="83"/>
      <c r="D1550" s="84"/>
      <c r="E1550" s="82"/>
      <c r="G1550" s="85"/>
      <c r="H1550" s="85"/>
      <c r="I1550" s="86"/>
      <c r="M1550" s="87"/>
      <c r="N1550" s="88"/>
    </row>
    <row r="1551" spans="1:14" ht="18.75" x14ac:dyDescent="0.25">
      <c r="A1551" s="82"/>
      <c r="B1551" s="82"/>
      <c r="C1551" s="83"/>
      <c r="D1551" s="84"/>
      <c r="E1551" s="82"/>
      <c r="G1551" s="85"/>
      <c r="H1551" s="85"/>
      <c r="I1551" s="86"/>
      <c r="M1551" s="87"/>
      <c r="N1551" s="88"/>
    </row>
    <row r="1552" spans="1:14" ht="18.75" x14ac:dyDescent="0.25">
      <c r="A1552" s="82"/>
      <c r="B1552" s="82"/>
      <c r="C1552" s="83"/>
      <c r="D1552" s="84"/>
      <c r="E1552" s="82"/>
      <c r="G1552" s="85"/>
      <c r="H1552" s="85"/>
      <c r="I1552" s="86"/>
      <c r="M1552" s="87"/>
      <c r="N1552" s="88"/>
    </row>
    <row r="1553" spans="1:14" ht="18.75" x14ac:dyDescent="0.25">
      <c r="A1553" s="82"/>
      <c r="B1553" s="82"/>
      <c r="C1553" s="83"/>
      <c r="D1553" s="84"/>
      <c r="E1553" s="82"/>
      <c r="G1553" s="85"/>
      <c r="H1553" s="85"/>
      <c r="I1553" s="86"/>
      <c r="M1553" s="87"/>
      <c r="N1553" s="88"/>
    </row>
    <row r="1554" spans="1:14" ht="18.75" x14ac:dyDescent="0.25">
      <c r="A1554" s="82"/>
      <c r="B1554" s="82"/>
      <c r="C1554" s="83"/>
      <c r="D1554" s="84"/>
      <c r="E1554" s="82"/>
      <c r="G1554" s="85"/>
      <c r="H1554" s="85"/>
      <c r="I1554" s="86"/>
      <c r="M1554" s="87"/>
      <c r="N1554" s="88"/>
    </row>
    <row r="1555" spans="1:14" ht="18.75" x14ac:dyDescent="0.25">
      <c r="A1555" s="82"/>
      <c r="B1555" s="82"/>
      <c r="C1555" s="83"/>
      <c r="D1555" s="84"/>
      <c r="E1555" s="82"/>
      <c r="G1555" s="85"/>
      <c r="H1555" s="85"/>
      <c r="I1555" s="86"/>
      <c r="M1555" s="87"/>
      <c r="N1555" s="88"/>
    </row>
    <row r="1556" spans="1:14" ht="18.75" x14ac:dyDescent="0.25">
      <c r="A1556" s="82"/>
      <c r="B1556" s="82"/>
      <c r="C1556" s="83"/>
      <c r="D1556" s="84"/>
      <c r="E1556" s="82"/>
      <c r="G1556" s="85"/>
      <c r="H1556" s="85"/>
      <c r="I1556" s="86"/>
      <c r="M1556" s="87"/>
      <c r="N1556" s="88"/>
    </row>
    <row r="1557" spans="1:14" ht="18.75" x14ac:dyDescent="0.25">
      <c r="A1557" s="82"/>
      <c r="B1557" s="82"/>
      <c r="C1557" s="83"/>
      <c r="D1557" s="84"/>
      <c r="E1557" s="82"/>
      <c r="G1557" s="85"/>
      <c r="H1557" s="85"/>
      <c r="I1557" s="86"/>
      <c r="M1557" s="87"/>
      <c r="N1557" s="88"/>
    </row>
    <row r="1558" spans="1:14" ht="18.75" x14ac:dyDescent="0.25">
      <c r="A1558" s="82"/>
      <c r="B1558" s="82"/>
      <c r="C1558" s="83"/>
      <c r="D1558" s="84"/>
      <c r="E1558" s="82"/>
      <c r="G1558" s="85"/>
      <c r="H1558" s="85"/>
      <c r="I1558" s="86"/>
      <c r="M1558" s="87"/>
      <c r="N1558" s="88"/>
    </row>
    <row r="1559" spans="1:14" ht="18.75" x14ac:dyDescent="0.25">
      <c r="A1559" s="82"/>
      <c r="B1559" s="82"/>
      <c r="C1559" s="83"/>
      <c r="D1559" s="84"/>
      <c r="E1559" s="82"/>
      <c r="G1559" s="85"/>
      <c r="H1559" s="85"/>
      <c r="I1559" s="86"/>
      <c r="M1559" s="87"/>
      <c r="N1559" s="88"/>
    </row>
    <row r="1560" spans="1:14" ht="18.75" x14ac:dyDescent="0.25">
      <c r="A1560" s="82"/>
      <c r="B1560" s="82"/>
      <c r="C1560" s="83"/>
      <c r="D1560" s="84"/>
      <c r="E1560" s="82"/>
      <c r="G1560" s="85"/>
      <c r="H1560" s="85"/>
      <c r="I1560" s="86"/>
      <c r="M1560" s="87"/>
      <c r="N1560" s="88"/>
    </row>
    <row r="1561" spans="1:14" ht="18.75" x14ac:dyDescent="0.25">
      <c r="A1561" s="82"/>
      <c r="B1561" s="82"/>
      <c r="C1561" s="83"/>
      <c r="D1561" s="84"/>
      <c r="E1561" s="82"/>
      <c r="G1561" s="85"/>
      <c r="H1561" s="85"/>
      <c r="I1561" s="86"/>
      <c r="M1561" s="87"/>
      <c r="N1561" s="88"/>
    </row>
    <row r="1562" spans="1:14" ht="18.75" x14ac:dyDescent="0.25">
      <c r="A1562" s="82"/>
      <c r="B1562" s="82"/>
      <c r="C1562" s="83"/>
      <c r="D1562" s="84"/>
      <c r="E1562" s="82"/>
      <c r="G1562" s="85"/>
      <c r="H1562" s="85"/>
      <c r="I1562" s="86"/>
      <c r="M1562" s="87"/>
      <c r="N1562" s="88"/>
    </row>
    <row r="1563" spans="1:14" ht="18.75" x14ac:dyDescent="0.25">
      <c r="A1563" s="82"/>
      <c r="B1563" s="82"/>
      <c r="C1563" s="83"/>
      <c r="D1563" s="84"/>
      <c r="E1563" s="82"/>
      <c r="G1563" s="85"/>
      <c r="H1563" s="85"/>
      <c r="I1563" s="86"/>
      <c r="M1563" s="87"/>
      <c r="N1563" s="88"/>
    </row>
    <row r="1564" spans="1:14" ht="18.75" x14ac:dyDescent="0.25">
      <c r="A1564" s="82"/>
      <c r="B1564" s="82"/>
      <c r="C1564" s="83"/>
      <c r="D1564" s="84"/>
      <c r="E1564" s="82"/>
      <c r="G1564" s="85"/>
      <c r="H1564" s="85"/>
      <c r="I1564" s="86"/>
      <c r="M1564" s="87"/>
      <c r="N1564" s="88"/>
    </row>
    <row r="1565" spans="1:14" ht="18.75" x14ac:dyDescent="0.25">
      <c r="A1565" s="82"/>
      <c r="B1565" s="82"/>
      <c r="C1565" s="83"/>
      <c r="D1565" s="84"/>
      <c r="E1565" s="82"/>
      <c r="G1565" s="85"/>
      <c r="H1565" s="85"/>
      <c r="I1565" s="86"/>
      <c r="M1565" s="87"/>
      <c r="N1565" s="88"/>
    </row>
    <row r="1566" spans="1:14" ht="18.75" x14ac:dyDescent="0.25">
      <c r="A1566" s="82"/>
      <c r="B1566" s="82"/>
      <c r="C1566" s="83"/>
      <c r="D1566" s="84"/>
      <c r="E1566" s="82"/>
      <c r="G1566" s="85"/>
      <c r="H1566" s="85"/>
      <c r="I1566" s="86"/>
      <c r="M1566" s="87"/>
      <c r="N1566" s="88"/>
    </row>
    <row r="1567" spans="1:14" ht="18.75" x14ac:dyDescent="0.25">
      <c r="A1567" s="82"/>
      <c r="B1567" s="82"/>
      <c r="C1567" s="83"/>
      <c r="D1567" s="84"/>
      <c r="E1567" s="82"/>
      <c r="G1567" s="85"/>
      <c r="H1567" s="85"/>
      <c r="I1567" s="86"/>
      <c r="M1567" s="87"/>
      <c r="N1567" s="88"/>
    </row>
    <row r="1568" spans="1:14" ht="18.75" x14ac:dyDescent="0.25">
      <c r="A1568" s="82"/>
      <c r="B1568" s="82"/>
      <c r="C1568" s="83"/>
      <c r="D1568" s="84"/>
      <c r="E1568" s="82"/>
      <c r="G1568" s="85"/>
      <c r="H1568" s="85"/>
      <c r="I1568" s="86"/>
      <c r="M1568" s="87"/>
      <c r="N1568" s="88"/>
    </row>
    <row r="1569" spans="1:14" ht="18.75" x14ac:dyDescent="0.25">
      <c r="A1569" s="82"/>
      <c r="B1569" s="82"/>
      <c r="C1569" s="83"/>
      <c r="D1569" s="84"/>
      <c r="E1569" s="82"/>
      <c r="G1569" s="85"/>
      <c r="H1569" s="85"/>
      <c r="I1569" s="86"/>
      <c r="M1569" s="87"/>
      <c r="N1569" s="88"/>
    </row>
    <row r="1570" spans="1:14" ht="18.75" x14ac:dyDescent="0.25">
      <c r="A1570" s="82"/>
      <c r="B1570" s="82"/>
      <c r="C1570" s="83"/>
      <c r="D1570" s="84"/>
      <c r="E1570" s="82"/>
      <c r="G1570" s="85"/>
      <c r="H1570" s="85"/>
      <c r="I1570" s="86"/>
      <c r="M1570" s="87"/>
      <c r="N1570" s="88"/>
    </row>
    <row r="1571" spans="1:14" ht="18.75" x14ac:dyDescent="0.25">
      <c r="A1571" s="82"/>
      <c r="B1571" s="82"/>
      <c r="C1571" s="83"/>
      <c r="D1571" s="84"/>
      <c r="E1571" s="82"/>
      <c r="G1571" s="85"/>
      <c r="H1571" s="85"/>
      <c r="I1571" s="86"/>
      <c r="M1571" s="87"/>
      <c r="N1571" s="88"/>
    </row>
    <row r="1572" spans="1:14" ht="18.75" x14ac:dyDescent="0.25">
      <c r="A1572" s="82"/>
      <c r="B1572" s="82"/>
      <c r="C1572" s="83"/>
      <c r="D1572" s="84"/>
      <c r="E1572" s="82"/>
      <c r="G1572" s="85"/>
      <c r="H1572" s="85"/>
      <c r="I1572" s="86"/>
      <c r="M1572" s="87"/>
      <c r="N1572" s="88"/>
    </row>
    <row r="1573" spans="1:14" ht="18.75" x14ac:dyDescent="0.25">
      <c r="A1573" s="82"/>
      <c r="B1573" s="82"/>
      <c r="C1573" s="83"/>
      <c r="D1573" s="84"/>
      <c r="E1573" s="82"/>
      <c r="G1573" s="85"/>
      <c r="H1573" s="85"/>
      <c r="I1573" s="86"/>
      <c r="M1573" s="87"/>
      <c r="N1573" s="88"/>
    </row>
    <row r="1574" spans="1:14" ht="18.75" x14ac:dyDescent="0.25">
      <c r="A1574" s="82"/>
      <c r="B1574" s="82"/>
      <c r="C1574" s="83"/>
      <c r="D1574" s="84"/>
      <c r="E1574" s="82"/>
      <c r="G1574" s="85"/>
      <c r="H1574" s="85"/>
      <c r="I1574" s="86"/>
      <c r="M1574" s="87"/>
      <c r="N1574" s="88"/>
    </row>
    <row r="1575" spans="1:14" ht="18.75" x14ac:dyDescent="0.25">
      <c r="A1575" s="82"/>
      <c r="B1575" s="82"/>
      <c r="C1575" s="83"/>
      <c r="D1575" s="84"/>
      <c r="E1575" s="82"/>
      <c r="G1575" s="85"/>
      <c r="H1575" s="85"/>
      <c r="I1575" s="86"/>
      <c r="M1575" s="87"/>
      <c r="N1575" s="88"/>
    </row>
    <row r="1576" spans="1:14" ht="18.75" x14ac:dyDescent="0.25">
      <c r="A1576" s="82"/>
      <c r="B1576" s="82"/>
      <c r="C1576" s="83"/>
      <c r="D1576" s="84"/>
      <c r="E1576" s="82"/>
      <c r="G1576" s="85"/>
      <c r="H1576" s="85"/>
      <c r="I1576" s="86"/>
      <c r="M1576" s="87"/>
      <c r="N1576" s="88"/>
    </row>
    <row r="1577" spans="1:14" ht="18.75" x14ac:dyDescent="0.25">
      <c r="A1577" s="82"/>
      <c r="B1577" s="82"/>
      <c r="C1577" s="83"/>
      <c r="D1577" s="84"/>
      <c r="E1577" s="82"/>
      <c r="G1577" s="85"/>
      <c r="H1577" s="85"/>
      <c r="I1577" s="86"/>
      <c r="M1577" s="87"/>
      <c r="N1577" s="88"/>
    </row>
    <row r="1578" spans="1:14" ht="18.75" x14ac:dyDescent="0.25">
      <c r="A1578" s="82"/>
      <c r="B1578" s="82"/>
      <c r="C1578" s="83"/>
      <c r="D1578" s="84"/>
      <c r="E1578" s="82"/>
      <c r="G1578" s="85"/>
      <c r="H1578" s="85"/>
      <c r="I1578" s="86"/>
      <c r="M1578" s="87"/>
      <c r="N1578" s="88"/>
    </row>
    <row r="1579" spans="1:14" ht="18.75" x14ac:dyDescent="0.25">
      <c r="A1579" s="82"/>
      <c r="B1579" s="82"/>
      <c r="C1579" s="83"/>
      <c r="D1579" s="84"/>
      <c r="E1579" s="82"/>
      <c r="G1579" s="85"/>
      <c r="H1579" s="85"/>
      <c r="I1579" s="86"/>
      <c r="M1579" s="87"/>
      <c r="N1579" s="88"/>
    </row>
    <row r="1580" spans="1:14" ht="18.75" x14ac:dyDescent="0.25">
      <c r="A1580" s="82"/>
      <c r="B1580" s="82"/>
      <c r="C1580" s="83"/>
      <c r="D1580" s="84"/>
      <c r="E1580" s="82"/>
      <c r="G1580" s="85"/>
      <c r="H1580" s="85"/>
      <c r="I1580" s="86"/>
      <c r="M1580" s="87"/>
      <c r="N1580" s="88"/>
    </row>
    <row r="1581" spans="1:14" ht="18.75" x14ac:dyDescent="0.25">
      <c r="A1581" s="82"/>
      <c r="B1581" s="82"/>
      <c r="C1581" s="83"/>
      <c r="D1581" s="84"/>
      <c r="E1581" s="82"/>
      <c r="G1581" s="85"/>
      <c r="H1581" s="85"/>
      <c r="I1581" s="86"/>
      <c r="M1581" s="87"/>
      <c r="N1581" s="88"/>
    </row>
    <row r="1582" spans="1:14" ht="18.75" x14ac:dyDescent="0.25">
      <c r="A1582" s="82"/>
      <c r="B1582" s="82"/>
      <c r="C1582" s="83"/>
      <c r="D1582" s="84"/>
      <c r="E1582" s="82"/>
      <c r="G1582" s="85"/>
      <c r="H1582" s="85"/>
      <c r="I1582" s="86"/>
      <c r="M1582" s="87"/>
      <c r="N1582" s="88"/>
    </row>
    <row r="1583" spans="1:14" ht="18.75" x14ac:dyDescent="0.25">
      <c r="A1583" s="82"/>
      <c r="B1583" s="82"/>
      <c r="C1583" s="83"/>
      <c r="D1583" s="84"/>
      <c r="E1583" s="82"/>
      <c r="G1583" s="85"/>
      <c r="H1583" s="85"/>
      <c r="I1583" s="86"/>
      <c r="M1583" s="87"/>
      <c r="N1583" s="88"/>
    </row>
    <row r="1584" spans="1:14" ht="18.75" x14ac:dyDescent="0.25">
      <c r="A1584" s="82"/>
      <c r="B1584" s="82"/>
      <c r="C1584" s="83"/>
      <c r="D1584" s="84"/>
      <c r="E1584" s="82"/>
      <c r="G1584" s="85"/>
      <c r="H1584" s="85"/>
      <c r="I1584" s="86"/>
      <c r="M1584" s="87"/>
      <c r="N1584" s="88"/>
    </row>
    <row r="1585" spans="1:14" ht="18.75" x14ac:dyDescent="0.25">
      <c r="A1585" s="82"/>
      <c r="B1585" s="82"/>
      <c r="C1585" s="83"/>
      <c r="D1585" s="84"/>
      <c r="E1585" s="82"/>
      <c r="G1585" s="85"/>
      <c r="H1585" s="85"/>
      <c r="I1585" s="86"/>
      <c r="M1585" s="87"/>
      <c r="N1585" s="88"/>
    </row>
    <row r="1586" spans="1:14" ht="18.75" x14ac:dyDescent="0.25">
      <c r="A1586" s="82"/>
      <c r="B1586" s="82"/>
      <c r="C1586" s="83"/>
      <c r="D1586" s="84"/>
      <c r="E1586" s="82"/>
      <c r="G1586" s="85"/>
      <c r="H1586" s="85"/>
      <c r="I1586" s="86"/>
      <c r="M1586" s="87"/>
      <c r="N1586" s="88"/>
    </row>
    <row r="1587" spans="1:14" ht="18.75" x14ac:dyDescent="0.25">
      <c r="A1587" s="82"/>
      <c r="B1587" s="82"/>
      <c r="C1587" s="83"/>
      <c r="D1587" s="84"/>
      <c r="E1587" s="82"/>
      <c r="G1587" s="85"/>
      <c r="H1587" s="85"/>
      <c r="I1587" s="86"/>
      <c r="M1587" s="87"/>
      <c r="N1587" s="88"/>
    </row>
    <row r="1588" spans="1:14" ht="18.75" x14ac:dyDescent="0.25">
      <c r="A1588" s="82"/>
      <c r="B1588" s="82"/>
      <c r="C1588" s="83"/>
      <c r="D1588" s="84"/>
      <c r="E1588" s="82"/>
      <c r="G1588" s="85"/>
      <c r="H1588" s="85"/>
      <c r="I1588" s="86"/>
      <c r="M1588" s="87"/>
      <c r="N1588" s="88"/>
    </row>
    <row r="1589" spans="1:14" ht="18.75" x14ac:dyDescent="0.25">
      <c r="A1589" s="82"/>
      <c r="B1589" s="82"/>
      <c r="C1589" s="83"/>
      <c r="D1589" s="84"/>
      <c r="E1589" s="82"/>
      <c r="G1589" s="85"/>
      <c r="H1589" s="85"/>
      <c r="I1589" s="86"/>
      <c r="M1589" s="87"/>
      <c r="N1589" s="88"/>
    </row>
    <row r="1590" spans="1:14" ht="18.75" x14ac:dyDescent="0.25">
      <c r="A1590" s="82"/>
      <c r="B1590" s="82"/>
      <c r="C1590" s="83"/>
      <c r="D1590" s="84"/>
      <c r="E1590" s="82"/>
      <c r="G1590" s="85"/>
      <c r="H1590" s="85"/>
      <c r="I1590" s="86"/>
      <c r="M1590" s="87"/>
      <c r="N1590" s="88"/>
    </row>
    <row r="1591" spans="1:14" ht="18.75" x14ac:dyDescent="0.25">
      <c r="A1591" s="82"/>
      <c r="B1591" s="82"/>
      <c r="C1591" s="83"/>
      <c r="D1591" s="84"/>
      <c r="E1591" s="82"/>
      <c r="G1591" s="85"/>
      <c r="H1591" s="85"/>
      <c r="I1591" s="86"/>
      <c r="M1591" s="87"/>
      <c r="N1591" s="88"/>
    </row>
    <row r="1592" spans="1:14" ht="18.75" x14ac:dyDescent="0.25">
      <c r="A1592" s="82"/>
      <c r="B1592" s="82"/>
      <c r="C1592" s="83"/>
      <c r="D1592" s="84"/>
      <c r="E1592" s="82"/>
      <c r="G1592" s="85"/>
      <c r="H1592" s="85"/>
      <c r="I1592" s="86"/>
      <c r="M1592" s="87"/>
      <c r="N1592" s="88"/>
    </row>
    <row r="1593" spans="1:14" ht="18.75" x14ac:dyDescent="0.25">
      <c r="A1593" s="82"/>
      <c r="B1593" s="82"/>
      <c r="C1593" s="83"/>
      <c r="D1593" s="84"/>
      <c r="E1593" s="82"/>
      <c r="G1593" s="85"/>
      <c r="H1593" s="85"/>
      <c r="I1593" s="86"/>
      <c r="M1593" s="87"/>
      <c r="N1593" s="88"/>
    </row>
    <row r="1594" spans="1:14" ht="18.75" x14ac:dyDescent="0.25">
      <c r="A1594" s="82"/>
      <c r="B1594" s="82"/>
      <c r="C1594" s="83"/>
      <c r="D1594" s="84"/>
      <c r="E1594" s="82"/>
      <c r="G1594" s="85"/>
      <c r="H1594" s="85"/>
      <c r="I1594" s="86"/>
      <c r="M1594" s="87"/>
      <c r="N1594" s="88"/>
    </row>
    <row r="1595" spans="1:14" ht="18.75" x14ac:dyDescent="0.25">
      <c r="A1595" s="82"/>
      <c r="B1595" s="82"/>
      <c r="C1595" s="83"/>
      <c r="D1595" s="84"/>
      <c r="E1595" s="82"/>
      <c r="G1595" s="85"/>
      <c r="H1595" s="85"/>
      <c r="I1595" s="86"/>
      <c r="M1595" s="87"/>
      <c r="N1595" s="88"/>
    </row>
    <row r="1596" spans="1:14" ht="18.75" x14ac:dyDescent="0.25">
      <c r="A1596" s="82"/>
      <c r="B1596" s="82"/>
      <c r="C1596" s="83"/>
      <c r="D1596" s="84"/>
      <c r="E1596" s="82"/>
      <c r="G1596" s="85"/>
      <c r="H1596" s="85"/>
      <c r="I1596" s="86"/>
      <c r="M1596" s="87"/>
      <c r="N1596" s="88"/>
    </row>
    <row r="1597" spans="1:14" ht="18.75" x14ac:dyDescent="0.25">
      <c r="A1597" s="82"/>
      <c r="B1597" s="82"/>
      <c r="C1597" s="83"/>
      <c r="D1597" s="84"/>
      <c r="E1597" s="82"/>
      <c r="G1597" s="85"/>
      <c r="H1597" s="85"/>
      <c r="I1597" s="86"/>
      <c r="M1597" s="87"/>
      <c r="N1597" s="88"/>
    </row>
    <row r="1598" spans="1:14" ht="18.75" x14ac:dyDescent="0.25">
      <c r="A1598" s="82"/>
      <c r="B1598" s="82"/>
      <c r="C1598" s="83"/>
      <c r="D1598" s="84"/>
      <c r="E1598" s="82"/>
      <c r="G1598" s="85"/>
      <c r="H1598" s="85"/>
      <c r="I1598" s="86"/>
      <c r="M1598" s="87"/>
      <c r="N1598" s="88"/>
    </row>
    <row r="1599" spans="1:14" ht="18.75" x14ac:dyDescent="0.25">
      <c r="A1599" s="82"/>
      <c r="B1599" s="82"/>
      <c r="C1599" s="83"/>
      <c r="D1599" s="84"/>
      <c r="E1599" s="82"/>
      <c r="G1599" s="85"/>
      <c r="H1599" s="85"/>
      <c r="I1599" s="86"/>
      <c r="M1599" s="87"/>
      <c r="N1599" s="88"/>
    </row>
    <row r="1600" spans="1:14" ht="18.75" x14ac:dyDescent="0.25">
      <c r="A1600" s="82"/>
      <c r="B1600" s="82"/>
      <c r="C1600" s="83"/>
      <c r="D1600" s="84"/>
      <c r="E1600" s="82"/>
      <c r="G1600" s="85"/>
      <c r="H1600" s="85"/>
      <c r="I1600" s="86"/>
      <c r="M1600" s="87"/>
      <c r="N1600" s="88"/>
    </row>
    <row r="1601" spans="1:14" ht="18.75" x14ac:dyDescent="0.25">
      <c r="A1601" s="82"/>
      <c r="B1601" s="82"/>
      <c r="C1601" s="83"/>
      <c r="D1601" s="84"/>
      <c r="E1601" s="82"/>
      <c r="G1601" s="85"/>
      <c r="H1601" s="85"/>
      <c r="I1601" s="86"/>
      <c r="M1601" s="87"/>
      <c r="N1601" s="88"/>
    </row>
    <row r="1602" spans="1:14" ht="18.75" x14ac:dyDescent="0.25">
      <c r="A1602" s="82"/>
      <c r="B1602" s="82"/>
      <c r="C1602" s="83"/>
      <c r="D1602" s="84"/>
      <c r="E1602" s="82"/>
      <c r="G1602" s="85"/>
      <c r="H1602" s="85"/>
      <c r="I1602" s="86"/>
      <c r="M1602" s="87"/>
      <c r="N1602" s="88"/>
    </row>
    <row r="1603" spans="1:14" ht="18.75" x14ac:dyDescent="0.25">
      <c r="A1603" s="82"/>
      <c r="B1603" s="82"/>
      <c r="C1603" s="83"/>
      <c r="D1603" s="84"/>
      <c r="E1603" s="82"/>
      <c r="G1603" s="85"/>
      <c r="H1603" s="85"/>
      <c r="I1603" s="86"/>
      <c r="M1603" s="87"/>
      <c r="N1603" s="88"/>
    </row>
    <row r="1604" spans="1:14" ht="18.75" x14ac:dyDescent="0.25">
      <c r="A1604" s="82"/>
      <c r="B1604" s="82"/>
      <c r="C1604" s="83"/>
      <c r="D1604" s="84"/>
      <c r="E1604" s="82"/>
      <c r="G1604" s="85"/>
      <c r="H1604" s="85"/>
      <c r="I1604" s="86"/>
      <c r="M1604" s="87"/>
      <c r="N1604" s="88"/>
    </row>
    <row r="1605" spans="1:14" ht="18.75" x14ac:dyDescent="0.25">
      <c r="A1605" s="82"/>
      <c r="B1605" s="82"/>
      <c r="C1605" s="83"/>
      <c r="D1605" s="84"/>
      <c r="E1605" s="82"/>
      <c r="G1605" s="85"/>
      <c r="H1605" s="85"/>
      <c r="I1605" s="86"/>
      <c r="M1605" s="87"/>
      <c r="N1605" s="88"/>
    </row>
    <row r="1606" spans="1:14" ht="18.75" x14ac:dyDescent="0.25">
      <c r="A1606" s="82"/>
      <c r="B1606" s="82"/>
      <c r="C1606" s="83"/>
      <c r="D1606" s="84"/>
      <c r="E1606" s="82"/>
      <c r="G1606" s="85"/>
      <c r="H1606" s="85"/>
      <c r="I1606" s="86"/>
      <c r="M1606" s="87"/>
      <c r="N1606" s="88"/>
    </row>
    <row r="1607" spans="1:14" ht="18.75" x14ac:dyDescent="0.25">
      <c r="A1607" s="82"/>
      <c r="B1607" s="82"/>
      <c r="C1607" s="83"/>
      <c r="D1607" s="84"/>
      <c r="E1607" s="82"/>
      <c r="G1607" s="85"/>
      <c r="H1607" s="85"/>
      <c r="I1607" s="86"/>
      <c r="M1607" s="87"/>
      <c r="N1607" s="88"/>
    </row>
    <row r="1608" spans="1:14" ht="18.75" x14ac:dyDescent="0.25">
      <c r="A1608" s="82"/>
      <c r="B1608" s="82"/>
      <c r="C1608" s="83"/>
      <c r="D1608" s="84"/>
      <c r="E1608" s="82"/>
      <c r="G1608" s="85"/>
      <c r="H1608" s="85"/>
      <c r="I1608" s="86"/>
      <c r="M1608" s="87"/>
      <c r="N1608" s="88"/>
    </row>
    <row r="1609" spans="1:14" ht="18.75" x14ac:dyDescent="0.25">
      <c r="A1609" s="82"/>
      <c r="B1609" s="82"/>
      <c r="C1609" s="83"/>
      <c r="D1609" s="84"/>
      <c r="E1609" s="82"/>
      <c r="G1609" s="85"/>
      <c r="H1609" s="85"/>
      <c r="I1609" s="86"/>
      <c r="M1609" s="87"/>
      <c r="N1609" s="88"/>
    </row>
    <row r="1610" spans="1:14" ht="18.75" x14ac:dyDescent="0.25">
      <c r="A1610" s="82"/>
      <c r="B1610" s="82"/>
      <c r="C1610" s="83"/>
      <c r="D1610" s="84"/>
      <c r="E1610" s="82"/>
      <c r="G1610" s="85"/>
      <c r="H1610" s="85"/>
      <c r="I1610" s="86"/>
      <c r="M1610" s="87"/>
      <c r="N1610" s="88"/>
    </row>
    <row r="1611" spans="1:14" ht="18.75" x14ac:dyDescent="0.25">
      <c r="A1611" s="82"/>
      <c r="B1611" s="82"/>
      <c r="C1611" s="83"/>
      <c r="D1611" s="84"/>
      <c r="E1611" s="82"/>
      <c r="G1611" s="85"/>
      <c r="H1611" s="85"/>
      <c r="I1611" s="86"/>
      <c r="M1611" s="87"/>
      <c r="N1611" s="88"/>
    </row>
    <row r="1612" spans="1:14" ht="18.75" x14ac:dyDescent="0.25">
      <c r="A1612" s="82"/>
      <c r="B1612" s="82"/>
      <c r="C1612" s="83"/>
      <c r="D1612" s="84"/>
      <c r="E1612" s="82"/>
      <c r="G1612" s="85"/>
      <c r="H1612" s="85"/>
      <c r="I1612" s="86"/>
      <c r="M1612" s="87"/>
      <c r="N1612" s="88"/>
    </row>
    <row r="1613" spans="1:14" ht="18.75" x14ac:dyDescent="0.25">
      <c r="A1613" s="82"/>
      <c r="B1613" s="82"/>
      <c r="C1613" s="83"/>
      <c r="D1613" s="84"/>
      <c r="E1613" s="82"/>
      <c r="G1613" s="85"/>
      <c r="H1613" s="85"/>
      <c r="I1613" s="86"/>
      <c r="M1613" s="87"/>
      <c r="N1613" s="88"/>
    </row>
    <row r="1614" spans="1:14" ht="18.75" x14ac:dyDescent="0.25">
      <c r="A1614" s="82"/>
      <c r="B1614" s="82"/>
      <c r="C1614" s="83"/>
      <c r="D1614" s="84"/>
      <c r="E1614" s="82"/>
      <c r="G1614" s="85"/>
      <c r="H1614" s="85"/>
      <c r="I1614" s="86"/>
      <c r="M1614" s="87"/>
      <c r="N1614" s="88"/>
    </row>
    <row r="1615" spans="1:14" ht="18.75" x14ac:dyDescent="0.25">
      <c r="A1615" s="82"/>
      <c r="B1615" s="82"/>
      <c r="C1615" s="83"/>
      <c r="D1615" s="84"/>
      <c r="E1615" s="82"/>
      <c r="G1615" s="85"/>
      <c r="H1615" s="85"/>
      <c r="I1615" s="86"/>
      <c r="M1615" s="87"/>
      <c r="N1615" s="88"/>
    </row>
    <row r="1616" spans="1:14" ht="18.75" x14ac:dyDescent="0.25">
      <c r="A1616" s="82"/>
      <c r="B1616" s="82"/>
      <c r="C1616" s="83"/>
      <c r="D1616" s="84"/>
      <c r="E1616" s="82"/>
      <c r="G1616" s="85"/>
      <c r="H1616" s="85"/>
      <c r="I1616" s="86"/>
      <c r="M1616" s="87"/>
      <c r="N1616" s="88"/>
    </row>
    <row r="1617" spans="1:14" ht="18.75" x14ac:dyDescent="0.25">
      <c r="A1617" s="82"/>
      <c r="B1617" s="82"/>
      <c r="C1617" s="83"/>
      <c r="D1617" s="84"/>
      <c r="E1617" s="82"/>
      <c r="G1617" s="85"/>
      <c r="H1617" s="85"/>
      <c r="I1617" s="86"/>
      <c r="M1617" s="87"/>
      <c r="N1617" s="88"/>
    </row>
    <row r="1618" spans="1:14" ht="18.75" x14ac:dyDescent="0.25">
      <c r="A1618" s="82"/>
      <c r="B1618" s="82"/>
      <c r="C1618" s="83"/>
      <c r="D1618" s="84"/>
      <c r="E1618" s="82"/>
      <c r="G1618" s="85"/>
      <c r="H1618" s="85"/>
      <c r="I1618" s="86"/>
      <c r="M1618" s="87"/>
      <c r="N1618" s="88"/>
    </row>
    <row r="1619" spans="1:14" ht="18.75" x14ac:dyDescent="0.25">
      <c r="A1619" s="82"/>
      <c r="B1619" s="82"/>
      <c r="C1619" s="83"/>
      <c r="D1619" s="84"/>
      <c r="E1619" s="82"/>
      <c r="G1619" s="85"/>
      <c r="H1619" s="85"/>
      <c r="I1619" s="86"/>
      <c r="M1619" s="87"/>
      <c r="N1619" s="88"/>
    </row>
    <row r="1620" spans="1:14" ht="18.75" x14ac:dyDescent="0.25">
      <c r="A1620" s="82"/>
      <c r="B1620" s="82"/>
      <c r="C1620" s="83"/>
      <c r="D1620" s="84"/>
      <c r="E1620" s="82"/>
      <c r="G1620" s="85"/>
      <c r="H1620" s="85"/>
      <c r="I1620" s="86"/>
      <c r="M1620" s="87"/>
      <c r="N1620" s="88"/>
    </row>
    <row r="1621" spans="1:14" ht="18.75" x14ac:dyDescent="0.25">
      <c r="A1621" s="82"/>
      <c r="B1621" s="82"/>
      <c r="C1621" s="83"/>
      <c r="D1621" s="84"/>
      <c r="E1621" s="82"/>
      <c r="G1621" s="85"/>
      <c r="H1621" s="85"/>
      <c r="I1621" s="86"/>
      <c r="M1621" s="87"/>
      <c r="N1621" s="88"/>
    </row>
    <row r="1622" spans="1:14" ht="18.75" x14ac:dyDescent="0.25">
      <c r="A1622" s="82"/>
      <c r="B1622" s="82"/>
      <c r="C1622" s="83"/>
      <c r="D1622" s="84"/>
      <c r="E1622" s="82"/>
      <c r="G1622" s="85"/>
      <c r="H1622" s="85"/>
      <c r="I1622" s="86"/>
      <c r="M1622" s="87"/>
      <c r="N1622" s="88"/>
    </row>
    <row r="1623" spans="1:14" ht="18.75" x14ac:dyDescent="0.25">
      <c r="A1623" s="82"/>
      <c r="B1623" s="82"/>
      <c r="C1623" s="83"/>
      <c r="D1623" s="84"/>
      <c r="E1623" s="82"/>
      <c r="G1623" s="85"/>
      <c r="H1623" s="85"/>
      <c r="I1623" s="86"/>
      <c r="M1623" s="87"/>
      <c r="N1623" s="88"/>
    </row>
    <row r="1624" spans="1:14" ht="18.75" x14ac:dyDescent="0.25">
      <c r="A1624" s="82"/>
      <c r="B1624" s="82"/>
      <c r="C1624" s="83"/>
      <c r="D1624" s="84"/>
      <c r="E1624" s="82"/>
      <c r="G1624" s="85"/>
      <c r="H1624" s="85"/>
      <c r="I1624" s="86"/>
      <c r="M1624" s="87"/>
      <c r="N1624" s="88"/>
    </row>
    <row r="1625" spans="1:14" ht="18.75" x14ac:dyDescent="0.25">
      <c r="A1625" s="82"/>
      <c r="B1625" s="82"/>
      <c r="C1625" s="83"/>
      <c r="D1625" s="84"/>
      <c r="E1625" s="82"/>
      <c r="G1625" s="85"/>
      <c r="H1625" s="85"/>
      <c r="I1625" s="86"/>
      <c r="M1625" s="87"/>
      <c r="N1625" s="88"/>
    </row>
    <row r="1626" spans="1:14" ht="18.75" x14ac:dyDescent="0.25">
      <c r="A1626" s="82"/>
      <c r="B1626" s="82"/>
      <c r="C1626" s="83"/>
      <c r="D1626" s="84"/>
      <c r="E1626" s="82"/>
      <c r="G1626" s="85"/>
      <c r="H1626" s="85"/>
      <c r="I1626" s="86"/>
      <c r="M1626" s="87"/>
      <c r="N1626" s="88"/>
    </row>
    <row r="1627" spans="1:14" ht="18.75" x14ac:dyDescent="0.25">
      <c r="A1627" s="82"/>
      <c r="B1627" s="82"/>
      <c r="C1627" s="83"/>
      <c r="D1627" s="84"/>
      <c r="E1627" s="82"/>
      <c r="G1627" s="85"/>
      <c r="H1627" s="85"/>
      <c r="I1627" s="86"/>
      <c r="M1627" s="87"/>
      <c r="N1627" s="88"/>
    </row>
    <row r="1628" spans="1:14" ht="18.75" x14ac:dyDescent="0.25">
      <c r="A1628" s="82"/>
      <c r="B1628" s="82"/>
      <c r="C1628" s="83"/>
      <c r="D1628" s="84"/>
      <c r="E1628" s="82"/>
      <c r="G1628" s="85"/>
      <c r="H1628" s="85"/>
      <c r="I1628" s="86"/>
      <c r="M1628" s="87"/>
      <c r="N1628" s="88"/>
    </row>
    <row r="1629" spans="1:14" ht="18.75" x14ac:dyDescent="0.25">
      <c r="A1629" s="82"/>
      <c r="B1629" s="82"/>
      <c r="C1629" s="83"/>
      <c r="D1629" s="84"/>
      <c r="E1629" s="82"/>
      <c r="G1629" s="85"/>
      <c r="H1629" s="85"/>
      <c r="I1629" s="86"/>
      <c r="M1629" s="87"/>
      <c r="N1629" s="88"/>
    </row>
    <row r="1630" spans="1:14" ht="18.75" x14ac:dyDescent="0.25">
      <c r="A1630" s="82"/>
      <c r="B1630" s="82"/>
      <c r="C1630" s="83"/>
      <c r="D1630" s="84"/>
      <c r="E1630" s="82"/>
      <c r="G1630" s="85"/>
      <c r="H1630" s="85"/>
      <c r="I1630" s="86"/>
      <c r="M1630" s="87"/>
      <c r="N1630" s="88"/>
    </row>
    <row r="1631" spans="1:14" ht="18.75" x14ac:dyDescent="0.25">
      <c r="A1631" s="82"/>
      <c r="B1631" s="82"/>
      <c r="C1631" s="83"/>
      <c r="D1631" s="84"/>
      <c r="E1631" s="82"/>
      <c r="G1631" s="85"/>
      <c r="H1631" s="85"/>
      <c r="I1631" s="86"/>
      <c r="M1631" s="87"/>
      <c r="N1631" s="88"/>
    </row>
    <row r="1632" spans="1:14" ht="18.75" x14ac:dyDescent="0.25">
      <c r="A1632" s="82"/>
      <c r="B1632" s="82"/>
      <c r="C1632" s="83"/>
      <c r="D1632" s="84"/>
      <c r="E1632" s="82"/>
      <c r="G1632" s="85"/>
      <c r="H1632" s="85"/>
      <c r="I1632" s="86"/>
      <c r="M1632" s="87"/>
      <c r="N1632" s="88"/>
    </row>
    <row r="1633" spans="1:14" ht="18.75" x14ac:dyDescent="0.25">
      <c r="A1633" s="82"/>
      <c r="B1633" s="82"/>
      <c r="C1633" s="83"/>
      <c r="D1633" s="84"/>
      <c r="E1633" s="82"/>
      <c r="G1633" s="85"/>
      <c r="H1633" s="85"/>
      <c r="I1633" s="86"/>
      <c r="M1633" s="87"/>
      <c r="N1633" s="88"/>
    </row>
    <row r="1634" spans="1:14" ht="18.75" x14ac:dyDescent="0.25">
      <c r="A1634" s="82"/>
      <c r="B1634" s="82"/>
      <c r="C1634" s="83"/>
      <c r="D1634" s="84"/>
      <c r="E1634" s="82"/>
      <c r="G1634" s="85"/>
      <c r="H1634" s="85"/>
      <c r="I1634" s="86"/>
      <c r="M1634" s="87"/>
      <c r="N1634" s="88"/>
    </row>
    <row r="1635" spans="1:14" ht="18.75" x14ac:dyDescent="0.25">
      <c r="A1635" s="82"/>
      <c r="B1635" s="82"/>
      <c r="C1635" s="83"/>
      <c r="D1635" s="84"/>
      <c r="E1635" s="82"/>
      <c r="G1635" s="85"/>
      <c r="H1635" s="85"/>
      <c r="I1635" s="86"/>
      <c r="M1635" s="87"/>
      <c r="N1635" s="88"/>
    </row>
    <row r="1636" spans="1:14" ht="18.75" x14ac:dyDescent="0.25">
      <c r="A1636" s="82"/>
      <c r="B1636" s="82"/>
      <c r="C1636" s="83"/>
      <c r="D1636" s="84"/>
      <c r="E1636" s="82"/>
      <c r="G1636" s="85"/>
      <c r="H1636" s="85"/>
      <c r="I1636" s="86"/>
      <c r="M1636" s="87"/>
      <c r="N1636" s="88"/>
    </row>
    <row r="1637" spans="1:14" ht="18.75" x14ac:dyDescent="0.25">
      <c r="A1637" s="82"/>
      <c r="B1637" s="82"/>
      <c r="C1637" s="83"/>
      <c r="D1637" s="84"/>
      <c r="E1637" s="82"/>
      <c r="G1637" s="85"/>
      <c r="H1637" s="85"/>
      <c r="I1637" s="86"/>
      <c r="M1637" s="87"/>
      <c r="N1637" s="88"/>
    </row>
    <row r="1638" spans="1:14" ht="18.75" x14ac:dyDescent="0.25">
      <c r="A1638" s="82"/>
      <c r="B1638" s="82"/>
      <c r="C1638" s="83"/>
      <c r="D1638" s="84"/>
      <c r="E1638" s="82"/>
      <c r="G1638" s="85"/>
      <c r="H1638" s="85"/>
      <c r="I1638" s="86"/>
      <c r="M1638" s="87"/>
      <c r="N1638" s="88"/>
    </row>
    <row r="1639" spans="1:14" ht="18.75" x14ac:dyDescent="0.25">
      <c r="A1639" s="82"/>
      <c r="B1639" s="82"/>
      <c r="C1639" s="83"/>
      <c r="D1639" s="84"/>
      <c r="E1639" s="82"/>
      <c r="G1639" s="85"/>
      <c r="H1639" s="85"/>
      <c r="I1639" s="86"/>
      <c r="M1639" s="87"/>
      <c r="N1639" s="88"/>
    </row>
    <row r="1640" spans="1:14" ht="18.75" x14ac:dyDescent="0.25">
      <c r="A1640" s="82"/>
      <c r="B1640" s="82"/>
      <c r="C1640" s="83"/>
      <c r="D1640" s="84"/>
      <c r="E1640" s="82"/>
      <c r="G1640" s="85"/>
      <c r="H1640" s="85"/>
      <c r="I1640" s="86"/>
      <c r="M1640" s="87"/>
      <c r="N1640" s="88"/>
    </row>
    <row r="1641" spans="1:14" ht="18.75" x14ac:dyDescent="0.25">
      <c r="A1641" s="82"/>
      <c r="B1641" s="82"/>
      <c r="C1641" s="83"/>
      <c r="D1641" s="84"/>
      <c r="E1641" s="82"/>
      <c r="G1641" s="85"/>
      <c r="H1641" s="85"/>
      <c r="I1641" s="86"/>
      <c r="M1641" s="87"/>
      <c r="N1641" s="88"/>
    </row>
    <row r="1642" spans="1:14" ht="18.75" x14ac:dyDescent="0.25">
      <c r="A1642" s="82"/>
      <c r="B1642" s="82"/>
      <c r="C1642" s="83"/>
      <c r="D1642" s="84"/>
      <c r="E1642" s="82"/>
      <c r="G1642" s="85"/>
      <c r="H1642" s="85"/>
      <c r="I1642" s="86"/>
      <c r="M1642" s="87"/>
      <c r="N1642" s="88"/>
    </row>
    <row r="1643" spans="1:14" ht="18.75" x14ac:dyDescent="0.25">
      <c r="A1643" s="82"/>
      <c r="B1643" s="82"/>
      <c r="C1643" s="83"/>
      <c r="D1643" s="84"/>
      <c r="E1643" s="82"/>
      <c r="G1643" s="85"/>
      <c r="H1643" s="85"/>
      <c r="I1643" s="86"/>
      <c r="M1643" s="87"/>
      <c r="N1643" s="88"/>
    </row>
    <row r="1644" spans="1:14" ht="18.75" x14ac:dyDescent="0.25">
      <c r="A1644" s="82"/>
      <c r="B1644" s="82"/>
      <c r="C1644" s="83"/>
      <c r="D1644" s="84"/>
      <c r="E1644" s="82"/>
      <c r="G1644" s="85"/>
      <c r="H1644" s="85"/>
      <c r="I1644" s="86"/>
      <c r="M1644" s="87"/>
      <c r="N1644" s="88"/>
    </row>
    <row r="1645" spans="1:14" ht="18.75" x14ac:dyDescent="0.25">
      <c r="A1645" s="82"/>
      <c r="B1645" s="82"/>
      <c r="C1645" s="83"/>
      <c r="D1645" s="84"/>
      <c r="E1645" s="82"/>
      <c r="G1645" s="85"/>
      <c r="H1645" s="85"/>
      <c r="I1645" s="86"/>
      <c r="M1645" s="87"/>
      <c r="N1645" s="88"/>
    </row>
    <row r="1646" spans="1:14" ht="18.75" x14ac:dyDescent="0.25">
      <c r="A1646" s="82"/>
      <c r="B1646" s="82"/>
      <c r="C1646" s="83"/>
      <c r="D1646" s="84"/>
      <c r="E1646" s="82"/>
      <c r="G1646" s="85"/>
      <c r="H1646" s="85"/>
      <c r="I1646" s="86"/>
      <c r="M1646" s="87"/>
      <c r="N1646" s="88"/>
    </row>
    <row r="1647" spans="1:14" ht="18.75" x14ac:dyDescent="0.25">
      <c r="A1647" s="82"/>
      <c r="B1647" s="82"/>
      <c r="C1647" s="83"/>
      <c r="D1647" s="84"/>
      <c r="E1647" s="82"/>
      <c r="G1647" s="85"/>
      <c r="H1647" s="85"/>
      <c r="I1647" s="86"/>
      <c r="M1647" s="87"/>
      <c r="N1647" s="88"/>
    </row>
    <row r="1648" spans="1:14" ht="18.75" x14ac:dyDescent="0.25">
      <c r="A1648" s="82"/>
      <c r="B1648" s="82"/>
      <c r="C1648" s="83"/>
      <c r="D1648" s="84"/>
      <c r="E1648" s="82"/>
      <c r="G1648" s="85"/>
      <c r="H1648" s="85"/>
      <c r="I1648" s="86"/>
      <c r="M1648" s="87"/>
      <c r="N1648" s="88"/>
    </row>
    <row r="1649" spans="1:14" ht="18.75" x14ac:dyDescent="0.25">
      <c r="A1649" s="82"/>
      <c r="B1649" s="82"/>
      <c r="C1649" s="83"/>
      <c r="D1649" s="84"/>
      <c r="E1649" s="82"/>
      <c r="G1649" s="85"/>
      <c r="H1649" s="85"/>
      <c r="I1649" s="86"/>
      <c r="M1649" s="87"/>
      <c r="N1649" s="88"/>
    </row>
    <row r="1650" spans="1:14" ht="18.75" x14ac:dyDescent="0.25">
      <c r="A1650" s="82"/>
      <c r="B1650" s="82"/>
      <c r="C1650" s="83"/>
      <c r="D1650" s="84"/>
      <c r="E1650" s="82"/>
      <c r="G1650" s="85"/>
      <c r="H1650" s="85"/>
      <c r="I1650" s="86"/>
      <c r="M1650" s="87"/>
      <c r="N1650" s="88"/>
    </row>
    <row r="1651" spans="1:14" ht="18.75" x14ac:dyDescent="0.25">
      <c r="A1651" s="82"/>
      <c r="B1651" s="82"/>
      <c r="C1651" s="83"/>
      <c r="D1651" s="84"/>
      <c r="E1651" s="82"/>
      <c r="G1651" s="85"/>
      <c r="H1651" s="85"/>
      <c r="I1651" s="86"/>
      <c r="M1651" s="87"/>
      <c r="N1651" s="88"/>
    </row>
    <row r="1652" spans="1:14" ht="18.75" x14ac:dyDescent="0.25">
      <c r="A1652" s="82"/>
      <c r="B1652" s="82"/>
      <c r="C1652" s="83"/>
      <c r="D1652" s="84"/>
      <c r="E1652" s="82"/>
      <c r="G1652" s="85"/>
      <c r="H1652" s="85"/>
      <c r="I1652" s="86"/>
      <c r="M1652" s="87"/>
      <c r="N1652" s="88"/>
    </row>
    <row r="1653" spans="1:14" ht="18.75" x14ac:dyDescent="0.25">
      <c r="A1653" s="82"/>
      <c r="B1653" s="82"/>
      <c r="C1653" s="83"/>
      <c r="D1653" s="84"/>
      <c r="E1653" s="82"/>
      <c r="G1653" s="85"/>
      <c r="H1653" s="85"/>
      <c r="I1653" s="86"/>
      <c r="M1653" s="87"/>
      <c r="N1653" s="88"/>
    </row>
    <row r="1654" spans="1:14" ht="18.75" x14ac:dyDescent="0.25">
      <c r="A1654" s="82"/>
      <c r="B1654" s="82"/>
      <c r="C1654" s="83"/>
      <c r="D1654" s="84"/>
      <c r="E1654" s="82"/>
      <c r="G1654" s="85"/>
      <c r="H1654" s="85"/>
      <c r="I1654" s="86"/>
      <c r="M1654" s="87"/>
      <c r="N1654" s="88"/>
    </row>
    <row r="1655" spans="1:14" ht="18.75" x14ac:dyDescent="0.25">
      <c r="A1655" s="82"/>
      <c r="B1655" s="82"/>
      <c r="C1655" s="83"/>
      <c r="D1655" s="84"/>
      <c r="E1655" s="82"/>
      <c r="G1655" s="85"/>
      <c r="H1655" s="85"/>
      <c r="I1655" s="86"/>
      <c r="M1655" s="87"/>
      <c r="N1655" s="88"/>
    </row>
    <row r="1656" spans="1:14" ht="18.75" x14ac:dyDescent="0.25">
      <c r="A1656" s="82"/>
      <c r="B1656" s="82"/>
      <c r="C1656" s="83"/>
      <c r="D1656" s="84"/>
      <c r="E1656" s="82"/>
      <c r="G1656" s="85"/>
      <c r="H1656" s="85"/>
      <c r="I1656" s="86"/>
      <c r="M1656" s="87"/>
      <c r="N1656" s="88"/>
    </row>
    <row r="1657" spans="1:14" ht="18.75" x14ac:dyDescent="0.25">
      <c r="A1657" s="82"/>
      <c r="B1657" s="82"/>
      <c r="C1657" s="83"/>
      <c r="D1657" s="84"/>
      <c r="E1657" s="82"/>
      <c r="G1657" s="85"/>
      <c r="H1657" s="85"/>
      <c r="I1657" s="86"/>
      <c r="M1657" s="87"/>
      <c r="N1657" s="88"/>
    </row>
    <row r="1658" spans="1:14" ht="18.75" x14ac:dyDescent="0.25">
      <c r="A1658" s="82"/>
      <c r="B1658" s="82"/>
      <c r="C1658" s="83"/>
      <c r="D1658" s="84"/>
      <c r="E1658" s="82"/>
      <c r="G1658" s="85"/>
      <c r="H1658" s="85"/>
      <c r="I1658" s="86"/>
      <c r="M1658" s="87"/>
      <c r="N1658" s="88"/>
    </row>
    <row r="1659" spans="1:14" ht="18.75" x14ac:dyDescent="0.25">
      <c r="A1659" s="82"/>
      <c r="B1659" s="82"/>
      <c r="C1659" s="83"/>
      <c r="D1659" s="84"/>
      <c r="E1659" s="82"/>
      <c r="G1659" s="85"/>
      <c r="H1659" s="85"/>
      <c r="I1659" s="86"/>
      <c r="M1659" s="87"/>
      <c r="N1659" s="88"/>
    </row>
    <row r="1660" spans="1:14" ht="18.75" x14ac:dyDescent="0.25">
      <c r="A1660" s="82"/>
      <c r="B1660" s="82"/>
      <c r="C1660" s="83"/>
      <c r="D1660" s="84"/>
      <c r="E1660" s="82"/>
      <c r="G1660" s="85"/>
      <c r="H1660" s="85"/>
      <c r="I1660" s="86"/>
      <c r="M1660" s="87"/>
      <c r="N1660" s="88"/>
    </row>
    <row r="1661" spans="1:14" ht="18.75" x14ac:dyDescent="0.25">
      <c r="A1661" s="82"/>
      <c r="B1661" s="82"/>
      <c r="C1661" s="83"/>
      <c r="D1661" s="84"/>
      <c r="E1661" s="82"/>
      <c r="G1661" s="85"/>
      <c r="H1661" s="85"/>
      <c r="I1661" s="86"/>
      <c r="M1661" s="87"/>
      <c r="N1661" s="88"/>
    </row>
    <row r="1662" spans="1:14" ht="18.75" x14ac:dyDescent="0.25">
      <c r="A1662" s="82"/>
      <c r="B1662" s="82"/>
      <c r="C1662" s="83"/>
      <c r="D1662" s="84"/>
      <c r="E1662" s="82"/>
      <c r="G1662" s="85"/>
      <c r="H1662" s="85"/>
      <c r="I1662" s="86"/>
      <c r="M1662" s="87"/>
      <c r="N1662" s="88"/>
    </row>
    <row r="1663" spans="1:14" ht="18.75" x14ac:dyDescent="0.25">
      <c r="A1663" s="82"/>
      <c r="B1663" s="82"/>
      <c r="C1663" s="83"/>
      <c r="D1663" s="84"/>
      <c r="E1663" s="82"/>
      <c r="G1663" s="85"/>
      <c r="H1663" s="85"/>
      <c r="I1663" s="86"/>
      <c r="M1663" s="87"/>
      <c r="N1663" s="88"/>
    </row>
    <row r="1664" spans="1:14" ht="18.75" x14ac:dyDescent="0.25">
      <c r="A1664" s="82"/>
      <c r="B1664" s="82"/>
      <c r="C1664" s="83"/>
      <c r="D1664" s="84"/>
      <c r="E1664" s="82"/>
      <c r="G1664" s="85"/>
      <c r="H1664" s="85"/>
      <c r="I1664" s="86"/>
      <c r="M1664" s="87"/>
      <c r="N1664" s="88"/>
    </row>
    <row r="1665" spans="1:14" ht="18.75" x14ac:dyDescent="0.25">
      <c r="A1665" s="82"/>
      <c r="B1665" s="82"/>
      <c r="C1665" s="83"/>
      <c r="D1665" s="84"/>
      <c r="E1665" s="82"/>
      <c r="G1665" s="85"/>
      <c r="H1665" s="85"/>
      <c r="I1665" s="86"/>
      <c r="M1665" s="87"/>
      <c r="N1665" s="88"/>
    </row>
    <row r="1666" spans="1:14" ht="18.75" x14ac:dyDescent="0.25">
      <c r="A1666" s="82"/>
      <c r="B1666" s="82"/>
      <c r="C1666" s="83"/>
      <c r="D1666" s="84"/>
      <c r="E1666" s="82"/>
      <c r="G1666" s="85"/>
      <c r="H1666" s="85"/>
      <c r="I1666" s="86"/>
      <c r="M1666" s="87"/>
      <c r="N1666" s="88"/>
    </row>
    <row r="1667" spans="1:14" ht="18.75" x14ac:dyDescent="0.25">
      <c r="A1667" s="82"/>
      <c r="B1667" s="82"/>
      <c r="C1667" s="83"/>
      <c r="D1667" s="84"/>
      <c r="E1667" s="82"/>
      <c r="G1667" s="85"/>
      <c r="H1667" s="85"/>
      <c r="I1667" s="86"/>
      <c r="M1667" s="87"/>
      <c r="N1667" s="88"/>
    </row>
    <row r="1668" spans="1:14" ht="18.75" x14ac:dyDescent="0.25">
      <c r="A1668" s="82"/>
      <c r="B1668" s="82"/>
      <c r="C1668" s="83"/>
      <c r="D1668" s="84"/>
      <c r="E1668" s="82"/>
      <c r="G1668" s="85"/>
      <c r="H1668" s="85"/>
      <c r="I1668" s="86"/>
      <c r="M1668" s="87"/>
      <c r="N1668" s="88"/>
    </row>
    <row r="1669" spans="1:14" ht="18.75" x14ac:dyDescent="0.25">
      <c r="A1669" s="82"/>
      <c r="B1669" s="82"/>
      <c r="C1669" s="83"/>
      <c r="D1669" s="84"/>
      <c r="E1669" s="82"/>
      <c r="G1669" s="85"/>
      <c r="H1669" s="85"/>
      <c r="I1669" s="86"/>
      <c r="M1669" s="87"/>
      <c r="N1669" s="88"/>
    </row>
    <row r="1670" spans="1:14" ht="18.75" x14ac:dyDescent="0.25">
      <c r="A1670" s="82"/>
      <c r="B1670" s="82"/>
      <c r="C1670" s="83"/>
      <c r="D1670" s="84"/>
      <c r="E1670" s="82"/>
      <c r="G1670" s="85"/>
      <c r="H1670" s="85"/>
      <c r="I1670" s="86"/>
      <c r="M1670" s="87"/>
      <c r="N1670" s="88"/>
    </row>
    <row r="1671" spans="1:14" ht="18.75" x14ac:dyDescent="0.25">
      <c r="A1671" s="82"/>
      <c r="B1671" s="82"/>
      <c r="C1671" s="83"/>
      <c r="D1671" s="84"/>
      <c r="E1671" s="82"/>
      <c r="G1671" s="85"/>
      <c r="H1671" s="85"/>
      <c r="I1671" s="86"/>
      <c r="M1671" s="87"/>
      <c r="N1671" s="88"/>
    </row>
    <row r="1672" spans="1:14" ht="18.75" x14ac:dyDescent="0.25">
      <c r="A1672" s="82"/>
      <c r="B1672" s="82"/>
      <c r="C1672" s="83"/>
      <c r="D1672" s="84"/>
      <c r="E1672" s="82"/>
      <c r="G1672" s="85"/>
      <c r="H1672" s="85"/>
      <c r="I1672" s="86"/>
      <c r="M1672" s="87"/>
      <c r="N1672" s="88"/>
    </row>
    <row r="1673" spans="1:14" ht="18.75" x14ac:dyDescent="0.25">
      <c r="A1673" s="82"/>
      <c r="B1673" s="82"/>
      <c r="C1673" s="83"/>
      <c r="D1673" s="84"/>
      <c r="E1673" s="82"/>
      <c r="G1673" s="85"/>
      <c r="H1673" s="85"/>
      <c r="I1673" s="86"/>
      <c r="M1673" s="87"/>
      <c r="N1673" s="88"/>
    </row>
    <row r="1674" spans="1:14" ht="18.75" x14ac:dyDescent="0.25">
      <c r="A1674" s="82"/>
      <c r="B1674" s="82"/>
      <c r="C1674" s="83"/>
      <c r="D1674" s="84"/>
      <c r="E1674" s="82"/>
      <c r="G1674" s="85"/>
      <c r="H1674" s="85"/>
      <c r="I1674" s="86"/>
      <c r="M1674" s="87"/>
      <c r="N1674" s="88"/>
    </row>
    <row r="1675" spans="1:14" ht="18.75" x14ac:dyDescent="0.25">
      <c r="A1675" s="82"/>
      <c r="B1675" s="82"/>
      <c r="C1675" s="83"/>
      <c r="D1675" s="84"/>
      <c r="E1675" s="82"/>
      <c r="G1675" s="85"/>
      <c r="H1675" s="85"/>
      <c r="I1675" s="86"/>
      <c r="M1675" s="87"/>
      <c r="N1675" s="88"/>
    </row>
    <row r="1676" spans="1:14" ht="18.75" x14ac:dyDescent="0.25">
      <c r="A1676" s="82"/>
      <c r="B1676" s="82"/>
      <c r="C1676" s="83"/>
      <c r="D1676" s="84"/>
      <c r="E1676" s="82"/>
      <c r="G1676" s="85"/>
      <c r="H1676" s="85"/>
      <c r="I1676" s="86"/>
      <c r="M1676" s="87"/>
      <c r="N1676" s="88"/>
    </row>
    <row r="1677" spans="1:14" ht="18.75" x14ac:dyDescent="0.25">
      <c r="A1677" s="82"/>
      <c r="B1677" s="82"/>
      <c r="C1677" s="83"/>
      <c r="D1677" s="84"/>
      <c r="E1677" s="82"/>
      <c r="G1677" s="85"/>
      <c r="H1677" s="85"/>
      <c r="I1677" s="86"/>
      <c r="M1677" s="87"/>
      <c r="N1677" s="88"/>
    </row>
    <row r="1678" spans="1:14" ht="18.75" x14ac:dyDescent="0.25">
      <c r="A1678" s="82"/>
      <c r="B1678" s="82"/>
      <c r="C1678" s="83"/>
      <c r="D1678" s="84"/>
      <c r="E1678" s="82"/>
      <c r="G1678" s="85"/>
      <c r="H1678" s="85"/>
      <c r="I1678" s="86"/>
      <c r="M1678" s="87"/>
      <c r="N1678" s="88"/>
    </row>
    <row r="1679" spans="1:14" ht="18.75" x14ac:dyDescent="0.25">
      <c r="A1679" s="82"/>
      <c r="B1679" s="82"/>
      <c r="C1679" s="83"/>
      <c r="D1679" s="84"/>
      <c r="E1679" s="82"/>
      <c r="G1679" s="85"/>
      <c r="H1679" s="85"/>
      <c r="I1679" s="86"/>
      <c r="M1679" s="87"/>
      <c r="N1679" s="88"/>
    </row>
    <row r="1680" spans="1:14" ht="18.75" x14ac:dyDescent="0.25">
      <c r="A1680" s="82"/>
      <c r="B1680" s="82"/>
      <c r="C1680" s="83"/>
      <c r="D1680" s="84"/>
      <c r="E1680" s="82"/>
      <c r="G1680" s="85"/>
      <c r="H1680" s="85"/>
      <c r="I1680" s="86"/>
      <c r="M1680" s="87"/>
      <c r="N1680" s="88"/>
    </row>
    <row r="1681" spans="1:14" ht="18.75" x14ac:dyDescent="0.25">
      <c r="A1681" s="82"/>
      <c r="B1681" s="82"/>
      <c r="C1681" s="83"/>
      <c r="D1681" s="84"/>
      <c r="E1681" s="82"/>
      <c r="G1681" s="85"/>
      <c r="H1681" s="85"/>
      <c r="I1681" s="86"/>
      <c r="M1681" s="87"/>
      <c r="N1681" s="88"/>
    </row>
    <row r="1682" spans="1:14" ht="18.75" x14ac:dyDescent="0.25">
      <c r="A1682" s="82"/>
      <c r="B1682" s="82"/>
      <c r="C1682" s="83"/>
      <c r="D1682" s="84"/>
      <c r="E1682" s="82"/>
      <c r="G1682" s="85"/>
      <c r="H1682" s="85"/>
      <c r="I1682" s="86"/>
      <c r="M1682" s="87"/>
      <c r="N1682" s="88"/>
    </row>
    <row r="1683" spans="1:14" ht="18.75" x14ac:dyDescent="0.25">
      <c r="A1683" s="82"/>
      <c r="B1683" s="82"/>
      <c r="C1683" s="83"/>
      <c r="D1683" s="84"/>
      <c r="E1683" s="82"/>
      <c r="G1683" s="85"/>
      <c r="H1683" s="85"/>
      <c r="I1683" s="86"/>
      <c r="M1683" s="87"/>
      <c r="N1683" s="88"/>
    </row>
    <row r="1684" spans="1:14" ht="18.75" x14ac:dyDescent="0.25">
      <c r="A1684" s="82"/>
      <c r="B1684" s="82"/>
      <c r="C1684" s="83"/>
      <c r="D1684" s="84"/>
      <c r="E1684" s="82"/>
      <c r="G1684" s="85"/>
      <c r="H1684" s="85"/>
      <c r="I1684" s="86"/>
      <c r="M1684" s="87"/>
      <c r="N1684" s="88"/>
    </row>
    <row r="1685" spans="1:14" ht="18.75" x14ac:dyDescent="0.25">
      <c r="A1685" s="82"/>
      <c r="B1685" s="82"/>
      <c r="C1685" s="83"/>
      <c r="D1685" s="84"/>
      <c r="E1685" s="82"/>
      <c r="G1685" s="85"/>
      <c r="H1685" s="85"/>
      <c r="I1685" s="86"/>
      <c r="M1685" s="87"/>
      <c r="N1685" s="88"/>
    </row>
    <row r="1686" spans="1:14" ht="18.75" x14ac:dyDescent="0.25">
      <c r="A1686" s="82"/>
      <c r="B1686" s="82"/>
      <c r="C1686" s="83"/>
      <c r="D1686" s="84"/>
      <c r="E1686" s="82"/>
      <c r="G1686" s="85"/>
      <c r="H1686" s="85"/>
      <c r="I1686" s="86"/>
      <c r="M1686" s="87"/>
      <c r="N1686" s="88"/>
    </row>
    <row r="1687" spans="1:14" ht="18.75" x14ac:dyDescent="0.25">
      <c r="A1687" s="82"/>
      <c r="B1687" s="82"/>
      <c r="C1687" s="83"/>
      <c r="D1687" s="84"/>
      <c r="E1687" s="82"/>
      <c r="G1687" s="85"/>
      <c r="H1687" s="85"/>
      <c r="I1687" s="86"/>
      <c r="M1687" s="87"/>
      <c r="N1687" s="88"/>
    </row>
    <row r="1688" spans="1:14" ht="18.75" x14ac:dyDescent="0.25">
      <c r="A1688" s="82"/>
      <c r="B1688" s="82"/>
      <c r="C1688" s="83"/>
      <c r="D1688" s="84"/>
      <c r="E1688" s="82"/>
      <c r="G1688" s="85"/>
      <c r="H1688" s="85"/>
      <c r="I1688" s="86"/>
      <c r="M1688" s="87"/>
      <c r="N1688" s="88"/>
    </row>
    <row r="1689" spans="1:14" ht="18.75" x14ac:dyDescent="0.25">
      <c r="A1689" s="82"/>
      <c r="B1689" s="82"/>
      <c r="C1689" s="83"/>
      <c r="D1689" s="84"/>
      <c r="E1689" s="82"/>
      <c r="G1689" s="85"/>
      <c r="H1689" s="85"/>
      <c r="I1689" s="86"/>
      <c r="M1689" s="87"/>
      <c r="N1689" s="88"/>
    </row>
    <row r="1690" spans="1:14" ht="18.75" x14ac:dyDescent="0.25">
      <c r="A1690" s="82"/>
      <c r="B1690" s="82"/>
      <c r="C1690" s="83"/>
      <c r="D1690" s="84"/>
      <c r="E1690" s="82"/>
      <c r="G1690" s="85"/>
      <c r="H1690" s="85"/>
      <c r="I1690" s="86"/>
      <c r="M1690" s="87"/>
      <c r="N1690" s="88"/>
    </row>
    <row r="1691" spans="1:14" ht="18.75" x14ac:dyDescent="0.25">
      <c r="A1691" s="82"/>
      <c r="B1691" s="82"/>
      <c r="C1691" s="83"/>
      <c r="D1691" s="84"/>
      <c r="E1691" s="82"/>
      <c r="G1691" s="85"/>
      <c r="H1691" s="85"/>
      <c r="I1691" s="86"/>
      <c r="M1691" s="87"/>
      <c r="N1691" s="88"/>
    </row>
    <row r="1692" spans="1:14" ht="18.75" x14ac:dyDescent="0.25">
      <c r="A1692" s="82"/>
      <c r="B1692" s="82"/>
      <c r="C1692" s="83"/>
      <c r="D1692" s="84"/>
      <c r="E1692" s="82"/>
      <c r="G1692" s="85"/>
      <c r="H1692" s="85"/>
      <c r="I1692" s="86"/>
      <c r="M1692" s="87"/>
      <c r="N1692" s="88"/>
    </row>
    <row r="1693" spans="1:14" ht="18.75" x14ac:dyDescent="0.25">
      <c r="A1693" s="82"/>
      <c r="B1693" s="82"/>
      <c r="C1693" s="83"/>
      <c r="D1693" s="84"/>
      <c r="E1693" s="82"/>
      <c r="G1693" s="85"/>
      <c r="H1693" s="85"/>
      <c r="I1693" s="86"/>
      <c r="M1693" s="87"/>
      <c r="N1693" s="88"/>
    </row>
    <row r="1694" spans="1:14" ht="18.75" x14ac:dyDescent="0.25">
      <c r="A1694" s="82"/>
      <c r="B1694" s="82"/>
      <c r="C1694" s="83"/>
      <c r="D1694" s="84"/>
      <c r="E1694" s="82"/>
      <c r="G1694" s="85"/>
      <c r="H1694" s="85"/>
      <c r="I1694" s="86"/>
      <c r="M1694" s="87"/>
      <c r="N1694" s="88"/>
    </row>
    <row r="1695" spans="1:14" ht="18.75" x14ac:dyDescent="0.25">
      <c r="A1695" s="82"/>
      <c r="B1695" s="82"/>
      <c r="C1695" s="83"/>
      <c r="D1695" s="84"/>
      <c r="E1695" s="82"/>
      <c r="G1695" s="85"/>
      <c r="H1695" s="85"/>
      <c r="I1695" s="86"/>
      <c r="M1695" s="87"/>
      <c r="N1695" s="88"/>
    </row>
    <row r="1696" spans="1:14" ht="18.75" x14ac:dyDescent="0.25">
      <c r="A1696" s="82"/>
      <c r="B1696" s="82"/>
      <c r="C1696" s="83"/>
      <c r="D1696" s="84"/>
      <c r="E1696" s="82"/>
      <c r="G1696" s="85"/>
      <c r="H1696" s="85"/>
      <c r="I1696" s="86"/>
      <c r="M1696" s="87"/>
      <c r="N1696" s="88"/>
    </row>
    <row r="1697" spans="1:14" ht="18.75" x14ac:dyDescent="0.25">
      <c r="A1697" s="82"/>
      <c r="B1697" s="82"/>
      <c r="C1697" s="83"/>
      <c r="D1697" s="84"/>
      <c r="E1697" s="82"/>
      <c r="G1697" s="85"/>
      <c r="H1697" s="85"/>
      <c r="I1697" s="86"/>
      <c r="M1697" s="87"/>
      <c r="N1697" s="88"/>
    </row>
    <row r="1698" spans="1:14" ht="18.75" x14ac:dyDescent="0.25">
      <c r="A1698" s="82"/>
      <c r="B1698" s="82"/>
      <c r="C1698" s="83"/>
      <c r="D1698" s="84"/>
      <c r="E1698" s="82"/>
      <c r="G1698" s="85"/>
      <c r="H1698" s="85"/>
      <c r="I1698" s="86"/>
      <c r="M1698" s="87"/>
      <c r="N1698" s="88"/>
    </row>
    <row r="1699" spans="1:14" ht="18.75" x14ac:dyDescent="0.25">
      <c r="A1699" s="82"/>
      <c r="B1699" s="82"/>
      <c r="C1699" s="83"/>
      <c r="D1699" s="84"/>
      <c r="E1699" s="82"/>
      <c r="G1699" s="85"/>
      <c r="H1699" s="85"/>
      <c r="I1699" s="86"/>
      <c r="M1699" s="87"/>
      <c r="N1699" s="88"/>
    </row>
    <row r="1700" spans="1:14" ht="18.75" x14ac:dyDescent="0.25">
      <c r="A1700" s="82"/>
      <c r="B1700" s="82"/>
      <c r="C1700" s="83"/>
      <c r="D1700" s="84"/>
      <c r="E1700" s="82"/>
      <c r="G1700" s="85"/>
      <c r="H1700" s="85"/>
      <c r="I1700" s="86"/>
      <c r="M1700" s="87"/>
      <c r="N1700" s="88"/>
    </row>
  </sheetData>
  <autoFilter ref="A1:N299" xr:uid="{F6943C4E-D0C1-4399-9277-8C3BA29014B7}"/>
  <conditionalFormatting sqref="M2:M1700">
    <cfRule type="cellIs" dxfId="12" priority="1" operator="equal">
      <formula>#REF!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A42C4-8DA2-4635-82D5-091C3953F167}">
  <dimension ref="A1:N4343"/>
  <sheetViews>
    <sheetView topLeftCell="A4226" zoomScale="70" zoomScaleNormal="70" workbookViewId="0">
      <selection activeCell="M4240" sqref="M4240"/>
    </sheetView>
  </sheetViews>
  <sheetFormatPr baseColWidth="10" defaultRowHeight="15" x14ac:dyDescent="0.25"/>
  <cols>
    <col min="1" max="1" width="48.5703125" bestFit="1" customWidth="1"/>
    <col min="2" max="2" width="11.5703125" bestFit="1" customWidth="1"/>
    <col min="3" max="3" width="19.140625" bestFit="1" customWidth="1"/>
    <col min="4" max="4" width="43.140625" bestFit="1" customWidth="1"/>
    <col min="5" max="5" width="14.85546875" bestFit="1" customWidth="1"/>
    <col min="6" max="6" width="15.28515625" bestFit="1" customWidth="1"/>
    <col min="7" max="7" width="14.85546875" bestFit="1" customWidth="1"/>
    <col min="8" max="8" width="25.7109375" bestFit="1" customWidth="1"/>
    <col min="9" max="9" width="18.7109375" bestFit="1" customWidth="1"/>
    <col min="10" max="11" width="81.140625" bestFit="1" customWidth="1"/>
    <col min="12" max="12" width="29.28515625" bestFit="1" customWidth="1"/>
    <col min="13" max="13" width="81.140625" bestFit="1" customWidth="1"/>
    <col min="14" max="14" width="36.85546875" bestFit="1" customWidth="1"/>
  </cols>
  <sheetData>
    <row r="1" spans="1:14" x14ac:dyDescent="0.25">
      <c r="A1" t="s">
        <v>0</v>
      </c>
      <c r="B1" t="s">
        <v>1420</v>
      </c>
      <c r="C1" t="s">
        <v>1421</v>
      </c>
      <c r="D1" t="s">
        <v>3</v>
      </c>
      <c r="E1" t="s">
        <v>4</v>
      </c>
      <c r="F1" t="s">
        <v>6</v>
      </c>
      <c r="G1" t="s">
        <v>7</v>
      </c>
      <c r="H1" t="s">
        <v>1422</v>
      </c>
      <c r="I1" t="s">
        <v>12</v>
      </c>
      <c r="J1" t="s">
        <v>1312</v>
      </c>
      <c r="K1" t="s">
        <v>1423</v>
      </c>
      <c r="L1" t="s">
        <v>1424</v>
      </c>
      <c r="M1" t="s">
        <v>1425</v>
      </c>
      <c r="N1" t="s">
        <v>1426</v>
      </c>
    </row>
    <row r="2" spans="1:14" x14ac:dyDescent="0.25">
      <c r="A2" s="91" t="s">
        <v>1427</v>
      </c>
      <c r="B2" s="91" t="s">
        <v>1428</v>
      </c>
      <c r="C2" s="91" t="s">
        <v>1429</v>
      </c>
      <c r="D2" s="91" t="s">
        <v>20</v>
      </c>
      <c r="E2" s="91"/>
      <c r="F2">
        <v>756</v>
      </c>
      <c r="G2">
        <v>14</v>
      </c>
      <c r="H2" s="89">
        <v>46020</v>
      </c>
      <c r="I2" s="89">
        <v>46024</v>
      </c>
      <c r="J2" s="91" t="s">
        <v>1430</v>
      </c>
      <c r="K2" s="91"/>
      <c r="M2" s="91"/>
      <c r="N2" s="91" t="s">
        <v>1431</v>
      </c>
    </row>
    <row r="3" spans="1:14" x14ac:dyDescent="0.25">
      <c r="A3" s="91" t="s">
        <v>1322</v>
      </c>
      <c r="B3" s="91" t="s">
        <v>1336</v>
      </c>
      <c r="C3" s="91" t="s">
        <v>1429</v>
      </c>
      <c r="D3" s="91" t="s">
        <v>20</v>
      </c>
      <c r="E3" s="91"/>
      <c r="F3">
        <v>324</v>
      </c>
      <c r="G3">
        <v>6</v>
      </c>
      <c r="H3" s="89">
        <v>46020</v>
      </c>
      <c r="I3" s="89">
        <v>46024</v>
      </c>
      <c r="J3" s="91" t="s">
        <v>1430</v>
      </c>
      <c r="K3" s="91"/>
      <c r="M3" s="91"/>
      <c r="N3" s="91" t="s">
        <v>1431</v>
      </c>
    </row>
    <row r="4" spans="1:14" x14ac:dyDescent="0.25">
      <c r="A4" s="91" t="s">
        <v>1315</v>
      </c>
      <c r="B4" s="91" t="s">
        <v>1329</v>
      </c>
      <c r="C4" s="91" t="s">
        <v>1429</v>
      </c>
      <c r="D4" s="91" t="s">
        <v>20</v>
      </c>
      <c r="E4" s="91"/>
      <c r="F4">
        <v>152</v>
      </c>
      <c r="G4" t="s">
        <v>1419</v>
      </c>
      <c r="H4" s="89">
        <v>46020</v>
      </c>
      <c r="I4" s="89">
        <v>46022</v>
      </c>
      <c r="J4" s="91"/>
      <c r="K4" s="91"/>
      <c r="M4" s="91"/>
      <c r="N4" s="91" t="s">
        <v>1431</v>
      </c>
    </row>
    <row r="5" spans="1:14" x14ac:dyDescent="0.25">
      <c r="A5" s="91" t="s">
        <v>1316</v>
      </c>
      <c r="B5" s="91" t="s">
        <v>1330</v>
      </c>
      <c r="C5" s="91" t="s">
        <v>1432</v>
      </c>
      <c r="D5" s="91" t="s">
        <v>20</v>
      </c>
      <c r="E5" s="91"/>
      <c r="F5">
        <v>88</v>
      </c>
      <c r="G5" t="s">
        <v>1419</v>
      </c>
      <c r="H5" s="89">
        <v>46020</v>
      </c>
      <c r="I5" s="89">
        <v>46022</v>
      </c>
      <c r="J5" s="91"/>
      <c r="K5" s="91"/>
      <c r="M5" s="91"/>
      <c r="N5" s="91" t="s">
        <v>1431</v>
      </c>
    </row>
    <row r="6" spans="1:14" x14ac:dyDescent="0.25">
      <c r="A6" s="91" t="s">
        <v>1317</v>
      </c>
      <c r="B6" s="91" t="s">
        <v>1331</v>
      </c>
      <c r="C6" s="91" t="s">
        <v>1433</v>
      </c>
      <c r="D6" s="91" t="s">
        <v>20</v>
      </c>
      <c r="E6" s="91"/>
      <c r="F6">
        <v>2</v>
      </c>
      <c r="G6" t="s">
        <v>1419</v>
      </c>
      <c r="H6" s="89">
        <v>46020</v>
      </c>
      <c r="I6" s="89">
        <v>46022</v>
      </c>
      <c r="J6" s="91"/>
      <c r="K6" s="91"/>
      <c r="M6" s="91"/>
      <c r="N6" s="91" t="s">
        <v>1431</v>
      </c>
    </row>
    <row r="7" spans="1:14" x14ac:dyDescent="0.25">
      <c r="A7" s="91" t="s">
        <v>1318</v>
      </c>
      <c r="B7" s="91" t="s">
        <v>1332</v>
      </c>
      <c r="C7" s="91" t="s">
        <v>1434</v>
      </c>
      <c r="D7" s="91" t="s">
        <v>20</v>
      </c>
      <c r="E7" s="91"/>
      <c r="F7">
        <v>40</v>
      </c>
      <c r="G7" t="s">
        <v>1419</v>
      </c>
      <c r="H7" s="89">
        <v>46020</v>
      </c>
      <c r="I7" s="89">
        <v>46022</v>
      </c>
      <c r="J7" s="91"/>
      <c r="K7" s="91"/>
      <c r="M7" s="91"/>
      <c r="N7" s="91" t="s">
        <v>1431</v>
      </c>
    </row>
    <row r="8" spans="1:14" x14ac:dyDescent="0.25">
      <c r="A8" s="91" t="s">
        <v>1313</v>
      </c>
      <c r="B8" s="91" t="s">
        <v>1327</v>
      </c>
      <c r="C8" s="91" t="s">
        <v>1435</v>
      </c>
      <c r="D8" s="91" t="s">
        <v>23</v>
      </c>
      <c r="E8" s="91"/>
      <c r="F8">
        <v>1008</v>
      </c>
      <c r="G8">
        <v>21</v>
      </c>
      <c r="H8" s="89">
        <v>46020</v>
      </c>
      <c r="I8" s="89">
        <v>46024</v>
      </c>
      <c r="J8" s="91" t="s">
        <v>1436</v>
      </c>
      <c r="K8" s="91"/>
      <c r="M8" s="91"/>
      <c r="N8" s="91" t="s">
        <v>1431</v>
      </c>
    </row>
    <row r="9" spans="1:14" x14ac:dyDescent="0.25">
      <c r="A9" s="91" t="s">
        <v>1313</v>
      </c>
      <c r="B9" s="91" t="s">
        <v>1327</v>
      </c>
      <c r="C9" s="91" t="s">
        <v>1437</v>
      </c>
      <c r="D9" s="91" t="s">
        <v>15</v>
      </c>
      <c r="E9" s="91"/>
      <c r="F9">
        <v>864</v>
      </c>
      <c r="G9">
        <v>18</v>
      </c>
      <c r="H9" s="89">
        <v>46020</v>
      </c>
      <c r="I9" s="89">
        <v>46024</v>
      </c>
      <c r="J9" s="91" t="s">
        <v>1438</v>
      </c>
      <c r="K9" s="91"/>
      <c r="M9" s="91"/>
      <c r="N9" s="91" t="s">
        <v>1431</v>
      </c>
    </row>
    <row r="10" spans="1:14" x14ac:dyDescent="0.25">
      <c r="A10" s="91" t="s">
        <v>1324</v>
      </c>
      <c r="B10" s="91" t="s">
        <v>1338</v>
      </c>
      <c r="C10" s="91" t="s">
        <v>1439</v>
      </c>
      <c r="D10" s="91" t="s">
        <v>13</v>
      </c>
      <c r="E10" s="91"/>
      <c r="F10">
        <v>960</v>
      </c>
      <c r="G10">
        <v>20</v>
      </c>
      <c r="H10" s="89">
        <v>46020</v>
      </c>
      <c r="I10" s="89">
        <v>46027</v>
      </c>
      <c r="J10" s="91" t="s">
        <v>1440</v>
      </c>
      <c r="K10" s="91"/>
      <c r="M10" s="91"/>
      <c r="N10" s="91" t="s">
        <v>1431</v>
      </c>
    </row>
    <row r="11" spans="1:14" x14ac:dyDescent="0.25">
      <c r="A11" s="91" t="s">
        <v>1324</v>
      </c>
      <c r="B11" s="91" t="s">
        <v>1338</v>
      </c>
      <c r="C11" s="91" t="s">
        <v>1441</v>
      </c>
      <c r="D11" s="91" t="s">
        <v>152</v>
      </c>
      <c r="E11" s="91"/>
      <c r="F11">
        <v>624</v>
      </c>
      <c r="G11">
        <v>13</v>
      </c>
      <c r="H11" s="89">
        <v>46020</v>
      </c>
      <c r="I11" s="89">
        <v>46027</v>
      </c>
      <c r="J11" s="91" t="s">
        <v>1442</v>
      </c>
      <c r="K11" s="91"/>
      <c r="M11" s="91"/>
      <c r="N11" s="91" t="s">
        <v>1431</v>
      </c>
    </row>
    <row r="12" spans="1:14" x14ac:dyDescent="0.25">
      <c r="A12" s="91" t="s">
        <v>1313</v>
      </c>
      <c r="B12" s="91" t="s">
        <v>1327</v>
      </c>
      <c r="C12" s="91" t="s">
        <v>1437</v>
      </c>
      <c r="D12" s="91" t="s">
        <v>15</v>
      </c>
      <c r="E12" s="91"/>
      <c r="F12">
        <v>144</v>
      </c>
      <c r="G12">
        <v>3</v>
      </c>
      <c r="H12" s="89">
        <v>46020</v>
      </c>
      <c r="I12" s="89">
        <v>46024</v>
      </c>
      <c r="J12" s="91" t="s">
        <v>1436</v>
      </c>
      <c r="K12" s="91"/>
      <c r="M12" s="91"/>
      <c r="N12" s="91" t="s">
        <v>1431</v>
      </c>
    </row>
    <row r="13" spans="1:14" x14ac:dyDescent="0.25">
      <c r="A13" s="91" t="s">
        <v>1313</v>
      </c>
      <c r="B13" s="91" t="s">
        <v>1327</v>
      </c>
      <c r="C13" s="91" t="s">
        <v>1437</v>
      </c>
      <c r="D13" s="91" t="s">
        <v>15</v>
      </c>
      <c r="E13" s="91"/>
      <c r="F13">
        <v>48</v>
      </c>
      <c r="G13">
        <v>2</v>
      </c>
      <c r="H13" s="89">
        <v>46020</v>
      </c>
      <c r="I13" s="89">
        <v>46022</v>
      </c>
      <c r="J13" s="91"/>
      <c r="K13" s="91"/>
      <c r="M13" s="91"/>
      <c r="N13" s="91" t="s">
        <v>1431</v>
      </c>
    </row>
    <row r="14" spans="1:14" x14ac:dyDescent="0.25">
      <c r="A14" s="91" t="s">
        <v>1315</v>
      </c>
      <c r="B14" s="91" t="s">
        <v>1329</v>
      </c>
      <c r="C14" s="91" t="s">
        <v>1437</v>
      </c>
      <c r="D14" s="91" t="s">
        <v>15</v>
      </c>
      <c r="E14" s="91"/>
      <c r="F14">
        <v>16</v>
      </c>
      <c r="G14" t="s">
        <v>1419</v>
      </c>
      <c r="H14" s="89">
        <v>46020</v>
      </c>
      <c r="I14" s="89">
        <v>46022</v>
      </c>
      <c r="J14" s="91"/>
      <c r="K14" s="91"/>
      <c r="M14" s="91"/>
      <c r="N14" s="91" t="s">
        <v>1431</v>
      </c>
    </row>
    <row r="15" spans="1:14" x14ac:dyDescent="0.25">
      <c r="A15" s="91" t="s">
        <v>1313</v>
      </c>
      <c r="B15" s="91" t="s">
        <v>1327</v>
      </c>
      <c r="C15" s="91" t="s">
        <v>1443</v>
      </c>
      <c r="D15" s="91" t="s">
        <v>28</v>
      </c>
      <c r="E15" s="91"/>
      <c r="F15">
        <v>1056</v>
      </c>
      <c r="G15">
        <v>22</v>
      </c>
      <c r="H15" s="89">
        <v>46020</v>
      </c>
      <c r="I15" s="89">
        <v>46022</v>
      </c>
      <c r="J15" s="91"/>
      <c r="K15" s="91"/>
      <c r="M15" s="91"/>
      <c r="N15" s="91" t="s">
        <v>1431</v>
      </c>
    </row>
    <row r="16" spans="1:14" x14ac:dyDescent="0.25">
      <c r="A16" s="91" t="s">
        <v>1315</v>
      </c>
      <c r="B16" s="91" t="s">
        <v>1329</v>
      </c>
      <c r="C16" s="91" t="s">
        <v>1443</v>
      </c>
      <c r="D16" s="91" t="s">
        <v>28</v>
      </c>
      <c r="E16" s="91"/>
      <c r="F16">
        <v>15</v>
      </c>
      <c r="G16" t="s">
        <v>1419</v>
      </c>
      <c r="H16" s="89">
        <v>46020</v>
      </c>
      <c r="I16" s="89">
        <v>46022</v>
      </c>
      <c r="J16" s="91"/>
      <c r="K16" s="91"/>
      <c r="M16" s="91"/>
      <c r="N16" s="91" t="s">
        <v>1431</v>
      </c>
    </row>
    <row r="17" spans="1:14" x14ac:dyDescent="0.25">
      <c r="A17" s="91" t="s">
        <v>1444</v>
      </c>
      <c r="B17" s="91" t="s">
        <v>1445</v>
      </c>
      <c r="C17" s="91" t="s">
        <v>1437</v>
      </c>
      <c r="D17" s="91" t="s">
        <v>15</v>
      </c>
      <c r="E17" s="91"/>
      <c r="F17">
        <v>235</v>
      </c>
      <c r="G17">
        <v>2</v>
      </c>
      <c r="H17" s="89">
        <v>46020</v>
      </c>
      <c r="I17" s="89">
        <v>46022</v>
      </c>
      <c r="J17" s="91"/>
      <c r="K17" s="91"/>
      <c r="M17" s="91"/>
      <c r="N17" s="91" t="s">
        <v>1431</v>
      </c>
    </row>
    <row r="18" spans="1:14" x14ac:dyDescent="0.25">
      <c r="A18" s="91" t="s">
        <v>1313</v>
      </c>
      <c r="B18" s="91" t="s">
        <v>1327</v>
      </c>
      <c r="C18" s="91" t="s">
        <v>1446</v>
      </c>
      <c r="D18" s="91" t="s">
        <v>20</v>
      </c>
      <c r="E18" s="91"/>
      <c r="F18">
        <v>1152</v>
      </c>
      <c r="G18">
        <v>24</v>
      </c>
      <c r="H18" s="89">
        <v>46021</v>
      </c>
      <c r="I18" s="89">
        <v>46025</v>
      </c>
      <c r="J18" s="91" t="s">
        <v>1447</v>
      </c>
      <c r="K18" s="91"/>
      <c r="M18" s="91"/>
      <c r="N18" s="91" t="s">
        <v>1431</v>
      </c>
    </row>
    <row r="19" spans="1:14" x14ac:dyDescent="0.25">
      <c r="A19" s="91" t="s">
        <v>1315</v>
      </c>
      <c r="B19" s="91" t="s">
        <v>1329</v>
      </c>
      <c r="C19" s="91" t="s">
        <v>1446</v>
      </c>
      <c r="D19" s="91" t="s">
        <v>20</v>
      </c>
      <c r="E19" s="91"/>
      <c r="F19">
        <v>108</v>
      </c>
      <c r="G19" t="s">
        <v>1419</v>
      </c>
      <c r="H19" s="89">
        <v>46021</v>
      </c>
      <c r="I19" s="89">
        <v>46022</v>
      </c>
      <c r="J19" s="91"/>
      <c r="K19" s="91"/>
      <c r="M19" s="91"/>
      <c r="N19" s="91" t="s">
        <v>1431</v>
      </c>
    </row>
    <row r="20" spans="1:14" x14ac:dyDescent="0.25">
      <c r="A20" s="91" t="s">
        <v>1316</v>
      </c>
      <c r="B20" s="91" t="s">
        <v>1330</v>
      </c>
      <c r="C20" s="91" t="s">
        <v>1448</v>
      </c>
      <c r="D20" s="91" t="s">
        <v>20</v>
      </c>
      <c r="E20" s="91"/>
      <c r="F20">
        <v>88</v>
      </c>
      <c r="G20" t="s">
        <v>1419</v>
      </c>
      <c r="H20" s="89">
        <v>46021</v>
      </c>
      <c r="I20" s="89">
        <v>46023</v>
      </c>
      <c r="J20" s="91"/>
      <c r="K20" s="91"/>
      <c r="M20" s="91"/>
      <c r="N20" s="91" t="s">
        <v>1431</v>
      </c>
    </row>
    <row r="21" spans="1:14" x14ac:dyDescent="0.25">
      <c r="A21" s="91" t="s">
        <v>1317</v>
      </c>
      <c r="B21" s="91" t="s">
        <v>1331</v>
      </c>
      <c r="C21" s="91" t="s">
        <v>1449</v>
      </c>
      <c r="D21" s="91" t="s">
        <v>20</v>
      </c>
      <c r="E21" s="91"/>
      <c r="F21">
        <v>12</v>
      </c>
      <c r="G21" t="s">
        <v>1419</v>
      </c>
      <c r="H21" s="89">
        <v>46021</v>
      </c>
      <c r="I21" s="89">
        <v>46023</v>
      </c>
      <c r="J21" s="91"/>
      <c r="K21" s="91"/>
      <c r="M21" s="91"/>
      <c r="N21" s="91" t="s">
        <v>1431</v>
      </c>
    </row>
    <row r="22" spans="1:14" x14ac:dyDescent="0.25">
      <c r="A22" s="91" t="s">
        <v>1318</v>
      </c>
      <c r="B22" s="91" t="s">
        <v>1332</v>
      </c>
      <c r="C22" s="91" t="s">
        <v>1450</v>
      </c>
      <c r="D22" s="91" t="s">
        <v>20</v>
      </c>
      <c r="E22" s="91"/>
      <c r="F22">
        <v>62</v>
      </c>
      <c r="G22" t="s">
        <v>1419</v>
      </c>
      <c r="H22" s="89">
        <v>46021</v>
      </c>
      <c r="I22" s="89">
        <v>46023</v>
      </c>
      <c r="J22" s="91"/>
      <c r="K22" s="91"/>
      <c r="M22" s="91"/>
      <c r="N22" s="91" t="s">
        <v>1431</v>
      </c>
    </row>
    <row r="23" spans="1:14" x14ac:dyDescent="0.25">
      <c r="A23" s="91" t="s">
        <v>1314</v>
      </c>
      <c r="B23" s="91" t="s">
        <v>1328</v>
      </c>
      <c r="C23" s="91" t="s">
        <v>1451</v>
      </c>
      <c r="D23" s="91" t="s">
        <v>15</v>
      </c>
      <c r="E23" s="91"/>
      <c r="F23">
        <v>288</v>
      </c>
      <c r="G23">
        <v>6</v>
      </c>
      <c r="H23" s="89">
        <v>46021</v>
      </c>
      <c r="I23" s="89">
        <v>46024</v>
      </c>
      <c r="J23" s="91" t="s">
        <v>1452</v>
      </c>
      <c r="K23" s="91"/>
      <c r="M23" s="91"/>
      <c r="N23" s="91" t="s">
        <v>1431</v>
      </c>
    </row>
    <row r="24" spans="1:14" x14ac:dyDescent="0.25">
      <c r="A24" s="91" t="s">
        <v>1313</v>
      </c>
      <c r="B24" s="91" t="s">
        <v>1327</v>
      </c>
      <c r="C24" s="91" t="s">
        <v>1453</v>
      </c>
      <c r="D24" s="91" t="s">
        <v>23</v>
      </c>
      <c r="E24" s="91"/>
      <c r="F24">
        <v>1056</v>
      </c>
      <c r="G24">
        <v>22</v>
      </c>
      <c r="H24" s="89">
        <v>46021</v>
      </c>
      <c r="I24" s="89">
        <v>46027</v>
      </c>
      <c r="J24" s="91" t="s">
        <v>1454</v>
      </c>
      <c r="K24" s="91"/>
      <c r="M24" s="91"/>
      <c r="N24" s="91" t="s">
        <v>1431</v>
      </c>
    </row>
    <row r="25" spans="1:14" x14ac:dyDescent="0.25">
      <c r="A25" s="91" t="s">
        <v>1313</v>
      </c>
      <c r="B25" s="91" t="s">
        <v>1327</v>
      </c>
      <c r="C25" s="91" t="s">
        <v>1451</v>
      </c>
      <c r="D25" s="91" t="s">
        <v>15</v>
      </c>
      <c r="E25" s="91"/>
      <c r="F25">
        <v>96</v>
      </c>
      <c r="G25">
        <v>2</v>
      </c>
      <c r="H25" s="89">
        <v>46021</v>
      </c>
      <c r="I25" s="89">
        <v>46027</v>
      </c>
      <c r="J25" s="91" t="s">
        <v>1454</v>
      </c>
      <c r="K25" s="91"/>
      <c r="M25" s="91"/>
      <c r="N25" s="91" t="s">
        <v>1431</v>
      </c>
    </row>
    <row r="26" spans="1:14" x14ac:dyDescent="0.25">
      <c r="A26" s="91" t="s">
        <v>1324</v>
      </c>
      <c r="B26" s="91" t="s">
        <v>1338</v>
      </c>
      <c r="C26" s="91" t="s">
        <v>1451</v>
      </c>
      <c r="D26" s="91" t="s">
        <v>15</v>
      </c>
      <c r="E26" s="91"/>
      <c r="F26">
        <v>816</v>
      </c>
      <c r="G26">
        <v>17</v>
      </c>
      <c r="H26" s="89">
        <v>46021</v>
      </c>
      <c r="I26" s="89">
        <v>46027</v>
      </c>
      <c r="J26" s="91" t="s">
        <v>1440</v>
      </c>
      <c r="K26" s="91"/>
      <c r="M26" s="91"/>
      <c r="N26" s="91" t="s">
        <v>1431</v>
      </c>
    </row>
    <row r="27" spans="1:14" x14ac:dyDescent="0.25">
      <c r="A27" s="91" t="s">
        <v>1321</v>
      </c>
      <c r="B27" s="91" t="s">
        <v>1335</v>
      </c>
      <c r="C27" s="91" t="s">
        <v>1455</v>
      </c>
      <c r="D27" s="91" t="s">
        <v>138</v>
      </c>
      <c r="E27" s="91"/>
      <c r="F27">
        <v>144</v>
      </c>
      <c r="G27">
        <v>3</v>
      </c>
      <c r="H27" s="89">
        <v>46021</v>
      </c>
      <c r="I27" s="89">
        <v>46027</v>
      </c>
      <c r="J27" s="91" t="s">
        <v>1440</v>
      </c>
      <c r="K27" s="91"/>
      <c r="M27" s="91"/>
      <c r="N27" s="91" t="s">
        <v>1431</v>
      </c>
    </row>
    <row r="28" spans="1:14" x14ac:dyDescent="0.25">
      <c r="A28" s="91" t="s">
        <v>1321</v>
      </c>
      <c r="B28" s="91" t="s">
        <v>1335</v>
      </c>
      <c r="C28" s="91" t="s">
        <v>1455</v>
      </c>
      <c r="D28" s="91" t="s">
        <v>138</v>
      </c>
      <c r="E28" s="91"/>
      <c r="F28">
        <v>144</v>
      </c>
      <c r="G28">
        <v>3</v>
      </c>
      <c r="H28" s="89">
        <v>46021</v>
      </c>
      <c r="I28" s="89">
        <v>46031</v>
      </c>
      <c r="J28" s="91" t="s">
        <v>1456</v>
      </c>
      <c r="K28" s="91"/>
      <c r="M28" s="91"/>
      <c r="N28" s="91" t="s">
        <v>1431</v>
      </c>
    </row>
    <row r="29" spans="1:14" x14ac:dyDescent="0.25">
      <c r="A29" s="91" t="s">
        <v>1325</v>
      </c>
      <c r="B29" s="91" t="s">
        <v>1339</v>
      </c>
      <c r="C29" s="91" t="s">
        <v>1455</v>
      </c>
      <c r="D29" s="91" t="s">
        <v>138</v>
      </c>
      <c r="E29" s="91"/>
      <c r="F29">
        <v>288</v>
      </c>
      <c r="G29">
        <v>6</v>
      </c>
      <c r="H29" s="89">
        <v>46021</v>
      </c>
      <c r="I29" s="89">
        <v>46024</v>
      </c>
      <c r="J29" s="91"/>
      <c r="K29" s="91"/>
      <c r="M29" s="91"/>
      <c r="N29" s="91" t="s">
        <v>1431</v>
      </c>
    </row>
    <row r="30" spans="1:14" x14ac:dyDescent="0.25">
      <c r="A30" s="91" t="s">
        <v>1324</v>
      </c>
      <c r="B30" s="91" t="s">
        <v>1338</v>
      </c>
      <c r="C30" s="91" t="s">
        <v>1457</v>
      </c>
      <c r="D30" s="91" t="s">
        <v>28</v>
      </c>
      <c r="E30" s="91"/>
      <c r="F30">
        <v>960</v>
      </c>
      <c r="G30">
        <v>20</v>
      </c>
      <c r="H30" s="89">
        <v>46021</v>
      </c>
      <c r="I30" s="89">
        <v>46027</v>
      </c>
      <c r="J30" s="91" t="s">
        <v>1442</v>
      </c>
      <c r="K30" s="91"/>
      <c r="M30" s="91"/>
      <c r="N30" s="91" t="s">
        <v>1431</v>
      </c>
    </row>
    <row r="31" spans="1:14" x14ac:dyDescent="0.25">
      <c r="A31" s="91" t="s">
        <v>1315</v>
      </c>
      <c r="B31" s="91" t="s">
        <v>1329</v>
      </c>
      <c r="C31" s="91" t="s">
        <v>1457</v>
      </c>
      <c r="D31" s="91" t="s">
        <v>28</v>
      </c>
      <c r="E31" s="91"/>
      <c r="F31">
        <v>5</v>
      </c>
      <c r="G31" t="s">
        <v>1419</v>
      </c>
      <c r="H31" s="89">
        <v>46021</v>
      </c>
      <c r="I31" s="89">
        <v>46022</v>
      </c>
      <c r="J31" s="91"/>
      <c r="K31" s="91"/>
      <c r="M31" s="91"/>
      <c r="N31" s="91" t="s">
        <v>1431</v>
      </c>
    </row>
    <row r="32" spans="1:14" x14ac:dyDescent="0.25">
      <c r="A32" s="91" t="s">
        <v>1324</v>
      </c>
      <c r="B32" s="91" t="s">
        <v>1338</v>
      </c>
      <c r="C32" s="91" t="s">
        <v>1458</v>
      </c>
      <c r="D32" s="91" t="s">
        <v>147</v>
      </c>
      <c r="E32" s="91"/>
      <c r="F32">
        <v>336</v>
      </c>
      <c r="G32">
        <v>7</v>
      </c>
      <c r="H32" s="89">
        <v>46021</v>
      </c>
      <c r="I32" s="89">
        <v>46027</v>
      </c>
      <c r="J32" s="91" t="s">
        <v>1442</v>
      </c>
      <c r="K32" s="91"/>
      <c r="M32" s="91"/>
      <c r="N32" s="91" t="s">
        <v>1431</v>
      </c>
    </row>
    <row r="33" spans="1:14" x14ac:dyDescent="0.25">
      <c r="A33" s="91" t="s">
        <v>1326</v>
      </c>
      <c r="B33" s="91" t="s">
        <v>1340</v>
      </c>
      <c r="C33" s="91" t="s">
        <v>1459</v>
      </c>
      <c r="D33" s="91" t="s">
        <v>32</v>
      </c>
      <c r="E33" s="91"/>
      <c r="F33">
        <v>840</v>
      </c>
      <c r="G33">
        <v>20</v>
      </c>
      <c r="H33" s="89">
        <v>46021</v>
      </c>
      <c r="I33" s="89">
        <v>46024</v>
      </c>
      <c r="J33" s="91" t="s">
        <v>1460</v>
      </c>
      <c r="K33" s="91"/>
      <c r="M33" s="91"/>
      <c r="N33" s="91" t="s">
        <v>1431</v>
      </c>
    </row>
    <row r="34" spans="1:14" x14ac:dyDescent="0.25">
      <c r="A34" s="91" t="s">
        <v>1444</v>
      </c>
      <c r="B34" s="91" t="s">
        <v>1445</v>
      </c>
      <c r="C34" s="91" t="s">
        <v>1451</v>
      </c>
      <c r="D34" s="91" t="s">
        <v>15</v>
      </c>
      <c r="E34" s="91"/>
      <c r="F34">
        <v>109</v>
      </c>
      <c r="G34">
        <v>1</v>
      </c>
      <c r="H34" s="89">
        <v>46021</v>
      </c>
      <c r="I34" s="89">
        <v>46023</v>
      </c>
      <c r="J34" s="91"/>
      <c r="K34" s="91"/>
      <c r="M34" s="91"/>
      <c r="N34" s="91" t="s">
        <v>1431</v>
      </c>
    </row>
    <row r="35" spans="1:14" x14ac:dyDescent="0.25">
      <c r="A35" s="91" t="s">
        <v>1315</v>
      </c>
      <c r="B35" s="91" t="s">
        <v>1329</v>
      </c>
      <c r="C35" s="91" t="s">
        <v>1451</v>
      </c>
      <c r="D35" s="91" t="s">
        <v>15</v>
      </c>
      <c r="E35" s="91"/>
      <c r="F35">
        <v>40</v>
      </c>
      <c r="G35" t="s">
        <v>1419</v>
      </c>
      <c r="H35" s="89">
        <v>46021</v>
      </c>
      <c r="I35" s="89">
        <v>46022</v>
      </c>
      <c r="J35" s="91"/>
      <c r="K35" s="91"/>
      <c r="M35" s="91"/>
      <c r="N35" s="91" t="s">
        <v>1431</v>
      </c>
    </row>
    <row r="36" spans="1:14" x14ac:dyDescent="0.25">
      <c r="A36" s="91" t="s">
        <v>1313</v>
      </c>
      <c r="B36" s="91" t="s">
        <v>1327</v>
      </c>
      <c r="C36" s="91" t="s">
        <v>1451</v>
      </c>
      <c r="D36" s="91" t="s">
        <v>15</v>
      </c>
      <c r="E36" s="91"/>
      <c r="F36">
        <v>192</v>
      </c>
      <c r="G36">
        <v>4</v>
      </c>
      <c r="H36" s="89">
        <v>46021</v>
      </c>
      <c r="I36" s="89">
        <v>46023</v>
      </c>
      <c r="J36" s="91"/>
      <c r="K36" s="91"/>
      <c r="M36" s="91"/>
      <c r="N36" s="91" t="s">
        <v>1431</v>
      </c>
    </row>
    <row r="37" spans="1:14" x14ac:dyDescent="0.25">
      <c r="A37" s="91" t="s">
        <v>1326</v>
      </c>
      <c r="B37" s="91" t="s">
        <v>1340</v>
      </c>
      <c r="C37" s="91" t="s">
        <v>1461</v>
      </c>
      <c r="D37" s="91" t="s">
        <v>32</v>
      </c>
      <c r="E37" s="91"/>
      <c r="F37">
        <v>1008</v>
      </c>
      <c r="G37">
        <v>24</v>
      </c>
      <c r="H37" s="89">
        <v>46024</v>
      </c>
      <c r="I37" s="89">
        <v>46031</v>
      </c>
      <c r="J37" s="91" t="s">
        <v>1462</v>
      </c>
      <c r="K37" s="91"/>
      <c r="M37" s="91"/>
      <c r="N37" s="91" t="s">
        <v>1431</v>
      </c>
    </row>
    <row r="38" spans="1:14" x14ac:dyDescent="0.25">
      <c r="A38" s="91" t="s">
        <v>1444</v>
      </c>
      <c r="B38" s="91" t="s">
        <v>1445</v>
      </c>
      <c r="C38" s="91" t="s">
        <v>1463</v>
      </c>
      <c r="D38" s="91" t="s">
        <v>15</v>
      </c>
      <c r="E38" s="91"/>
      <c r="F38">
        <v>209</v>
      </c>
      <c r="G38">
        <v>2</v>
      </c>
      <c r="H38" s="89">
        <v>46024</v>
      </c>
      <c r="I38" s="89">
        <v>46025</v>
      </c>
      <c r="J38" s="91"/>
      <c r="K38" s="91"/>
      <c r="M38" s="91"/>
      <c r="N38" s="91" t="s">
        <v>1431</v>
      </c>
    </row>
    <row r="39" spans="1:14" x14ac:dyDescent="0.25">
      <c r="A39" s="91" t="s">
        <v>1313</v>
      </c>
      <c r="B39" s="91" t="s">
        <v>1327</v>
      </c>
      <c r="C39" s="91" t="s">
        <v>1464</v>
      </c>
      <c r="D39" s="91" t="s">
        <v>20</v>
      </c>
      <c r="E39" s="91"/>
      <c r="F39">
        <v>1200</v>
      </c>
      <c r="G39">
        <v>25</v>
      </c>
      <c r="H39" s="89">
        <v>46024</v>
      </c>
      <c r="I39" s="89">
        <v>46027</v>
      </c>
      <c r="J39" s="91"/>
      <c r="K39" s="91"/>
      <c r="M39" s="91"/>
      <c r="N39" s="91" t="s">
        <v>1431</v>
      </c>
    </row>
    <row r="40" spans="1:14" x14ac:dyDescent="0.25">
      <c r="A40" s="91" t="s">
        <v>1315</v>
      </c>
      <c r="B40" s="91" t="s">
        <v>1329</v>
      </c>
      <c r="C40" s="91" t="s">
        <v>1464</v>
      </c>
      <c r="D40" s="91" t="s">
        <v>20</v>
      </c>
      <c r="E40" s="91"/>
      <c r="F40">
        <v>4</v>
      </c>
      <c r="G40" t="s">
        <v>1419</v>
      </c>
      <c r="H40" s="89">
        <v>46024</v>
      </c>
      <c r="I40" s="89">
        <v>46026</v>
      </c>
      <c r="J40" s="91"/>
      <c r="K40" s="91"/>
      <c r="M40" s="91"/>
      <c r="N40" s="91" t="s">
        <v>1431</v>
      </c>
    </row>
    <row r="41" spans="1:14" x14ac:dyDescent="0.25">
      <c r="A41" s="91" t="s">
        <v>1316</v>
      </c>
      <c r="B41" s="91" t="s">
        <v>1330</v>
      </c>
      <c r="C41" s="91" t="s">
        <v>1465</v>
      </c>
      <c r="D41" s="91" t="s">
        <v>20</v>
      </c>
      <c r="E41" s="91"/>
      <c r="F41">
        <v>171</v>
      </c>
      <c r="G41" t="s">
        <v>1419</v>
      </c>
      <c r="H41" s="89">
        <v>46024</v>
      </c>
      <c r="I41" s="89">
        <v>46026</v>
      </c>
      <c r="J41" s="91"/>
      <c r="K41" s="91"/>
      <c r="M41" s="91"/>
      <c r="N41" s="91" t="s">
        <v>1431</v>
      </c>
    </row>
    <row r="42" spans="1:14" x14ac:dyDescent="0.25">
      <c r="A42" s="91" t="s">
        <v>1317</v>
      </c>
      <c r="B42" s="91" t="s">
        <v>1331</v>
      </c>
      <c r="C42" s="91" t="s">
        <v>1466</v>
      </c>
      <c r="D42" s="91" t="s">
        <v>20</v>
      </c>
      <c r="E42" s="91"/>
      <c r="F42">
        <v>17</v>
      </c>
      <c r="G42" t="s">
        <v>1419</v>
      </c>
      <c r="H42" s="89">
        <v>46024</v>
      </c>
      <c r="I42" s="89">
        <v>46026</v>
      </c>
      <c r="J42" s="91"/>
      <c r="K42" s="91"/>
      <c r="M42" s="91"/>
      <c r="N42" s="91" t="s">
        <v>1431</v>
      </c>
    </row>
    <row r="43" spans="1:14" x14ac:dyDescent="0.25">
      <c r="A43" s="91" t="s">
        <v>1318</v>
      </c>
      <c r="B43" s="91" t="s">
        <v>1332</v>
      </c>
      <c r="C43" s="91" t="s">
        <v>1467</v>
      </c>
      <c r="D43" s="91" t="s">
        <v>20</v>
      </c>
      <c r="E43" s="91"/>
      <c r="F43">
        <v>50</v>
      </c>
      <c r="G43" t="s">
        <v>1419</v>
      </c>
      <c r="H43" s="89">
        <v>46024</v>
      </c>
      <c r="I43" s="89">
        <v>46026</v>
      </c>
      <c r="J43" s="91"/>
      <c r="K43" s="91"/>
      <c r="M43" s="91"/>
      <c r="N43" s="91" t="s">
        <v>1431</v>
      </c>
    </row>
    <row r="44" spans="1:14" x14ac:dyDescent="0.25">
      <c r="A44" s="91" t="s">
        <v>1313</v>
      </c>
      <c r="B44" s="91" t="s">
        <v>1327</v>
      </c>
      <c r="C44" s="91" t="s">
        <v>1463</v>
      </c>
      <c r="D44" s="91" t="s">
        <v>15</v>
      </c>
      <c r="E44" s="91"/>
      <c r="F44">
        <v>1056</v>
      </c>
      <c r="G44">
        <v>22</v>
      </c>
      <c r="H44" s="89">
        <v>46024</v>
      </c>
      <c r="I44" s="89">
        <v>46026</v>
      </c>
      <c r="J44" s="91"/>
      <c r="K44" s="91"/>
      <c r="M44" s="91"/>
      <c r="N44" s="91" t="s">
        <v>1431</v>
      </c>
    </row>
    <row r="45" spans="1:14" x14ac:dyDescent="0.25">
      <c r="A45" s="91" t="s">
        <v>1315</v>
      </c>
      <c r="B45" s="91" t="s">
        <v>1329</v>
      </c>
      <c r="C45" s="91" t="s">
        <v>1463</v>
      </c>
      <c r="D45" s="91" t="s">
        <v>15</v>
      </c>
      <c r="E45" s="91"/>
      <c r="F45">
        <v>29</v>
      </c>
      <c r="G45" t="s">
        <v>1419</v>
      </c>
      <c r="H45" s="89">
        <v>46024</v>
      </c>
      <c r="I45" s="89">
        <v>46026</v>
      </c>
      <c r="J45" s="91"/>
      <c r="K45" s="91"/>
      <c r="M45" s="91"/>
      <c r="N45" s="91" t="s">
        <v>1431</v>
      </c>
    </row>
    <row r="46" spans="1:14" x14ac:dyDescent="0.25">
      <c r="A46" s="91" t="s">
        <v>1316</v>
      </c>
      <c r="B46" s="91" t="s">
        <v>1330</v>
      </c>
      <c r="C46" s="91" t="s">
        <v>1468</v>
      </c>
      <c r="D46" s="91" t="s">
        <v>15</v>
      </c>
      <c r="E46" s="91"/>
      <c r="F46">
        <v>34</v>
      </c>
      <c r="G46" t="s">
        <v>1419</v>
      </c>
      <c r="H46" s="89">
        <v>46024</v>
      </c>
      <c r="I46" s="89">
        <v>46026</v>
      </c>
      <c r="J46" s="91"/>
      <c r="K46" s="91"/>
      <c r="M46" s="91"/>
      <c r="N46" s="91" t="s">
        <v>1431</v>
      </c>
    </row>
    <row r="47" spans="1:14" x14ac:dyDescent="0.25">
      <c r="A47" s="91" t="s">
        <v>1317</v>
      </c>
      <c r="B47" s="91" t="s">
        <v>1331</v>
      </c>
      <c r="C47" s="91" t="s">
        <v>1469</v>
      </c>
      <c r="D47" s="91" t="s">
        <v>15</v>
      </c>
      <c r="E47" s="91"/>
      <c r="F47">
        <v>13</v>
      </c>
      <c r="G47" t="s">
        <v>1419</v>
      </c>
      <c r="H47" s="89">
        <v>46024</v>
      </c>
      <c r="I47" s="89">
        <v>46026</v>
      </c>
      <c r="J47" s="91"/>
      <c r="K47" s="91"/>
      <c r="M47" s="91"/>
      <c r="N47" s="91" t="s">
        <v>1431</v>
      </c>
    </row>
    <row r="48" spans="1:14" x14ac:dyDescent="0.25">
      <c r="A48" s="91" t="s">
        <v>1318</v>
      </c>
      <c r="B48" s="91" t="s">
        <v>1332</v>
      </c>
      <c r="C48" s="91" t="s">
        <v>1470</v>
      </c>
      <c r="D48" s="91" t="s">
        <v>15</v>
      </c>
      <c r="E48" s="91"/>
      <c r="F48">
        <v>5</v>
      </c>
      <c r="G48" t="s">
        <v>1419</v>
      </c>
      <c r="H48" s="89">
        <v>46024</v>
      </c>
      <c r="I48" s="89">
        <v>46026</v>
      </c>
      <c r="J48" s="91"/>
      <c r="K48" s="91"/>
      <c r="M48" s="91"/>
      <c r="N48" s="91" t="s">
        <v>1431</v>
      </c>
    </row>
    <row r="49" spans="1:14" x14ac:dyDescent="0.25">
      <c r="A49" s="91" t="s">
        <v>1313</v>
      </c>
      <c r="B49" s="91" t="s">
        <v>1327</v>
      </c>
      <c r="C49" s="91" t="s">
        <v>1471</v>
      </c>
      <c r="D49" s="91" t="s">
        <v>21</v>
      </c>
      <c r="E49" s="91"/>
      <c r="F49">
        <v>864</v>
      </c>
      <c r="G49">
        <v>18</v>
      </c>
      <c r="H49" s="89">
        <v>46024</v>
      </c>
      <c r="I49" s="89">
        <v>46026</v>
      </c>
      <c r="J49" s="91" t="s">
        <v>1472</v>
      </c>
      <c r="K49" s="91"/>
      <c r="M49" s="91"/>
      <c r="N49" s="91" t="s">
        <v>1431</v>
      </c>
    </row>
    <row r="50" spans="1:14" x14ac:dyDescent="0.25">
      <c r="A50" s="91" t="s">
        <v>1314</v>
      </c>
      <c r="B50" s="91" t="s">
        <v>1328</v>
      </c>
      <c r="C50" s="91" t="s">
        <v>1471</v>
      </c>
      <c r="D50" s="91" t="s">
        <v>21</v>
      </c>
      <c r="E50" s="91"/>
      <c r="F50">
        <v>288</v>
      </c>
      <c r="G50">
        <v>6</v>
      </c>
      <c r="H50" s="89">
        <v>46024</v>
      </c>
      <c r="I50" s="89">
        <v>46026</v>
      </c>
      <c r="J50" s="91" t="s">
        <v>1473</v>
      </c>
      <c r="K50" s="91"/>
      <c r="M50" s="91"/>
      <c r="N50" s="91" t="s">
        <v>1431</v>
      </c>
    </row>
    <row r="51" spans="1:14" x14ac:dyDescent="0.25">
      <c r="A51" s="91" t="s">
        <v>1315</v>
      </c>
      <c r="B51" s="91" t="s">
        <v>1329</v>
      </c>
      <c r="C51" s="91" t="s">
        <v>1471</v>
      </c>
      <c r="D51" s="91" t="s">
        <v>21</v>
      </c>
      <c r="E51" s="91"/>
      <c r="F51">
        <v>50</v>
      </c>
      <c r="G51" t="s">
        <v>1419</v>
      </c>
      <c r="H51" s="89">
        <v>46024</v>
      </c>
      <c r="I51" s="89">
        <v>46026</v>
      </c>
      <c r="J51" s="91"/>
      <c r="K51" s="91"/>
      <c r="M51" s="91"/>
      <c r="N51" s="91" t="s">
        <v>1431</v>
      </c>
    </row>
    <row r="52" spans="1:14" x14ac:dyDescent="0.25">
      <c r="A52" s="91" t="s">
        <v>1316</v>
      </c>
      <c r="B52" s="91" t="s">
        <v>1330</v>
      </c>
      <c r="C52" s="91" t="s">
        <v>1474</v>
      </c>
      <c r="D52" s="91" t="s">
        <v>21</v>
      </c>
      <c r="E52" s="91"/>
      <c r="F52">
        <v>33</v>
      </c>
      <c r="G52" t="s">
        <v>1419</v>
      </c>
      <c r="H52" s="89">
        <v>46024</v>
      </c>
      <c r="I52" s="89">
        <v>46026</v>
      </c>
      <c r="J52" s="91"/>
      <c r="K52" s="91"/>
      <c r="M52" s="91"/>
      <c r="N52" s="91" t="s">
        <v>1431</v>
      </c>
    </row>
    <row r="53" spans="1:14" x14ac:dyDescent="0.25">
      <c r="A53" s="91" t="s">
        <v>1318</v>
      </c>
      <c r="B53" s="91" t="s">
        <v>1332</v>
      </c>
      <c r="C53" s="91" t="s">
        <v>1475</v>
      </c>
      <c r="D53" s="91" t="s">
        <v>21</v>
      </c>
      <c r="E53" s="91"/>
      <c r="F53">
        <v>112</v>
      </c>
      <c r="G53" t="s">
        <v>1419</v>
      </c>
      <c r="H53" s="89">
        <v>46024</v>
      </c>
      <c r="I53" s="89">
        <v>46026</v>
      </c>
      <c r="J53" s="91"/>
      <c r="K53" s="91"/>
      <c r="M53" s="91"/>
      <c r="N53" s="91" t="s">
        <v>1431</v>
      </c>
    </row>
    <row r="54" spans="1:14" x14ac:dyDescent="0.25">
      <c r="A54" s="91" t="s">
        <v>1313</v>
      </c>
      <c r="B54" s="91" t="s">
        <v>1327</v>
      </c>
      <c r="C54" s="91" t="s">
        <v>1471</v>
      </c>
      <c r="D54" s="91" t="s">
        <v>21</v>
      </c>
      <c r="E54" s="91"/>
      <c r="F54">
        <v>96</v>
      </c>
      <c r="G54">
        <v>2</v>
      </c>
      <c r="H54" s="89">
        <v>46024</v>
      </c>
      <c r="I54" s="89">
        <v>46028</v>
      </c>
      <c r="J54" s="91"/>
      <c r="K54" s="91"/>
      <c r="M54" s="91"/>
      <c r="N54" s="91" t="s">
        <v>1431</v>
      </c>
    </row>
    <row r="55" spans="1:14" x14ac:dyDescent="0.25">
      <c r="A55" s="91" t="s">
        <v>1313</v>
      </c>
      <c r="B55" s="91" t="s">
        <v>1327</v>
      </c>
      <c r="C55" s="91" t="s">
        <v>1476</v>
      </c>
      <c r="D55" s="91" t="s">
        <v>1477</v>
      </c>
      <c r="E55" s="91"/>
      <c r="F55">
        <v>432</v>
      </c>
      <c r="G55">
        <v>9</v>
      </c>
      <c r="H55" s="89">
        <v>46025</v>
      </c>
      <c r="I55" s="89">
        <v>46030</v>
      </c>
      <c r="J55" s="91" t="s">
        <v>1478</v>
      </c>
      <c r="K55" s="91"/>
      <c r="M55" s="91"/>
      <c r="N55" s="91" t="s">
        <v>1431</v>
      </c>
    </row>
    <row r="56" spans="1:14" x14ac:dyDescent="0.25">
      <c r="A56" s="91" t="s">
        <v>1313</v>
      </c>
      <c r="B56" s="91" t="s">
        <v>1327</v>
      </c>
      <c r="C56" s="91" t="s">
        <v>1479</v>
      </c>
      <c r="D56" s="91" t="s">
        <v>106</v>
      </c>
      <c r="E56" s="91"/>
      <c r="F56">
        <v>720</v>
      </c>
      <c r="G56">
        <v>15</v>
      </c>
      <c r="H56" s="89">
        <v>46025</v>
      </c>
      <c r="I56" s="89">
        <v>46030</v>
      </c>
      <c r="J56" s="91" t="s">
        <v>1478</v>
      </c>
      <c r="K56" s="91"/>
      <c r="M56" s="91"/>
      <c r="N56" s="91" t="s">
        <v>1431</v>
      </c>
    </row>
    <row r="57" spans="1:14" x14ac:dyDescent="0.25">
      <c r="A57" s="91" t="s">
        <v>1313</v>
      </c>
      <c r="B57" s="91" t="s">
        <v>1327</v>
      </c>
      <c r="C57" s="91" t="s">
        <v>1480</v>
      </c>
      <c r="D57" s="91" t="s">
        <v>21</v>
      </c>
      <c r="E57" s="91"/>
      <c r="F57">
        <v>144</v>
      </c>
      <c r="G57">
        <v>3</v>
      </c>
      <c r="H57" s="89">
        <v>46025</v>
      </c>
      <c r="I57" s="89">
        <v>46030</v>
      </c>
      <c r="J57" s="91" t="s">
        <v>1478</v>
      </c>
      <c r="K57" s="91"/>
      <c r="M57" s="91"/>
      <c r="N57" s="91" t="s">
        <v>1431</v>
      </c>
    </row>
    <row r="58" spans="1:14" x14ac:dyDescent="0.25">
      <c r="A58" s="91" t="s">
        <v>1324</v>
      </c>
      <c r="B58" s="91" t="s">
        <v>1338</v>
      </c>
      <c r="C58" s="91" t="s">
        <v>1480</v>
      </c>
      <c r="D58" s="91" t="s">
        <v>21</v>
      </c>
      <c r="E58" s="91"/>
      <c r="F58">
        <v>816</v>
      </c>
      <c r="G58">
        <v>17</v>
      </c>
      <c r="H58" s="89">
        <v>46025</v>
      </c>
      <c r="I58" s="89">
        <v>46031</v>
      </c>
      <c r="J58" s="91" t="s">
        <v>1456</v>
      </c>
      <c r="K58" s="91"/>
      <c r="M58" s="91"/>
      <c r="N58" s="91" t="s">
        <v>1431</v>
      </c>
    </row>
    <row r="59" spans="1:14" x14ac:dyDescent="0.25">
      <c r="A59" s="91" t="s">
        <v>1314</v>
      </c>
      <c r="B59" s="91" t="s">
        <v>1328</v>
      </c>
      <c r="C59" s="91" t="s">
        <v>1480</v>
      </c>
      <c r="D59" s="91" t="s">
        <v>21</v>
      </c>
      <c r="E59" s="91"/>
      <c r="F59">
        <v>288</v>
      </c>
      <c r="G59">
        <v>6</v>
      </c>
      <c r="H59" s="89">
        <v>46025</v>
      </c>
      <c r="I59" s="89">
        <v>46029</v>
      </c>
      <c r="J59" s="91" t="s">
        <v>1481</v>
      </c>
      <c r="K59" s="91"/>
      <c r="M59" s="91"/>
      <c r="N59" s="91" t="s">
        <v>1431</v>
      </c>
    </row>
    <row r="60" spans="1:14" x14ac:dyDescent="0.25">
      <c r="A60" s="91" t="s">
        <v>1315</v>
      </c>
      <c r="B60" s="91" t="s">
        <v>1329</v>
      </c>
      <c r="C60" s="91" t="s">
        <v>1480</v>
      </c>
      <c r="D60" s="91" t="s">
        <v>21</v>
      </c>
      <c r="E60" s="91"/>
      <c r="F60">
        <v>4</v>
      </c>
      <c r="G60" t="s">
        <v>1419</v>
      </c>
      <c r="H60" s="89">
        <v>46025</v>
      </c>
      <c r="I60" s="89">
        <v>46026</v>
      </c>
      <c r="J60" s="91"/>
      <c r="K60" s="91"/>
      <c r="M60" s="91"/>
      <c r="N60" s="91" t="s">
        <v>1431</v>
      </c>
    </row>
    <row r="61" spans="1:14" x14ac:dyDescent="0.25">
      <c r="A61" s="91" t="s">
        <v>1316</v>
      </c>
      <c r="B61" s="91" t="s">
        <v>1330</v>
      </c>
      <c r="C61" s="91" t="s">
        <v>1482</v>
      </c>
      <c r="D61" s="91" t="s">
        <v>21</v>
      </c>
      <c r="E61" s="91"/>
      <c r="F61">
        <v>29</v>
      </c>
      <c r="G61" t="s">
        <v>1419</v>
      </c>
      <c r="H61" s="89">
        <v>46025</v>
      </c>
      <c r="I61" s="89">
        <v>46027</v>
      </c>
      <c r="J61" s="91"/>
      <c r="K61" s="91"/>
      <c r="M61" s="91"/>
      <c r="N61" s="91" t="s">
        <v>1431</v>
      </c>
    </row>
    <row r="62" spans="1:14" x14ac:dyDescent="0.25">
      <c r="A62" s="91" t="s">
        <v>1317</v>
      </c>
      <c r="B62" s="91" t="s">
        <v>1331</v>
      </c>
      <c r="C62" s="91" t="s">
        <v>1483</v>
      </c>
      <c r="D62" s="91" t="s">
        <v>21</v>
      </c>
      <c r="E62" s="91"/>
      <c r="F62">
        <v>14</v>
      </c>
      <c r="G62" t="s">
        <v>1419</v>
      </c>
      <c r="H62" s="89">
        <v>46025</v>
      </c>
      <c r="I62" s="89">
        <v>46027</v>
      </c>
      <c r="J62" s="91"/>
      <c r="K62" s="91"/>
      <c r="M62" s="91"/>
      <c r="N62" s="91" t="s">
        <v>1431</v>
      </c>
    </row>
    <row r="63" spans="1:14" x14ac:dyDescent="0.25">
      <c r="A63" s="91" t="s">
        <v>1318</v>
      </c>
      <c r="B63" s="91" t="s">
        <v>1332</v>
      </c>
      <c r="C63" s="91" t="s">
        <v>1484</v>
      </c>
      <c r="D63" s="91" t="s">
        <v>21</v>
      </c>
      <c r="E63" s="91"/>
      <c r="F63">
        <v>123</v>
      </c>
      <c r="G63" t="s">
        <v>1419</v>
      </c>
      <c r="H63" s="89">
        <v>46025</v>
      </c>
      <c r="I63" s="89">
        <v>46027</v>
      </c>
      <c r="J63" s="91"/>
      <c r="K63" s="91"/>
      <c r="M63" s="91"/>
      <c r="N63" s="91" t="s">
        <v>1431</v>
      </c>
    </row>
    <row r="64" spans="1:14" x14ac:dyDescent="0.25">
      <c r="A64" s="91" t="s">
        <v>1313</v>
      </c>
      <c r="B64" s="91" t="s">
        <v>1327</v>
      </c>
      <c r="C64" s="91" t="s">
        <v>1485</v>
      </c>
      <c r="D64" s="91" t="s">
        <v>20</v>
      </c>
      <c r="E64" s="91"/>
      <c r="F64">
        <v>864</v>
      </c>
      <c r="G64">
        <v>18</v>
      </c>
      <c r="H64" s="89">
        <v>46025</v>
      </c>
      <c r="I64" s="89">
        <v>46029</v>
      </c>
      <c r="J64" s="91" t="s">
        <v>1486</v>
      </c>
      <c r="K64" s="91"/>
      <c r="M64" s="91"/>
      <c r="N64" s="91" t="s">
        <v>1431</v>
      </c>
    </row>
    <row r="65" spans="1:14" x14ac:dyDescent="0.25">
      <c r="A65" s="91" t="s">
        <v>1313</v>
      </c>
      <c r="B65" s="91" t="s">
        <v>1327</v>
      </c>
      <c r="C65" s="91" t="s">
        <v>1485</v>
      </c>
      <c r="D65" s="91" t="s">
        <v>20</v>
      </c>
      <c r="E65" s="91"/>
      <c r="F65">
        <v>288</v>
      </c>
      <c r="G65">
        <v>6</v>
      </c>
      <c r="H65" s="89">
        <v>46025</v>
      </c>
      <c r="I65" s="89">
        <v>46028</v>
      </c>
      <c r="J65" s="91"/>
      <c r="K65" s="91"/>
      <c r="M65" s="91"/>
      <c r="N65" s="91" t="s">
        <v>1431</v>
      </c>
    </row>
    <row r="66" spans="1:14" x14ac:dyDescent="0.25">
      <c r="A66" s="91" t="s">
        <v>1315</v>
      </c>
      <c r="B66" s="91" t="s">
        <v>1329</v>
      </c>
      <c r="C66" s="91" t="s">
        <v>1485</v>
      </c>
      <c r="D66" s="91" t="s">
        <v>20</v>
      </c>
      <c r="E66" s="91"/>
      <c r="F66">
        <v>5</v>
      </c>
      <c r="G66" t="s">
        <v>1419</v>
      </c>
      <c r="H66" s="89">
        <v>46025</v>
      </c>
      <c r="I66" s="89">
        <v>46026</v>
      </c>
      <c r="J66" s="91"/>
      <c r="K66" s="91"/>
      <c r="M66" s="91"/>
      <c r="N66" s="91" t="s">
        <v>1431</v>
      </c>
    </row>
    <row r="67" spans="1:14" x14ac:dyDescent="0.25">
      <c r="A67" s="91" t="s">
        <v>1316</v>
      </c>
      <c r="B67" s="91" t="s">
        <v>1330</v>
      </c>
      <c r="C67" s="91" t="s">
        <v>1487</v>
      </c>
      <c r="D67" s="91" t="s">
        <v>20</v>
      </c>
      <c r="E67" s="91"/>
      <c r="F67">
        <v>80</v>
      </c>
      <c r="G67" t="s">
        <v>1419</v>
      </c>
      <c r="H67" s="89">
        <v>46025</v>
      </c>
      <c r="I67" s="89">
        <v>46027</v>
      </c>
      <c r="J67" s="91"/>
      <c r="K67" s="91"/>
      <c r="M67" s="91"/>
      <c r="N67" s="91" t="s">
        <v>1431</v>
      </c>
    </row>
    <row r="68" spans="1:14" x14ac:dyDescent="0.25">
      <c r="A68" s="91" t="s">
        <v>1317</v>
      </c>
      <c r="B68" s="91" t="s">
        <v>1331</v>
      </c>
      <c r="C68" s="91" t="s">
        <v>1488</v>
      </c>
      <c r="D68" s="91" t="s">
        <v>20</v>
      </c>
      <c r="E68" s="91"/>
      <c r="F68">
        <v>8</v>
      </c>
      <c r="G68" t="s">
        <v>1419</v>
      </c>
      <c r="H68" s="89">
        <v>46025</v>
      </c>
      <c r="I68" s="89">
        <v>46027</v>
      </c>
      <c r="J68" s="91"/>
      <c r="K68" s="91"/>
      <c r="M68" s="91"/>
      <c r="N68" s="91" t="s">
        <v>1431</v>
      </c>
    </row>
    <row r="69" spans="1:14" x14ac:dyDescent="0.25">
      <c r="A69" s="91" t="s">
        <v>1318</v>
      </c>
      <c r="B69" s="91" t="s">
        <v>1332</v>
      </c>
      <c r="C69" s="91" t="s">
        <v>1489</v>
      </c>
      <c r="D69" s="91" t="s">
        <v>20</v>
      </c>
      <c r="E69" s="91"/>
      <c r="F69">
        <v>46</v>
      </c>
      <c r="G69" t="s">
        <v>1419</v>
      </c>
      <c r="H69" s="89">
        <v>46025</v>
      </c>
      <c r="I69" s="89">
        <v>46027</v>
      </c>
      <c r="J69" s="91"/>
      <c r="K69" s="91"/>
      <c r="M69" s="91"/>
      <c r="N69" s="91" t="s">
        <v>1431</v>
      </c>
    </row>
    <row r="70" spans="1:14" x14ac:dyDescent="0.25">
      <c r="A70" s="91" t="s">
        <v>1324</v>
      </c>
      <c r="B70" s="91" t="s">
        <v>1338</v>
      </c>
      <c r="C70" s="91" t="s">
        <v>1490</v>
      </c>
      <c r="D70" s="91" t="s">
        <v>15</v>
      </c>
      <c r="E70" s="91"/>
      <c r="F70">
        <v>960</v>
      </c>
      <c r="G70">
        <v>20</v>
      </c>
      <c r="H70" s="89">
        <v>46025</v>
      </c>
      <c r="I70" s="89">
        <v>46031</v>
      </c>
      <c r="J70" s="91" t="s">
        <v>1456</v>
      </c>
      <c r="K70" s="91"/>
      <c r="M70" s="91"/>
      <c r="N70" s="91" t="s">
        <v>1431</v>
      </c>
    </row>
    <row r="71" spans="1:14" x14ac:dyDescent="0.25">
      <c r="A71" s="91" t="s">
        <v>1315</v>
      </c>
      <c r="B71" s="91" t="s">
        <v>1329</v>
      </c>
      <c r="C71" s="91" t="s">
        <v>1490</v>
      </c>
      <c r="D71" s="91" t="s">
        <v>15</v>
      </c>
      <c r="E71" s="91"/>
      <c r="F71">
        <v>39</v>
      </c>
      <c r="G71" t="s">
        <v>1419</v>
      </c>
      <c r="H71" s="89">
        <v>46025</v>
      </c>
      <c r="I71" s="89">
        <v>46026</v>
      </c>
      <c r="J71" s="91"/>
      <c r="K71" s="91"/>
      <c r="M71" s="91"/>
      <c r="N71" s="91" t="s">
        <v>1431</v>
      </c>
    </row>
    <row r="72" spans="1:14" x14ac:dyDescent="0.25">
      <c r="A72" s="91" t="s">
        <v>1444</v>
      </c>
      <c r="B72" s="91" t="s">
        <v>1445</v>
      </c>
      <c r="C72" s="91" t="s">
        <v>1490</v>
      </c>
      <c r="D72" s="91" t="s">
        <v>15</v>
      </c>
      <c r="E72" s="91"/>
      <c r="F72">
        <v>156</v>
      </c>
      <c r="G72">
        <v>1</v>
      </c>
      <c r="H72" s="89">
        <v>46025</v>
      </c>
      <c r="I72" s="89">
        <v>46028</v>
      </c>
      <c r="J72" s="91"/>
      <c r="K72" s="91"/>
      <c r="M72" s="91"/>
      <c r="N72" s="91" t="s">
        <v>1431</v>
      </c>
    </row>
    <row r="73" spans="1:14" x14ac:dyDescent="0.25">
      <c r="A73" s="91" t="s">
        <v>1316</v>
      </c>
      <c r="B73" s="91" t="s">
        <v>1330</v>
      </c>
      <c r="C73" s="91" t="s">
        <v>1491</v>
      </c>
      <c r="D73" s="91" t="s">
        <v>15</v>
      </c>
      <c r="E73" s="91"/>
      <c r="F73">
        <v>33</v>
      </c>
      <c r="G73" t="s">
        <v>1419</v>
      </c>
      <c r="H73" s="89">
        <v>46025</v>
      </c>
      <c r="I73" s="89">
        <v>46027</v>
      </c>
      <c r="J73" s="91"/>
      <c r="K73" s="91"/>
      <c r="M73" s="91"/>
      <c r="N73" s="91" t="s">
        <v>1431</v>
      </c>
    </row>
    <row r="74" spans="1:14" x14ac:dyDescent="0.25">
      <c r="A74" s="91" t="s">
        <v>1317</v>
      </c>
      <c r="B74" s="91" t="s">
        <v>1331</v>
      </c>
      <c r="C74" s="91" t="s">
        <v>1492</v>
      </c>
      <c r="D74" s="91" t="s">
        <v>15</v>
      </c>
      <c r="E74" s="91"/>
      <c r="F74">
        <v>16</v>
      </c>
      <c r="G74" t="s">
        <v>1419</v>
      </c>
      <c r="H74" s="89">
        <v>46025</v>
      </c>
      <c r="I74" s="89">
        <v>46027</v>
      </c>
      <c r="J74" s="91"/>
      <c r="K74" s="91"/>
      <c r="M74" s="91"/>
      <c r="N74" s="91" t="s">
        <v>1431</v>
      </c>
    </row>
    <row r="75" spans="1:14" x14ac:dyDescent="0.25">
      <c r="A75" s="91" t="s">
        <v>1318</v>
      </c>
      <c r="B75" s="91" t="s">
        <v>1332</v>
      </c>
      <c r="C75" s="91" t="s">
        <v>1493</v>
      </c>
      <c r="D75" s="91" t="s">
        <v>15</v>
      </c>
      <c r="E75" s="91"/>
      <c r="F75">
        <v>8</v>
      </c>
      <c r="G75" t="s">
        <v>1419</v>
      </c>
      <c r="H75" s="89">
        <v>46025</v>
      </c>
      <c r="I75" s="89">
        <v>46027</v>
      </c>
      <c r="J75" s="91"/>
      <c r="K75" s="91"/>
      <c r="M75" s="91"/>
      <c r="N75" s="91" t="s">
        <v>1431</v>
      </c>
    </row>
    <row r="76" spans="1:14" x14ac:dyDescent="0.25">
      <c r="A76" s="91" t="s">
        <v>1313</v>
      </c>
      <c r="B76" s="91" t="s">
        <v>1327</v>
      </c>
      <c r="C76" s="91" t="s">
        <v>1494</v>
      </c>
      <c r="D76" s="91" t="s">
        <v>23</v>
      </c>
      <c r="E76" s="91"/>
      <c r="F76">
        <v>960</v>
      </c>
      <c r="G76">
        <v>20</v>
      </c>
      <c r="H76" s="89">
        <v>46027</v>
      </c>
      <c r="I76" s="89">
        <v>46031</v>
      </c>
      <c r="J76" s="91" t="s">
        <v>1495</v>
      </c>
      <c r="K76" s="91"/>
      <c r="M76" s="91"/>
      <c r="N76" s="91" t="s">
        <v>1496</v>
      </c>
    </row>
    <row r="77" spans="1:14" x14ac:dyDescent="0.25">
      <c r="A77" s="91" t="s">
        <v>1313</v>
      </c>
      <c r="B77" s="91" t="s">
        <v>1327</v>
      </c>
      <c r="C77" s="91" t="s">
        <v>1497</v>
      </c>
      <c r="D77" s="91" t="s">
        <v>15</v>
      </c>
      <c r="E77" s="91"/>
      <c r="F77">
        <v>192</v>
      </c>
      <c r="G77">
        <v>4</v>
      </c>
      <c r="H77" s="89">
        <v>46027</v>
      </c>
      <c r="I77" s="89">
        <v>46031</v>
      </c>
      <c r="J77" s="91" t="s">
        <v>1495</v>
      </c>
      <c r="K77" s="91"/>
      <c r="M77" s="91"/>
      <c r="N77" s="91" t="s">
        <v>1496</v>
      </c>
    </row>
    <row r="78" spans="1:14" x14ac:dyDescent="0.25">
      <c r="A78" s="91" t="s">
        <v>1324</v>
      </c>
      <c r="B78" s="91" t="s">
        <v>1338</v>
      </c>
      <c r="C78" s="91" t="s">
        <v>1497</v>
      </c>
      <c r="D78" s="91" t="s">
        <v>15</v>
      </c>
      <c r="E78" s="91"/>
      <c r="F78">
        <v>1152</v>
      </c>
      <c r="G78">
        <v>24</v>
      </c>
      <c r="H78" s="89">
        <v>46027</v>
      </c>
      <c r="I78" s="89">
        <v>46032</v>
      </c>
      <c r="J78" s="91" t="s">
        <v>1498</v>
      </c>
      <c r="K78" s="91"/>
      <c r="M78" s="91"/>
      <c r="N78" s="91" t="s">
        <v>1496</v>
      </c>
    </row>
    <row r="79" spans="1:14" x14ac:dyDescent="0.25">
      <c r="A79" s="91" t="s">
        <v>1315</v>
      </c>
      <c r="B79" s="91" t="s">
        <v>1329</v>
      </c>
      <c r="C79" s="91" t="s">
        <v>1497</v>
      </c>
      <c r="D79" s="91" t="s">
        <v>15</v>
      </c>
      <c r="E79" s="91"/>
      <c r="F79">
        <v>30</v>
      </c>
      <c r="G79" t="s">
        <v>1419</v>
      </c>
      <c r="H79" s="89">
        <v>46027</v>
      </c>
      <c r="I79" s="89">
        <v>46031</v>
      </c>
      <c r="J79" s="91"/>
      <c r="K79" s="91"/>
      <c r="M79" s="91"/>
      <c r="N79" s="91" t="s">
        <v>1496</v>
      </c>
    </row>
    <row r="80" spans="1:14" x14ac:dyDescent="0.25">
      <c r="A80" s="91" t="s">
        <v>1316</v>
      </c>
      <c r="B80" s="91" t="s">
        <v>1330</v>
      </c>
      <c r="C80" s="91" t="s">
        <v>1499</v>
      </c>
      <c r="D80" s="91" t="s">
        <v>15</v>
      </c>
      <c r="E80" s="91"/>
      <c r="F80">
        <v>38</v>
      </c>
      <c r="G80" t="s">
        <v>1419</v>
      </c>
      <c r="H80" s="89">
        <v>46027</v>
      </c>
      <c r="I80" s="89">
        <v>46029</v>
      </c>
      <c r="J80" s="91"/>
      <c r="K80" s="91"/>
      <c r="M80" s="91"/>
      <c r="N80" s="91" t="s">
        <v>1496</v>
      </c>
    </row>
    <row r="81" spans="1:14" x14ac:dyDescent="0.25">
      <c r="A81" s="91" t="s">
        <v>1317</v>
      </c>
      <c r="B81" s="91" t="s">
        <v>1331</v>
      </c>
      <c r="C81" s="91" t="s">
        <v>1500</v>
      </c>
      <c r="D81" s="91" t="s">
        <v>15</v>
      </c>
      <c r="E81" s="91"/>
      <c r="F81">
        <v>13</v>
      </c>
      <c r="G81" t="s">
        <v>1419</v>
      </c>
      <c r="H81" s="89">
        <v>46027</v>
      </c>
      <c r="I81" s="89">
        <v>46029</v>
      </c>
      <c r="J81" s="91"/>
      <c r="K81" s="91"/>
      <c r="M81" s="91"/>
      <c r="N81" s="91" t="s">
        <v>1496</v>
      </c>
    </row>
    <row r="82" spans="1:14" x14ac:dyDescent="0.25">
      <c r="A82" s="91" t="s">
        <v>1318</v>
      </c>
      <c r="B82" s="91" t="s">
        <v>1332</v>
      </c>
      <c r="C82" s="91" t="s">
        <v>1501</v>
      </c>
      <c r="D82" s="91" t="s">
        <v>15</v>
      </c>
      <c r="E82" s="91"/>
      <c r="F82">
        <v>31</v>
      </c>
      <c r="G82" t="s">
        <v>1419</v>
      </c>
      <c r="H82" s="89">
        <v>46027</v>
      </c>
      <c r="I82" s="89">
        <v>46029</v>
      </c>
      <c r="J82" s="91"/>
      <c r="K82" s="91"/>
      <c r="M82" s="91"/>
      <c r="N82" s="91" t="s">
        <v>1496</v>
      </c>
    </row>
    <row r="83" spans="1:14" x14ac:dyDescent="0.25">
      <c r="A83" s="91" t="s">
        <v>1313</v>
      </c>
      <c r="B83" s="91" t="s">
        <v>1327</v>
      </c>
      <c r="C83" s="91" t="s">
        <v>1502</v>
      </c>
      <c r="D83" s="91" t="s">
        <v>21</v>
      </c>
      <c r="E83" s="91"/>
      <c r="F83">
        <v>1152</v>
      </c>
      <c r="G83">
        <v>24</v>
      </c>
      <c r="H83" s="89">
        <v>46027</v>
      </c>
      <c r="I83" s="89">
        <v>46031</v>
      </c>
      <c r="J83" s="91" t="s">
        <v>1503</v>
      </c>
      <c r="K83" s="91"/>
      <c r="M83" s="91"/>
      <c r="N83" s="91" t="s">
        <v>1496</v>
      </c>
    </row>
    <row r="84" spans="1:14" x14ac:dyDescent="0.25">
      <c r="A84" s="91" t="s">
        <v>1315</v>
      </c>
      <c r="B84" s="91" t="s">
        <v>1329</v>
      </c>
      <c r="C84" s="91" t="s">
        <v>1502</v>
      </c>
      <c r="D84" s="91" t="s">
        <v>21</v>
      </c>
      <c r="E84" s="91"/>
      <c r="F84">
        <v>6</v>
      </c>
      <c r="G84" t="s">
        <v>1419</v>
      </c>
      <c r="H84" s="89">
        <v>46027</v>
      </c>
      <c r="I84" s="89">
        <v>46031</v>
      </c>
      <c r="J84" s="91"/>
      <c r="K84" s="91"/>
      <c r="M84" s="91"/>
      <c r="N84" s="91" t="s">
        <v>1496</v>
      </c>
    </row>
    <row r="85" spans="1:14" x14ac:dyDescent="0.25">
      <c r="A85" s="91" t="s">
        <v>1316</v>
      </c>
      <c r="B85" s="91" t="s">
        <v>1330</v>
      </c>
      <c r="C85" s="91" t="s">
        <v>1504</v>
      </c>
      <c r="D85" s="91" t="s">
        <v>21</v>
      </c>
      <c r="E85" s="91"/>
      <c r="F85">
        <v>26</v>
      </c>
      <c r="G85" t="s">
        <v>1419</v>
      </c>
      <c r="H85" s="89">
        <v>46027</v>
      </c>
      <c r="I85" s="89">
        <v>46029</v>
      </c>
      <c r="J85" s="91"/>
      <c r="K85" s="91"/>
      <c r="M85" s="91"/>
      <c r="N85" s="91" t="s">
        <v>1496</v>
      </c>
    </row>
    <row r="86" spans="1:14" x14ac:dyDescent="0.25">
      <c r="A86" s="91" t="s">
        <v>1317</v>
      </c>
      <c r="B86" s="91" t="s">
        <v>1331</v>
      </c>
      <c r="C86" s="91" t="s">
        <v>1505</v>
      </c>
      <c r="D86" s="91" t="s">
        <v>21</v>
      </c>
      <c r="E86" s="91"/>
      <c r="F86">
        <v>2</v>
      </c>
      <c r="G86" t="s">
        <v>1419</v>
      </c>
      <c r="H86" s="89">
        <v>46027</v>
      </c>
      <c r="I86" s="89">
        <v>46029</v>
      </c>
      <c r="J86" s="91"/>
      <c r="K86" s="91"/>
      <c r="M86" s="91"/>
      <c r="N86" s="91" t="s">
        <v>1496</v>
      </c>
    </row>
    <row r="87" spans="1:14" x14ac:dyDescent="0.25">
      <c r="A87" s="91" t="s">
        <v>1318</v>
      </c>
      <c r="B87" s="91" t="s">
        <v>1332</v>
      </c>
      <c r="C87" s="91" t="s">
        <v>1506</v>
      </c>
      <c r="D87" s="91" t="s">
        <v>21</v>
      </c>
      <c r="E87" s="91"/>
      <c r="F87">
        <v>109</v>
      </c>
      <c r="G87" t="s">
        <v>1419</v>
      </c>
      <c r="H87" s="89">
        <v>46027</v>
      </c>
      <c r="I87" s="89">
        <v>46029</v>
      </c>
      <c r="J87" s="91"/>
      <c r="K87" s="91"/>
      <c r="M87" s="91"/>
      <c r="N87" s="91" t="s">
        <v>1496</v>
      </c>
    </row>
    <row r="88" spans="1:14" x14ac:dyDescent="0.25">
      <c r="A88" s="91" t="s">
        <v>1427</v>
      </c>
      <c r="B88" s="91" t="s">
        <v>1428</v>
      </c>
      <c r="C88" s="91" t="s">
        <v>1507</v>
      </c>
      <c r="D88" s="91" t="s">
        <v>20</v>
      </c>
      <c r="E88" s="91"/>
      <c r="F88">
        <v>918</v>
      </c>
      <c r="G88">
        <v>17</v>
      </c>
      <c r="H88" s="89">
        <v>46027</v>
      </c>
      <c r="I88" s="89">
        <v>46030</v>
      </c>
      <c r="J88" s="91" t="s">
        <v>1508</v>
      </c>
      <c r="K88" s="91"/>
      <c r="M88" s="91"/>
      <c r="N88" s="91" t="s">
        <v>1496</v>
      </c>
    </row>
    <row r="89" spans="1:14" x14ac:dyDescent="0.25">
      <c r="A89" s="91" t="s">
        <v>1322</v>
      </c>
      <c r="B89" s="91" t="s">
        <v>1336</v>
      </c>
      <c r="C89" s="91" t="s">
        <v>1507</v>
      </c>
      <c r="D89" s="91" t="s">
        <v>20</v>
      </c>
      <c r="E89" s="91"/>
      <c r="F89">
        <v>162</v>
      </c>
      <c r="G89">
        <v>3</v>
      </c>
      <c r="H89" s="89">
        <v>46027</v>
      </c>
      <c r="I89" s="89">
        <v>46030</v>
      </c>
      <c r="J89" s="91" t="s">
        <v>1508</v>
      </c>
      <c r="K89" s="91"/>
      <c r="M89" s="91"/>
      <c r="N89" s="91" t="s">
        <v>1496</v>
      </c>
    </row>
    <row r="90" spans="1:14" x14ac:dyDescent="0.25">
      <c r="A90" s="91" t="s">
        <v>1313</v>
      </c>
      <c r="B90" s="91" t="s">
        <v>1327</v>
      </c>
      <c r="C90" s="91" t="s">
        <v>1507</v>
      </c>
      <c r="D90" s="91" t="s">
        <v>20</v>
      </c>
      <c r="E90" s="91"/>
      <c r="F90">
        <v>96</v>
      </c>
      <c r="G90">
        <v>2</v>
      </c>
      <c r="H90" s="89">
        <v>46027</v>
      </c>
      <c r="I90" s="89">
        <v>46032</v>
      </c>
      <c r="J90" s="91"/>
      <c r="K90" s="91"/>
      <c r="M90" s="91"/>
      <c r="N90" s="91" t="s">
        <v>1496</v>
      </c>
    </row>
    <row r="91" spans="1:14" x14ac:dyDescent="0.25">
      <c r="A91" s="91" t="s">
        <v>1316</v>
      </c>
      <c r="B91" s="91" t="s">
        <v>1330</v>
      </c>
      <c r="C91" s="91" t="s">
        <v>1509</v>
      </c>
      <c r="D91" s="91" t="s">
        <v>20</v>
      </c>
      <c r="E91" s="91"/>
      <c r="F91">
        <v>113</v>
      </c>
      <c r="G91" t="s">
        <v>1419</v>
      </c>
      <c r="H91" s="89">
        <v>46027</v>
      </c>
      <c r="I91" s="89">
        <v>46029</v>
      </c>
      <c r="J91" s="91"/>
      <c r="K91" s="91"/>
      <c r="M91" s="91"/>
      <c r="N91" s="91" t="s">
        <v>1496</v>
      </c>
    </row>
    <row r="92" spans="1:14" x14ac:dyDescent="0.25">
      <c r="A92" s="91" t="s">
        <v>1317</v>
      </c>
      <c r="B92" s="91" t="s">
        <v>1331</v>
      </c>
      <c r="C92" s="91" t="s">
        <v>1510</v>
      </c>
      <c r="D92" s="91" t="s">
        <v>20</v>
      </c>
      <c r="E92" s="91"/>
      <c r="F92">
        <v>7</v>
      </c>
      <c r="G92" t="s">
        <v>1419</v>
      </c>
      <c r="H92" s="89">
        <v>46027</v>
      </c>
      <c r="I92" s="89">
        <v>46029</v>
      </c>
      <c r="J92" s="91"/>
      <c r="K92" s="91"/>
      <c r="M92" s="91"/>
      <c r="N92" s="91" t="s">
        <v>1496</v>
      </c>
    </row>
    <row r="93" spans="1:14" x14ac:dyDescent="0.25">
      <c r="A93" s="91" t="s">
        <v>1318</v>
      </c>
      <c r="B93" s="91" t="s">
        <v>1332</v>
      </c>
      <c r="C93" s="91" t="s">
        <v>1511</v>
      </c>
      <c r="D93" s="91" t="s">
        <v>20</v>
      </c>
      <c r="E93" s="91"/>
      <c r="F93">
        <v>46</v>
      </c>
      <c r="G93" t="s">
        <v>1419</v>
      </c>
      <c r="H93" s="89">
        <v>46027</v>
      </c>
      <c r="I93" s="89">
        <v>46029</v>
      </c>
      <c r="J93" s="91"/>
      <c r="K93" s="91"/>
      <c r="M93" s="91"/>
      <c r="N93" s="91" t="s">
        <v>1496</v>
      </c>
    </row>
    <row r="94" spans="1:14" x14ac:dyDescent="0.25">
      <c r="A94" s="91" t="s">
        <v>1326</v>
      </c>
      <c r="B94" s="91" t="s">
        <v>1340</v>
      </c>
      <c r="C94" s="91" t="s">
        <v>1512</v>
      </c>
      <c r="D94" s="91" t="s">
        <v>32</v>
      </c>
      <c r="E94" s="91"/>
      <c r="F94">
        <v>840</v>
      </c>
      <c r="G94">
        <v>20</v>
      </c>
      <c r="H94" s="89">
        <v>46027</v>
      </c>
      <c r="I94" s="89">
        <v>46031</v>
      </c>
      <c r="J94" s="91" t="s">
        <v>1513</v>
      </c>
      <c r="K94" s="91"/>
      <c r="M94" s="91"/>
      <c r="N94" s="91" t="s">
        <v>1496</v>
      </c>
    </row>
    <row r="95" spans="1:14" x14ac:dyDescent="0.25">
      <c r="A95" s="91" t="s">
        <v>1313</v>
      </c>
      <c r="B95" s="91" t="s">
        <v>1327</v>
      </c>
      <c r="C95" s="91" t="s">
        <v>1514</v>
      </c>
      <c r="D95" s="91" t="s">
        <v>23</v>
      </c>
      <c r="E95" s="91"/>
      <c r="F95">
        <v>864</v>
      </c>
      <c r="G95">
        <v>18</v>
      </c>
      <c r="H95" s="89">
        <v>46028</v>
      </c>
      <c r="I95" s="89">
        <v>46031</v>
      </c>
      <c r="J95" s="91" t="s">
        <v>1515</v>
      </c>
      <c r="K95" s="91"/>
      <c r="M95" s="91"/>
      <c r="N95" s="91" t="s">
        <v>1496</v>
      </c>
    </row>
    <row r="96" spans="1:14" x14ac:dyDescent="0.25">
      <c r="A96" s="91" t="s">
        <v>1313</v>
      </c>
      <c r="B96" s="91" t="s">
        <v>1327</v>
      </c>
      <c r="C96" s="91" t="s">
        <v>1514</v>
      </c>
      <c r="D96" s="91" t="s">
        <v>23</v>
      </c>
      <c r="E96" s="91"/>
      <c r="F96">
        <v>96</v>
      </c>
      <c r="G96">
        <v>2</v>
      </c>
      <c r="H96" s="89">
        <v>46028</v>
      </c>
      <c r="I96" s="89">
        <v>46032</v>
      </c>
      <c r="J96" s="91"/>
      <c r="K96" s="91"/>
      <c r="M96" s="91"/>
      <c r="N96" s="91" t="s">
        <v>1496</v>
      </c>
    </row>
    <row r="97" spans="1:14" x14ac:dyDescent="0.25">
      <c r="A97" s="91" t="s">
        <v>1314</v>
      </c>
      <c r="B97" s="91" t="s">
        <v>1328</v>
      </c>
      <c r="C97" s="91" t="s">
        <v>1516</v>
      </c>
      <c r="D97" s="91" t="s">
        <v>15</v>
      </c>
      <c r="E97" s="91"/>
      <c r="F97">
        <v>288</v>
      </c>
      <c r="G97">
        <v>6</v>
      </c>
      <c r="H97" s="89">
        <v>46028</v>
      </c>
      <c r="I97" s="89">
        <v>46031</v>
      </c>
      <c r="J97" s="91" t="s">
        <v>1517</v>
      </c>
      <c r="K97" s="91"/>
      <c r="M97" s="91"/>
      <c r="N97" s="91" t="s">
        <v>1496</v>
      </c>
    </row>
    <row r="98" spans="1:14" x14ac:dyDescent="0.25">
      <c r="A98" s="91" t="s">
        <v>1313</v>
      </c>
      <c r="B98" s="91" t="s">
        <v>1327</v>
      </c>
      <c r="C98" s="91" t="s">
        <v>1516</v>
      </c>
      <c r="D98" s="91" t="s">
        <v>15</v>
      </c>
      <c r="E98" s="91"/>
      <c r="F98">
        <v>768</v>
      </c>
      <c r="G98">
        <v>16</v>
      </c>
      <c r="H98" s="89">
        <v>46028</v>
      </c>
      <c r="I98" s="89">
        <v>46032</v>
      </c>
      <c r="J98" s="91" t="s">
        <v>1518</v>
      </c>
      <c r="K98" s="91"/>
      <c r="M98" s="91"/>
      <c r="N98" s="91" t="s">
        <v>1496</v>
      </c>
    </row>
    <row r="99" spans="1:14" x14ac:dyDescent="0.25">
      <c r="A99" s="91" t="s">
        <v>1315</v>
      </c>
      <c r="B99" s="91" t="s">
        <v>1329</v>
      </c>
      <c r="C99" s="91" t="s">
        <v>1516</v>
      </c>
      <c r="D99" s="91" t="s">
        <v>15</v>
      </c>
      <c r="E99" s="91"/>
      <c r="F99">
        <v>18</v>
      </c>
      <c r="G99" t="s">
        <v>1419</v>
      </c>
      <c r="H99" s="89">
        <v>46028</v>
      </c>
      <c r="I99" s="89">
        <v>46031</v>
      </c>
      <c r="J99" s="91"/>
      <c r="K99" s="91"/>
      <c r="M99" s="91"/>
      <c r="N99" s="91" t="s">
        <v>1496</v>
      </c>
    </row>
    <row r="100" spans="1:14" x14ac:dyDescent="0.25">
      <c r="A100" s="91" t="s">
        <v>1316</v>
      </c>
      <c r="B100" s="91" t="s">
        <v>1330</v>
      </c>
      <c r="C100" s="91" t="s">
        <v>1519</v>
      </c>
      <c r="D100" s="91" t="s">
        <v>15</v>
      </c>
      <c r="E100" s="91"/>
      <c r="F100">
        <v>26</v>
      </c>
      <c r="G100" t="s">
        <v>1419</v>
      </c>
      <c r="H100" s="89">
        <v>46028</v>
      </c>
      <c r="I100" s="89">
        <v>46030</v>
      </c>
      <c r="J100" s="91"/>
      <c r="K100" s="91"/>
      <c r="M100" s="91"/>
      <c r="N100" s="91" t="s">
        <v>1496</v>
      </c>
    </row>
    <row r="101" spans="1:14" x14ac:dyDescent="0.25">
      <c r="A101" s="91" t="s">
        <v>1317</v>
      </c>
      <c r="B101" s="91" t="s">
        <v>1331</v>
      </c>
      <c r="C101" s="91" t="s">
        <v>1520</v>
      </c>
      <c r="D101" s="91" t="s">
        <v>15</v>
      </c>
      <c r="E101" s="91"/>
      <c r="F101">
        <v>5</v>
      </c>
      <c r="G101" t="s">
        <v>1419</v>
      </c>
      <c r="H101" s="89">
        <v>46028</v>
      </c>
      <c r="I101" s="89">
        <v>46030</v>
      </c>
      <c r="J101" s="91"/>
      <c r="K101" s="91"/>
      <c r="M101" s="91"/>
      <c r="N101" s="91" t="s">
        <v>1496</v>
      </c>
    </row>
    <row r="102" spans="1:14" x14ac:dyDescent="0.25">
      <c r="A102" s="91" t="s">
        <v>1318</v>
      </c>
      <c r="B102" s="91" t="s">
        <v>1332</v>
      </c>
      <c r="C102" s="91" t="s">
        <v>1521</v>
      </c>
      <c r="D102" s="91" t="s">
        <v>15</v>
      </c>
      <c r="E102" s="91"/>
      <c r="F102">
        <v>20</v>
      </c>
      <c r="G102" t="s">
        <v>1419</v>
      </c>
      <c r="H102" s="89">
        <v>46028</v>
      </c>
      <c r="I102" s="89">
        <v>46030</v>
      </c>
      <c r="J102" s="91"/>
      <c r="K102" s="91"/>
      <c r="M102" s="91"/>
      <c r="N102" s="91" t="s">
        <v>1496</v>
      </c>
    </row>
    <row r="103" spans="1:14" x14ac:dyDescent="0.25">
      <c r="A103" s="91" t="s">
        <v>1313</v>
      </c>
      <c r="B103" s="91" t="s">
        <v>1327</v>
      </c>
      <c r="C103" s="91" t="s">
        <v>1522</v>
      </c>
      <c r="D103" s="91" t="s">
        <v>28</v>
      </c>
      <c r="E103" s="91"/>
      <c r="F103">
        <v>384</v>
      </c>
      <c r="G103">
        <v>8</v>
      </c>
      <c r="H103" s="89">
        <v>46028</v>
      </c>
      <c r="I103" s="89">
        <v>46032</v>
      </c>
      <c r="J103" s="91" t="s">
        <v>1518</v>
      </c>
      <c r="K103" s="91"/>
      <c r="M103" s="91"/>
      <c r="N103" s="91" t="s">
        <v>1496</v>
      </c>
    </row>
    <row r="104" spans="1:14" x14ac:dyDescent="0.25">
      <c r="A104" s="91" t="s">
        <v>1313</v>
      </c>
      <c r="B104" s="91" t="s">
        <v>1327</v>
      </c>
      <c r="C104" s="91" t="s">
        <v>1522</v>
      </c>
      <c r="D104" s="91" t="s">
        <v>28</v>
      </c>
      <c r="E104" s="91"/>
      <c r="F104">
        <v>48</v>
      </c>
      <c r="G104">
        <v>1</v>
      </c>
      <c r="H104" s="89">
        <v>46028</v>
      </c>
      <c r="I104" s="89">
        <v>46030</v>
      </c>
      <c r="J104" s="91"/>
      <c r="K104" s="91"/>
      <c r="M104" s="91"/>
      <c r="N104" s="91" t="s">
        <v>1496</v>
      </c>
    </row>
    <row r="105" spans="1:14" x14ac:dyDescent="0.25">
      <c r="A105" s="91" t="s">
        <v>1321</v>
      </c>
      <c r="B105" s="91" t="s">
        <v>1335</v>
      </c>
      <c r="C105" s="91" t="s">
        <v>1523</v>
      </c>
      <c r="D105" s="91" t="s">
        <v>138</v>
      </c>
      <c r="E105" s="91"/>
      <c r="F105">
        <v>144</v>
      </c>
      <c r="G105">
        <v>3</v>
      </c>
      <c r="H105" s="89">
        <v>46028</v>
      </c>
      <c r="I105" s="89">
        <v>46034</v>
      </c>
      <c r="J105" s="91" t="s">
        <v>1524</v>
      </c>
      <c r="K105" s="91"/>
      <c r="M105" s="91"/>
      <c r="N105" s="91" t="s">
        <v>1496</v>
      </c>
    </row>
    <row r="106" spans="1:14" x14ac:dyDescent="0.25">
      <c r="A106" s="91" t="s">
        <v>1324</v>
      </c>
      <c r="B106" s="91" t="s">
        <v>1338</v>
      </c>
      <c r="C106" s="91" t="s">
        <v>1525</v>
      </c>
      <c r="D106" s="91" t="s">
        <v>118</v>
      </c>
      <c r="E106" s="91"/>
      <c r="F106">
        <v>960</v>
      </c>
      <c r="G106">
        <v>20</v>
      </c>
      <c r="H106" s="89">
        <v>46028</v>
      </c>
      <c r="I106" s="89">
        <v>46034</v>
      </c>
      <c r="J106" s="91" t="s">
        <v>1524</v>
      </c>
      <c r="K106" s="91"/>
      <c r="M106" s="91"/>
      <c r="N106" s="91" t="s">
        <v>1496</v>
      </c>
    </row>
    <row r="107" spans="1:14" x14ac:dyDescent="0.25">
      <c r="A107" s="91" t="s">
        <v>1427</v>
      </c>
      <c r="B107" s="91" t="s">
        <v>1428</v>
      </c>
      <c r="C107" s="91" t="s">
        <v>1526</v>
      </c>
      <c r="D107" s="91" t="s">
        <v>20</v>
      </c>
      <c r="E107" s="91"/>
      <c r="F107">
        <v>918</v>
      </c>
      <c r="G107">
        <v>17</v>
      </c>
      <c r="H107" s="89">
        <v>46028</v>
      </c>
      <c r="I107" s="89">
        <v>46031</v>
      </c>
      <c r="J107" s="91" t="s">
        <v>1527</v>
      </c>
      <c r="K107" s="91"/>
      <c r="M107" s="91"/>
      <c r="N107" s="91" t="s">
        <v>1496</v>
      </c>
    </row>
    <row r="108" spans="1:14" x14ac:dyDescent="0.25">
      <c r="A108" s="91" t="s">
        <v>1322</v>
      </c>
      <c r="B108" s="91" t="s">
        <v>1336</v>
      </c>
      <c r="C108" s="91" t="s">
        <v>1526</v>
      </c>
      <c r="D108" s="91" t="s">
        <v>20</v>
      </c>
      <c r="E108" s="91"/>
      <c r="F108">
        <v>162</v>
      </c>
      <c r="G108">
        <v>3</v>
      </c>
      <c r="H108" s="89">
        <v>46028</v>
      </c>
      <c r="I108" s="89">
        <v>46031</v>
      </c>
      <c r="J108" s="91" t="s">
        <v>1527</v>
      </c>
      <c r="K108" s="91"/>
      <c r="M108" s="91"/>
      <c r="N108" s="91" t="s">
        <v>1496</v>
      </c>
    </row>
    <row r="109" spans="1:14" x14ac:dyDescent="0.25">
      <c r="A109" s="91" t="s">
        <v>1313</v>
      </c>
      <c r="B109" s="91" t="s">
        <v>1327</v>
      </c>
      <c r="C109" s="91" t="s">
        <v>1526</v>
      </c>
      <c r="D109" s="91" t="s">
        <v>20</v>
      </c>
      <c r="E109" s="91"/>
      <c r="F109">
        <v>96</v>
      </c>
      <c r="G109">
        <v>2</v>
      </c>
      <c r="H109" s="89">
        <v>46028</v>
      </c>
      <c r="I109" s="89">
        <v>46032</v>
      </c>
      <c r="J109" s="91"/>
      <c r="K109" s="91"/>
      <c r="M109" s="91"/>
      <c r="N109" s="91" t="s">
        <v>1496</v>
      </c>
    </row>
    <row r="110" spans="1:14" x14ac:dyDescent="0.25">
      <c r="A110" s="91" t="s">
        <v>1315</v>
      </c>
      <c r="B110" s="91" t="s">
        <v>1329</v>
      </c>
      <c r="C110" s="91" t="s">
        <v>1526</v>
      </c>
      <c r="D110" s="91" t="s">
        <v>20</v>
      </c>
      <c r="E110" s="91"/>
      <c r="F110">
        <v>41</v>
      </c>
      <c r="G110" t="s">
        <v>1419</v>
      </c>
      <c r="H110" s="89">
        <v>46028</v>
      </c>
      <c r="I110" s="89">
        <v>46030</v>
      </c>
      <c r="J110" s="91"/>
      <c r="K110" s="91"/>
      <c r="M110" s="91"/>
      <c r="N110" s="91" t="s">
        <v>1496</v>
      </c>
    </row>
    <row r="111" spans="1:14" x14ac:dyDescent="0.25">
      <c r="A111" s="91" t="s">
        <v>1316</v>
      </c>
      <c r="B111" s="91" t="s">
        <v>1330</v>
      </c>
      <c r="C111" s="91" t="s">
        <v>1528</v>
      </c>
      <c r="D111" s="91" t="s">
        <v>20</v>
      </c>
      <c r="E111" s="91"/>
      <c r="F111">
        <v>44</v>
      </c>
      <c r="G111" t="s">
        <v>1419</v>
      </c>
      <c r="H111" s="89">
        <v>46028</v>
      </c>
      <c r="I111" s="89">
        <v>46030</v>
      </c>
      <c r="J111" s="91"/>
      <c r="K111" s="91"/>
      <c r="M111" s="91"/>
      <c r="N111" s="91" t="s">
        <v>1496</v>
      </c>
    </row>
    <row r="112" spans="1:14" x14ac:dyDescent="0.25">
      <c r="A112" s="91" t="s">
        <v>1317</v>
      </c>
      <c r="B112" s="91" t="s">
        <v>1331</v>
      </c>
      <c r="C112" s="91" t="s">
        <v>1529</v>
      </c>
      <c r="D112" s="91" t="s">
        <v>20</v>
      </c>
      <c r="E112" s="91"/>
      <c r="F112">
        <v>5</v>
      </c>
      <c r="G112" t="s">
        <v>1419</v>
      </c>
      <c r="H112" s="89">
        <v>46028</v>
      </c>
      <c r="I112" s="89">
        <v>46030</v>
      </c>
      <c r="J112" s="91"/>
      <c r="K112" s="91"/>
      <c r="M112" s="91"/>
      <c r="N112" s="91" t="s">
        <v>1496</v>
      </c>
    </row>
    <row r="113" spans="1:14" x14ac:dyDescent="0.25">
      <c r="A113" s="91" t="s">
        <v>1318</v>
      </c>
      <c r="B113" s="91" t="s">
        <v>1332</v>
      </c>
      <c r="C113" s="91" t="s">
        <v>1530</v>
      </c>
      <c r="D113" s="91" t="s">
        <v>20</v>
      </c>
      <c r="E113" s="91"/>
      <c r="F113">
        <v>31</v>
      </c>
      <c r="G113" t="s">
        <v>1419</v>
      </c>
      <c r="H113" s="89">
        <v>46028</v>
      </c>
      <c r="I113" s="89">
        <v>46030</v>
      </c>
      <c r="J113" s="91"/>
      <c r="K113" s="91"/>
      <c r="M113" s="91"/>
      <c r="N113" s="91" t="s">
        <v>1496</v>
      </c>
    </row>
    <row r="114" spans="1:14" x14ac:dyDescent="0.25">
      <c r="A114" s="91" t="s">
        <v>1325</v>
      </c>
      <c r="B114" s="91" t="s">
        <v>1339</v>
      </c>
      <c r="C114" s="91" t="s">
        <v>1523</v>
      </c>
      <c r="D114" s="91" t="s">
        <v>138</v>
      </c>
      <c r="E114" s="91"/>
      <c r="F114">
        <v>576</v>
      </c>
      <c r="G114">
        <v>12</v>
      </c>
      <c r="H114" s="89">
        <v>46028</v>
      </c>
      <c r="I114" s="89">
        <v>46031</v>
      </c>
      <c r="J114" s="91"/>
      <c r="K114" s="91"/>
      <c r="M114" s="91"/>
      <c r="N114" s="91" t="s">
        <v>1496</v>
      </c>
    </row>
    <row r="115" spans="1:14" x14ac:dyDescent="0.25">
      <c r="A115" s="91" t="s">
        <v>1315</v>
      </c>
      <c r="B115" s="91" t="s">
        <v>1329</v>
      </c>
      <c r="C115" s="91" t="s">
        <v>1522</v>
      </c>
      <c r="D115" s="91" t="s">
        <v>28</v>
      </c>
      <c r="E115" s="91"/>
      <c r="F115">
        <v>22</v>
      </c>
      <c r="G115" t="s">
        <v>1419</v>
      </c>
      <c r="H115" s="89">
        <v>46028</v>
      </c>
      <c r="I115" s="89">
        <v>46031</v>
      </c>
      <c r="J115" s="91"/>
      <c r="K115" s="91"/>
      <c r="M115" s="91"/>
      <c r="N115" s="91" t="s">
        <v>1496</v>
      </c>
    </row>
    <row r="116" spans="1:14" x14ac:dyDescent="0.25">
      <c r="A116" s="91" t="s">
        <v>1316</v>
      </c>
      <c r="B116" s="91" t="s">
        <v>1330</v>
      </c>
      <c r="C116" s="91" t="s">
        <v>1531</v>
      </c>
      <c r="D116" s="91" t="s">
        <v>28</v>
      </c>
      <c r="E116" s="91"/>
      <c r="F116">
        <v>42</v>
      </c>
      <c r="G116" t="s">
        <v>1419</v>
      </c>
      <c r="H116" s="89">
        <v>46028</v>
      </c>
      <c r="I116" s="89">
        <v>46030</v>
      </c>
      <c r="J116" s="91"/>
      <c r="K116" s="91"/>
      <c r="M116" s="91"/>
      <c r="N116" s="91" t="s">
        <v>1496</v>
      </c>
    </row>
    <row r="117" spans="1:14" x14ac:dyDescent="0.25">
      <c r="A117" s="91" t="s">
        <v>1317</v>
      </c>
      <c r="B117" s="91" t="s">
        <v>1331</v>
      </c>
      <c r="C117" s="91" t="s">
        <v>1532</v>
      </c>
      <c r="D117" s="91" t="s">
        <v>28</v>
      </c>
      <c r="E117" s="91"/>
      <c r="F117">
        <v>0</v>
      </c>
      <c r="G117" t="s">
        <v>1419</v>
      </c>
      <c r="H117" s="89">
        <v>46028</v>
      </c>
      <c r="I117" s="89">
        <v>46030</v>
      </c>
      <c r="J117" s="91"/>
      <c r="K117" s="91"/>
      <c r="M117" s="91"/>
      <c r="N117" s="91" t="s">
        <v>1496</v>
      </c>
    </row>
    <row r="118" spans="1:14" x14ac:dyDescent="0.25">
      <c r="A118" s="91" t="s">
        <v>1318</v>
      </c>
      <c r="B118" s="91" t="s">
        <v>1332</v>
      </c>
      <c r="C118" s="91" t="s">
        <v>1533</v>
      </c>
      <c r="D118" s="91" t="s">
        <v>28</v>
      </c>
      <c r="E118" s="91"/>
      <c r="F118">
        <v>60</v>
      </c>
      <c r="G118" t="s">
        <v>1419</v>
      </c>
      <c r="H118" s="89">
        <v>46028</v>
      </c>
      <c r="I118" s="89">
        <v>46030</v>
      </c>
      <c r="J118" s="91"/>
      <c r="K118" s="91"/>
      <c r="M118" s="91"/>
      <c r="N118" s="91" t="s">
        <v>1496</v>
      </c>
    </row>
    <row r="119" spans="1:14" x14ac:dyDescent="0.25">
      <c r="A119" s="91" t="s">
        <v>1313</v>
      </c>
      <c r="B119" s="91" t="s">
        <v>1327</v>
      </c>
      <c r="C119" s="91" t="s">
        <v>1534</v>
      </c>
      <c r="D119" s="91" t="s">
        <v>20</v>
      </c>
      <c r="E119" s="91"/>
      <c r="F119">
        <v>1104</v>
      </c>
      <c r="G119">
        <v>23</v>
      </c>
      <c r="H119" s="89">
        <v>46029</v>
      </c>
      <c r="I119" s="89">
        <v>46032</v>
      </c>
      <c r="J119" s="91"/>
      <c r="K119" s="91"/>
      <c r="M119" s="91"/>
      <c r="N119" s="91" t="s">
        <v>1496</v>
      </c>
    </row>
    <row r="120" spans="1:14" x14ac:dyDescent="0.25">
      <c r="A120" s="91" t="s">
        <v>1315</v>
      </c>
      <c r="B120" s="91" t="s">
        <v>1329</v>
      </c>
      <c r="C120" s="91" t="s">
        <v>1534</v>
      </c>
      <c r="D120" s="91" t="s">
        <v>20</v>
      </c>
      <c r="E120" s="91"/>
      <c r="F120">
        <v>46</v>
      </c>
      <c r="G120" t="s">
        <v>1419</v>
      </c>
      <c r="H120" s="89">
        <v>46029</v>
      </c>
      <c r="I120" s="89">
        <v>46032</v>
      </c>
      <c r="J120" s="91"/>
      <c r="K120" s="91"/>
      <c r="M120" s="91"/>
      <c r="N120" s="91" t="s">
        <v>1496</v>
      </c>
    </row>
    <row r="121" spans="1:14" x14ac:dyDescent="0.25">
      <c r="A121" s="91" t="s">
        <v>1316</v>
      </c>
      <c r="B121" s="91" t="s">
        <v>1330</v>
      </c>
      <c r="C121" s="91" t="s">
        <v>1535</v>
      </c>
      <c r="D121" s="91" t="s">
        <v>20</v>
      </c>
      <c r="E121" s="91"/>
      <c r="F121">
        <v>72</v>
      </c>
      <c r="G121" t="s">
        <v>1419</v>
      </c>
      <c r="H121" s="89">
        <v>46029</v>
      </c>
      <c r="I121" s="89">
        <v>46031</v>
      </c>
      <c r="J121" s="91"/>
      <c r="K121" s="91"/>
      <c r="M121" s="91"/>
      <c r="N121" s="91" t="s">
        <v>1496</v>
      </c>
    </row>
    <row r="122" spans="1:14" x14ac:dyDescent="0.25">
      <c r="A122" s="91" t="s">
        <v>1317</v>
      </c>
      <c r="B122" s="91" t="s">
        <v>1331</v>
      </c>
      <c r="C122" s="91" t="s">
        <v>1536</v>
      </c>
      <c r="D122" s="91" t="s">
        <v>20</v>
      </c>
      <c r="E122" s="91"/>
      <c r="F122">
        <v>30</v>
      </c>
      <c r="G122" t="s">
        <v>1419</v>
      </c>
      <c r="H122" s="89">
        <v>46029</v>
      </c>
      <c r="I122" s="89">
        <v>46031</v>
      </c>
      <c r="J122" s="91"/>
      <c r="K122" s="91"/>
      <c r="M122" s="91"/>
      <c r="N122" s="91" t="s">
        <v>1496</v>
      </c>
    </row>
    <row r="123" spans="1:14" x14ac:dyDescent="0.25">
      <c r="A123" s="91" t="s">
        <v>1318</v>
      </c>
      <c r="B123" s="91" t="s">
        <v>1332</v>
      </c>
      <c r="C123" s="91" t="s">
        <v>1537</v>
      </c>
      <c r="D123" s="91" t="s">
        <v>20</v>
      </c>
      <c r="E123" s="91"/>
      <c r="F123">
        <v>51</v>
      </c>
      <c r="G123" t="s">
        <v>1419</v>
      </c>
      <c r="H123" s="89">
        <v>46029</v>
      </c>
      <c r="I123" s="89">
        <v>46031</v>
      </c>
      <c r="J123" s="91"/>
      <c r="K123" s="91"/>
      <c r="M123" s="91"/>
      <c r="N123" s="91" t="s">
        <v>1496</v>
      </c>
    </row>
    <row r="124" spans="1:14" x14ac:dyDescent="0.25">
      <c r="A124" s="91" t="s">
        <v>1313</v>
      </c>
      <c r="B124" s="91" t="s">
        <v>1327</v>
      </c>
      <c r="C124" s="91" t="s">
        <v>1538</v>
      </c>
      <c r="D124" s="91" t="s">
        <v>15</v>
      </c>
      <c r="E124" s="91"/>
      <c r="F124">
        <v>1152</v>
      </c>
      <c r="G124">
        <v>24</v>
      </c>
      <c r="H124" s="89">
        <v>46029</v>
      </c>
      <c r="I124" s="89">
        <v>46033</v>
      </c>
      <c r="J124" s="91" t="s">
        <v>1539</v>
      </c>
      <c r="K124" s="91"/>
      <c r="M124" s="91"/>
      <c r="N124" s="91" t="s">
        <v>1496</v>
      </c>
    </row>
    <row r="125" spans="1:14" x14ac:dyDescent="0.25">
      <c r="A125" s="91" t="s">
        <v>1315</v>
      </c>
      <c r="B125" s="91" t="s">
        <v>1329</v>
      </c>
      <c r="C125" s="91" t="s">
        <v>1538</v>
      </c>
      <c r="D125" s="91" t="s">
        <v>15</v>
      </c>
      <c r="E125" s="91"/>
      <c r="F125">
        <v>9</v>
      </c>
      <c r="G125" t="s">
        <v>1419</v>
      </c>
      <c r="H125" s="89">
        <v>46029</v>
      </c>
      <c r="I125" s="89">
        <v>46031</v>
      </c>
      <c r="J125" s="91"/>
      <c r="K125" s="91"/>
      <c r="M125" s="91"/>
      <c r="N125" s="91" t="s">
        <v>1496</v>
      </c>
    </row>
    <row r="126" spans="1:14" x14ac:dyDescent="0.25">
      <c r="A126" s="91" t="s">
        <v>1444</v>
      </c>
      <c r="B126" s="91" t="s">
        <v>1445</v>
      </c>
      <c r="C126" s="91" t="s">
        <v>1538</v>
      </c>
      <c r="D126" s="91" t="s">
        <v>15</v>
      </c>
      <c r="E126" s="91"/>
      <c r="F126">
        <v>291</v>
      </c>
      <c r="G126">
        <v>2</v>
      </c>
      <c r="H126" s="89">
        <v>46029</v>
      </c>
      <c r="I126" s="89">
        <v>46031</v>
      </c>
      <c r="J126" s="91"/>
      <c r="K126" s="91"/>
      <c r="M126" s="91"/>
      <c r="N126" s="91" t="s">
        <v>1496</v>
      </c>
    </row>
    <row r="127" spans="1:14" x14ac:dyDescent="0.25">
      <c r="A127" s="91" t="s">
        <v>1316</v>
      </c>
      <c r="B127" s="91" t="s">
        <v>1330</v>
      </c>
      <c r="C127" s="91" t="s">
        <v>1540</v>
      </c>
      <c r="D127" s="91" t="s">
        <v>15</v>
      </c>
      <c r="E127" s="91"/>
      <c r="F127">
        <v>41</v>
      </c>
      <c r="G127" t="s">
        <v>1419</v>
      </c>
      <c r="H127" s="89">
        <v>46029</v>
      </c>
      <c r="I127" s="89">
        <v>46031</v>
      </c>
      <c r="J127" s="91"/>
      <c r="K127" s="91"/>
      <c r="M127" s="91"/>
      <c r="N127" s="91" t="s">
        <v>1496</v>
      </c>
    </row>
    <row r="128" spans="1:14" x14ac:dyDescent="0.25">
      <c r="A128" s="91" t="s">
        <v>1317</v>
      </c>
      <c r="B128" s="91" t="s">
        <v>1331</v>
      </c>
      <c r="C128" s="91" t="s">
        <v>1541</v>
      </c>
      <c r="D128" s="91" t="s">
        <v>15</v>
      </c>
      <c r="E128" s="91"/>
      <c r="F128">
        <v>13</v>
      </c>
      <c r="G128" t="s">
        <v>1419</v>
      </c>
      <c r="H128" s="89">
        <v>46029</v>
      </c>
      <c r="I128" s="89">
        <v>46031</v>
      </c>
      <c r="J128" s="91"/>
      <c r="K128" s="91"/>
      <c r="M128" s="91"/>
      <c r="N128" s="91" t="s">
        <v>1496</v>
      </c>
    </row>
    <row r="129" spans="1:14" x14ac:dyDescent="0.25">
      <c r="A129" s="91" t="s">
        <v>1318</v>
      </c>
      <c r="B129" s="91" t="s">
        <v>1332</v>
      </c>
      <c r="C129" s="91" t="s">
        <v>1542</v>
      </c>
      <c r="D129" s="91" t="s">
        <v>15</v>
      </c>
      <c r="E129" s="91"/>
      <c r="F129">
        <v>5</v>
      </c>
      <c r="G129" t="s">
        <v>1419</v>
      </c>
      <c r="H129" s="89">
        <v>46029</v>
      </c>
      <c r="I129" s="89">
        <v>46031</v>
      </c>
      <c r="J129" s="91"/>
      <c r="K129" s="91"/>
      <c r="M129" s="91"/>
      <c r="N129" s="91" t="s">
        <v>1496</v>
      </c>
    </row>
    <row r="130" spans="1:14" x14ac:dyDescent="0.25">
      <c r="A130" s="91" t="s">
        <v>1324</v>
      </c>
      <c r="B130" s="91" t="s">
        <v>1338</v>
      </c>
      <c r="C130" s="91" t="s">
        <v>1543</v>
      </c>
      <c r="D130" s="91" t="s">
        <v>152</v>
      </c>
      <c r="E130" s="91"/>
      <c r="F130">
        <v>336</v>
      </c>
      <c r="G130">
        <v>7</v>
      </c>
      <c r="H130" s="89">
        <v>46029</v>
      </c>
      <c r="I130" s="89">
        <v>46034</v>
      </c>
      <c r="J130" s="91" t="s">
        <v>1524</v>
      </c>
      <c r="K130" s="91"/>
      <c r="M130" s="91"/>
      <c r="N130" s="91" t="s">
        <v>1496</v>
      </c>
    </row>
    <row r="131" spans="1:14" x14ac:dyDescent="0.25">
      <c r="A131" s="91" t="s">
        <v>1324</v>
      </c>
      <c r="B131" s="91" t="s">
        <v>1338</v>
      </c>
      <c r="C131" s="91" t="s">
        <v>1543</v>
      </c>
      <c r="D131" s="91" t="s">
        <v>152</v>
      </c>
      <c r="E131" s="91"/>
      <c r="F131">
        <v>144</v>
      </c>
      <c r="G131">
        <v>3</v>
      </c>
      <c r="H131" s="89">
        <v>46029</v>
      </c>
      <c r="I131" s="89">
        <v>46035</v>
      </c>
      <c r="J131" s="91" t="s">
        <v>1544</v>
      </c>
      <c r="K131" s="91"/>
      <c r="M131" s="91"/>
      <c r="N131" s="91" t="s">
        <v>1496</v>
      </c>
    </row>
    <row r="132" spans="1:14" x14ac:dyDescent="0.25">
      <c r="A132" s="91" t="s">
        <v>1324</v>
      </c>
      <c r="B132" s="91" t="s">
        <v>1338</v>
      </c>
      <c r="C132" s="91" t="s">
        <v>1545</v>
      </c>
      <c r="D132" s="91" t="s">
        <v>23</v>
      </c>
      <c r="E132" s="91"/>
      <c r="F132">
        <v>816</v>
      </c>
      <c r="G132">
        <v>17</v>
      </c>
      <c r="H132" s="89">
        <v>46029</v>
      </c>
      <c r="I132" s="89">
        <v>46035</v>
      </c>
      <c r="J132" s="91" t="s">
        <v>1544</v>
      </c>
      <c r="K132" s="91"/>
      <c r="M132" s="91"/>
      <c r="N132" s="91" t="s">
        <v>1496</v>
      </c>
    </row>
    <row r="133" spans="1:14" x14ac:dyDescent="0.25">
      <c r="A133" s="91" t="s">
        <v>1324</v>
      </c>
      <c r="B133" s="91" t="s">
        <v>1338</v>
      </c>
      <c r="C133" s="91" t="s">
        <v>1546</v>
      </c>
      <c r="D133" s="91" t="s">
        <v>28</v>
      </c>
      <c r="E133" s="91"/>
      <c r="F133">
        <v>960</v>
      </c>
      <c r="G133">
        <v>20</v>
      </c>
      <c r="H133" s="89">
        <v>46029</v>
      </c>
      <c r="I133" s="89">
        <v>46035</v>
      </c>
      <c r="J133" s="91" t="s">
        <v>1544</v>
      </c>
      <c r="K133" s="91"/>
      <c r="M133" s="91"/>
      <c r="N133" s="91" t="s">
        <v>1496</v>
      </c>
    </row>
    <row r="134" spans="1:14" x14ac:dyDescent="0.25">
      <c r="A134" s="91" t="s">
        <v>1315</v>
      </c>
      <c r="B134" s="91" t="s">
        <v>1329</v>
      </c>
      <c r="C134" s="91" t="s">
        <v>1546</v>
      </c>
      <c r="D134" s="91" t="s">
        <v>28</v>
      </c>
      <c r="E134" s="91"/>
      <c r="F134">
        <v>23</v>
      </c>
      <c r="G134" t="s">
        <v>1419</v>
      </c>
      <c r="H134" s="89">
        <v>46029</v>
      </c>
      <c r="I134" s="89">
        <v>46035</v>
      </c>
      <c r="J134" s="91"/>
      <c r="K134" s="91"/>
      <c r="M134" s="91"/>
      <c r="N134" s="91" t="s">
        <v>1496</v>
      </c>
    </row>
    <row r="135" spans="1:14" x14ac:dyDescent="0.25">
      <c r="A135" s="91" t="s">
        <v>1316</v>
      </c>
      <c r="B135" s="91" t="s">
        <v>1330</v>
      </c>
      <c r="C135" s="91" t="s">
        <v>1547</v>
      </c>
      <c r="D135" s="91" t="s">
        <v>28</v>
      </c>
      <c r="E135" s="91"/>
      <c r="F135">
        <v>47</v>
      </c>
      <c r="G135" t="s">
        <v>1419</v>
      </c>
      <c r="H135" s="89">
        <v>46029</v>
      </c>
      <c r="I135" s="89">
        <v>46031</v>
      </c>
      <c r="J135" s="91"/>
      <c r="K135" s="91"/>
      <c r="M135" s="91"/>
      <c r="N135" s="91" t="s">
        <v>1496</v>
      </c>
    </row>
    <row r="136" spans="1:14" x14ac:dyDescent="0.25">
      <c r="A136" s="91" t="s">
        <v>1317</v>
      </c>
      <c r="B136" s="91" t="s">
        <v>1331</v>
      </c>
      <c r="C136" s="91" t="s">
        <v>1548</v>
      </c>
      <c r="D136" s="91" t="s">
        <v>28</v>
      </c>
      <c r="E136" s="91"/>
      <c r="F136">
        <v>0</v>
      </c>
      <c r="G136" t="s">
        <v>1419</v>
      </c>
      <c r="H136" s="89">
        <v>46029</v>
      </c>
      <c r="I136" s="89">
        <v>46031</v>
      </c>
      <c r="J136" s="91"/>
      <c r="K136" s="91"/>
      <c r="M136" s="91"/>
      <c r="N136" s="91" t="s">
        <v>1496</v>
      </c>
    </row>
    <row r="137" spans="1:14" x14ac:dyDescent="0.25">
      <c r="A137" s="91" t="s">
        <v>1318</v>
      </c>
      <c r="B137" s="91" t="s">
        <v>1332</v>
      </c>
      <c r="C137" s="91" t="s">
        <v>1549</v>
      </c>
      <c r="D137" s="91" t="s">
        <v>28</v>
      </c>
      <c r="E137" s="91"/>
      <c r="F137">
        <v>73</v>
      </c>
      <c r="G137" t="s">
        <v>1419</v>
      </c>
      <c r="H137" s="89">
        <v>46029</v>
      </c>
      <c r="I137" s="89">
        <v>46031</v>
      </c>
      <c r="J137" s="91"/>
      <c r="K137" s="91"/>
      <c r="M137" s="91"/>
      <c r="N137" s="91" t="s">
        <v>1496</v>
      </c>
    </row>
    <row r="138" spans="1:14" x14ac:dyDescent="0.25">
      <c r="A138" s="91" t="s">
        <v>1313</v>
      </c>
      <c r="B138" s="91" t="s">
        <v>1327</v>
      </c>
      <c r="C138" s="91" t="s">
        <v>1550</v>
      </c>
      <c r="D138" s="91" t="s">
        <v>20</v>
      </c>
      <c r="E138" s="91"/>
      <c r="F138">
        <v>1152</v>
      </c>
      <c r="G138">
        <v>24</v>
      </c>
      <c r="H138" s="89">
        <v>46030</v>
      </c>
      <c r="I138" s="89">
        <v>46034</v>
      </c>
      <c r="J138" s="91"/>
      <c r="K138" s="91"/>
      <c r="M138" s="91"/>
      <c r="N138" s="91" t="s">
        <v>1496</v>
      </c>
    </row>
    <row r="139" spans="1:14" x14ac:dyDescent="0.25">
      <c r="A139" s="91" t="s">
        <v>1315</v>
      </c>
      <c r="B139" s="91" t="s">
        <v>1329</v>
      </c>
      <c r="C139" s="91" t="s">
        <v>1550</v>
      </c>
      <c r="D139" s="91" t="s">
        <v>20</v>
      </c>
      <c r="E139" s="91"/>
      <c r="F139">
        <v>13</v>
      </c>
      <c r="G139" t="s">
        <v>1419</v>
      </c>
      <c r="H139" s="89">
        <v>46030</v>
      </c>
      <c r="I139" s="89">
        <v>46034</v>
      </c>
      <c r="J139" s="91"/>
      <c r="K139" s="91"/>
      <c r="M139" s="91"/>
      <c r="N139" s="91" t="s">
        <v>1496</v>
      </c>
    </row>
    <row r="140" spans="1:14" x14ac:dyDescent="0.25">
      <c r="A140" s="91" t="s">
        <v>1316</v>
      </c>
      <c r="B140" s="91" t="s">
        <v>1330</v>
      </c>
      <c r="C140" s="91" t="s">
        <v>1551</v>
      </c>
      <c r="D140" s="91" t="s">
        <v>20</v>
      </c>
      <c r="E140" s="91"/>
      <c r="F140">
        <v>77</v>
      </c>
      <c r="G140" t="s">
        <v>1419</v>
      </c>
      <c r="H140" s="89">
        <v>46030</v>
      </c>
      <c r="I140" s="89">
        <v>46032</v>
      </c>
      <c r="J140" s="91"/>
      <c r="K140" s="91"/>
      <c r="M140" s="91"/>
      <c r="N140" s="91" t="s">
        <v>1496</v>
      </c>
    </row>
    <row r="141" spans="1:14" x14ac:dyDescent="0.25">
      <c r="A141" s="91" t="s">
        <v>1317</v>
      </c>
      <c r="B141" s="91" t="s">
        <v>1331</v>
      </c>
      <c r="C141" s="91" t="s">
        <v>1552</v>
      </c>
      <c r="D141" s="91" t="s">
        <v>20</v>
      </c>
      <c r="E141" s="91"/>
      <c r="F141">
        <v>14</v>
      </c>
      <c r="G141" t="s">
        <v>1419</v>
      </c>
      <c r="H141" s="89">
        <v>46030</v>
      </c>
      <c r="I141" s="89">
        <v>46032</v>
      </c>
      <c r="J141" s="91"/>
      <c r="K141" s="91"/>
      <c r="M141" s="91"/>
      <c r="N141" s="91" t="s">
        <v>1496</v>
      </c>
    </row>
    <row r="142" spans="1:14" x14ac:dyDescent="0.25">
      <c r="A142" s="91" t="s">
        <v>1318</v>
      </c>
      <c r="B142" s="91" t="s">
        <v>1332</v>
      </c>
      <c r="C142" s="91" t="s">
        <v>1553</v>
      </c>
      <c r="D142" s="91" t="s">
        <v>20</v>
      </c>
      <c r="E142" s="91"/>
      <c r="F142">
        <v>53</v>
      </c>
      <c r="G142" t="s">
        <v>1419</v>
      </c>
      <c r="H142" s="89">
        <v>46030</v>
      </c>
      <c r="I142" s="89">
        <v>46032</v>
      </c>
      <c r="J142" s="91"/>
      <c r="K142" s="91"/>
      <c r="M142" s="91"/>
      <c r="N142" s="91" t="s">
        <v>1496</v>
      </c>
    </row>
    <row r="143" spans="1:14" x14ac:dyDescent="0.25">
      <c r="A143" s="91" t="s">
        <v>1313</v>
      </c>
      <c r="B143" s="91" t="s">
        <v>1327</v>
      </c>
      <c r="C143" s="91" t="s">
        <v>1554</v>
      </c>
      <c r="D143" s="91" t="s">
        <v>23</v>
      </c>
      <c r="E143" s="91"/>
      <c r="F143">
        <v>816</v>
      </c>
      <c r="G143">
        <v>17</v>
      </c>
      <c r="H143" s="89">
        <v>46030</v>
      </c>
      <c r="I143" s="89">
        <v>46034</v>
      </c>
      <c r="J143" s="91" t="s">
        <v>1555</v>
      </c>
      <c r="K143" s="91"/>
      <c r="M143" s="91"/>
      <c r="N143" s="91" t="s">
        <v>1496</v>
      </c>
    </row>
    <row r="144" spans="1:14" x14ac:dyDescent="0.25">
      <c r="A144" s="91" t="s">
        <v>1313</v>
      </c>
      <c r="B144" s="91" t="s">
        <v>1327</v>
      </c>
      <c r="C144" s="91" t="s">
        <v>1554</v>
      </c>
      <c r="D144" s="91" t="s">
        <v>23</v>
      </c>
      <c r="E144" s="91"/>
      <c r="F144">
        <v>144</v>
      </c>
      <c r="G144">
        <v>3</v>
      </c>
      <c r="H144" s="89">
        <v>46030</v>
      </c>
      <c r="I144" s="89">
        <v>46033</v>
      </c>
      <c r="J144" s="91" t="s">
        <v>1556</v>
      </c>
      <c r="K144" s="91"/>
      <c r="M144" s="91"/>
      <c r="N144" s="91" t="s">
        <v>1496</v>
      </c>
    </row>
    <row r="145" spans="1:14" x14ac:dyDescent="0.25">
      <c r="A145" s="91" t="s">
        <v>1313</v>
      </c>
      <c r="B145" s="91" t="s">
        <v>1327</v>
      </c>
      <c r="C145" s="91" t="s">
        <v>1554</v>
      </c>
      <c r="D145" s="91" t="s">
        <v>23</v>
      </c>
      <c r="E145" s="91"/>
      <c r="F145">
        <v>96</v>
      </c>
      <c r="G145">
        <v>2</v>
      </c>
      <c r="H145" s="89">
        <v>46030</v>
      </c>
      <c r="I145" s="89">
        <v>46035</v>
      </c>
      <c r="J145" s="91" t="s">
        <v>1518</v>
      </c>
      <c r="K145" s="91"/>
      <c r="M145" s="91"/>
      <c r="N145" s="91" t="s">
        <v>1496</v>
      </c>
    </row>
    <row r="146" spans="1:14" x14ac:dyDescent="0.25">
      <c r="A146" s="91" t="s">
        <v>1314</v>
      </c>
      <c r="B146" s="91" t="s">
        <v>1328</v>
      </c>
      <c r="C146" s="91" t="s">
        <v>1557</v>
      </c>
      <c r="D146" s="91" t="s">
        <v>21</v>
      </c>
      <c r="E146" s="91"/>
      <c r="F146">
        <v>336</v>
      </c>
      <c r="G146">
        <v>7</v>
      </c>
      <c r="H146" s="89">
        <v>46030</v>
      </c>
      <c r="I146" s="89">
        <v>46034</v>
      </c>
      <c r="J146" s="91" t="s">
        <v>1558</v>
      </c>
      <c r="K146" s="91"/>
      <c r="M146" s="91"/>
      <c r="N146" s="91" t="s">
        <v>1496</v>
      </c>
    </row>
    <row r="147" spans="1:14" x14ac:dyDescent="0.25">
      <c r="A147" s="91" t="s">
        <v>1324</v>
      </c>
      <c r="B147" s="91" t="s">
        <v>1338</v>
      </c>
      <c r="C147" s="91" t="s">
        <v>1557</v>
      </c>
      <c r="D147" s="91" t="s">
        <v>21</v>
      </c>
      <c r="E147" s="91"/>
      <c r="F147">
        <v>144</v>
      </c>
      <c r="G147">
        <v>3</v>
      </c>
      <c r="H147" s="89">
        <v>46030</v>
      </c>
      <c r="I147" s="89">
        <v>46034</v>
      </c>
      <c r="J147" s="91" t="s">
        <v>1524</v>
      </c>
      <c r="K147" s="91"/>
      <c r="M147" s="91"/>
      <c r="N147" s="91" t="s">
        <v>1496</v>
      </c>
    </row>
    <row r="148" spans="1:14" x14ac:dyDescent="0.25">
      <c r="A148" s="91" t="s">
        <v>1313</v>
      </c>
      <c r="B148" s="91" t="s">
        <v>1327</v>
      </c>
      <c r="C148" s="91" t="s">
        <v>1557</v>
      </c>
      <c r="D148" s="91" t="s">
        <v>21</v>
      </c>
      <c r="E148" s="91"/>
      <c r="F148">
        <v>1008</v>
      </c>
      <c r="G148">
        <v>21</v>
      </c>
      <c r="H148" s="89">
        <v>46030</v>
      </c>
      <c r="I148" s="89">
        <v>46033</v>
      </c>
      <c r="J148" s="91" t="s">
        <v>1556</v>
      </c>
      <c r="K148" s="91"/>
      <c r="M148" s="91"/>
      <c r="N148" s="91" t="s">
        <v>1496</v>
      </c>
    </row>
    <row r="149" spans="1:14" x14ac:dyDescent="0.25">
      <c r="A149" s="91" t="s">
        <v>1315</v>
      </c>
      <c r="B149" s="91" t="s">
        <v>1329</v>
      </c>
      <c r="C149" s="91" t="s">
        <v>1557</v>
      </c>
      <c r="D149" s="91" t="s">
        <v>21</v>
      </c>
      <c r="E149" s="91"/>
      <c r="F149">
        <v>13</v>
      </c>
      <c r="G149" t="s">
        <v>1419</v>
      </c>
      <c r="H149" s="89">
        <v>46030</v>
      </c>
      <c r="I149" s="89">
        <v>46034</v>
      </c>
      <c r="J149" s="91"/>
      <c r="K149" s="91"/>
      <c r="M149" s="91"/>
      <c r="N149" s="91" t="s">
        <v>1496</v>
      </c>
    </row>
    <row r="150" spans="1:14" x14ac:dyDescent="0.25">
      <c r="A150" s="91" t="s">
        <v>1316</v>
      </c>
      <c r="B150" s="91" t="s">
        <v>1330</v>
      </c>
      <c r="C150" s="91" t="s">
        <v>1559</v>
      </c>
      <c r="D150" s="91" t="s">
        <v>21</v>
      </c>
      <c r="E150" s="91"/>
      <c r="F150">
        <v>66</v>
      </c>
      <c r="G150" t="s">
        <v>1419</v>
      </c>
      <c r="H150" s="89">
        <v>46030</v>
      </c>
      <c r="I150" s="89">
        <v>46032</v>
      </c>
      <c r="J150" s="91"/>
      <c r="K150" s="91"/>
      <c r="M150" s="91"/>
      <c r="N150" s="91" t="s">
        <v>1496</v>
      </c>
    </row>
    <row r="151" spans="1:14" x14ac:dyDescent="0.25">
      <c r="A151" s="91" t="s">
        <v>1317</v>
      </c>
      <c r="B151" s="91" t="s">
        <v>1331</v>
      </c>
      <c r="C151" s="91" t="s">
        <v>1560</v>
      </c>
      <c r="D151" s="91" t="s">
        <v>21</v>
      </c>
      <c r="E151" s="91"/>
      <c r="F151">
        <v>24</v>
      </c>
      <c r="G151" t="s">
        <v>1419</v>
      </c>
      <c r="H151" s="89">
        <v>46030</v>
      </c>
      <c r="I151" s="89">
        <v>46032</v>
      </c>
      <c r="J151" s="91"/>
      <c r="K151" s="91"/>
      <c r="M151" s="91"/>
      <c r="N151" s="91" t="s">
        <v>1496</v>
      </c>
    </row>
    <row r="152" spans="1:14" x14ac:dyDescent="0.25">
      <c r="A152" s="91" t="s">
        <v>1318</v>
      </c>
      <c r="B152" s="91" t="s">
        <v>1332</v>
      </c>
      <c r="C152" s="91" t="s">
        <v>1561</v>
      </c>
      <c r="D152" s="91" t="s">
        <v>21</v>
      </c>
      <c r="E152" s="91"/>
      <c r="F152">
        <v>108</v>
      </c>
      <c r="G152" t="s">
        <v>1419</v>
      </c>
      <c r="H152" s="89">
        <v>46030</v>
      </c>
      <c r="I152" s="89">
        <v>46032</v>
      </c>
      <c r="J152" s="91"/>
      <c r="K152" s="91"/>
      <c r="M152" s="91"/>
      <c r="N152" s="91" t="s">
        <v>1496</v>
      </c>
    </row>
    <row r="153" spans="1:14" x14ac:dyDescent="0.25">
      <c r="A153" s="91" t="s">
        <v>1313</v>
      </c>
      <c r="B153" s="91" t="s">
        <v>1327</v>
      </c>
      <c r="C153" s="91" t="s">
        <v>1562</v>
      </c>
      <c r="D153" s="91" t="s">
        <v>21</v>
      </c>
      <c r="E153" s="91"/>
      <c r="F153">
        <v>864</v>
      </c>
      <c r="G153">
        <v>18</v>
      </c>
      <c r="H153" s="89">
        <v>46031</v>
      </c>
      <c r="I153" s="89">
        <v>46035</v>
      </c>
      <c r="J153" s="91"/>
      <c r="K153" s="91"/>
      <c r="M153" s="91"/>
      <c r="N153" s="91" t="s">
        <v>1496</v>
      </c>
    </row>
    <row r="154" spans="1:14" x14ac:dyDescent="0.25">
      <c r="A154" s="91" t="s">
        <v>1315</v>
      </c>
      <c r="B154" s="91" t="s">
        <v>1329</v>
      </c>
      <c r="C154" s="91" t="s">
        <v>1562</v>
      </c>
      <c r="D154" s="91" t="s">
        <v>21</v>
      </c>
      <c r="E154" s="91"/>
      <c r="F154">
        <v>78</v>
      </c>
      <c r="G154" t="s">
        <v>1419</v>
      </c>
      <c r="H154" s="89">
        <v>46031</v>
      </c>
      <c r="I154" s="89">
        <v>46035</v>
      </c>
      <c r="J154" s="91"/>
      <c r="K154" s="91"/>
      <c r="M154" s="91"/>
      <c r="N154" s="91" t="s">
        <v>1496</v>
      </c>
    </row>
    <row r="155" spans="1:14" x14ac:dyDescent="0.25">
      <c r="A155" s="91" t="s">
        <v>1444</v>
      </c>
      <c r="B155" s="91" t="s">
        <v>1445</v>
      </c>
      <c r="C155" s="91" t="s">
        <v>1562</v>
      </c>
      <c r="D155" s="91" t="s">
        <v>21</v>
      </c>
      <c r="E155" s="91"/>
      <c r="F155">
        <v>132</v>
      </c>
      <c r="G155">
        <v>1</v>
      </c>
      <c r="H155" s="89">
        <v>46031</v>
      </c>
      <c r="I155" s="89">
        <v>46033</v>
      </c>
      <c r="J155" s="91"/>
      <c r="K155" s="91"/>
      <c r="M155" s="91"/>
      <c r="N155" s="91" t="s">
        <v>1496</v>
      </c>
    </row>
    <row r="156" spans="1:14" x14ac:dyDescent="0.25">
      <c r="A156" s="91" t="s">
        <v>1316</v>
      </c>
      <c r="B156" s="91" t="s">
        <v>1330</v>
      </c>
      <c r="C156" s="91" t="s">
        <v>1563</v>
      </c>
      <c r="D156" s="91" t="s">
        <v>21</v>
      </c>
      <c r="E156" s="91"/>
      <c r="F156">
        <v>26</v>
      </c>
      <c r="G156" t="s">
        <v>1419</v>
      </c>
      <c r="H156" s="89">
        <v>46031</v>
      </c>
      <c r="I156" s="89">
        <v>46033</v>
      </c>
      <c r="J156" s="91"/>
      <c r="K156" s="91"/>
      <c r="M156" s="91"/>
      <c r="N156" s="91" t="s">
        <v>1496</v>
      </c>
    </row>
    <row r="157" spans="1:14" x14ac:dyDescent="0.25">
      <c r="A157" s="91" t="s">
        <v>1318</v>
      </c>
      <c r="B157" s="91" t="s">
        <v>1332</v>
      </c>
      <c r="C157" s="91" t="s">
        <v>1564</v>
      </c>
      <c r="D157" s="91" t="s">
        <v>21</v>
      </c>
      <c r="E157" s="91"/>
      <c r="F157">
        <v>9</v>
      </c>
      <c r="G157" t="s">
        <v>1419</v>
      </c>
      <c r="H157" s="89">
        <v>46031</v>
      </c>
      <c r="I157" s="89">
        <v>46033</v>
      </c>
      <c r="J157" s="91"/>
      <c r="K157" s="91"/>
      <c r="M157" s="91"/>
      <c r="N157" s="91" t="s">
        <v>1496</v>
      </c>
    </row>
    <row r="158" spans="1:14" x14ac:dyDescent="0.25">
      <c r="A158" s="91" t="s">
        <v>1317</v>
      </c>
      <c r="B158" s="91" t="s">
        <v>1331</v>
      </c>
      <c r="C158" s="91" t="s">
        <v>1564</v>
      </c>
      <c r="D158" s="91" t="s">
        <v>21</v>
      </c>
      <c r="E158" s="91"/>
      <c r="F158">
        <v>2</v>
      </c>
      <c r="G158" t="s">
        <v>1419</v>
      </c>
      <c r="H158" s="89">
        <v>46031</v>
      </c>
      <c r="I158" s="89">
        <v>46033</v>
      </c>
      <c r="J158" s="91"/>
      <c r="K158" s="91"/>
      <c r="M158" s="91"/>
      <c r="N158" s="91" t="s">
        <v>1496</v>
      </c>
    </row>
    <row r="159" spans="1:14" x14ac:dyDescent="0.25">
      <c r="A159" s="91" t="s">
        <v>1318</v>
      </c>
      <c r="B159" s="91" t="s">
        <v>1332</v>
      </c>
      <c r="C159" s="91" t="s">
        <v>1565</v>
      </c>
      <c r="D159" s="91" t="s">
        <v>21</v>
      </c>
      <c r="E159" s="91"/>
      <c r="F159">
        <v>61</v>
      </c>
      <c r="G159" t="s">
        <v>1419</v>
      </c>
      <c r="H159" s="89">
        <v>46031</v>
      </c>
      <c r="I159" s="89">
        <v>46033</v>
      </c>
      <c r="J159" s="91"/>
      <c r="K159" s="91"/>
      <c r="M159" s="91"/>
      <c r="N159" s="91" t="s">
        <v>1496</v>
      </c>
    </row>
    <row r="160" spans="1:14" x14ac:dyDescent="0.25">
      <c r="A160" s="91" t="s">
        <v>1444</v>
      </c>
      <c r="B160" s="91" t="s">
        <v>1445</v>
      </c>
      <c r="C160" s="91" t="s">
        <v>1568</v>
      </c>
      <c r="D160" s="91" t="s">
        <v>15</v>
      </c>
      <c r="E160" s="91"/>
      <c r="F160">
        <v>174</v>
      </c>
      <c r="G160">
        <v>1</v>
      </c>
      <c r="H160" s="89">
        <v>46034</v>
      </c>
      <c r="I160" s="89">
        <v>46034</v>
      </c>
      <c r="J160" s="91"/>
      <c r="K160" s="91"/>
      <c r="M160" s="91"/>
      <c r="N160" s="91" t="s">
        <v>1569</v>
      </c>
    </row>
    <row r="161" spans="1:14" x14ac:dyDescent="0.25">
      <c r="A161" s="91" t="s">
        <v>1315</v>
      </c>
      <c r="B161" s="91" t="s">
        <v>1329</v>
      </c>
      <c r="C161" s="91" t="s">
        <v>1568</v>
      </c>
      <c r="D161" s="91" t="s">
        <v>15</v>
      </c>
      <c r="E161" s="91"/>
      <c r="F161">
        <v>315</v>
      </c>
      <c r="G161" t="s">
        <v>1419</v>
      </c>
      <c r="H161" s="89">
        <v>46034</v>
      </c>
      <c r="I161" s="89">
        <v>46036</v>
      </c>
      <c r="J161" s="91"/>
      <c r="K161" s="91"/>
      <c r="M161" s="91"/>
      <c r="N161" s="91" t="s">
        <v>1569</v>
      </c>
    </row>
    <row r="162" spans="1:14" x14ac:dyDescent="0.25">
      <c r="A162" s="91" t="s">
        <v>1316</v>
      </c>
      <c r="B162" s="91" t="s">
        <v>1330</v>
      </c>
      <c r="C162" s="91" t="s">
        <v>1570</v>
      </c>
      <c r="D162" s="91" t="s">
        <v>15</v>
      </c>
      <c r="E162" s="91"/>
      <c r="F162">
        <v>21</v>
      </c>
      <c r="G162" t="s">
        <v>1419</v>
      </c>
      <c r="H162" s="89">
        <v>46034</v>
      </c>
      <c r="I162" s="89">
        <v>46036</v>
      </c>
      <c r="J162" s="91"/>
      <c r="K162" s="91"/>
      <c r="M162" s="91"/>
      <c r="N162" s="91" t="s">
        <v>1569</v>
      </c>
    </row>
    <row r="163" spans="1:14" x14ac:dyDescent="0.25">
      <c r="A163" s="91" t="s">
        <v>1317</v>
      </c>
      <c r="B163" s="91" t="s">
        <v>1331</v>
      </c>
      <c r="C163" s="91" t="s">
        <v>1571</v>
      </c>
      <c r="D163" s="91" t="s">
        <v>15</v>
      </c>
      <c r="E163" s="91"/>
      <c r="F163">
        <v>9</v>
      </c>
      <c r="G163" t="s">
        <v>1419</v>
      </c>
      <c r="H163" s="89">
        <v>46034</v>
      </c>
      <c r="I163" s="89">
        <v>46036</v>
      </c>
      <c r="J163" s="91"/>
      <c r="K163" s="91"/>
      <c r="M163" s="91"/>
      <c r="N163" s="91" t="s">
        <v>1569</v>
      </c>
    </row>
    <row r="164" spans="1:14" x14ac:dyDescent="0.25">
      <c r="A164" s="91" t="s">
        <v>1318</v>
      </c>
      <c r="B164" s="91" t="s">
        <v>1332</v>
      </c>
      <c r="C164" s="91" t="s">
        <v>1572</v>
      </c>
      <c r="D164" s="91" t="s">
        <v>15</v>
      </c>
      <c r="E164" s="91"/>
      <c r="F164">
        <v>0</v>
      </c>
      <c r="G164" t="s">
        <v>1419</v>
      </c>
      <c r="H164" s="89">
        <v>46034</v>
      </c>
      <c r="I164" s="89">
        <v>46036</v>
      </c>
      <c r="J164" s="91"/>
      <c r="K164" s="91"/>
      <c r="M164" s="91"/>
      <c r="N164" s="91" t="s">
        <v>1569</v>
      </c>
    </row>
    <row r="165" spans="1:14" x14ac:dyDescent="0.25">
      <c r="A165" s="91" t="s">
        <v>1315</v>
      </c>
      <c r="B165" s="91" t="s">
        <v>1329</v>
      </c>
      <c r="C165" s="91" t="s">
        <v>1573</v>
      </c>
      <c r="D165" s="91" t="s">
        <v>28</v>
      </c>
      <c r="E165" s="91"/>
      <c r="F165">
        <v>1010</v>
      </c>
      <c r="G165" t="s">
        <v>1419</v>
      </c>
      <c r="H165" s="89">
        <v>46034</v>
      </c>
      <c r="I165" s="89">
        <v>46036</v>
      </c>
      <c r="J165" s="91"/>
      <c r="K165" s="91"/>
      <c r="M165" s="91"/>
      <c r="N165" s="91" t="s">
        <v>1569</v>
      </c>
    </row>
    <row r="166" spans="1:14" x14ac:dyDescent="0.25">
      <c r="A166" s="91" t="s">
        <v>1318</v>
      </c>
      <c r="B166" s="91" t="s">
        <v>1332</v>
      </c>
      <c r="C166" s="91" t="s">
        <v>1574</v>
      </c>
      <c r="D166" s="91" t="s">
        <v>28</v>
      </c>
      <c r="E166" s="91"/>
      <c r="F166">
        <v>17</v>
      </c>
      <c r="G166" t="s">
        <v>1419</v>
      </c>
      <c r="H166" s="89">
        <v>46034</v>
      </c>
      <c r="I166" s="89">
        <v>46036</v>
      </c>
      <c r="J166" s="91"/>
      <c r="K166" s="91"/>
      <c r="M166" s="91"/>
      <c r="N166" s="91" t="s">
        <v>1569</v>
      </c>
    </row>
    <row r="167" spans="1:14" x14ac:dyDescent="0.25">
      <c r="A167" s="91" t="s">
        <v>1318</v>
      </c>
      <c r="B167" s="91" t="s">
        <v>1332</v>
      </c>
      <c r="C167" s="91" t="s">
        <v>1575</v>
      </c>
      <c r="D167" s="91" t="s">
        <v>28</v>
      </c>
      <c r="E167" s="91"/>
      <c r="F167">
        <v>52</v>
      </c>
      <c r="G167" t="s">
        <v>1419</v>
      </c>
      <c r="H167" s="89">
        <v>46034</v>
      </c>
      <c r="I167" s="89">
        <v>46036</v>
      </c>
      <c r="J167" s="91"/>
      <c r="K167" s="91"/>
      <c r="M167" s="91"/>
      <c r="N167" s="91" t="s">
        <v>1569</v>
      </c>
    </row>
    <row r="168" spans="1:14" x14ac:dyDescent="0.25">
      <c r="A168" s="91" t="s">
        <v>1326</v>
      </c>
      <c r="B168" s="91" t="s">
        <v>1340</v>
      </c>
      <c r="C168" s="91" t="s">
        <v>1576</v>
      </c>
      <c r="D168" s="91" t="s">
        <v>32</v>
      </c>
      <c r="E168" s="91"/>
      <c r="F168">
        <v>840</v>
      </c>
      <c r="G168">
        <v>20</v>
      </c>
      <c r="H168" s="89">
        <v>46034</v>
      </c>
      <c r="I168" s="89">
        <v>46038</v>
      </c>
      <c r="J168" s="91" t="s">
        <v>1577</v>
      </c>
      <c r="K168" s="91"/>
      <c r="M168" s="91"/>
      <c r="N168" s="91" t="s">
        <v>1569</v>
      </c>
    </row>
    <row r="169" spans="1:14" x14ac:dyDescent="0.25">
      <c r="A169" s="91" t="s">
        <v>1313</v>
      </c>
      <c r="B169" s="91" t="s">
        <v>1327</v>
      </c>
      <c r="C169" s="91" t="s">
        <v>1578</v>
      </c>
      <c r="D169" s="91" t="s">
        <v>20</v>
      </c>
      <c r="E169" s="91"/>
      <c r="F169">
        <v>1152</v>
      </c>
      <c r="G169">
        <v>24</v>
      </c>
      <c r="H169" s="89">
        <v>46034</v>
      </c>
      <c r="I169" s="89">
        <v>46038</v>
      </c>
      <c r="J169" s="91" t="s">
        <v>1579</v>
      </c>
      <c r="K169" s="91"/>
      <c r="M169" s="91"/>
      <c r="N169" s="91" t="s">
        <v>1569</v>
      </c>
    </row>
    <row r="170" spans="1:14" x14ac:dyDescent="0.25">
      <c r="A170" s="91" t="s">
        <v>1315</v>
      </c>
      <c r="B170" s="91" t="s">
        <v>1329</v>
      </c>
      <c r="C170" s="91" t="s">
        <v>1578</v>
      </c>
      <c r="D170" s="91" t="s">
        <v>20</v>
      </c>
      <c r="E170" s="91"/>
      <c r="F170">
        <v>20</v>
      </c>
      <c r="G170" t="s">
        <v>1419</v>
      </c>
      <c r="H170" s="89">
        <v>46034</v>
      </c>
      <c r="I170" s="89">
        <v>46036</v>
      </c>
      <c r="J170" s="91"/>
      <c r="K170" s="91"/>
      <c r="M170" s="91"/>
      <c r="N170" s="91" t="s">
        <v>1569</v>
      </c>
    </row>
    <row r="171" spans="1:14" x14ac:dyDescent="0.25">
      <c r="A171" s="91" t="s">
        <v>1316</v>
      </c>
      <c r="B171" s="91" t="s">
        <v>1330</v>
      </c>
      <c r="C171" s="91" t="s">
        <v>1580</v>
      </c>
      <c r="D171" s="91" t="s">
        <v>20</v>
      </c>
      <c r="E171" s="91"/>
      <c r="F171">
        <v>89</v>
      </c>
      <c r="G171" t="s">
        <v>1419</v>
      </c>
      <c r="H171" s="89">
        <v>46034</v>
      </c>
      <c r="I171" s="89">
        <v>46036</v>
      </c>
      <c r="J171" s="91"/>
      <c r="K171" s="91"/>
      <c r="M171" s="91"/>
      <c r="N171" s="91" t="s">
        <v>1569</v>
      </c>
    </row>
    <row r="172" spans="1:14" x14ac:dyDescent="0.25">
      <c r="A172" s="91" t="s">
        <v>1317</v>
      </c>
      <c r="B172" s="91" t="s">
        <v>1331</v>
      </c>
      <c r="C172" s="91" t="s">
        <v>1581</v>
      </c>
      <c r="D172" s="91" t="s">
        <v>20</v>
      </c>
      <c r="E172" s="91"/>
      <c r="F172">
        <v>46</v>
      </c>
      <c r="G172" t="s">
        <v>1419</v>
      </c>
      <c r="H172" s="89">
        <v>46034</v>
      </c>
      <c r="I172" s="89">
        <v>46036</v>
      </c>
      <c r="J172" s="91"/>
      <c r="K172" s="91"/>
      <c r="M172" s="91"/>
      <c r="N172" s="91" t="s">
        <v>1569</v>
      </c>
    </row>
    <row r="173" spans="1:14" x14ac:dyDescent="0.25">
      <c r="A173" s="91" t="s">
        <v>1318</v>
      </c>
      <c r="B173" s="91" t="s">
        <v>1332</v>
      </c>
      <c r="C173" s="91" t="s">
        <v>1582</v>
      </c>
      <c r="D173" s="91" t="s">
        <v>20</v>
      </c>
      <c r="E173" s="91"/>
      <c r="F173">
        <v>48</v>
      </c>
      <c r="G173" t="s">
        <v>1419</v>
      </c>
      <c r="H173" s="89">
        <v>46034</v>
      </c>
      <c r="I173" s="89">
        <v>46036</v>
      </c>
      <c r="J173" s="91"/>
      <c r="K173" s="91"/>
      <c r="M173" s="91"/>
      <c r="N173" s="91" t="s">
        <v>1569</v>
      </c>
    </row>
    <row r="174" spans="1:14" x14ac:dyDescent="0.25">
      <c r="A174" s="91" t="s">
        <v>1313</v>
      </c>
      <c r="B174" s="91" t="s">
        <v>1327</v>
      </c>
      <c r="C174" s="91" t="s">
        <v>1583</v>
      </c>
      <c r="D174" s="91" t="s">
        <v>23</v>
      </c>
      <c r="E174" s="91"/>
      <c r="F174">
        <v>864</v>
      </c>
      <c r="G174">
        <v>18</v>
      </c>
      <c r="H174" s="89">
        <v>46034</v>
      </c>
      <c r="I174" s="89">
        <v>46036</v>
      </c>
      <c r="J174" s="91" t="s">
        <v>1584</v>
      </c>
      <c r="K174" s="91"/>
      <c r="M174" s="91"/>
      <c r="N174" s="91" t="s">
        <v>1569</v>
      </c>
    </row>
    <row r="175" spans="1:14" x14ac:dyDescent="0.25">
      <c r="A175" s="91" t="s">
        <v>1314</v>
      </c>
      <c r="B175" s="91" t="s">
        <v>1328</v>
      </c>
      <c r="C175" s="91" t="s">
        <v>1568</v>
      </c>
      <c r="D175" s="91" t="s">
        <v>15</v>
      </c>
      <c r="E175" s="91"/>
      <c r="F175">
        <v>288</v>
      </c>
      <c r="G175">
        <v>6</v>
      </c>
      <c r="H175" s="89">
        <v>46034</v>
      </c>
      <c r="I175" s="89">
        <v>46036</v>
      </c>
      <c r="J175" s="91" t="s">
        <v>1585</v>
      </c>
      <c r="K175" s="91"/>
      <c r="M175" s="91"/>
      <c r="N175" s="91" t="s">
        <v>1569</v>
      </c>
    </row>
    <row r="176" spans="1:14" x14ac:dyDescent="0.25">
      <c r="A176" s="91" t="s">
        <v>1314</v>
      </c>
      <c r="B176" s="91" t="s">
        <v>1328</v>
      </c>
      <c r="C176" s="91" t="s">
        <v>1568</v>
      </c>
      <c r="D176" s="91" t="s">
        <v>15</v>
      </c>
      <c r="E176" s="91"/>
      <c r="F176">
        <v>240</v>
      </c>
      <c r="G176">
        <v>5</v>
      </c>
      <c r="H176" s="89">
        <v>46034</v>
      </c>
      <c r="I176" s="89">
        <v>46038</v>
      </c>
      <c r="J176" s="91" t="s">
        <v>1586</v>
      </c>
      <c r="K176" s="91"/>
      <c r="M176" s="91"/>
      <c r="N176" s="91" t="s">
        <v>1569</v>
      </c>
    </row>
    <row r="177" spans="1:14" x14ac:dyDescent="0.25">
      <c r="A177" s="91" t="s">
        <v>1315</v>
      </c>
      <c r="B177" s="91" t="s">
        <v>1329</v>
      </c>
      <c r="C177" s="91" t="s">
        <v>1587</v>
      </c>
      <c r="D177" s="91" t="s">
        <v>15</v>
      </c>
      <c r="E177" s="91"/>
      <c r="F177">
        <v>905</v>
      </c>
      <c r="G177" t="s">
        <v>1419</v>
      </c>
      <c r="H177" s="89">
        <v>46035</v>
      </c>
      <c r="I177" s="89">
        <v>46037</v>
      </c>
      <c r="J177" s="91"/>
      <c r="K177" s="91"/>
      <c r="M177" s="91"/>
      <c r="N177" s="91" t="s">
        <v>1569</v>
      </c>
    </row>
    <row r="178" spans="1:14" x14ac:dyDescent="0.25">
      <c r="A178" s="91" t="s">
        <v>1444</v>
      </c>
      <c r="B178" s="91" t="s">
        <v>1445</v>
      </c>
      <c r="C178" s="91" t="s">
        <v>1587</v>
      </c>
      <c r="D178" s="91" t="s">
        <v>15</v>
      </c>
      <c r="E178" s="91"/>
      <c r="F178">
        <v>270</v>
      </c>
      <c r="G178">
        <v>2</v>
      </c>
      <c r="H178" s="89">
        <v>46035</v>
      </c>
      <c r="I178" s="89">
        <v>46036</v>
      </c>
      <c r="J178" s="91"/>
      <c r="K178" s="91"/>
      <c r="M178" s="91"/>
      <c r="N178" s="91" t="s">
        <v>1569</v>
      </c>
    </row>
    <row r="179" spans="1:14" x14ac:dyDescent="0.25">
      <c r="A179" s="91" t="s">
        <v>1316</v>
      </c>
      <c r="B179" s="91" t="s">
        <v>1330</v>
      </c>
      <c r="C179" s="91" t="s">
        <v>1588</v>
      </c>
      <c r="D179" s="91" t="s">
        <v>15</v>
      </c>
      <c r="E179" s="91"/>
      <c r="F179">
        <v>17</v>
      </c>
      <c r="G179" t="s">
        <v>1419</v>
      </c>
      <c r="H179" s="89">
        <v>46035</v>
      </c>
      <c r="I179" s="89">
        <v>46037</v>
      </c>
      <c r="J179" s="91"/>
      <c r="K179" s="91"/>
      <c r="M179" s="91"/>
      <c r="N179" s="91" t="s">
        <v>1569</v>
      </c>
    </row>
    <row r="180" spans="1:14" x14ac:dyDescent="0.25">
      <c r="A180" s="91" t="s">
        <v>1317</v>
      </c>
      <c r="B180" s="91" t="s">
        <v>1331</v>
      </c>
      <c r="C180" s="91" t="s">
        <v>1589</v>
      </c>
      <c r="D180" s="91" t="s">
        <v>15</v>
      </c>
      <c r="E180" s="91"/>
      <c r="F180">
        <v>10</v>
      </c>
      <c r="G180" t="s">
        <v>1419</v>
      </c>
      <c r="H180" s="89">
        <v>46035</v>
      </c>
      <c r="I180" s="89">
        <v>46037</v>
      </c>
      <c r="J180" s="91"/>
      <c r="K180" s="91"/>
      <c r="M180" s="91"/>
      <c r="N180" s="91" t="s">
        <v>1569</v>
      </c>
    </row>
    <row r="181" spans="1:14" x14ac:dyDescent="0.25">
      <c r="A181" s="91" t="s">
        <v>1318</v>
      </c>
      <c r="B181" s="91" t="s">
        <v>1332</v>
      </c>
      <c r="C181" s="91" t="s">
        <v>1590</v>
      </c>
      <c r="D181" s="91" t="s">
        <v>15</v>
      </c>
      <c r="E181" s="91"/>
      <c r="F181">
        <v>5</v>
      </c>
      <c r="G181" t="s">
        <v>1419</v>
      </c>
      <c r="H181" s="89">
        <v>46035</v>
      </c>
      <c r="I181" s="89">
        <v>46037</v>
      </c>
      <c r="J181" s="91"/>
      <c r="K181" s="91"/>
      <c r="M181" s="91"/>
      <c r="N181" s="91" t="s">
        <v>1569</v>
      </c>
    </row>
    <row r="182" spans="1:14" x14ac:dyDescent="0.25">
      <c r="A182" s="91" t="s">
        <v>1427</v>
      </c>
      <c r="B182" s="91" t="s">
        <v>1428</v>
      </c>
      <c r="C182" s="91" t="s">
        <v>1591</v>
      </c>
      <c r="D182" s="91" t="s">
        <v>20</v>
      </c>
      <c r="E182" s="91"/>
      <c r="F182">
        <v>756</v>
      </c>
      <c r="G182">
        <v>14</v>
      </c>
      <c r="H182" s="89">
        <v>46035</v>
      </c>
      <c r="I182" s="89">
        <v>46038</v>
      </c>
      <c r="J182" s="91" t="s">
        <v>1592</v>
      </c>
      <c r="K182" s="91"/>
      <c r="M182" s="91"/>
      <c r="N182" s="91" t="s">
        <v>1569</v>
      </c>
    </row>
    <row r="183" spans="1:14" x14ac:dyDescent="0.25">
      <c r="A183" s="91" t="s">
        <v>1322</v>
      </c>
      <c r="B183" s="91" t="s">
        <v>1336</v>
      </c>
      <c r="C183" s="91" t="s">
        <v>1591</v>
      </c>
      <c r="D183" s="91" t="s">
        <v>20</v>
      </c>
      <c r="E183" s="91"/>
      <c r="F183">
        <v>324</v>
      </c>
      <c r="G183">
        <v>6</v>
      </c>
      <c r="H183" s="89">
        <v>46035</v>
      </c>
      <c r="I183" s="89">
        <v>46038</v>
      </c>
      <c r="J183" s="91" t="s">
        <v>1592</v>
      </c>
      <c r="K183" s="91"/>
      <c r="M183" s="91"/>
      <c r="N183" s="91" t="s">
        <v>1569</v>
      </c>
    </row>
    <row r="184" spans="1:14" x14ac:dyDescent="0.25">
      <c r="A184" s="91" t="s">
        <v>1313</v>
      </c>
      <c r="B184" s="91" t="s">
        <v>1327</v>
      </c>
      <c r="C184" s="91" t="s">
        <v>1591</v>
      </c>
      <c r="D184" s="91" t="s">
        <v>20</v>
      </c>
      <c r="E184" s="91"/>
      <c r="F184">
        <v>144</v>
      </c>
      <c r="G184">
        <v>3</v>
      </c>
      <c r="H184" s="89">
        <v>46035</v>
      </c>
      <c r="I184" s="89">
        <v>46040</v>
      </c>
      <c r="J184" s="91" t="s">
        <v>1593</v>
      </c>
      <c r="K184" s="91"/>
      <c r="M184" s="91"/>
      <c r="N184" s="91" t="s">
        <v>1569</v>
      </c>
    </row>
    <row r="185" spans="1:14" x14ac:dyDescent="0.25">
      <c r="A185" s="91" t="s">
        <v>1315</v>
      </c>
      <c r="B185" s="91" t="s">
        <v>1329</v>
      </c>
      <c r="C185" s="91" t="s">
        <v>1591</v>
      </c>
      <c r="D185" s="91" t="s">
        <v>20</v>
      </c>
      <c r="E185" s="91"/>
      <c r="F185">
        <v>21</v>
      </c>
      <c r="G185" t="s">
        <v>1419</v>
      </c>
      <c r="H185" s="89">
        <v>46035</v>
      </c>
      <c r="I185" s="89">
        <v>46037</v>
      </c>
      <c r="J185" s="91" t="s">
        <v>1594</v>
      </c>
      <c r="K185" s="91"/>
      <c r="M185" s="91"/>
      <c r="N185" s="91" t="s">
        <v>1569</v>
      </c>
    </row>
    <row r="186" spans="1:14" x14ac:dyDescent="0.25">
      <c r="A186" s="91" t="s">
        <v>1316</v>
      </c>
      <c r="B186" s="91" t="s">
        <v>1330</v>
      </c>
      <c r="C186" s="91" t="s">
        <v>1595</v>
      </c>
      <c r="D186" s="91" t="s">
        <v>20</v>
      </c>
      <c r="E186" s="91"/>
      <c r="F186">
        <v>81</v>
      </c>
      <c r="G186" t="s">
        <v>1419</v>
      </c>
      <c r="H186" s="89">
        <v>46035</v>
      </c>
      <c r="I186" s="89">
        <v>46037</v>
      </c>
      <c r="J186" s="91"/>
      <c r="K186" s="91"/>
      <c r="M186" s="91"/>
      <c r="N186" s="91" t="s">
        <v>1569</v>
      </c>
    </row>
    <row r="187" spans="1:14" x14ac:dyDescent="0.25">
      <c r="A187" s="91" t="s">
        <v>1317</v>
      </c>
      <c r="B187" s="91" t="s">
        <v>1331</v>
      </c>
      <c r="C187" s="91" t="s">
        <v>1596</v>
      </c>
      <c r="D187" s="91" t="s">
        <v>20</v>
      </c>
      <c r="E187" s="91"/>
      <c r="F187">
        <v>6</v>
      </c>
      <c r="G187" t="s">
        <v>1419</v>
      </c>
      <c r="H187" s="89">
        <v>46035</v>
      </c>
      <c r="I187" s="89">
        <v>46037</v>
      </c>
      <c r="J187" s="91"/>
      <c r="K187" s="91"/>
      <c r="M187" s="91"/>
      <c r="N187" s="91" t="s">
        <v>1569</v>
      </c>
    </row>
    <row r="188" spans="1:14" x14ac:dyDescent="0.25">
      <c r="A188" s="91" t="s">
        <v>1318</v>
      </c>
      <c r="B188" s="91" t="s">
        <v>1332</v>
      </c>
      <c r="C188" s="91" t="s">
        <v>1597</v>
      </c>
      <c r="D188" s="91" t="s">
        <v>20</v>
      </c>
      <c r="E188" s="91"/>
      <c r="F188">
        <v>39</v>
      </c>
      <c r="G188" t="s">
        <v>1419</v>
      </c>
      <c r="H188" s="89">
        <v>46035</v>
      </c>
      <c r="I188" s="89">
        <v>46037</v>
      </c>
      <c r="J188" s="91"/>
      <c r="K188" s="91"/>
      <c r="M188" s="91"/>
      <c r="N188" s="91" t="s">
        <v>1569</v>
      </c>
    </row>
    <row r="189" spans="1:14" x14ac:dyDescent="0.25">
      <c r="A189" s="91" t="s">
        <v>1324</v>
      </c>
      <c r="B189" s="91" t="s">
        <v>1338</v>
      </c>
      <c r="C189" s="91" t="s">
        <v>1598</v>
      </c>
      <c r="D189" s="91" t="s">
        <v>13</v>
      </c>
      <c r="E189" s="91"/>
      <c r="F189">
        <v>960</v>
      </c>
      <c r="G189">
        <v>20</v>
      </c>
      <c r="H189" s="89">
        <v>46035</v>
      </c>
      <c r="I189" s="89">
        <v>46039</v>
      </c>
      <c r="J189" s="91" t="s">
        <v>1599</v>
      </c>
      <c r="K189" s="91"/>
      <c r="M189" s="91"/>
      <c r="N189" s="91" t="s">
        <v>1569</v>
      </c>
    </row>
    <row r="190" spans="1:14" x14ac:dyDescent="0.25">
      <c r="A190" s="91" t="s">
        <v>1324</v>
      </c>
      <c r="B190" s="91" t="s">
        <v>1338</v>
      </c>
      <c r="C190" s="91" t="s">
        <v>1600</v>
      </c>
      <c r="D190" s="91" t="s">
        <v>152</v>
      </c>
      <c r="E190" s="91"/>
      <c r="F190">
        <v>288</v>
      </c>
      <c r="G190">
        <v>6</v>
      </c>
      <c r="H190" s="89">
        <v>46035</v>
      </c>
      <c r="I190" s="89">
        <v>46039</v>
      </c>
      <c r="J190" s="91" t="s">
        <v>1599</v>
      </c>
      <c r="K190" s="91"/>
      <c r="M190" s="91"/>
      <c r="N190" s="91" t="s">
        <v>1569</v>
      </c>
    </row>
    <row r="191" spans="1:14" x14ac:dyDescent="0.25">
      <c r="A191" s="91" t="s">
        <v>1315</v>
      </c>
      <c r="B191" s="91" t="s">
        <v>1329</v>
      </c>
      <c r="C191" s="91" t="s">
        <v>1600</v>
      </c>
      <c r="D191" s="91" t="s">
        <v>152</v>
      </c>
      <c r="E191" s="91"/>
      <c r="F191">
        <v>40</v>
      </c>
      <c r="G191" t="s">
        <v>1419</v>
      </c>
      <c r="H191" s="89">
        <v>46035</v>
      </c>
      <c r="I191" s="89">
        <v>46041</v>
      </c>
      <c r="J191" s="91"/>
      <c r="K191" s="91"/>
      <c r="M191" s="91"/>
      <c r="N191" s="91" t="s">
        <v>1569</v>
      </c>
    </row>
    <row r="192" spans="1:14" x14ac:dyDescent="0.25">
      <c r="A192" s="91" t="s">
        <v>1316</v>
      </c>
      <c r="B192" s="91" t="s">
        <v>1330</v>
      </c>
      <c r="C192" s="91" t="s">
        <v>1600</v>
      </c>
      <c r="D192" s="91" t="s">
        <v>152</v>
      </c>
      <c r="E192" s="91"/>
      <c r="F192">
        <v>8</v>
      </c>
      <c r="G192" t="s">
        <v>1419</v>
      </c>
      <c r="H192" s="89">
        <v>46035</v>
      </c>
      <c r="I192" s="89">
        <v>46041</v>
      </c>
      <c r="J192" s="91"/>
      <c r="K192" s="91"/>
      <c r="M192" s="91"/>
      <c r="N192" s="91" t="s">
        <v>1569</v>
      </c>
    </row>
    <row r="193" spans="1:14" x14ac:dyDescent="0.25">
      <c r="A193" s="91" t="s">
        <v>1313</v>
      </c>
      <c r="B193" s="91" t="s">
        <v>1327</v>
      </c>
      <c r="C193" s="91" t="s">
        <v>1601</v>
      </c>
      <c r="D193" s="91" t="s">
        <v>21</v>
      </c>
      <c r="E193" s="91"/>
      <c r="F193">
        <v>1152</v>
      </c>
      <c r="G193">
        <v>24</v>
      </c>
      <c r="H193" s="89">
        <v>46035</v>
      </c>
      <c r="I193" s="89">
        <v>46039</v>
      </c>
      <c r="J193" s="91" t="s">
        <v>1602</v>
      </c>
      <c r="K193" s="91"/>
      <c r="M193" s="91"/>
      <c r="N193" s="91" t="s">
        <v>1569</v>
      </c>
    </row>
    <row r="194" spans="1:14" x14ac:dyDescent="0.25">
      <c r="A194" s="91" t="s">
        <v>1313</v>
      </c>
      <c r="B194" s="91" t="s">
        <v>1327</v>
      </c>
      <c r="C194" s="91" t="s">
        <v>1601</v>
      </c>
      <c r="D194" s="91" t="s">
        <v>21</v>
      </c>
      <c r="E194" s="91"/>
      <c r="F194">
        <v>48</v>
      </c>
      <c r="G194">
        <v>1</v>
      </c>
      <c r="H194" s="89">
        <v>46035</v>
      </c>
      <c r="I194" s="89">
        <v>46040</v>
      </c>
      <c r="J194" s="91" t="s">
        <v>1594</v>
      </c>
      <c r="K194" s="91"/>
      <c r="M194" s="91"/>
      <c r="N194" s="91" t="s">
        <v>1569</v>
      </c>
    </row>
    <row r="195" spans="1:14" x14ac:dyDescent="0.25">
      <c r="A195" s="91" t="s">
        <v>1315</v>
      </c>
      <c r="B195" s="91" t="s">
        <v>1329</v>
      </c>
      <c r="C195" s="91" t="s">
        <v>1601</v>
      </c>
      <c r="D195" s="91" t="s">
        <v>21</v>
      </c>
      <c r="E195" s="91"/>
      <c r="F195">
        <v>42</v>
      </c>
      <c r="G195" t="s">
        <v>1419</v>
      </c>
      <c r="H195" s="89">
        <v>46035</v>
      </c>
      <c r="I195" s="89">
        <v>46037</v>
      </c>
      <c r="J195" s="91" t="s">
        <v>1594</v>
      </c>
      <c r="K195" s="91"/>
      <c r="M195" s="91"/>
      <c r="N195" s="91" t="s">
        <v>1569</v>
      </c>
    </row>
    <row r="196" spans="1:14" x14ac:dyDescent="0.25">
      <c r="A196" s="91" t="s">
        <v>1316</v>
      </c>
      <c r="B196" s="91" t="s">
        <v>1330</v>
      </c>
      <c r="C196" s="91" t="s">
        <v>1603</v>
      </c>
      <c r="D196" s="91" t="s">
        <v>21</v>
      </c>
      <c r="E196" s="91"/>
      <c r="F196">
        <v>35</v>
      </c>
      <c r="G196" t="s">
        <v>1419</v>
      </c>
      <c r="H196" s="89">
        <v>46035</v>
      </c>
      <c r="I196" s="89">
        <v>46037</v>
      </c>
      <c r="J196" s="91"/>
      <c r="K196" s="91"/>
      <c r="M196" s="91"/>
      <c r="N196" s="91" t="s">
        <v>1569</v>
      </c>
    </row>
    <row r="197" spans="1:14" x14ac:dyDescent="0.25">
      <c r="A197" s="91" t="s">
        <v>1317</v>
      </c>
      <c r="B197" s="91" t="s">
        <v>1331</v>
      </c>
      <c r="C197" s="91" t="s">
        <v>1604</v>
      </c>
      <c r="D197" s="91" t="s">
        <v>21</v>
      </c>
      <c r="E197" s="91"/>
      <c r="F197">
        <v>13</v>
      </c>
      <c r="G197" t="s">
        <v>1419</v>
      </c>
      <c r="H197" s="89">
        <v>46035</v>
      </c>
      <c r="I197" s="89">
        <v>46037</v>
      </c>
      <c r="J197" s="91"/>
      <c r="K197" s="91"/>
      <c r="M197" s="91"/>
      <c r="N197" s="91" t="s">
        <v>1569</v>
      </c>
    </row>
    <row r="198" spans="1:14" x14ac:dyDescent="0.25">
      <c r="A198" s="91" t="s">
        <v>1318</v>
      </c>
      <c r="B198" s="91" t="s">
        <v>1332</v>
      </c>
      <c r="C198" s="91" t="s">
        <v>1605</v>
      </c>
      <c r="D198" s="91" t="s">
        <v>21</v>
      </c>
      <c r="E198" s="91"/>
      <c r="F198">
        <v>59</v>
      </c>
      <c r="G198" t="s">
        <v>1419</v>
      </c>
      <c r="H198" s="89">
        <v>46035</v>
      </c>
      <c r="I198" s="89">
        <v>46037</v>
      </c>
      <c r="J198" s="91"/>
      <c r="K198" s="91"/>
      <c r="M198" s="91"/>
      <c r="N198" s="91" t="s">
        <v>1569</v>
      </c>
    </row>
    <row r="199" spans="1:14" x14ac:dyDescent="0.25">
      <c r="A199" s="91" t="s">
        <v>1313</v>
      </c>
      <c r="B199" s="91" t="s">
        <v>1327</v>
      </c>
      <c r="C199" s="91" t="s">
        <v>1606</v>
      </c>
      <c r="D199" s="91" t="s">
        <v>23</v>
      </c>
      <c r="E199" s="91"/>
      <c r="F199">
        <v>912</v>
      </c>
      <c r="G199">
        <v>19</v>
      </c>
      <c r="H199" s="89">
        <v>46035</v>
      </c>
      <c r="I199" s="89">
        <v>46038</v>
      </c>
      <c r="J199" s="91" t="s">
        <v>1607</v>
      </c>
      <c r="K199" s="91"/>
      <c r="M199" s="91"/>
      <c r="N199" s="91" t="s">
        <v>1569</v>
      </c>
    </row>
    <row r="200" spans="1:14" x14ac:dyDescent="0.25">
      <c r="A200" s="91" t="s">
        <v>1324</v>
      </c>
      <c r="B200" s="91" t="s">
        <v>1338</v>
      </c>
      <c r="C200" s="91" t="s">
        <v>1608</v>
      </c>
      <c r="D200" s="91" t="s">
        <v>15</v>
      </c>
      <c r="E200" s="91"/>
      <c r="F200">
        <v>960</v>
      </c>
      <c r="G200">
        <v>20</v>
      </c>
      <c r="H200" s="89">
        <v>46036</v>
      </c>
      <c r="I200" s="89">
        <v>46043</v>
      </c>
      <c r="J200" s="91" t="s">
        <v>1609</v>
      </c>
      <c r="K200" s="91"/>
      <c r="M200" s="91"/>
      <c r="N200" s="91" t="s">
        <v>1569</v>
      </c>
    </row>
    <row r="201" spans="1:14" x14ac:dyDescent="0.25">
      <c r="A201" s="91" t="s">
        <v>1315</v>
      </c>
      <c r="B201" s="91" t="s">
        <v>1329</v>
      </c>
      <c r="C201" s="91" t="s">
        <v>1608</v>
      </c>
      <c r="D201" s="91" t="s">
        <v>15</v>
      </c>
      <c r="E201" s="91"/>
      <c r="F201">
        <v>74</v>
      </c>
      <c r="G201" t="s">
        <v>1419</v>
      </c>
      <c r="H201" s="89">
        <v>46036</v>
      </c>
      <c r="I201" s="89">
        <v>46038</v>
      </c>
      <c r="J201" s="91"/>
      <c r="K201" s="91"/>
      <c r="M201" s="91"/>
      <c r="N201" s="91" t="s">
        <v>1569</v>
      </c>
    </row>
    <row r="202" spans="1:14" x14ac:dyDescent="0.25">
      <c r="A202" s="91" t="s">
        <v>1316</v>
      </c>
      <c r="B202" s="91" t="s">
        <v>1330</v>
      </c>
      <c r="C202" s="91" t="s">
        <v>1610</v>
      </c>
      <c r="D202" s="91" t="s">
        <v>15</v>
      </c>
      <c r="E202" s="91"/>
      <c r="F202">
        <v>27</v>
      </c>
      <c r="G202" t="s">
        <v>1419</v>
      </c>
      <c r="H202" s="89">
        <v>46036</v>
      </c>
      <c r="I202" s="89">
        <v>46038</v>
      </c>
      <c r="J202" s="91"/>
      <c r="K202" s="91"/>
      <c r="M202" s="91"/>
      <c r="N202" s="91" t="s">
        <v>1569</v>
      </c>
    </row>
    <row r="203" spans="1:14" x14ac:dyDescent="0.25">
      <c r="A203" s="91" t="s">
        <v>1317</v>
      </c>
      <c r="B203" s="91" t="s">
        <v>1331</v>
      </c>
      <c r="C203" s="91" t="s">
        <v>1611</v>
      </c>
      <c r="D203" s="91" t="s">
        <v>15</v>
      </c>
      <c r="E203" s="91"/>
      <c r="F203">
        <v>10</v>
      </c>
      <c r="G203" t="s">
        <v>1419</v>
      </c>
      <c r="H203" s="89">
        <v>46036</v>
      </c>
      <c r="I203" s="89">
        <v>46038</v>
      </c>
      <c r="J203" s="91"/>
      <c r="K203" s="91"/>
      <c r="M203" s="91"/>
      <c r="N203" s="91" t="s">
        <v>1569</v>
      </c>
    </row>
    <row r="204" spans="1:14" x14ac:dyDescent="0.25">
      <c r="A204" s="91" t="s">
        <v>1318</v>
      </c>
      <c r="B204" s="91" t="s">
        <v>1332</v>
      </c>
      <c r="C204" s="91" t="s">
        <v>1612</v>
      </c>
      <c r="D204" s="91" t="s">
        <v>15</v>
      </c>
      <c r="E204" s="91"/>
      <c r="F204">
        <v>31</v>
      </c>
      <c r="G204" t="s">
        <v>1419</v>
      </c>
      <c r="H204" s="89">
        <v>46036</v>
      </c>
      <c r="I204" s="89">
        <v>46038</v>
      </c>
      <c r="J204" s="91"/>
      <c r="K204" s="91"/>
      <c r="M204" s="91"/>
      <c r="N204" s="91" t="s">
        <v>1569</v>
      </c>
    </row>
    <row r="205" spans="1:14" x14ac:dyDescent="0.25">
      <c r="A205" s="91" t="s">
        <v>1324</v>
      </c>
      <c r="B205" s="91" t="s">
        <v>1338</v>
      </c>
      <c r="C205" s="91" t="s">
        <v>1613</v>
      </c>
      <c r="D205" s="91" t="s">
        <v>147</v>
      </c>
      <c r="E205" s="91"/>
      <c r="F205">
        <v>672</v>
      </c>
      <c r="G205">
        <v>14</v>
      </c>
      <c r="H205" s="89">
        <v>46036</v>
      </c>
      <c r="I205" s="89">
        <v>46039</v>
      </c>
      <c r="J205" s="91" t="s">
        <v>1599</v>
      </c>
      <c r="K205" s="91"/>
      <c r="M205" s="91"/>
      <c r="N205" s="91" t="s">
        <v>1569</v>
      </c>
    </row>
    <row r="206" spans="1:14" x14ac:dyDescent="0.25">
      <c r="A206" s="91" t="s">
        <v>1324</v>
      </c>
      <c r="B206" s="91" t="s">
        <v>1338</v>
      </c>
      <c r="C206" s="91" t="s">
        <v>1614</v>
      </c>
      <c r="D206" s="91" t="s">
        <v>21</v>
      </c>
      <c r="E206" s="91"/>
      <c r="F206">
        <v>96</v>
      </c>
      <c r="G206">
        <v>2</v>
      </c>
      <c r="H206" s="89">
        <v>46036</v>
      </c>
      <c r="I206" s="89">
        <v>46041</v>
      </c>
      <c r="J206" s="91" t="s">
        <v>1615</v>
      </c>
      <c r="K206" s="91"/>
      <c r="M206" s="91"/>
      <c r="N206" s="91" t="s">
        <v>1569</v>
      </c>
    </row>
    <row r="207" spans="1:14" x14ac:dyDescent="0.25">
      <c r="A207" s="91" t="s">
        <v>1313</v>
      </c>
      <c r="B207" s="91" t="s">
        <v>1327</v>
      </c>
      <c r="C207" s="91" t="s">
        <v>1614</v>
      </c>
      <c r="D207" s="91" t="s">
        <v>21</v>
      </c>
      <c r="E207" s="91"/>
      <c r="F207">
        <v>1051</v>
      </c>
      <c r="G207">
        <v>21.895833333333332</v>
      </c>
      <c r="H207" s="89">
        <v>46036</v>
      </c>
      <c r="I207" s="89">
        <v>46040</v>
      </c>
      <c r="J207" s="91" t="s">
        <v>1594</v>
      </c>
      <c r="K207" s="91"/>
      <c r="M207" s="91"/>
      <c r="N207" s="91" t="s">
        <v>1569</v>
      </c>
    </row>
    <row r="208" spans="1:14" x14ac:dyDescent="0.25">
      <c r="A208" s="91" t="s">
        <v>1566</v>
      </c>
      <c r="B208" s="91" t="s">
        <v>1567</v>
      </c>
      <c r="C208" s="91" t="s">
        <v>1614</v>
      </c>
      <c r="D208" s="91" t="s">
        <v>21</v>
      </c>
      <c r="E208" s="91"/>
      <c r="F208">
        <v>5</v>
      </c>
      <c r="G208">
        <v>0.10416666666666669</v>
      </c>
      <c r="H208" s="89">
        <v>46036</v>
      </c>
      <c r="I208" s="89">
        <v>46040</v>
      </c>
      <c r="J208" s="91" t="s">
        <v>1616</v>
      </c>
      <c r="K208" s="91"/>
      <c r="M208" s="91"/>
      <c r="N208" s="91" t="s">
        <v>1569</v>
      </c>
    </row>
    <row r="209" spans="1:14" x14ac:dyDescent="0.25">
      <c r="A209" s="91" t="s">
        <v>1314</v>
      </c>
      <c r="B209" s="91" t="s">
        <v>1328</v>
      </c>
      <c r="C209" s="91" t="s">
        <v>1614</v>
      </c>
      <c r="D209" s="91" t="s">
        <v>21</v>
      </c>
      <c r="E209" s="91"/>
      <c r="F209">
        <v>144</v>
      </c>
      <c r="G209">
        <v>3</v>
      </c>
      <c r="H209" s="89">
        <v>46036</v>
      </c>
      <c r="I209" s="89">
        <v>46041</v>
      </c>
      <c r="J209" s="91" t="s">
        <v>1617</v>
      </c>
      <c r="K209" s="91"/>
      <c r="M209" s="91"/>
      <c r="N209" s="91" t="s">
        <v>1569</v>
      </c>
    </row>
    <row r="210" spans="1:14" x14ac:dyDescent="0.25">
      <c r="A210" s="91" t="s">
        <v>1315</v>
      </c>
      <c r="B210" s="91" t="s">
        <v>1329</v>
      </c>
      <c r="C210" s="91" t="s">
        <v>1614</v>
      </c>
      <c r="D210" s="91" t="s">
        <v>21</v>
      </c>
      <c r="E210" s="91"/>
      <c r="F210">
        <v>24</v>
      </c>
      <c r="G210" t="s">
        <v>1419</v>
      </c>
      <c r="H210" s="89">
        <v>46036</v>
      </c>
      <c r="I210" s="89">
        <v>46038</v>
      </c>
      <c r="J210" s="91"/>
      <c r="K210" s="91"/>
      <c r="M210" s="91"/>
      <c r="N210" s="91" t="s">
        <v>1569</v>
      </c>
    </row>
    <row r="211" spans="1:14" x14ac:dyDescent="0.25">
      <c r="A211" s="91" t="s">
        <v>1316</v>
      </c>
      <c r="B211" s="91" t="s">
        <v>1330</v>
      </c>
      <c r="C211" s="91" t="s">
        <v>1618</v>
      </c>
      <c r="D211" s="91" t="s">
        <v>21</v>
      </c>
      <c r="E211" s="91"/>
      <c r="F211">
        <v>7</v>
      </c>
      <c r="G211" t="s">
        <v>1419</v>
      </c>
      <c r="H211" s="89">
        <v>46036</v>
      </c>
      <c r="I211" s="89">
        <v>46038</v>
      </c>
      <c r="J211" s="91"/>
      <c r="K211" s="91"/>
      <c r="M211" s="91"/>
      <c r="N211" s="91" t="s">
        <v>1569</v>
      </c>
    </row>
    <row r="212" spans="1:14" x14ac:dyDescent="0.25">
      <c r="A212" s="91" t="s">
        <v>1317</v>
      </c>
      <c r="B212" s="91" t="s">
        <v>1331</v>
      </c>
      <c r="C212" s="91" t="s">
        <v>1619</v>
      </c>
      <c r="D212" s="91" t="s">
        <v>21</v>
      </c>
      <c r="E212" s="91"/>
      <c r="F212">
        <v>9</v>
      </c>
      <c r="G212" t="s">
        <v>1419</v>
      </c>
      <c r="H212" s="89">
        <v>46036</v>
      </c>
      <c r="I212" s="89">
        <v>46038</v>
      </c>
      <c r="J212" s="91"/>
      <c r="K212" s="91"/>
      <c r="M212" s="91"/>
      <c r="N212" s="91" t="s">
        <v>1569</v>
      </c>
    </row>
    <row r="213" spans="1:14" x14ac:dyDescent="0.25">
      <c r="A213" s="91" t="s">
        <v>1318</v>
      </c>
      <c r="B213" s="91" t="s">
        <v>1332</v>
      </c>
      <c r="C213" s="91" t="s">
        <v>1620</v>
      </c>
      <c r="D213" s="91" t="s">
        <v>21</v>
      </c>
      <c r="E213" s="91"/>
      <c r="F213">
        <v>41</v>
      </c>
      <c r="G213" t="s">
        <v>1419</v>
      </c>
      <c r="H213" s="89">
        <v>46036</v>
      </c>
      <c r="I213" s="89">
        <v>46038</v>
      </c>
      <c r="J213" s="91"/>
      <c r="K213" s="91"/>
      <c r="M213" s="91"/>
      <c r="N213" s="91" t="s">
        <v>1569</v>
      </c>
    </row>
    <row r="214" spans="1:14" x14ac:dyDescent="0.25">
      <c r="A214" s="91" t="s">
        <v>1324</v>
      </c>
      <c r="B214" s="91" t="s">
        <v>1338</v>
      </c>
      <c r="C214" s="91" t="s">
        <v>1621</v>
      </c>
      <c r="D214" s="91" t="s">
        <v>23</v>
      </c>
      <c r="E214" s="91"/>
      <c r="F214">
        <v>960</v>
      </c>
      <c r="G214">
        <v>20</v>
      </c>
      <c r="H214" s="89">
        <v>46036</v>
      </c>
      <c r="I214" s="89">
        <v>46041</v>
      </c>
      <c r="J214" s="91" t="s">
        <v>1615</v>
      </c>
      <c r="K214" s="91"/>
      <c r="M214" s="91"/>
      <c r="N214" s="91" t="s">
        <v>1569</v>
      </c>
    </row>
    <row r="215" spans="1:14" x14ac:dyDescent="0.25">
      <c r="A215" s="91" t="s">
        <v>1313</v>
      </c>
      <c r="B215" s="91" t="s">
        <v>1327</v>
      </c>
      <c r="C215" s="91" t="s">
        <v>1622</v>
      </c>
      <c r="D215" s="91" t="s">
        <v>20</v>
      </c>
      <c r="E215" s="91"/>
      <c r="F215">
        <v>48</v>
      </c>
      <c r="G215">
        <v>1</v>
      </c>
      <c r="H215" s="89">
        <v>46036</v>
      </c>
      <c r="I215" s="89">
        <v>46040</v>
      </c>
      <c r="J215" s="91" t="s">
        <v>1594</v>
      </c>
      <c r="K215" s="91"/>
      <c r="M215" s="91"/>
      <c r="N215" s="91" t="s">
        <v>1569</v>
      </c>
    </row>
    <row r="216" spans="1:14" x14ac:dyDescent="0.25">
      <c r="A216" s="91" t="s">
        <v>1313</v>
      </c>
      <c r="B216" s="91" t="s">
        <v>1327</v>
      </c>
      <c r="C216" s="91" t="s">
        <v>1622</v>
      </c>
      <c r="D216" s="91" t="s">
        <v>20</v>
      </c>
      <c r="E216" s="91"/>
      <c r="F216">
        <v>1008</v>
      </c>
      <c r="G216">
        <v>21</v>
      </c>
      <c r="H216" s="89">
        <v>46036</v>
      </c>
      <c r="I216" s="89">
        <v>46040</v>
      </c>
      <c r="J216" s="91" t="s">
        <v>1593</v>
      </c>
      <c r="K216" s="91"/>
      <c r="M216" s="91"/>
      <c r="N216" s="91" t="s">
        <v>1569</v>
      </c>
    </row>
    <row r="217" spans="1:14" x14ac:dyDescent="0.25">
      <c r="A217" s="91" t="s">
        <v>1315</v>
      </c>
      <c r="B217" s="91" t="s">
        <v>1329</v>
      </c>
      <c r="C217" s="91" t="s">
        <v>1622</v>
      </c>
      <c r="D217" s="91" t="s">
        <v>20</v>
      </c>
      <c r="E217" s="91"/>
      <c r="F217">
        <v>192</v>
      </c>
      <c r="G217" t="s">
        <v>1419</v>
      </c>
      <c r="H217" s="89">
        <v>46036</v>
      </c>
      <c r="I217" s="89">
        <v>46039</v>
      </c>
      <c r="J217" s="91"/>
      <c r="K217" s="91"/>
      <c r="M217" s="91"/>
      <c r="N217" s="91" t="s">
        <v>1569</v>
      </c>
    </row>
    <row r="218" spans="1:14" x14ac:dyDescent="0.25">
      <c r="A218" s="91" t="s">
        <v>1316</v>
      </c>
      <c r="B218" s="91" t="s">
        <v>1330</v>
      </c>
      <c r="C218" s="91" t="s">
        <v>1623</v>
      </c>
      <c r="D218" s="91" t="s">
        <v>20</v>
      </c>
      <c r="E218" s="91"/>
      <c r="F218">
        <v>127</v>
      </c>
      <c r="G218" t="s">
        <v>1419</v>
      </c>
      <c r="H218" s="89">
        <v>46036</v>
      </c>
      <c r="I218" s="89">
        <v>46038</v>
      </c>
      <c r="J218" s="91"/>
      <c r="K218" s="91"/>
      <c r="M218" s="91"/>
      <c r="N218" s="91" t="s">
        <v>1569</v>
      </c>
    </row>
    <row r="219" spans="1:14" x14ac:dyDescent="0.25">
      <c r="A219" s="91" t="s">
        <v>1317</v>
      </c>
      <c r="B219" s="91" t="s">
        <v>1331</v>
      </c>
      <c r="C219" s="91" t="s">
        <v>1624</v>
      </c>
      <c r="D219" s="91" t="s">
        <v>20</v>
      </c>
      <c r="E219" s="91"/>
      <c r="F219">
        <v>47</v>
      </c>
      <c r="G219" t="s">
        <v>1419</v>
      </c>
      <c r="H219" s="89">
        <v>46036</v>
      </c>
      <c r="I219" s="89">
        <v>46038</v>
      </c>
      <c r="J219" s="91"/>
      <c r="K219" s="91"/>
      <c r="M219" s="91"/>
      <c r="N219" s="91" t="s">
        <v>1569</v>
      </c>
    </row>
    <row r="220" spans="1:14" x14ac:dyDescent="0.25">
      <c r="A220" s="91" t="s">
        <v>1318</v>
      </c>
      <c r="B220" s="91" t="s">
        <v>1332</v>
      </c>
      <c r="C220" s="91" t="s">
        <v>1625</v>
      </c>
      <c r="D220" s="91" t="s">
        <v>20</v>
      </c>
      <c r="E220" s="91"/>
      <c r="F220">
        <v>69</v>
      </c>
      <c r="G220" t="s">
        <v>1419</v>
      </c>
      <c r="H220" s="89">
        <v>46036</v>
      </c>
      <c r="I220" s="89">
        <v>46038</v>
      </c>
      <c r="J220" s="91"/>
      <c r="K220" s="91"/>
      <c r="M220" s="91"/>
      <c r="N220" s="91" t="s">
        <v>1569</v>
      </c>
    </row>
    <row r="221" spans="1:14" x14ac:dyDescent="0.25">
      <c r="A221" s="91" t="s">
        <v>1324</v>
      </c>
      <c r="B221" s="91" t="s">
        <v>1338</v>
      </c>
      <c r="C221" s="91" t="s">
        <v>1626</v>
      </c>
      <c r="D221" s="91" t="s">
        <v>23</v>
      </c>
      <c r="E221" s="91"/>
      <c r="F221">
        <v>144</v>
      </c>
      <c r="G221">
        <v>3</v>
      </c>
      <c r="H221" s="89">
        <v>46037</v>
      </c>
      <c r="I221" s="89">
        <v>46043</v>
      </c>
      <c r="J221" s="91" t="s">
        <v>1609</v>
      </c>
      <c r="K221" s="91"/>
      <c r="M221" s="91"/>
      <c r="N221" s="91" t="s">
        <v>1569</v>
      </c>
    </row>
    <row r="222" spans="1:14" x14ac:dyDescent="0.25">
      <c r="A222" s="91" t="s">
        <v>1313</v>
      </c>
      <c r="B222" s="91" t="s">
        <v>1327</v>
      </c>
      <c r="C222" s="91" t="s">
        <v>1626</v>
      </c>
      <c r="D222" s="91" t="s">
        <v>23</v>
      </c>
      <c r="E222" s="91"/>
      <c r="F222">
        <v>624</v>
      </c>
      <c r="G222">
        <v>13</v>
      </c>
      <c r="H222" s="89">
        <v>46037</v>
      </c>
      <c r="I222" s="89">
        <v>46043</v>
      </c>
      <c r="J222" s="91" t="s">
        <v>1627</v>
      </c>
      <c r="K222" s="91"/>
      <c r="M222" s="91"/>
      <c r="N222" s="91" t="s">
        <v>1569</v>
      </c>
    </row>
    <row r="223" spans="1:14" x14ac:dyDescent="0.25">
      <c r="A223" s="91" t="s">
        <v>1313</v>
      </c>
      <c r="B223" s="91" t="s">
        <v>1327</v>
      </c>
      <c r="C223" s="91" t="s">
        <v>1628</v>
      </c>
      <c r="D223" s="91" t="s">
        <v>150</v>
      </c>
      <c r="E223" s="91"/>
      <c r="F223">
        <v>1152</v>
      </c>
      <c r="G223">
        <v>24</v>
      </c>
      <c r="H223" s="89">
        <v>46037</v>
      </c>
      <c r="I223" s="89">
        <v>46041</v>
      </c>
      <c r="J223" s="91" t="s">
        <v>1629</v>
      </c>
      <c r="K223" s="91"/>
      <c r="M223" s="91"/>
      <c r="N223" s="91" t="s">
        <v>1569</v>
      </c>
    </row>
    <row r="224" spans="1:14" x14ac:dyDescent="0.25">
      <c r="A224" s="91" t="s">
        <v>1313</v>
      </c>
      <c r="B224" s="91" t="s">
        <v>1327</v>
      </c>
      <c r="C224" s="91" t="s">
        <v>1630</v>
      </c>
      <c r="D224" s="91" t="s">
        <v>20</v>
      </c>
      <c r="E224" s="91"/>
      <c r="F224">
        <v>432</v>
      </c>
      <c r="G224">
        <v>9</v>
      </c>
      <c r="H224" s="89">
        <v>46037</v>
      </c>
      <c r="I224" s="89">
        <v>46039</v>
      </c>
      <c r="J224" s="91"/>
      <c r="K224" s="91"/>
      <c r="M224" s="91"/>
      <c r="N224" s="91" t="s">
        <v>1569</v>
      </c>
    </row>
    <row r="225" spans="1:14" x14ac:dyDescent="0.25">
      <c r="A225" s="91" t="s">
        <v>1313</v>
      </c>
      <c r="B225" s="91" t="s">
        <v>1327</v>
      </c>
      <c r="C225" s="91" t="s">
        <v>1630</v>
      </c>
      <c r="D225" s="91" t="s">
        <v>20</v>
      </c>
      <c r="E225" s="91"/>
      <c r="F225">
        <v>864</v>
      </c>
      <c r="G225">
        <v>18</v>
      </c>
      <c r="H225" s="89">
        <v>46037</v>
      </c>
      <c r="I225" s="89">
        <v>46041</v>
      </c>
      <c r="J225" s="91" t="s">
        <v>1631</v>
      </c>
      <c r="K225" s="91"/>
      <c r="M225" s="91"/>
      <c r="N225" s="91" t="s">
        <v>1569</v>
      </c>
    </row>
    <row r="226" spans="1:14" x14ac:dyDescent="0.25">
      <c r="A226" s="91" t="s">
        <v>1315</v>
      </c>
      <c r="B226" s="91" t="s">
        <v>1329</v>
      </c>
      <c r="C226" s="91" t="s">
        <v>1630</v>
      </c>
      <c r="D226" s="91" t="s">
        <v>20</v>
      </c>
      <c r="E226" s="91"/>
      <c r="F226">
        <v>21</v>
      </c>
      <c r="G226" t="s">
        <v>1419</v>
      </c>
      <c r="H226" s="89">
        <v>46037</v>
      </c>
      <c r="I226" s="89">
        <v>46041</v>
      </c>
      <c r="J226" s="91" t="s">
        <v>1631</v>
      </c>
      <c r="K226" s="91"/>
      <c r="M226" s="91"/>
      <c r="N226" s="91" t="s">
        <v>1569</v>
      </c>
    </row>
    <row r="227" spans="1:14" x14ac:dyDescent="0.25">
      <c r="A227" s="91" t="s">
        <v>1316</v>
      </c>
      <c r="B227" s="91" t="s">
        <v>1330</v>
      </c>
      <c r="C227" s="91" t="s">
        <v>1632</v>
      </c>
      <c r="D227" s="91" t="s">
        <v>20</v>
      </c>
      <c r="E227" s="91"/>
      <c r="F227">
        <v>102</v>
      </c>
      <c r="G227" t="s">
        <v>1419</v>
      </c>
      <c r="H227" s="89">
        <v>46037</v>
      </c>
      <c r="I227" s="89">
        <v>46039</v>
      </c>
      <c r="J227" s="91"/>
      <c r="K227" s="91"/>
      <c r="M227" s="91"/>
      <c r="N227" s="91" t="s">
        <v>1569</v>
      </c>
    </row>
    <row r="228" spans="1:14" x14ac:dyDescent="0.25">
      <c r="A228" s="91" t="s">
        <v>1317</v>
      </c>
      <c r="B228" s="91" t="s">
        <v>1331</v>
      </c>
      <c r="C228" s="91" t="s">
        <v>1633</v>
      </c>
      <c r="D228" s="91" t="s">
        <v>20</v>
      </c>
      <c r="E228" s="91"/>
      <c r="F228">
        <v>22</v>
      </c>
      <c r="G228" t="s">
        <v>1419</v>
      </c>
      <c r="H228" s="89">
        <v>46037</v>
      </c>
      <c r="I228" s="89">
        <v>46039</v>
      </c>
      <c r="J228" s="91"/>
      <c r="K228" s="91"/>
      <c r="M228" s="91"/>
      <c r="N228" s="91" t="s">
        <v>1569</v>
      </c>
    </row>
    <row r="229" spans="1:14" x14ac:dyDescent="0.25">
      <c r="A229" s="91" t="s">
        <v>1318</v>
      </c>
      <c r="B229" s="91" t="s">
        <v>1332</v>
      </c>
      <c r="C229" s="91" t="s">
        <v>1634</v>
      </c>
      <c r="D229" s="91" t="s">
        <v>20</v>
      </c>
      <c r="E229" s="91"/>
      <c r="F229">
        <v>57</v>
      </c>
      <c r="G229" t="s">
        <v>1419</v>
      </c>
      <c r="H229" s="89">
        <v>46037</v>
      </c>
      <c r="I229" s="89">
        <v>46039</v>
      </c>
      <c r="J229" s="91"/>
      <c r="K229" s="91"/>
      <c r="M229" s="91"/>
      <c r="N229" s="91" t="s">
        <v>1569</v>
      </c>
    </row>
    <row r="230" spans="1:14" x14ac:dyDescent="0.25">
      <c r="A230" s="91" t="s">
        <v>1444</v>
      </c>
      <c r="B230" s="91" t="s">
        <v>1445</v>
      </c>
      <c r="C230" s="91" t="s">
        <v>1635</v>
      </c>
      <c r="D230" s="91" t="s">
        <v>21</v>
      </c>
      <c r="E230" s="91"/>
      <c r="F230">
        <v>205</v>
      </c>
      <c r="G230">
        <v>2</v>
      </c>
      <c r="H230" s="89">
        <v>46037</v>
      </c>
      <c r="I230" s="89">
        <v>46039</v>
      </c>
      <c r="J230" s="91"/>
      <c r="K230" s="91"/>
      <c r="M230" s="91"/>
      <c r="N230" s="91" t="s">
        <v>1569</v>
      </c>
    </row>
    <row r="231" spans="1:14" x14ac:dyDescent="0.25">
      <c r="A231" s="91" t="s">
        <v>1314</v>
      </c>
      <c r="B231" s="91" t="s">
        <v>1328</v>
      </c>
      <c r="C231" s="91" t="s">
        <v>1635</v>
      </c>
      <c r="D231" s="91" t="s">
        <v>21</v>
      </c>
      <c r="E231" s="91"/>
      <c r="F231">
        <v>144</v>
      </c>
      <c r="G231">
        <v>3</v>
      </c>
      <c r="H231" s="89">
        <v>46037</v>
      </c>
      <c r="I231" s="89">
        <v>46041</v>
      </c>
      <c r="J231" s="91" t="s">
        <v>1617</v>
      </c>
      <c r="K231" s="91"/>
      <c r="M231" s="91"/>
      <c r="N231" s="91" t="s">
        <v>1569</v>
      </c>
    </row>
    <row r="232" spans="1:14" x14ac:dyDescent="0.25">
      <c r="A232" s="91" t="s">
        <v>1313</v>
      </c>
      <c r="B232" s="91" t="s">
        <v>1327</v>
      </c>
      <c r="C232" s="91" t="s">
        <v>1635</v>
      </c>
      <c r="D232" s="91" t="s">
        <v>21</v>
      </c>
      <c r="E232" s="91"/>
      <c r="F232">
        <v>192</v>
      </c>
      <c r="G232">
        <v>4</v>
      </c>
      <c r="H232" s="89">
        <v>46037</v>
      </c>
      <c r="I232" s="89">
        <v>46041</v>
      </c>
      <c r="J232" s="91"/>
      <c r="K232" s="91"/>
      <c r="M232" s="91"/>
      <c r="N232" s="91" t="s">
        <v>1569</v>
      </c>
    </row>
    <row r="233" spans="1:14" x14ac:dyDescent="0.25">
      <c r="A233" s="91" t="s">
        <v>1315</v>
      </c>
      <c r="B233" s="91" t="s">
        <v>1329</v>
      </c>
      <c r="C233" s="91" t="s">
        <v>1635</v>
      </c>
      <c r="D233" s="91" t="s">
        <v>21</v>
      </c>
      <c r="E233" s="91"/>
      <c r="F233">
        <v>102</v>
      </c>
      <c r="G233" t="s">
        <v>1419</v>
      </c>
      <c r="H233" s="89">
        <v>46037</v>
      </c>
      <c r="I233" s="89">
        <v>46041</v>
      </c>
      <c r="J233" s="91"/>
      <c r="K233" s="91"/>
      <c r="M233" s="91"/>
      <c r="N233" s="91" t="s">
        <v>1569</v>
      </c>
    </row>
    <row r="234" spans="1:14" x14ac:dyDescent="0.25">
      <c r="A234" s="91" t="s">
        <v>1316</v>
      </c>
      <c r="B234" s="91" t="s">
        <v>1330</v>
      </c>
      <c r="C234" s="91" t="s">
        <v>1636</v>
      </c>
      <c r="D234" s="91" t="s">
        <v>21</v>
      </c>
      <c r="E234" s="91"/>
      <c r="F234">
        <v>19</v>
      </c>
      <c r="G234" t="s">
        <v>1419</v>
      </c>
      <c r="H234" s="89">
        <v>46037</v>
      </c>
      <c r="I234" s="89">
        <v>46039</v>
      </c>
      <c r="J234" s="91"/>
      <c r="K234" s="91"/>
      <c r="M234" s="91"/>
      <c r="N234" s="91" t="s">
        <v>1569</v>
      </c>
    </row>
    <row r="235" spans="1:14" x14ac:dyDescent="0.25">
      <c r="A235" s="91" t="s">
        <v>1317</v>
      </c>
      <c r="B235" s="91" t="s">
        <v>1331</v>
      </c>
      <c r="C235" s="91" t="s">
        <v>1637</v>
      </c>
      <c r="D235" s="91" t="s">
        <v>21</v>
      </c>
      <c r="E235" s="91"/>
      <c r="F235">
        <v>14</v>
      </c>
      <c r="G235" t="s">
        <v>1419</v>
      </c>
      <c r="H235" s="89">
        <v>46037</v>
      </c>
      <c r="I235" s="89">
        <v>46039</v>
      </c>
      <c r="J235" s="91"/>
      <c r="K235" s="91"/>
      <c r="M235" s="91"/>
      <c r="N235" s="91" t="s">
        <v>1569</v>
      </c>
    </row>
    <row r="236" spans="1:14" x14ac:dyDescent="0.25">
      <c r="A236" s="91" t="s">
        <v>1318</v>
      </c>
      <c r="B236" s="91" t="s">
        <v>1332</v>
      </c>
      <c r="C236" s="91" t="s">
        <v>1638</v>
      </c>
      <c r="D236" s="91" t="s">
        <v>21</v>
      </c>
      <c r="E236" s="91"/>
      <c r="F236">
        <v>47</v>
      </c>
      <c r="G236" t="s">
        <v>1419</v>
      </c>
      <c r="H236" s="89">
        <v>46037</v>
      </c>
      <c r="I236" s="89">
        <v>46039</v>
      </c>
      <c r="J236" s="91"/>
      <c r="K236" s="91"/>
      <c r="M236" s="91"/>
      <c r="N236" s="91" t="s">
        <v>1569</v>
      </c>
    </row>
    <row r="237" spans="1:14" x14ac:dyDescent="0.25">
      <c r="A237" s="91" t="s">
        <v>1325</v>
      </c>
      <c r="B237" s="91" t="s">
        <v>1339</v>
      </c>
      <c r="C237" s="91" t="s">
        <v>1639</v>
      </c>
      <c r="D237" s="91" t="s">
        <v>138</v>
      </c>
      <c r="E237" s="91"/>
      <c r="F237">
        <v>576</v>
      </c>
      <c r="G237">
        <v>12</v>
      </c>
      <c r="H237" s="89">
        <v>46037</v>
      </c>
      <c r="I237" s="89">
        <v>46039</v>
      </c>
      <c r="J237" s="91"/>
      <c r="K237" s="91"/>
      <c r="M237" s="91"/>
      <c r="N237" s="91" t="s">
        <v>1569</v>
      </c>
    </row>
    <row r="238" spans="1:14" x14ac:dyDescent="0.25">
      <c r="A238" s="91" t="s">
        <v>1321</v>
      </c>
      <c r="B238" s="91" t="s">
        <v>1335</v>
      </c>
      <c r="C238" s="91" t="s">
        <v>1639</v>
      </c>
      <c r="D238" s="91" t="s">
        <v>138</v>
      </c>
      <c r="E238" s="91"/>
      <c r="F238">
        <v>144</v>
      </c>
      <c r="G238">
        <v>3</v>
      </c>
      <c r="H238" s="89">
        <v>46037</v>
      </c>
      <c r="I238" s="89">
        <v>46043</v>
      </c>
      <c r="J238" s="91" t="s">
        <v>1609</v>
      </c>
      <c r="K238" s="91"/>
      <c r="M238" s="91"/>
      <c r="N238" s="91" t="s">
        <v>1569</v>
      </c>
    </row>
    <row r="239" spans="1:14" x14ac:dyDescent="0.25">
      <c r="A239" s="91" t="s">
        <v>1324</v>
      </c>
      <c r="B239" s="91" t="s">
        <v>1338</v>
      </c>
      <c r="C239" s="91" t="s">
        <v>1640</v>
      </c>
      <c r="D239" s="91" t="s">
        <v>15</v>
      </c>
      <c r="E239" s="91"/>
      <c r="F239">
        <v>672</v>
      </c>
      <c r="G239">
        <v>14</v>
      </c>
      <c r="H239" s="89">
        <v>46037</v>
      </c>
      <c r="I239" s="89">
        <v>46043</v>
      </c>
      <c r="J239" s="91" t="s">
        <v>1609</v>
      </c>
      <c r="K239" s="91"/>
      <c r="M239" s="91"/>
      <c r="N239" s="91" t="s">
        <v>1569</v>
      </c>
    </row>
    <row r="240" spans="1:14" x14ac:dyDescent="0.25">
      <c r="A240" s="91" t="s">
        <v>1324</v>
      </c>
      <c r="B240" s="91" t="s">
        <v>1338</v>
      </c>
      <c r="C240" s="91" t="s">
        <v>1640</v>
      </c>
      <c r="D240" s="91" t="s">
        <v>15</v>
      </c>
      <c r="E240" s="91"/>
      <c r="F240">
        <v>96</v>
      </c>
      <c r="G240">
        <v>2</v>
      </c>
      <c r="H240" s="89">
        <v>46037</v>
      </c>
      <c r="I240" s="89">
        <v>46041</v>
      </c>
      <c r="J240" s="91" t="s">
        <v>1615</v>
      </c>
      <c r="K240" s="91"/>
      <c r="M240" s="91"/>
      <c r="N240" s="91" t="s">
        <v>1569</v>
      </c>
    </row>
    <row r="241" spans="1:14" x14ac:dyDescent="0.25">
      <c r="A241" s="91" t="s">
        <v>1314</v>
      </c>
      <c r="B241" s="91" t="s">
        <v>1328</v>
      </c>
      <c r="C241" s="91" t="s">
        <v>1640</v>
      </c>
      <c r="D241" s="91" t="s">
        <v>15</v>
      </c>
      <c r="E241" s="91"/>
      <c r="F241">
        <v>240</v>
      </c>
      <c r="G241">
        <v>5</v>
      </c>
      <c r="H241" s="89">
        <v>46037</v>
      </c>
      <c r="I241" s="89">
        <v>46043</v>
      </c>
      <c r="J241" s="91" t="s">
        <v>1641</v>
      </c>
      <c r="K241" s="91"/>
      <c r="M241" s="91"/>
      <c r="N241" s="91" t="s">
        <v>1569</v>
      </c>
    </row>
    <row r="242" spans="1:14" x14ac:dyDescent="0.25">
      <c r="A242" s="91" t="s">
        <v>1315</v>
      </c>
      <c r="B242" s="91" t="s">
        <v>1329</v>
      </c>
      <c r="C242" s="91" t="s">
        <v>1640</v>
      </c>
      <c r="D242" s="91" t="s">
        <v>15</v>
      </c>
      <c r="E242" s="91"/>
      <c r="F242">
        <v>61</v>
      </c>
      <c r="G242" t="s">
        <v>1419</v>
      </c>
      <c r="H242" s="89">
        <v>46037</v>
      </c>
      <c r="I242" s="89">
        <v>46039</v>
      </c>
      <c r="J242" s="91"/>
      <c r="K242" s="91"/>
      <c r="M242" s="91"/>
      <c r="N242" s="91" t="s">
        <v>1569</v>
      </c>
    </row>
    <row r="243" spans="1:14" x14ac:dyDescent="0.25">
      <c r="A243" s="91" t="s">
        <v>1316</v>
      </c>
      <c r="B243" s="91" t="s">
        <v>1330</v>
      </c>
      <c r="C243" s="91" t="s">
        <v>1642</v>
      </c>
      <c r="D243" s="91" t="s">
        <v>15</v>
      </c>
      <c r="E243" s="91"/>
      <c r="F243">
        <v>32</v>
      </c>
      <c r="G243" t="s">
        <v>1419</v>
      </c>
      <c r="H243" s="89">
        <v>46037</v>
      </c>
      <c r="I243" s="89">
        <v>46039</v>
      </c>
      <c r="J243" s="91"/>
      <c r="K243" s="91"/>
      <c r="M243" s="91"/>
      <c r="N243" s="91" t="s">
        <v>1569</v>
      </c>
    </row>
    <row r="244" spans="1:14" x14ac:dyDescent="0.25">
      <c r="A244" s="91" t="s">
        <v>1317</v>
      </c>
      <c r="B244" s="91" t="s">
        <v>1331</v>
      </c>
      <c r="C244" s="91" t="s">
        <v>1643</v>
      </c>
      <c r="D244" s="91" t="s">
        <v>15</v>
      </c>
      <c r="E244" s="91"/>
      <c r="F244">
        <v>13</v>
      </c>
      <c r="G244" t="s">
        <v>1419</v>
      </c>
      <c r="H244" s="89">
        <v>46037</v>
      </c>
      <c r="I244" s="89">
        <v>46039</v>
      </c>
      <c r="J244" s="91"/>
      <c r="K244" s="91"/>
      <c r="M244" s="91"/>
      <c r="N244" s="91" t="s">
        <v>1569</v>
      </c>
    </row>
    <row r="245" spans="1:14" x14ac:dyDescent="0.25">
      <c r="A245" s="91" t="s">
        <v>1318</v>
      </c>
      <c r="B245" s="91" t="s">
        <v>1332</v>
      </c>
      <c r="C245" s="91" t="s">
        <v>1644</v>
      </c>
      <c r="D245" s="91" t="s">
        <v>15</v>
      </c>
      <c r="E245" s="91"/>
      <c r="F245">
        <v>32</v>
      </c>
      <c r="G245" t="s">
        <v>1419</v>
      </c>
      <c r="H245" s="89">
        <v>46037</v>
      </c>
      <c r="I245" s="89">
        <v>46039</v>
      </c>
      <c r="J245" s="91"/>
      <c r="K245" s="91"/>
      <c r="M245" s="91"/>
      <c r="N245" s="91" t="s">
        <v>1569</v>
      </c>
    </row>
    <row r="246" spans="1:14" x14ac:dyDescent="0.25">
      <c r="A246" s="91" t="s">
        <v>1324</v>
      </c>
      <c r="B246" s="91" t="s">
        <v>1338</v>
      </c>
      <c r="C246" s="91" t="s">
        <v>1645</v>
      </c>
      <c r="D246" s="91" t="s">
        <v>88</v>
      </c>
      <c r="E246" s="91"/>
      <c r="F246">
        <v>960</v>
      </c>
      <c r="G246">
        <v>20</v>
      </c>
      <c r="H246" s="89">
        <v>46038</v>
      </c>
      <c r="I246" s="89">
        <v>46044</v>
      </c>
      <c r="J246" s="91" t="s">
        <v>1646</v>
      </c>
      <c r="K246" s="91"/>
      <c r="M246" s="91"/>
      <c r="N246" s="91" t="s">
        <v>1569</v>
      </c>
    </row>
    <row r="247" spans="1:14" x14ac:dyDescent="0.25">
      <c r="A247" s="91" t="s">
        <v>1313</v>
      </c>
      <c r="B247" s="91" t="s">
        <v>1327</v>
      </c>
      <c r="C247" s="91" t="s">
        <v>1647</v>
      </c>
      <c r="D247" s="91" t="s">
        <v>23</v>
      </c>
      <c r="E247" s="91"/>
      <c r="F247">
        <v>240</v>
      </c>
      <c r="G247">
        <v>5</v>
      </c>
      <c r="H247" s="89">
        <v>46038</v>
      </c>
      <c r="I247" s="89">
        <v>46043</v>
      </c>
      <c r="J247" s="91" t="s">
        <v>1627</v>
      </c>
      <c r="K247" s="91"/>
      <c r="M247" s="91"/>
      <c r="N247" s="91" t="s">
        <v>1569</v>
      </c>
    </row>
    <row r="248" spans="1:14" x14ac:dyDescent="0.25">
      <c r="A248" s="91" t="s">
        <v>1324</v>
      </c>
      <c r="B248" s="91" t="s">
        <v>1338</v>
      </c>
      <c r="C248" s="91" t="s">
        <v>1647</v>
      </c>
      <c r="D248" s="91" t="s">
        <v>23</v>
      </c>
      <c r="E248" s="91"/>
      <c r="F248">
        <v>96</v>
      </c>
      <c r="G248">
        <v>2</v>
      </c>
      <c r="H248" s="89">
        <v>46038</v>
      </c>
      <c r="I248" s="89">
        <v>46044</v>
      </c>
      <c r="J248" s="91" t="s">
        <v>1646</v>
      </c>
      <c r="K248" s="91"/>
      <c r="M248" s="91"/>
      <c r="N248" s="91" t="s">
        <v>1569</v>
      </c>
    </row>
    <row r="249" spans="1:14" x14ac:dyDescent="0.25">
      <c r="A249" s="91" t="s">
        <v>1313</v>
      </c>
      <c r="B249" s="91" t="s">
        <v>1327</v>
      </c>
      <c r="C249" s="91" t="s">
        <v>1647</v>
      </c>
      <c r="D249" s="91" t="s">
        <v>23</v>
      </c>
      <c r="E249" s="91"/>
      <c r="F249">
        <v>144</v>
      </c>
      <c r="G249">
        <v>3</v>
      </c>
      <c r="H249" s="89">
        <v>46038</v>
      </c>
      <c r="I249" s="89">
        <v>46040</v>
      </c>
      <c r="J249" s="91"/>
      <c r="K249" s="91"/>
      <c r="M249" s="91"/>
      <c r="N249" s="91" t="s">
        <v>1569</v>
      </c>
    </row>
    <row r="250" spans="1:14" x14ac:dyDescent="0.25">
      <c r="A250" s="91" t="s">
        <v>1444</v>
      </c>
      <c r="B250" s="91" t="s">
        <v>1445</v>
      </c>
      <c r="C250" s="91" t="s">
        <v>1648</v>
      </c>
      <c r="D250" s="91" t="s">
        <v>15</v>
      </c>
      <c r="E250" s="91"/>
      <c r="F250">
        <v>110</v>
      </c>
      <c r="G250">
        <v>1</v>
      </c>
      <c r="H250" s="89">
        <v>46038</v>
      </c>
      <c r="I250" s="89">
        <v>46042</v>
      </c>
      <c r="J250" s="91"/>
      <c r="K250" s="91"/>
      <c r="M250" s="91"/>
      <c r="N250" s="91" t="s">
        <v>1569</v>
      </c>
    </row>
    <row r="251" spans="1:14" x14ac:dyDescent="0.25">
      <c r="A251" s="91" t="s">
        <v>1324</v>
      </c>
      <c r="B251" s="91" t="s">
        <v>1338</v>
      </c>
      <c r="C251" s="91" t="s">
        <v>1648</v>
      </c>
      <c r="D251" s="91" t="s">
        <v>15</v>
      </c>
      <c r="E251" s="91"/>
      <c r="F251">
        <v>816</v>
      </c>
      <c r="G251">
        <v>17</v>
      </c>
      <c r="H251" s="89">
        <v>46038</v>
      </c>
      <c r="I251" s="89">
        <v>46044</v>
      </c>
      <c r="J251" s="91" t="s">
        <v>1646</v>
      </c>
      <c r="K251" s="91"/>
      <c r="M251" s="91"/>
      <c r="N251" s="91" t="s">
        <v>1569</v>
      </c>
    </row>
    <row r="252" spans="1:14" x14ac:dyDescent="0.25">
      <c r="A252" s="91" t="s">
        <v>1315</v>
      </c>
      <c r="B252" s="91" t="s">
        <v>1329</v>
      </c>
      <c r="C252" s="91" t="s">
        <v>1648</v>
      </c>
      <c r="D252" s="91" t="s">
        <v>15</v>
      </c>
      <c r="E252" s="91"/>
      <c r="F252">
        <v>41</v>
      </c>
      <c r="G252" t="s">
        <v>1419</v>
      </c>
      <c r="H252" s="89">
        <v>46038</v>
      </c>
      <c r="I252" s="89">
        <v>46040</v>
      </c>
      <c r="J252" s="91"/>
      <c r="K252" s="91"/>
      <c r="M252" s="91"/>
      <c r="N252" s="91" t="s">
        <v>1569</v>
      </c>
    </row>
    <row r="253" spans="1:14" x14ac:dyDescent="0.25">
      <c r="A253" s="91" t="s">
        <v>1649</v>
      </c>
      <c r="B253" s="91" t="s">
        <v>1332</v>
      </c>
      <c r="C253" s="91" t="s">
        <v>1650</v>
      </c>
      <c r="D253" s="91" t="s">
        <v>15</v>
      </c>
      <c r="E253" s="91"/>
      <c r="F253">
        <v>14</v>
      </c>
      <c r="G253" t="s">
        <v>1419</v>
      </c>
      <c r="H253" s="89">
        <v>46038</v>
      </c>
      <c r="I253" s="89">
        <v>46038</v>
      </c>
      <c r="J253" s="91"/>
      <c r="K253" s="91"/>
      <c r="M253" s="91"/>
      <c r="N253" s="91" t="s">
        <v>1569</v>
      </c>
    </row>
    <row r="254" spans="1:14" x14ac:dyDescent="0.25">
      <c r="A254" s="91" t="s">
        <v>1314</v>
      </c>
      <c r="B254" s="91" t="s">
        <v>1328</v>
      </c>
      <c r="C254" s="91" t="s">
        <v>1648</v>
      </c>
      <c r="D254" s="91" t="s">
        <v>15</v>
      </c>
      <c r="E254" s="91"/>
      <c r="F254">
        <v>48</v>
      </c>
      <c r="G254">
        <v>1</v>
      </c>
      <c r="H254" s="89">
        <v>46038</v>
      </c>
      <c r="I254" s="89">
        <v>46043</v>
      </c>
      <c r="J254" s="91" t="s">
        <v>1641</v>
      </c>
      <c r="K254" s="91"/>
      <c r="M254" s="91"/>
      <c r="N254" s="91" t="s">
        <v>1569</v>
      </c>
    </row>
    <row r="255" spans="1:14" x14ac:dyDescent="0.25">
      <c r="A255" s="91" t="s">
        <v>1316</v>
      </c>
      <c r="B255" s="91" t="s">
        <v>1330</v>
      </c>
      <c r="C255" s="91" t="s">
        <v>1651</v>
      </c>
      <c r="D255" s="91" t="s">
        <v>15</v>
      </c>
      <c r="E255" s="91"/>
      <c r="F255">
        <v>21</v>
      </c>
      <c r="G255" t="s">
        <v>1419</v>
      </c>
      <c r="H255" s="89">
        <v>46038</v>
      </c>
      <c r="I255" s="89">
        <v>46040</v>
      </c>
      <c r="J255" s="91"/>
      <c r="K255" s="91"/>
      <c r="M255" s="91"/>
      <c r="N255" s="91" t="s">
        <v>1569</v>
      </c>
    </row>
    <row r="256" spans="1:14" x14ac:dyDescent="0.25">
      <c r="A256" s="91" t="s">
        <v>1317</v>
      </c>
      <c r="B256" s="91" t="s">
        <v>1331</v>
      </c>
      <c r="C256" s="91" t="s">
        <v>1652</v>
      </c>
      <c r="D256" s="91" t="s">
        <v>15</v>
      </c>
      <c r="E256" s="91"/>
      <c r="F256">
        <v>10</v>
      </c>
      <c r="G256" t="s">
        <v>1419</v>
      </c>
      <c r="H256" s="89">
        <v>46038</v>
      </c>
      <c r="I256" s="89">
        <v>46040</v>
      </c>
      <c r="J256" s="91"/>
      <c r="K256" s="91"/>
      <c r="M256" s="91"/>
      <c r="N256" s="91" t="s">
        <v>1569</v>
      </c>
    </row>
    <row r="257" spans="1:14" x14ac:dyDescent="0.25">
      <c r="A257" s="91" t="s">
        <v>1653</v>
      </c>
      <c r="B257" s="91" t="s">
        <v>1654</v>
      </c>
      <c r="C257" s="91" t="s">
        <v>1655</v>
      </c>
      <c r="D257" s="91"/>
      <c r="E257" s="91"/>
      <c r="G257">
        <v>4</v>
      </c>
      <c r="H257" s="89">
        <v>5</v>
      </c>
      <c r="I257" s="89">
        <v>4</v>
      </c>
      <c r="J257" s="91"/>
      <c r="K257" s="91"/>
      <c r="M257" s="91"/>
      <c r="N257" s="91" t="s">
        <v>1569</v>
      </c>
    </row>
    <row r="258" spans="1:14" x14ac:dyDescent="0.25">
      <c r="A258" s="91" t="s">
        <v>1326</v>
      </c>
      <c r="B258" s="91" t="s">
        <v>1340</v>
      </c>
      <c r="C258" s="91" t="s">
        <v>1657</v>
      </c>
      <c r="D258" s="91" t="s">
        <v>32</v>
      </c>
      <c r="E258" s="91"/>
      <c r="F258">
        <v>840</v>
      </c>
      <c r="G258">
        <v>20</v>
      </c>
      <c r="H258" s="89">
        <v>46041</v>
      </c>
      <c r="I258" s="89">
        <v>46045</v>
      </c>
      <c r="J258" s="91" t="s">
        <v>1658</v>
      </c>
      <c r="K258" s="91"/>
      <c r="M258" s="91"/>
      <c r="N258" s="91" t="s">
        <v>1659</v>
      </c>
    </row>
    <row r="259" spans="1:14" x14ac:dyDescent="0.25">
      <c r="A259" s="91" t="s">
        <v>1313</v>
      </c>
      <c r="B259" s="91" t="s">
        <v>1327</v>
      </c>
      <c r="C259" s="91" t="s">
        <v>1660</v>
      </c>
      <c r="D259" s="91" t="s">
        <v>21</v>
      </c>
      <c r="E259" s="91"/>
      <c r="F259">
        <v>1152</v>
      </c>
      <c r="G259">
        <v>24</v>
      </c>
      <c r="H259" s="89">
        <v>46041</v>
      </c>
      <c r="I259" s="89">
        <v>46045</v>
      </c>
      <c r="J259" s="91" t="s">
        <v>1661</v>
      </c>
      <c r="K259" s="91"/>
      <c r="M259" s="91"/>
      <c r="N259" s="91" t="s">
        <v>1659</v>
      </c>
    </row>
    <row r="260" spans="1:14" x14ac:dyDescent="0.25">
      <c r="A260" s="91" t="s">
        <v>1315</v>
      </c>
      <c r="B260" s="91" t="s">
        <v>1329</v>
      </c>
      <c r="C260" s="91" t="s">
        <v>1660</v>
      </c>
      <c r="D260" s="91" t="s">
        <v>21</v>
      </c>
      <c r="E260" s="91"/>
      <c r="F260">
        <v>19</v>
      </c>
      <c r="G260" t="s">
        <v>1419</v>
      </c>
      <c r="H260" s="89">
        <v>46041</v>
      </c>
      <c r="I260" s="89">
        <v>46045</v>
      </c>
      <c r="J260" s="91"/>
      <c r="K260" s="91"/>
      <c r="M260" s="91"/>
      <c r="N260" s="91" t="s">
        <v>1659</v>
      </c>
    </row>
    <row r="261" spans="1:14" x14ac:dyDescent="0.25">
      <c r="A261" s="91" t="s">
        <v>1316</v>
      </c>
      <c r="B261" s="91" t="s">
        <v>1330</v>
      </c>
      <c r="C261" s="91" t="s">
        <v>1662</v>
      </c>
      <c r="D261" s="91" t="s">
        <v>21</v>
      </c>
      <c r="E261" s="91"/>
      <c r="F261">
        <v>22</v>
      </c>
      <c r="G261" t="s">
        <v>1419</v>
      </c>
      <c r="H261" s="89">
        <v>46041</v>
      </c>
      <c r="I261" s="89">
        <v>46047</v>
      </c>
      <c r="J261" s="91"/>
      <c r="K261" s="91"/>
      <c r="M261" s="91"/>
      <c r="N261" s="91" t="s">
        <v>1659</v>
      </c>
    </row>
    <row r="262" spans="1:14" x14ac:dyDescent="0.25">
      <c r="A262" s="91" t="s">
        <v>1317</v>
      </c>
      <c r="B262" s="91" t="s">
        <v>1331</v>
      </c>
      <c r="C262" s="91" t="s">
        <v>1663</v>
      </c>
      <c r="D262" s="91" t="s">
        <v>21</v>
      </c>
      <c r="E262" s="91"/>
      <c r="F262">
        <v>7</v>
      </c>
      <c r="G262" t="s">
        <v>1419</v>
      </c>
      <c r="H262" s="89">
        <v>46041</v>
      </c>
      <c r="I262" s="89">
        <v>46047</v>
      </c>
      <c r="J262" s="91"/>
      <c r="K262" s="91"/>
      <c r="M262" s="91"/>
      <c r="N262" s="91" t="s">
        <v>1659</v>
      </c>
    </row>
    <row r="263" spans="1:14" x14ac:dyDescent="0.25">
      <c r="A263" s="91" t="s">
        <v>1318</v>
      </c>
      <c r="B263" s="91" t="s">
        <v>1332</v>
      </c>
      <c r="C263" s="91" t="s">
        <v>1664</v>
      </c>
      <c r="D263" s="91" t="s">
        <v>21</v>
      </c>
      <c r="E263" s="91"/>
      <c r="F263">
        <v>41</v>
      </c>
      <c r="G263" t="s">
        <v>1419</v>
      </c>
      <c r="H263" s="89">
        <v>46041</v>
      </c>
      <c r="I263" s="89">
        <v>46047</v>
      </c>
      <c r="J263" s="91"/>
      <c r="K263" s="91"/>
      <c r="M263" s="91"/>
      <c r="N263" s="91" t="s">
        <v>1659</v>
      </c>
    </row>
    <row r="264" spans="1:14" x14ac:dyDescent="0.25">
      <c r="A264" s="91" t="s">
        <v>1313</v>
      </c>
      <c r="B264" s="91" t="s">
        <v>1327</v>
      </c>
      <c r="C264" s="91" t="s">
        <v>1665</v>
      </c>
      <c r="D264" s="91" t="s">
        <v>23</v>
      </c>
      <c r="E264" s="91"/>
      <c r="F264">
        <v>480</v>
      </c>
      <c r="G264">
        <v>10</v>
      </c>
      <c r="H264" s="89">
        <v>46041</v>
      </c>
      <c r="I264" s="89">
        <v>46045</v>
      </c>
      <c r="J264" s="91" t="s">
        <v>1666</v>
      </c>
      <c r="K264" s="91"/>
      <c r="M264" s="91"/>
      <c r="N264" s="91" t="s">
        <v>1659</v>
      </c>
    </row>
    <row r="265" spans="1:14" x14ac:dyDescent="0.25">
      <c r="A265" s="91" t="s">
        <v>1324</v>
      </c>
      <c r="B265" s="91" t="s">
        <v>1338</v>
      </c>
      <c r="C265" s="91" t="s">
        <v>1667</v>
      </c>
      <c r="D265" s="91" t="s">
        <v>13</v>
      </c>
      <c r="E265" s="91"/>
      <c r="F265">
        <v>960</v>
      </c>
      <c r="G265">
        <v>20</v>
      </c>
      <c r="H265" s="89">
        <v>46041</v>
      </c>
      <c r="I265" s="89">
        <v>46048</v>
      </c>
      <c r="J265" s="91" t="s">
        <v>1668</v>
      </c>
      <c r="K265" s="91"/>
      <c r="M265" s="91"/>
      <c r="N265" s="91" t="s">
        <v>1659</v>
      </c>
    </row>
    <row r="266" spans="1:14" x14ac:dyDescent="0.25">
      <c r="A266" s="91" t="s">
        <v>1427</v>
      </c>
      <c r="B266" s="91" t="s">
        <v>1428</v>
      </c>
      <c r="C266" s="91" t="s">
        <v>1669</v>
      </c>
      <c r="D266" s="91" t="s">
        <v>20</v>
      </c>
      <c r="E266" s="91"/>
      <c r="F266">
        <v>918</v>
      </c>
      <c r="G266">
        <v>17</v>
      </c>
      <c r="H266" s="89">
        <v>46041</v>
      </c>
      <c r="I266" s="89">
        <v>46044</v>
      </c>
      <c r="J266" s="91" t="s">
        <v>1670</v>
      </c>
      <c r="K266" s="91"/>
      <c r="M266" s="91"/>
      <c r="N266" s="91" t="s">
        <v>1659</v>
      </c>
    </row>
    <row r="267" spans="1:14" x14ac:dyDescent="0.25">
      <c r="A267" s="91" t="s">
        <v>1322</v>
      </c>
      <c r="B267" s="91" t="s">
        <v>1336</v>
      </c>
      <c r="C267" s="91" t="s">
        <v>1669</v>
      </c>
      <c r="D267" s="91" t="s">
        <v>20</v>
      </c>
      <c r="E267" s="91"/>
      <c r="F267">
        <v>162</v>
      </c>
      <c r="G267">
        <v>3</v>
      </c>
      <c r="H267" s="89">
        <v>46041</v>
      </c>
      <c r="I267" s="89">
        <v>46044</v>
      </c>
      <c r="J267" s="91" t="s">
        <v>1670</v>
      </c>
      <c r="K267" s="91"/>
      <c r="M267" s="91"/>
      <c r="N267" s="91" t="s">
        <v>1659</v>
      </c>
    </row>
    <row r="268" spans="1:14" x14ac:dyDescent="0.25">
      <c r="A268" s="91" t="s">
        <v>1313</v>
      </c>
      <c r="B268" s="91" t="s">
        <v>1327</v>
      </c>
      <c r="C268" s="91" t="s">
        <v>1669</v>
      </c>
      <c r="D268" s="91" t="s">
        <v>20</v>
      </c>
      <c r="E268" s="91"/>
      <c r="F268">
        <v>144</v>
      </c>
      <c r="G268">
        <v>3</v>
      </c>
      <c r="H268" s="89">
        <v>46041</v>
      </c>
      <c r="I268" s="89">
        <v>46045</v>
      </c>
      <c r="J268" s="91"/>
      <c r="K268" s="91"/>
      <c r="M268" s="91"/>
      <c r="N268" s="91" t="s">
        <v>1659</v>
      </c>
    </row>
    <row r="269" spans="1:14" x14ac:dyDescent="0.25">
      <c r="A269" s="91" t="s">
        <v>1315</v>
      </c>
      <c r="B269" s="91" t="s">
        <v>1329</v>
      </c>
      <c r="C269" s="91" t="s">
        <v>1669</v>
      </c>
      <c r="D269" s="91" t="s">
        <v>20</v>
      </c>
      <c r="E269" s="91"/>
      <c r="F269">
        <v>3</v>
      </c>
      <c r="G269" t="s">
        <v>1419</v>
      </c>
      <c r="H269" s="89">
        <v>46041</v>
      </c>
      <c r="I269" s="89">
        <v>46045</v>
      </c>
      <c r="J269" s="91"/>
      <c r="K269" s="91"/>
      <c r="M269" s="91"/>
      <c r="N269" s="91" t="s">
        <v>1659</v>
      </c>
    </row>
    <row r="270" spans="1:14" x14ac:dyDescent="0.25">
      <c r="A270" s="91" t="s">
        <v>1316</v>
      </c>
      <c r="B270" s="91" t="s">
        <v>1330</v>
      </c>
      <c r="C270" s="91" t="s">
        <v>1671</v>
      </c>
      <c r="D270" s="91" t="s">
        <v>20</v>
      </c>
      <c r="E270" s="91"/>
      <c r="F270">
        <v>77</v>
      </c>
      <c r="G270" t="s">
        <v>1419</v>
      </c>
      <c r="H270" s="89">
        <v>46041</v>
      </c>
      <c r="I270" s="89">
        <v>46047</v>
      </c>
      <c r="J270" s="91"/>
      <c r="K270" s="91"/>
      <c r="M270" s="91"/>
      <c r="N270" s="91" t="s">
        <v>1659</v>
      </c>
    </row>
    <row r="271" spans="1:14" x14ac:dyDescent="0.25">
      <c r="A271" s="91" t="s">
        <v>1317</v>
      </c>
      <c r="B271" s="91" t="s">
        <v>1331</v>
      </c>
      <c r="C271" s="91" t="s">
        <v>1672</v>
      </c>
      <c r="D271" s="91" t="s">
        <v>20</v>
      </c>
      <c r="E271" s="91"/>
      <c r="F271">
        <v>11</v>
      </c>
      <c r="G271" t="s">
        <v>1419</v>
      </c>
      <c r="H271" s="89">
        <v>46041</v>
      </c>
      <c r="I271" s="89">
        <v>46047</v>
      </c>
      <c r="J271" s="91"/>
      <c r="K271" s="91"/>
      <c r="M271" s="91"/>
      <c r="N271" s="91" t="s">
        <v>1659</v>
      </c>
    </row>
    <row r="272" spans="1:14" x14ac:dyDescent="0.25">
      <c r="A272" s="91" t="s">
        <v>1318</v>
      </c>
      <c r="B272" s="91" t="s">
        <v>1332</v>
      </c>
      <c r="C272" s="91" t="s">
        <v>1673</v>
      </c>
      <c r="D272" s="91" t="s">
        <v>20</v>
      </c>
      <c r="E272" s="91"/>
      <c r="F272">
        <v>33</v>
      </c>
      <c r="G272" t="s">
        <v>1419</v>
      </c>
      <c r="H272" s="89">
        <v>46041</v>
      </c>
      <c r="I272" s="89">
        <v>46047</v>
      </c>
      <c r="J272" s="91"/>
      <c r="K272" s="91"/>
      <c r="M272" s="91"/>
      <c r="N272" s="91" t="s">
        <v>1659</v>
      </c>
    </row>
    <row r="273" spans="1:14" x14ac:dyDescent="0.25">
      <c r="A273" s="91" t="s">
        <v>1314</v>
      </c>
      <c r="B273" s="91" t="s">
        <v>1328</v>
      </c>
      <c r="C273" s="91" t="s">
        <v>1674</v>
      </c>
      <c r="D273" s="91" t="s">
        <v>15</v>
      </c>
      <c r="E273" s="91"/>
      <c r="F273">
        <v>288</v>
      </c>
      <c r="G273">
        <v>6</v>
      </c>
      <c r="H273" s="89">
        <v>46041</v>
      </c>
      <c r="I273" s="89">
        <v>46045</v>
      </c>
      <c r="J273" s="91" t="s">
        <v>1675</v>
      </c>
      <c r="K273" s="91"/>
      <c r="M273" s="91"/>
      <c r="N273" s="91" t="s">
        <v>1659</v>
      </c>
    </row>
    <row r="274" spans="1:14" x14ac:dyDescent="0.25">
      <c r="A274" s="91" t="s">
        <v>1313</v>
      </c>
      <c r="B274" s="91" t="s">
        <v>1327</v>
      </c>
      <c r="C274" s="91" t="s">
        <v>1674</v>
      </c>
      <c r="D274" s="91" t="s">
        <v>15</v>
      </c>
      <c r="E274" s="91"/>
      <c r="F274">
        <v>720</v>
      </c>
      <c r="G274">
        <v>15</v>
      </c>
      <c r="H274" s="89">
        <v>46041</v>
      </c>
      <c r="I274" s="89">
        <v>46043</v>
      </c>
      <c r="J274" s="91"/>
      <c r="K274" s="91"/>
      <c r="M274" s="91"/>
      <c r="N274" s="91" t="s">
        <v>1659</v>
      </c>
    </row>
    <row r="275" spans="1:14" x14ac:dyDescent="0.25">
      <c r="A275" s="91" t="s">
        <v>1444</v>
      </c>
      <c r="B275" s="91" t="s">
        <v>1445</v>
      </c>
      <c r="C275" s="91" t="s">
        <v>1674</v>
      </c>
      <c r="D275" s="91" t="s">
        <v>15</v>
      </c>
      <c r="E275" s="91"/>
      <c r="F275">
        <v>156</v>
      </c>
      <c r="G275">
        <v>1</v>
      </c>
      <c r="H275" s="89">
        <v>46041</v>
      </c>
      <c r="I275" s="89">
        <v>46043</v>
      </c>
      <c r="J275" s="91"/>
      <c r="K275" s="91"/>
      <c r="M275" s="91"/>
      <c r="N275" s="91" t="s">
        <v>1659</v>
      </c>
    </row>
    <row r="276" spans="1:14" x14ac:dyDescent="0.25">
      <c r="A276" s="91" t="s">
        <v>1315</v>
      </c>
      <c r="B276" s="91" t="s">
        <v>1329</v>
      </c>
      <c r="C276" s="91" t="s">
        <v>1674</v>
      </c>
      <c r="D276" s="91" t="s">
        <v>15</v>
      </c>
      <c r="E276" s="91"/>
      <c r="F276">
        <v>40</v>
      </c>
      <c r="G276" t="s">
        <v>1419</v>
      </c>
      <c r="H276" s="89">
        <v>46041</v>
      </c>
      <c r="I276" s="89">
        <v>46045</v>
      </c>
      <c r="J276" s="91"/>
      <c r="K276" s="91"/>
      <c r="M276" s="91"/>
      <c r="N276" s="91" t="s">
        <v>1659</v>
      </c>
    </row>
    <row r="277" spans="1:14" x14ac:dyDescent="0.25">
      <c r="A277" s="91" t="s">
        <v>1316</v>
      </c>
      <c r="B277" s="91" t="s">
        <v>1330</v>
      </c>
      <c r="C277" s="91" t="s">
        <v>1676</v>
      </c>
      <c r="D277" s="91" t="s">
        <v>15</v>
      </c>
      <c r="E277" s="91"/>
      <c r="F277">
        <v>29</v>
      </c>
      <c r="G277" t="s">
        <v>1419</v>
      </c>
      <c r="H277" s="89">
        <v>46041</v>
      </c>
      <c r="I277" s="89">
        <v>46047</v>
      </c>
      <c r="J277" s="91"/>
      <c r="K277" s="91"/>
      <c r="M277" s="91"/>
      <c r="N277" s="91" t="s">
        <v>1659</v>
      </c>
    </row>
    <row r="278" spans="1:14" x14ac:dyDescent="0.25">
      <c r="A278" s="91" t="s">
        <v>1317</v>
      </c>
      <c r="B278" s="91" t="s">
        <v>1331</v>
      </c>
      <c r="C278" s="91" t="s">
        <v>1677</v>
      </c>
      <c r="D278" s="91" t="s">
        <v>15</v>
      </c>
      <c r="E278" s="91"/>
      <c r="F278">
        <v>14</v>
      </c>
      <c r="G278" t="s">
        <v>1419</v>
      </c>
      <c r="H278" s="89">
        <v>46041</v>
      </c>
      <c r="I278" s="89">
        <v>46047</v>
      </c>
      <c r="J278" s="91"/>
      <c r="K278" s="91"/>
      <c r="M278" s="91"/>
      <c r="N278" s="91" t="s">
        <v>1659</v>
      </c>
    </row>
    <row r="279" spans="1:14" x14ac:dyDescent="0.25">
      <c r="A279" s="91" t="s">
        <v>1318</v>
      </c>
      <c r="B279" s="91" t="s">
        <v>1332</v>
      </c>
      <c r="C279" s="91" t="s">
        <v>1678</v>
      </c>
      <c r="D279" s="91" t="s">
        <v>15</v>
      </c>
      <c r="E279" s="91"/>
      <c r="F279">
        <v>4</v>
      </c>
      <c r="G279" t="s">
        <v>1419</v>
      </c>
      <c r="H279" s="89">
        <v>46041</v>
      </c>
      <c r="I279" s="89">
        <v>46047</v>
      </c>
      <c r="J279" s="91"/>
      <c r="K279" s="91"/>
      <c r="M279" s="91"/>
      <c r="N279" s="91" t="s">
        <v>1659</v>
      </c>
    </row>
    <row r="280" spans="1:14" x14ac:dyDescent="0.25">
      <c r="A280" s="91" t="s">
        <v>1324</v>
      </c>
      <c r="B280" s="91" t="s">
        <v>1338</v>
      </c>
      <c r="C280" s="91" t="s">
        <v>1679</v>
      </c>
      <c r="D280" s="91" t="s">
        <v>13</v>
      </c>
      <c r="E280" s="91"/>
      <c r="F280">
        <v>336</v>
      </c>
      <c r="G280">
        <v>7</v>
      </c>
      <c r="H280" s="89">
        <v>46042</v>
      </c>
      <c r="I280" s="89">
        <v>46048</v>
      </c>
      <c r="J280" s="91" t="s">
        <v>1668</v>
      </c>
      <c r="K280" s="91"/>
      <c r="M280" s="91"/>
      <c r="N280" s="91" t="s">
        <v>1659</v>
      </c>
    </row>
    <row r="281" spans="1:14" x14ac:dyDescent="0.25">
      <c r="A281" s="91" t="s">
        <v>1324</v>
      </c>
      <c r="B281" s="91" t="s">
        <v>1338</v>
      </c>
      <c r="C281" s="91" t="s">
        <v>1680</v>
      </c>
      <c r="D281" s="91" t="s">
        <v>152</v>
      </c>
      <c r="E281" s="91"/>
      <c r="F281">
        <v>216</v>
      </c>
      <c r="G281">
        <v>4.5</v>
      </c>
      <c r="H281" s="89">
        <v>46042</v>
      </c>
      <c r="I281" s="89">
        <v>46048</v>
      </c>
      <c r="J281" s="91" t="s">
        <v>1668</v>
      </c>
      <c r="K281" s="91"/>
      <c r="M281" s="91"/>
      <c r="N281" s="91" t="s">
        <v>1659</v>
      </c>
    </row>
    <row r="282" spans="1:14" x14ac:dyDescent="0.25">
      <c r="A282" s="91" t="s">
        <v>1313</v>
      </c>
      <c r="B282" s="91" t="s">
        <v>1327</v>
      </c>
      <c r="C282" s="91" t="s">
        <v>1680</v>
      </c>
      <c r="D282" s="91" t="s">
        <v>152</v>
      </c>
      <c r="E282" s="91"/>
      <c r="F282">
        <v>144</v>
      </c>
      <c r="G282">
        <v>3</v>
      </c>
      <c r="H282" s="89">
        <v>46042</v>
      </c>
      <c r="I282" s="89">
        <v>46047</v>
      </c>
      <c r="J282" s="91" t="s">
        <v>1681</v>
      </c>
      <c r="K282" s="91"/>
      <c r="M282" s="91"/>
      <c r="N282" s="91" t="s">
        <v>1659</v>
      </c>
    </row>
    <row r="283" spans="1:14" x14ac:dyDescent="0.25">
      <c r="A283" s="91" t="s">
        <v>1321</v>
      </c>
      <c r="B283" s="91" t="s">
        <v>1335</v>
      </c>
      <c r="C283" s="91" t="s">
        <v>1682</v>
      </c>
      <c r="D283" s="91" t="s">
        <v>138</v>
      </c>
      <c r="E283" s="91"/>
      <c r="F283">
        <v>144</v>
      </c>
      <c r="G283">
        <v>3</v>
      </c>
      <c r="H283" s="89">
        <v>46042</v>
      </c>
      <c r="I283" s="89">
        <v>46048</v>
      </c>
      <c r="J283" s="91" t="s">
        <v>1668</v>
      </c>
      <c r="K283" s="91"/>
      <c r="M283" s="91"/>
      <c r="N283" s="91" t="s">
        <v>1659</v>
      </c>
    </row>
    <row r="284" spans="1:14" x14ac:dyDescent="0.25">
      <c r="A284" s="91" t="s">
        <v>1313</v>
      </c>
      <c r="B284" s="91" t="s">
        <v>1327</v>
      </c>
      <c r="C284" s="91" t="s">
        <v>1683</v>
      </c>
      <c r="D284" s="91" t="s">
        <v>15</v>
      </c>
      <c r="E284" s="91"/>
      <c r="F284">
        <v>1152</v>
      </c>
      <c r="G284">
        <v>24</v>
      </c>
      <c r="H284" s="89">
        <v>46042</v>
      </c>
      <c r="I284" s="89">
        <v>46043</v>
      </c>
      <c r="J284" s="91"/>
      <c r="K284" s="91"/>
      <c r="M284" s="91"/>
      <c r="N284" s="91" t="s">
        <v>1659</v>
      </c>
    </row>
    <row r="285" spans="1:14" x14ac:dyDescent="0.25">
      <c r="A285" s="91" t="s">
        <v>1315</v>
      </c>
      <c r="B285" s="91" t="s">
        <v>1329</v>
      </c>
      <c r="C285" s="91" t="s">
        <v>1683</v>
      </c>
      <c r="D285" s="91" t="s">
        <v>15</v>
      </c>
      <c r="E285" s="91"/>
      <c r="F285">
        <v>40</v>
      </c>
      <c r="G285" t="s">
        <v>1419</v>
      </c>
      <c r="H285" s="89">
        <v>46042</v>
      </c>
      <c r="I285" s="89">
        <v>46045</v>
      </c>
      <c r="J285" s="91"/>
      <c r="K285" s="91"/>
      <c r="M285" s="91"/>
      <c r="N285" s="91" t="s">
        <v>1659</v>
      </c>
    </row>
    <row r="286" spans="1:14" x14ac:dyDescent="0.25">
      <c r="A286" s="91" t="s">
        <v>1316</v>
      </c>
      <c r="B286" s="91" t="s">
        <v>1330</v>
      </c>
      <c r="C286" s="91" t="s">
        <v>1684</v>
      </c>
      <c r="D286" s="91" t="s">
        <v>15</v>
      </c>
      <c r="E286" s="91"/>
      <c r="F286">
        <v>29</v>
      </c>
      <c r="G286" t="s">
        <v>1419</v>
      </c>
      <c r="H286" s="89">
        <v>46042</v>
      </c>
      <c r="I286" s="89">
        <v>46047</v>
      </c>
      <c r="J286" s="91"/>
      <c r="K286" s="91"/>
      <c r="M286" s="91"/>
      <c r="N286" s="91" t="s">
        <v>1659</v>
      </c>
    </row>
    <row r="287" spans="1:14" x14ac:dyDescent="0.25">
      <c r="A287" s="91" t="s">
        <v>1317</v>
      </c>
      <c r="B287" s="91" t="s">
        <v>1331</v>
      </c>
      <c r="C287" s="91" t="s">
        <v>1685</v>
      </c>
      <c r="D287" s="91" t="s">
        <v>15</v>
      </c>
      <c r="E287" s="91"/>
      <c r="F287">
        <v>15</v>
      </c>
      <c r="G287" t="s">
        <v>1419</v>
      </c>
      <c r="H287" s="89">
        <v>46042</v>
      </c>
      <c r="I287" s="89">
        <v>46047</v>
      </c>
      <c r="J287" s="91"/>
      <c r="K287" s="91"/>
      <c r="M287" s="91"/>
      <c r="N287" s="91" t="s">
        <v>1659</v>
      </c>
    </row>
    <row r="288" spans="1:14" x14ac:dyDescent="0.25">
      <c r="A288" s="91" t="s">
        <v>1318</v>
      </c>
      <c r="B288" s="91" t="s">
        <v>1332</v>
      </c>
      <c r="C288" s="91" t="s">
        <v>1686</v>
      </c>
      <c r="D288" s="91" t="s">
        <v>15</v>
      </c>
      <c r="E288" s="91"/>
      <c r="F288">
        <v>28</v>
      </c>
      <c r="G288" t="s">
        <v>1419</v>
      </c>
      <c r="H288" s="89">
        <v>46042</v>
      </c>
      <c r="I288" s="89">
        <v>46047</v>
      </c>
      <c r="J288" s="91"/>
      <c r="K288" s="91"/>
      <c r="M288" s="91"/>
      <c r="N288" s="91" t="s">
        <v>1659</v>
      </c>
    </row>
    <row r="289" spans="1:14" x14ac:dyDescent="0.25">
      <c r="A289" s="91" t="s">
        <v>1427</v>
      </c>
      <c r="B289" s="91" t="s">
        <v>1428</v>
      </c>
      <c r="C289" s="91" t="s">
        <v>1687</v>
      </c>
      <c r="D289" s="91" t="s">
        <v>20</v>
      </c>
      <c r="E289" s="91"/>
      <c r="F289">
        <v>918</v>
      </c>
      <c r="G289">
        <v>17</v>
      </c>
      <c r="H289" s="89">
        <v>46042</v>
      </c>
      <c r="I289" s="89">
        <v>46045</v>
      </c>
      <c r="J289" s="91" t="s">
        <v>1688</v>
      </c>
      <c r="K289" s="91"/>
      <c r="M289" s="91"/>
      <c r="N289" s="91" t="s">
        <v>1659</v>
      </c>
    </row>
    <row r="290" spans="1:14" x14ac:dyDescent="0.25">
      <c r="A290" s="91" t="s">
        <v>1322</v>
      </c>
      <c r="B290" s="91" t="s">
        <v>1336</v>
      </c>
      <c r="C290" s="91" t="s">
        <v>1687</v>
      </c>
      <c r="D290" s="91" t="s">
        <v>20</v>
      </c>
      <c r="E290" s="91"/>
      <c r="F290">
        <v>162</v>
      </c>
      <c r="G290">
        <v>3</v>
      </c>
      <c r="H290" s="89">
        <v>46042</v>
      </c>
      <c r="I290" s="89">
        <v>46045</v>
      </c>
      <c r="J290" s="91" t="s">
        <v>1688</v>
      </c>
      <c r="K290" s="91"/>
      <c r="M290" s="91"/>
      <c r="N290" s="91" t="s">
        <v>1659</v>
      </c>
    </row>
    <row r="291" spans="1:14" x14ac:dyDescent="0.25">
      <c r="A291" s="91" t="s">
        <v>1313</v>
      </c>
      <c r="B291" s="91" t="s">
        <v>1327</v>
      </c>
      <c r="C291" s="91" t="s">
        <v>1687</v>
      </c>
      <c r="D291" s="91" t="s">
        <v>20</v>
      </c>
      <c r="E291" s="91"/>
      <c r="F291">
        <v>144</v>
      </c>
      <c r="G291">
        <v>3</v>
      </c>
      <c r="H291" s="89">
        <v>46042</v>
      </c>
      <c r="I291" s="89">
        <v>46045</v>
      </c>
      <c r="J291" s="91"/>
      <c r="K291" s="91"/>
      <c r="M291" s="91"/>
      <c r="N291" s="91" t="s">
        <v>1659</v>
      </c>
    </row>
    <row r="292" spans="1:14" x14ac:dyDescent="0.25">
      <c r="A292" s="91" t="s">
        <v>1315</v>
      </c>
      <c r="B292" s="91" t="s">
        <v>1329</v>
      </c>
      <c r="C292" s="91" t="s">
        <v>1687</v>
      </c>
      <c r="D292" s="91" t="s">
        <v>20</v>
      </c>
      <c r="E292" s="91"/>
      <c r="F292">
        <v>64</v>
      </c>
      <c r="G292" t="s">
        <v>1419</v>
      </c>
      <c r="H292" s="89">
        <v>46042</v>
      </c>
      <c r="I292" s="89">
        <v>46045</v>
      </c>
      <c r="J292" s="91"/>
      <c r="K292" s="91"/>
      <c r="M292" s="91"/>
      <c r="N292" s="91" t="s">
        <v>1659</v>
      </c>
    </row>
    <row r="293" spans="1:14" x14ac:dyDescent="0.25">
      <c r="A293" s="91" t="s">
        <v>1316</v>
      </c>
      <c r="B293" s="91" t="s">
        <v>1330</v>
      </c>
      <c r="C293" s="91" t="s">
        <v>1689</v>
      </c>
      <c r="D293" s="91" t="s">
        <v>20</v>
      </c>
      <c r="E293" s="91"/>
      <c r="F293">
        <v>61</v>
      </c>
      <c r="G293" t="s">
        <v>1419</v>
      </c>
      <c r="H293" s="89">
        <v>46042</v>
      </c>
      <c r="I293" s="89">
        <v>46047</v>
      </c>
      <c r="J293" s="91"/>
      <c r="K293" s="91"/>
      <c r="M293" s="91"/>
      <c r="N293" s="91" t="s">
        <v>1659</v>
      </c>
    </row>
    <row r="294" spans="1:14" x14ac:dyDescent="0.25">
      <c r="A294" s="91" t="s">
        <v>1317</v>
      </c>
      <c r="B294" s="91" t="s">
        <v>1331</v>
      </c>
      <c r="C294" s="91" t="s">
        <v>1690</v>
      </c>
      <c r="D294" s="91" t="s">
        <v>20</v>
      </c>
      <c r="E294" s="91"/>
      <c r="F294">
        <v>12</v>
      </c>
      <c r="G294" t="s">
        <v>1419</v>
      </c>
      <c r="H294" s="89">
        <v>46042</v>
      </c>
      <c r="I294" s="89">
        <v>46047</v>
      </c>
      <c r="J294" s="91"/>
      <c r="K294" s="91"/>
      <c r="M294" s="91"/>
      <c r="N294" s="91" t="s">
        <v>1659</v>
      </c>
    </row>
    <row r="295" spans="1:14" x14ac:dyDescent="0.25">
      <c r="A295" s="91" t="s">
        <v>1318</v>
      </c>
      <c r="B295" s="91" t="s">
        <v>1332</v>
      </c>
      <c r="C295" s="91" t="s">
        <v>1691</v>
      </c>
      <c r="D295" s="91" t="s">
        <v>20</v>
      </c>
      <c r="E295" s="91"/>
      <c r="F295">
        <v>28</v>
      </c>
      <c r="G295" t="s">
        <v>1419</v>
      </c>
      <c r="H295" s="89">
        <v>46042</v>
      </c>
      <c r="I295" s="89">
        <v>46047</v>
      </c>
      <c r="J295" s="91"/>
      <c r="K295" s="91"/>
      <c r="M295" s="91"/>
      <c r="N295" s="91" t="s">
        <v>1659</v>
      </c>
    </row>
    <row r="296" spans="1:14" x14ac:dyDescent="0.25">
      <c r="A296" s="91" t="s">
        <v>1325</v>
      </c>
      <c r="B296" s="91" t="s">
        <v>1339</v>
      </c>
      <c r="C296" s="91" t="s">
        <v>1682</v>
      </c>
      <c r="D296" s="91" t="s">
        <v>138</v>
      </c>
      <c r="E296" s="91"/>
      <c r="F296">
        <v>576</v>
      </c>
      <c r="G296">
        <v>12</v>
      </c>
      <c r="H296" s="89">
        <v>46042</v>
      </c>
      <c r="I296" s="89">
        <v>46045</v>
      </c>
      <c r="J296" s="91"/>
      <c r="K296" s="91"/>
      <c r="M296" s="91"/>
      <c r="N296" s="91" t="s">
        <v>1659</v>
      </c>
    </row>
    <row r="297" spans="1:14" x14ac:dyDescent="0.25">
      <c r="A297" s="91" t="s">
        <v>1313</v>
      </c>
      <c r="B297" s="91" t="s">
        <v>1327</v>
      </c>
      <c r="C297" s="91" t="s">
        <v>1692</v>
      </c>
      <c r="D297" s="91" t="s">
        <v>28</v>
      </c>
      <c r="E297" s="91"/>
      <c r="F297">
        <v>336</v>
      </c>
      <c r="G297">
        <v>7</v>
      </c>
      <c r="H297" s="89">
        <v>46042</v>
      </c>
      <c r="I297" s="89">
        <v>46045</v>
      </c>
      <c r="J297" s="91"/>
      <c r="K297" s="91"/>
      <c r="M297" s="91"/>
      <c r="N297" s="91" t="s">
        <v>1659</v>
      </c>
    </row>
    <row r="298" spans="1:14" x14ac:dyDescent="0.25">
      <c r="A298" s="91" t="s">
        <v>1313</v>
      </c>
      <c r="B298" s="91" t="s">
        <v>1327</v>
      </c>
      <c r="C298" s="91" t="s">
        <v>1692</v>
      </c>
      <c r="D298" s="91" t="s">
        <v>28</v>
      </c>
      <c r="E298" s="91"/>
      <c r="F298">
        <v>624</v>
      </c>
      <c r="G298">
        <v>13</v>
      </c>
      <c r="H298" s="89">
        <v>46042</v>
      </c>
      <c r="I298" s="89">
        <v>46047</v>
      </c>
      <c r="J298" s="91" t="s">
        <v>1681</v>
      </c>
      <c r="K298" s="91"/>
      <c r="M298" s="91"/>
      <c r="N298" s="91" t="s">
        <v>1659</v>
      </c>
    </row>
    <row r="299" spans="1:14" x14ac:dyDescent="0.25">
      <c r="A299" s="91" t="s">
        <v>1315</v>
      </c>
      <c r="B299" s="91" t="s">
        <v>1329</v>
      </c>
      <c r="C299" s="91" t="s">
        <v>1692</v>
      </c>
      <c r="D299" s="91" t="s">
        <v>28</v>
      </c>
      <c r="E299" s="91"/>
      <c r="F299">
        <v>12</v>
      </c>
      <c r="G299" t="s">
        <v>1419</v>
      </c>
      <c r="H299" s="89">
        <v>46042</v>
      </c>
      <c r="I299" s="89">
        <v>46045</v>
      </c>
      <c r="J299" s="91"/>
      <c r="K299" s="91"/>
      <c r="M299" s="91"/>
      <c r="N299" s="91" t="s">
        <v>1659</v>
      </c>
    </row>
    <row r="300" spans="1:14" x14ac:dyDescent="0.25">
      <c r="A300" s="91" t="s">
        <v>1316</v>
      </c>
      <c r="B300" s="91" t="s">
        <v>1330</v>
      </c>
      <c r="C300" s="91" t="s">
        <v>1693</v>
      </c>
      <c r="D300" s="91" t="s">
        <v>28</v>
      </c>
      <c r="E300" s="91"/>
      <c r="F300">
        <v>33</v>
      </c>
      <c r="G300" t="s">
        <v>1419</v>
      </c>
      <c r="H300" s="89">
        <v>46042</v>
      </c>
      <c r="I300" s="89">
        <v>46047</v>
      </c>
      <c r="J300" s="91"/>
      <c r="K300" s="91"/>
      <c r="M300" s="91"/>
      <c r="N300" s="91" t="s">
        <v>1659</v>
      </c>
    </row>
    <row r="301" spans="1:14" x14ac:dyDescent="0.25">
      <c r="A301" s="91" t="s">
        <v>1318</v>
      </c>
      <c r="B301" s="91" t="s">
        <v>1332</v>
      </c>
      <c r="C301" s="91" t="s">
        <v>1694</v>
      </c>
      <c r="D301" s="91" t="s">
        <v>28</v>
      </c>
      <c r="E301" s="91"/>
      <c r="F301">
        <v>47</v>
      </c>
      <c r="G301" t="s">
        <v>1419</v>
      </c>
      <c r="H301" s="89">
        <v>46042</v>
      </c>
      <c r="I301" s="89">
        <v>46047</v>
      </c>
      <c r="J301" s="91"/>
      <c r="K301" s="91"/>
      <c r="M301" s="91"/>
      <c r="N301" s="91" t="s">
        <v>1659</v>
      </c>
    </row>
    <row r="302" spans="1:14" x14ac:dyDescent="0.25">
      <c r="A302" s="91" t="s">
        <v>1313</v>
      </c>
      <c r="B302" s="91" t="s">
        <v>1327</v>
      </c>
      <c r="C302" s="91" t="s">
        <v>1695</v>
      </c>
      <c r="D302" s="91" t="s">
        <v>23</v>
      </c>
      <c r="E302" s="91"/>
      <c r="F302">
        <v>384</v>
      </c>
      <c r="G302">
        <v>8</v>
      </c>
      <c r="H302" s="89">
        <v>46042</v>
      </c>
      <c r="I302" s="89">
        <v>46045</v>
      </c>
      <c r="J302" s="91" t="s">
        <v>1666</v>
      </c>
      <c r="K302" s="91"/>
      <c r="M302" s="91"/>
      <c r="N302" s="91" t="s">
        <v>1659</v>
      </c>
    </row>
    <row r="303" spans="1:14" x14ac:dyDescent="0.25">
      <c r="A303" s="91" t="s">
        <v>1313</v>
      </c>
      <c r="B303" s="91" t="s">
        <v>1327</v>
      </c>
      <c r="C303" s="91" t="s">
        <v>1695</v>
      </c>
      <c r="D303" s="91" t="s">
        <v>23</v>
      </c>
      <c r="E303" s="91"/>
      <c r="F303">
        <v>624</v>
      </c>
      <c r="G303">
        <v>13</v>
      </c>
      <c r="H303" s="89">
        <v>46042</v>
      </c>
      <c r="I303" s="89">
        <v>46047</v>
      </c>
      <c r="J303" s="91" t="s">
        <v>1696</v>
      </c>
      <c r="K303" s="91"/>
      <c r="M303" s="91"/>
      <c r="N303" s="91" t="s">
        <v>1659</v>
      </c>
    </row>
    <row r="304" spans="1:14" x14ac:dyDescent="0.25">
      <c r="A304" s="91" t="s">
        <v>1313</v>
      </c>
      <c r="B304" s="91" t="s">
        <v>1327</v>
      </c>
      <c r="C304" s="91" t="s">
        <v>1697</v>
      </c>
      <c r="D304" s="91" t="s">
        <v>15</v>
      </c>
      <c r="E304" s="91"/>
      <c r="F304">
        <v>379</v>
      </c>
      <c r="G304">
        <v>7.895833333333333</v>
      </c>
      <c r="H304" s="89">
        <v>46043</v>
      </c>
      <c r="I304" s="89">
        <v>46047</v>
      </c>
      <c r="J304" s="91" t="s">
        <v>1681</v>
      </c>
      <c r="K304" s="91"/>
      <c r="M304" s="91"/>
      <c r="N304" s="91" t="s">
        <v>1659</v>
      </c>
    </row>
    <row r="305" spans="1:14" x14ac:dyDescent="0.25">
      <c r="A305" s="91" t="s">
        <v>1566</v>
      </c>
      <c r="B305" s="91" t="s">
        <v>1567</v>
      </c>
      <c r="C305" s="91" t="s">
        <v>1697</v>
      </c>
      <c r="D305" s="91" t="s">
        <v>15</v>
      </c>
      <c r="E305" s="91"/>
      <c r="F305">
        <v>5</v>
      </c>
      <c r="G305">
        <v>0.10416666666666669</v>
      </c>
      <c r="H305" s="89">
        <v>46043</v>
      </c>
      <c r="I305" s="89">
        <v>46047</v>
      </c>
      <c r="J305" s="91" t="s">
        <v>1698</v>
      </c>
      <c r="K305" s="91"/>
      <c r="M305" s="91"/>
      <c r="N305" s="91" t="s">
        <v>1659</v>
      </c>
    </row>
    <row r="306" spans="1:14" x14ac:dyDescent="0.25">
      <c r="A306" s="91" t="s">
        <v>1314</v>
      </c>
      <c r="B306" s="91" t="s">
        <v>1328</v>
      </c>
      <c r="C306" s="91" t="s">
        <v>1697</v>
      </c>
      <c r="D306" s="91" t="s">
        <v>15</v>
      </c>
      <c r="E306" s="91"/>
      <c r="F306">
        <v>288</v>
      </c>
      <c r="G306">
        <v>6</v>
      </c>
      <c r="H306" s="89">
        <v>46043</v>
      </c>
      <c r="I306" s="89">
        <v>46048</v>
      </c>
      <c r="J306" s="91" t="s">
        <v>1699</v>
      </c>
      <c r="K306" s="91"/>
      <c r="M306" s="91"/>
      <c r="N306" s="91" t="s">
        <v>1659</v>
      </c>
    </row>
    <row r="307" spans="1:14" x14ac:dyDescent="0.25">
      <c r="A307" s="91" t="s">
        <v>1313</v>
      </c>
      <c r="B307" s="91" t="s">
        <v>1327</v>
      </c>
      <c r="C307" s="91" t="s">
        <v>1697</v>
      </c>
      <c r="D307" s="91" t="s">
        <v>15</v>
      </c>
      <c r="E307" s="91"/>
      <c r="F307">
        <v>48</v>
      </c>
      <c r="G307">
        <v>1</v>
      </c>
      <c r="H307" s="89">
        <v>46043</v>
      </c>
      <c r="I307" s="89">
        <v>46045</v>
      </c>
      <c r="J307" s="91"/>
      <c r="K307" s="91"/>
      <c r="M307" s="91"/>
      <c r="N307" s="91" t="s">
        <v>1659</v>
      </c>
    </row>
    <row r="308" spans="1:14" x14ac:dyDescent="0.25">
      <c r="A308" s="91" t="s">
        <v>1315</v>
      </c>
      <c r="B308" s="91" t="s">
        <v>1329</v>
      </c>
      <c r="C308" s="91" t="s">
        <v>1697</v>
      </c>
      <c r="D308" s="91" t="s">
        <v>15</v>
      </c>
      <c r="E308" s="91"/>
      <c r="F308">
        <v>19</v>
      </c>
      <c r="G308" t="s">
        <v>1419</v>
      </c>
      <c r="H308" s="89">
        <v>46043</v>
      </c>
      <c r="I308" s="89">
        <v>46047</v>
      </c>
      <c r="J308" s="91"/>
      <c r="K308" s="91"/>
      <c r="M308" s="91"/>
      <c r="N308" s="91" t="s">
        <v>1659</v>
      </c>
    </row>
    <row r="309" spans="1:14" x14ac:dyDescent="0.25">
      <c r="A309" s="91" t="s">
        <v>1316</v>
      </c>
      <c r="B309" s="91" t="s">
        <v>1330</v>
      </c>
      <c r="C309" s="91" t="s">
        <v>1700</v>
      </c>
      <c r="D309" s="91" t="s">
        <v>15</v>
      </c>
      <c r="E309" s="91"/>
      <c r="F309">
        <v>30</v>
      </c>
      <c r="G309" t="s">
        <v>1419</v>
      </c>
      <c r="H309" s="89">
        <v>46043</v>
      </c>
      <c r="I309" s="89">
        <v>46047</v>
      </c>
      <c r="J309" s="91"/>
      <c r="K309" s="91"/>
      <c r="M309" s="91"/>
      <c r="N309" s="91" t="s">
        <v>1659</v>
      </c>
    </row>
    <row r="310" spans="1:14" x14ac:dyDescent="0.25">
      <c r="A310" s="91" t="s">
        <v>1317</v>
      </c>
      <c r="B310" s="91" t="s">
        <v>1331</v>
      </c>
      <c r="C310" s="91" t="s">
        <v>1701</v>
      </c>
      <c r="D310" s="91" t="s">
        <v>15</v>
      </c>
      <c r="E310" s="91"/>
      <c r="F310">
        <v>9</v>
      </c>
      <c r="G310" t="s">
        <v>1419</v>
      </c>
      <c r="H310" s="89">
        <v>46043</v>
      </c>
      <c r="I310" s="89">
        <v>46047</v>
      </c>
      <c r="J310" s="91"/>
      <c r="K310" s="91"/>
      <c r="M310" s="91"/>
      <c r="N310" s="91" t="s">
        <v>1659</v>
      </c>
    </row>
    <row r="311" spans="1:14" x14ac:dyDescent="0.25">
      <c r="A311" s="91" t="s">
        <v>1318</v>
      </c>
      <c r="B311" s="91" t="s">
        <v>1332</v>
      </c>
      <c r="C311" s="91" t="s">
        <v>1702</v>
      </c>
      <c r="D311" s="91" t="s">
        <v>15</v>
      </c>
      <c r="E311" s="91"/>
      <c r="F311">
        <v>2</v>
      </c>
      <c r="G311" t="s">
        <v>1419</v>
      </c>
      <c r="H311" s="89">
        <v>46043</v>
      </c>
      <c r="I311" s="89">
        <v>46047</v>
      </c>
      <c r="J311" s="91"/>
      <c r="K311" s="91"/>
      <c r="M311" s="91"/>
      <c r="N311" s="91" t="s">
        <v>1659</v>
      </c>
    </row>
    <row r="312" spans="1:14" x14ac:dyDescent="0.25">
      <c r="A312" s="91" t="s">
        <v>1324</v>
      </c>
      <c r="B312" s="91" t="s">
        <v>1338</v>
      </c>
      <c r="C312" s="91" t="s">
        <v>1703</v>
      </c>
      <c r="D312" s="91" t="s">
        <v>88</v>
      </c>
      <c r="E312" s="91"/>
      <c r="F312">
        <v>960</v>
      </c>
      <c r="G312">
        <v>20</v>
      </c>
      <c r="H312" s="89">
        <v>46043</v>
      </c>
      <c r="I312" s="89">
        <v>46050</v>
      </c>
      <c r="J312" s="91" t="s">
        <v>1704</v>
      </c>
      <c r="K312" s="91"/>
      <c r="M312" s="91"/>
      <c r="N312" s="91" t="s">
        <v>1659</v>
      </c>
    </row>
    <row r="313" spans="1:14" x14ac:dyDescent="0.25">
      <c r="A313" s="91" t="s">
        <v>1313</v>
      </c>
      <c r="B313" s="91" t="s">
        <v>1327</v>
      </c>
      <c r="C313" s="91" t="s">
        <v>1705</v>
      </c>
      <c r="D313" s="91" t="s">
        <v>20</v>
      </c>
      <c r="E313" s="91"/>
      <c r="F313">
        <v>1152</v>
      </c>
      <c r="G313">
        <v>24</v>
      </c>
      <c r="H313" s="89">
        <v>46043</v>
      </c>
      <c r="I313" s="89">
        <v>46045</v>
      </c>
      <c r="J313" s="91"/>
      <c r="K313" s="91"/>
      <c r="M313" s="91"/>
      <c r="N313" s="91" t="s">
        <v>1659</v>
      </c>
    </row>
    <row r="314" spans="1:14" x14ac:dyDescent="0.25">
      <c r="A314" s="91" t="s">
        <v>1316</v>
      </c>
      <c r="B314" s="91" t="s">
        <v>1330</v>
      </c>
      <c r="C314" s="91" t="s">
        <v>1706</v>
      </c>
      <c r="D314" s="91" t="s">
        <v>20</v>
      </c>
      <c r="E314" s="91"/>
      <c r="F314">
        <v>189</v>
      </c>
      <c r="G314" t="s">
        <v>1419</v>
      </c>
      <c r="H314" s="89">
        <v>46043</v>
      </c>
      <c r="I314" s="89">
        <v>46047</v>
      </c>
      <c r="J314" s="91"/>
      <c r="K314" s="91"/>
      <c r="M314" s="91"/>
      <c r="N314" s="91" t="s">
        <v>1659</v>
      </c>
    </row>
    <row r="315" spans="1:14" x14ac:dyDescent="0.25">
      <c r="A315" s="91" t="s">
        <v>1317</v>
      </c>
      <c r="B315" s="91" t="s">
        <v>1331</v>
      </c>
      <c r="C315" s="91" t="s">
        <v>1707</v>
      </c>
      <c r="D315" s="91" t="s">
        <v>20</v>
      </c>
      <c r="E315" s="91"/>
      <c r="F315">
        <v>36</v>
      </c>
      <c r="G315" t="s">
        <v>1419</v>
      </c>
      <c r="H315" s="89">
        <v>46043</v>
      </c>
      <c r="I315" s="89">
        <v>46047</v>
      </c>
      <c r="J315" s="91"/>
      <c r="K315" s="91"/>
      <c r="M315" s="91"/>
      <c r="N315" s="91" t="s">
        <v>1659</v>
      </c>
    </row>
    <row r="316" spans="1:14" x14ac:dyDescent="0.25">
      <c r="A316" s="91" t="s">
        <v>1318</v>
      </c>
      <c r="B316" s="91" t="s">
        <v>1332</v>
      </c>
      <c r="C316" s="91" t="s">
        <v>1708</v>
      </c>
      <c r="D316" s="91" t="s">
        <v>20</v>
      </c>
      <c r="E316" s="91"/>
      <c r="F316">
        <v>58</v>
      </c>
      <c r="G316" t="s">
        <v>1419</v>
      </c>
      <c r="H316" s="89">
        <v>46043</v>
      </c>
      <c r="I316" s="89">
        <v>46047</v>
      </c>
      <c r="J316" s="91"/>
      <c r="K316" s="91"/>
      <c r="M316" s="91"/>
      <c r="N316" s="91" t="s">
        <v>1659</v>
      </c>
    </row>
    <row r="317" spans="1:14" x14ac:dyDescent="0.25">
      <c r="A317" s="91" t="s">
        <v>1313</v>
      </c>
      <c r="B317" s="91" t="s">
        <v>1327</v>
      </c>
      <c r="C317" s="91" t="s">
        <v>1709</v>
      </c>
      <c r="D317" s="91" t="s">
        <v>28</v>
      </c>
      <c r="E317" s="91"/>
      <c r="F317">
        <v>1104</v>
      </c>
      <c r="G317">
        <v>23</v>
      </c>
      <c r="H317" s="89">
        <v>46043</v>
      </c>
      <c r="I317" s="89">
        <v>46045</v>
      </c>
      <c r="J317" s="91"/>
      <c r="K317" s="91"/>
      <c r="M317" s="91"/>
      <c r="N317" s="91" t="s">
        <v>1659</v>
      </c>
    </row>
    <row r="318" spans="1:14" x14ac:dyDescent="0.25">
      <c r="A318" s="91" t="s">
        <v>1315</v>
      </c>
      <c r="B318" s="91" t="s">
        <v>1329</v>
      </c>
      <c r="C318" s="91" t="s">
        <v>1709</v>
      </c>
      <c r="D318" s="91" t="s">
        <v>28</v>
      </c>
      <c r="E318" s="91"/>
      <c r="F318">
        <v>43</v>
      </c>
      <c r="G318" t="s">
        <v>1419</v>
      </c>
      <c r="H318" s="89">
        <v>46043</v>
      </c>
      <c r="I318" s="89">
        <v>46047</v>
      </c>
      <c r="J318" s="91"/>
      <c r="K318" s="91"/>
      <c r="M318" s="91"/>
      <c r="N318" s="91" t="s">
        <v>1659</v>
      </c>
    </row>
    <row r="319" spans="1:14" x14ac:dyDescent="0.25">
      <c r="A319" s="91" t="s">
        <v>1316</v>
      </c>
      <c r="B319" s="91" t="s">
        <v>1330</v>
      </c>
      <c r="C319" s="91" t="s">
        <v>1710</v>
      </c>
      <c r="D319" s="91" t="s">
        <v>28</v>
      </c>
      <c r="E319" s="91"/>
      <c r="F319">
        <v>27</v>
      </c>
      <c r="G319" t="s">
        <v>1419</v>
      </c>
      <c r="H319" s="89">
        <v>46043</v>
      </c>
      <c r="I319" s="89">
        <v>46047</v>
      </c>
      <c r="J319" s="91"/>
      <c r="K319" s="91"/>
      <c r="M319" s="91"/>
      <c r="N319" s="91" t="s">
        <v>1659</v>
      </c>
    </row>
    <row r="320" spans="1:14" x14ac:dyDescent="0.25">
      <c r="A320" s="91" t="s">
        <v>1318</v>
      </c>
      <c r="B320" s="91" t="s">
        <v>1332</v>
      </c>
      <c r="C320" s="91" t="s">
        <v>1711</v>
      </c>
      <c r="D320" s="91" t="s">
        <v>28</v>
      </c>
      <c r="E320" s="91"/>
      <c r="F320">
        <v>52</v>
      </c>
      <c r="G320" t="s">
        <v>1419</v>
      </c>
      <c r="H320" s="89">
        <v>46043</v>
      </c>
      <c r="I320" s="89">
        <v>46047</v>
      </c>
      <c r="J320" s="91"/>
      <c r="K320" s="91"/>
      <c r="M320" s="91"/>
      <c r="N320" s="91" t="s">
        <v>1659</v>
      </c>
    </row>
    <row r="321" spans="1:14" x14ac:dyDescent="0.25">
      <c r="A321" s="91" t="s">
        <v>1313</v>
      </c>
      <c r="B321" s="91" t="s">
        <v>1327</v>
      </c>
      <c r="C321" s="91" t="s">
        <v>1712</v>
      </c>
      <c r="D321" s="91" t="s">
        <v>23</v>
      </c>
      <c r="E321" s="91"/>
      <c r="F321">
        <v>528</v>
      </c>
      <c r="G321">
        <v>11</v>
      </c>
      <c r="H321" s="89">
        <v>46043</v>
      </c>
      <c r="I321" s="89">
        <v>46047</v>
      </c>
      <c r="J321" s="91" t="s">
        <v>1696</v>
      </c>
      <c r="K321" s="91"/>
      <c r="M321" s="91"/>
      <c r="N321" s="91" t="s">
        <v>1659</v>
      </c>
    </row>
    <row r="322" spans="1:14" x14ac:dyDescent="0.25">
      <c r="A322" s="91" t="s">
        <v>1313</v>
      </c>
      <c r="B322" s="91" t="s">
        <v>1327</v>
      </c>
      <c r="C322" s="91" t="s">
        <v>1712</v>
      </c>
      <c r="D322" s="91" t="s">
        <v>23</v>
      </c>
      <c r="E322" s="91"/>
      <c r="F322">
        <v>768</v>
      </c>
      <c r="G322">
        <v>16</v>
      </c>
      <c r="H322" s="89">
        <v>46043</v>
      </c>
      <c r="I322" s="89">
        <v>46048</v>
      </c>
      <c r="J322" s="91" t="s">
        <v>1713</v>
      </c>
      <c r="K322" s="91"/>
      <c r="M322" s="91"/>
      <c r="N322" s="91" t="s">
        <v>1659</v>
      </c>
    </row>
    <row r="323" spans="1:14" x14ac:dyDescent="0.25">
      <c r="A323" s="91" t="s">
        <v>1313</v>
      </c>
      <c r="B323" s="91" t="s">
        <v>1327</v>
      </c>
      <c r="C323" s="91" t="s">
        <v>1714</v>
      </c>
      <c r="D323" s="91" t="s">
        <v>21</v>
      </c>
      <c r="E323" s="91"/>
      <c r="F323">
        <v>1152</v>
      </c>
      <c r="G323">
        <v>24</v>
      </c>
      <c r="H323" s="89">
        <v>46044</v>
      </c>
      <c r="I323" s="89">
        <v>46048</v>
      </c>
      <c r="J323" s="91" t="s">
        <v>1715</v>
      </c>
      <c r="K323" s="91"/>
      <c r="M323" s="91"/>
      <c r="N323" s="91" t="s">
        <v>1659</v>
      </c>
    </row>
    <row r="324" spans="1:14" x14ac:dyDescent="0.25">
      <c r="A324" s="91" t="s">
        <v>1315</v>
      </c>
      <c r="B324" s="91" t="s">
        <v>1329</v>
      </c>
      <c r="C324" s="91" t="s">
        <v>1714</v>
      </c>
      <c r="D324" s="91" t="s">
        <v>21</v>
      </c>
      <c r="E324" s="91"/>
      <c r="F324">
        <v>19</v>
      </c>
      <c r="G324" t="s">
        <v>1419</v>
      </c>
      <c r="H324" s="89">
        <v>46044</v>
      </c>
      <c r="I324" s="89">
        <v>46047</v>
      </c>
      <c r="J324" s="91"/>
      <c r="K324" s="91"/>
      <c r="M324" s="91"/>
      <c r="N324" s="91" t="s">
        <v>1659</v>
      </c>
    </row>
    <row r="325" spans="1:14" x14ac:dyDescent="0.25">
      <c r="A325" s="91" t="s">
        <v>1316</v>
      </c>
      <c r="B325" s="91" t="s">
        <v>1330</v>
      </c>
      <c r="C325" s="91" t="s">
        <v>1716</v>
      </c>
      <c r="D325" s="91" t="s">
        <v>21</v>
      </c>
      <c r="E325" s="91"/>
      <c r="F325">
        <v>28</v>
      </c>
      <c r="G325" t="s">
        <v>1419</v>
      </c>
      <c r="H325" s="89">
        <v>46044</v>
      </c>
      <c r="I325" s="89">
        <v>46047</v>
      </c>
      <c r="J325" s="91"/>
      <c r="K325" s="91"/>
      <c r="M325" s="91"/>
      <c r="N325" s="91" t="s">
        <v>1659</v>
      </c>
    </row>
    <row r="326" spans="1:14" x14ac:dyDescent="0.25">
      <c r="A326" s="91" t="s">
        <v>1317</v>
      </c>
      <c r="B326" s="91" t="s">
        <v>1331</v>
      </c>
      <c r="C326" s="91" t="s">
        <v>1717</v>
      </c>
      <c r="D326" s="91" t="s">
        <v>21</v>
      </c>
      <c r="E326" s="91"/>
      <c r="F326">
        <v>19</v>
      </c>
      <c r="G326" t="s">
        <v>1419</v>
      </c>
      <c r="H326" s="89">
        <v>46044</v>
      </c>
      <c r="I326" s="89">
        <v>46047</v>
      </c>
      <c r="J326" s="91"/>
      <c r="K326" s="91"/>
      <c r="M326" s="91"/>
      <c r="N326" s="91" t="s">
        <v>1659</v>
      </c>
    </row>
    <row r="327" spans="1:14" x14ac:dyDescent="0.25">
      <c r="A327" s="91" t="s">
        <v>1318</v>
      </c>
      <c r="B327" s="91" t="s">
        <v>1332</v>
      </c>
      <c r="C327" s="91" t="s">
        <v>1718</v>
      </c>
      <c r="D327" s="91" t="s">
        <v>21</v>
      </c>
      <c r="E327" s="91"/>
      <c r="F327">
        <v>52</v>
      </c>
      <c r="G327" t="s">
        <v>1419</v>
      </c>
      <c r="H327" s="89">
        <v>46044</v>
      </c>
      <c r="I327" s="89">
        <v>46047</v>
      </c>
      <c r="J327" s="91"/>
      <c r="K327" s="91"/>
      <c r="M327" s="91"/>
      <c r="N327" s="91" t="s">
        <v>1659</v>
      </c>
    </row>
    <row r="328" spans="1:14" x14ac:dyDescent="0.25">
      <c r="A328" s="91" t="s">
        <v>1313</v>
      </c>
      <c r="B328" s="91" t="s">
        <v>1327</v>
      </c>
      <c r="C328" s="91" t="s">
        <v>1719</v>
      </c>
      <c r="D328" s="91" t="s">
        <v>23</v>
      </c>
      <c r="E328" s="91"/>
      <c r="F328">
        <v>96</v>
      </c>
      <c r="G328">
        <v>2</v>
      </c>
      <c r="H328" s="89">
        <v>46044</v>
      </c>
      <c r="I328" s="89">
        <v>46048</v>
      </c>
      <c r="J328" s="91" t="s">
        <v>1713</v>
      </c>
      <c r="K328" s="91"/>
      <c r="M328" s="91"/>
      <c r="N328" s="91" t="s">
        <v>1659</v>
      </c>
    </row>
    <row r="329" spans="1:14" x14ac:dyDescent="0.25">
      <c r="A329" s="91" t="s">
        <v>1313</v>
      </c>
      <c r="B329" s="91" t="s">
        <v>1327</v>
      </c>
      <c r="C329" s="91" t="s">
        <v>1719</v>
      </c>
      <c r="D329" s="91" t="s">
        <v>23</v>
      </c>
      <c r="E329" s="91"/>
      <c r="F329">
        <v>960</v>
      </c>
      <c r="G329">
        <v>20</v>
      </c>
      <c r="H329" s="89">
        <v>46044</v>
      </c>
      <c r="I329" s="89">
        <v>46046</v>
      </c>
      <c r="J329" s="91"/>
      <c r="K329" s="91"/>
      <c r="M329" s="91"/>
      <c r="N329" s="91" t="s">
        <v>1659</v>
      </c>
    </row>
    <row r="330" spans="1:14" x14ac:dyDescent="0.25">
      <c r="A330" s="91" t="s">
        <v>1324</v>
      </c>
      <c r="B330" s="91" t="s">
        <v>1338</v>
      </c>
      <c r="C330" s="91" t="s">
        <v>1720</v>
      </c>
      <c r="D330" s="91" t="s">
        <v>88</v>
      </c>
      <c r="E330" s="91"/>
      <c r="F330">
        <v>960</v>
      </c>
      <c r="G330">
        <v>20</v>
      </c>
      <c r="H330" s="89">
        <v>46044</v>
      </c>
      <c r="I330" s="89">
        <v>46050</v>
      </c>
      <c r="J330" s="91" t="s">
        <v>1704</v>
      </c>
      <c r="K330" s="91"/>
      <c r="M330" s="91"/>
      <c r="N330" s="91" t="s">
        <v>1659</v>
      </c>
    </row>
    <row r="331" spans="1:14" x14ac:dyDescent="0.25">
      <c r="A331" s="91" t="s">
        <v>1313</v>
      </c>
      <c r="B331" s="91" t="s">
        <v>1327</v>
      </c>
      <c r="C331" s="91" t="s">
        <v>1721</v>
      </c>
      <c r="D331" s="91" t="s">
        <v>150</v>
      </c>
      <c r="E331" s="91"/>
      <c r="F331">
        <v>1152</v>
      </c>
      <c r="G331">
        <v>24</v>
      </c>
      <c r="H331" s="89">
        <v>46044</v>
      </c>
      <c r="I331" s="89">
        <v>46045</v>
      </c>
      <c r="J331" s="91"/>
      <c r="K331" s="91"/>
      <c r="M331" s="91"/>
      <c r="N331" s="91" t="s">
        <v>1659</v>
      </c>
    </row>
    <row r="332" spans="1:14" x14ac:dyDescent="0.25">
      <c r="A332" s="91" t="s">
        <v>1313</v>
      </c>
      <c r="B332" s="91" t="s">
        <v>1327</v>
      </c>
      <c r="C332" s="91" t="s">
        <v>1722</v>
      </c>
      <c r="D332" s="91" t="s">
        <v>15</v>
      </c>
      <c r="E332" s="91"/>
      <c r="F332">
        <v>144</v>
      </c>
      <c r="G332">
        <v>3</v>
      </c>
      <c r="H332" s="89">
        <v>46044</v>
      </c>
      <c r="I332" s="89">
        <v>46045</v>
      </c>
      <c r="J332" s="91"/>
      <c r="K332" s="91"/>
      <c r="M332" s="91"/>
      <c r="N332" s="91" t="s">
        <v>1659</v>
      </c>
    </row>
    <row r="333" spans="1:14" x14ac:dyDescent="0.25">
      <c r="A333" s="91" t="s">
        <v>1313</v>
      </c>
      <c r="B333" s="91" t="s">
        <v>1327</v>
      </c>
      <c r="C333" s="91" t="s">
        <v>1723</v>
      </c>
      <c r="D333" s="91" t="s">
        <v>20</v>
      </c>
      <c r="E333" s="91"/>
      <c r="F333">
        <v>1075</v>
      </c>
      <c r="G333">
        <v>22.395833333333332</v>
      </c>
      <c r="H333" s="89">
        <v>46044</v>
      </c>
      <c r="I333" s="89">
        <v>46048</v>
      </c>
      <c r="J333" s="91"/>
      <c r="K333" s="91"/>
      <c r="M333" s="91"/>
      <c r="N333" s="91" t="s">
        <v>1659</v>
      </c>
    </row>
    <row r="334" spans="1:14" x14ac:dyDescent="0.25">
      <c r="A334" s="91" t="s">
        <v>1316</v>
      </c>
      <c r="B334" s="91" t="s">
        <v>1330</v>
      </c>
      <c r="C334" s="91" t="s">
        <v>1724</v>
      </c>
      <c r="D334" s="91" t="s">
        <v>20</v>
      </c>
      <c r="E334" s="91"/>
      <c r="F334">
        <v>119</v>
      </c>
      <c r="G334" t="s">
        <v>1419</v>
      </c>
      <c r="H334" s="89">
        <v>46044</v>
      </c>
      <c r="I334" s="89">
        <v>46047</v>
      </c>
      <c r="J334" s="91"/>
      <c r="K334" s="91"/>
      <c r="M334" s="91"/>
      <c r="N334" s="91" t="s">
        <v>1659</v>
      </c>
    </row>
    <row r="335" spans="1:14" x14ac:dyDescent="0.25">
      <c r="A335" s="91" t="s">
        <v>1317</v>
      </c>
      <c r="B335" s="91" t="s">
        <v>1331</v>
      </c>
      <c r="C335" s="91" t="s">
        <v>1725</v>
      </c>
      <c r="D335" s="91" t="s">
        <v>20</v>
      </c>
      <c r="E335" s="91"/>
      <c r="F335">
        <v>4</v>
      </c>
      <c r="G335" t="s">
        <v>1419</v>
      </c>
      <c r="H335" s="89">
        <v>46044</v>
      </c>
      <c r="I335" s="89">
        <v>46047</v>
      </c>
      <c r="J335" s="91"/>
      <c r="K335" s="91"/>
      <c r="M335" s="91"/>
      <c r="N335" s="91" t="s">
        <v>1659</v>
      </c>
    </row>
    <row r="336" spans="1:14" x14ac:dyDescent="0.25">
      <c r="A336" s="91" t="s">
        <v>1318</v>
      </c>
      <c r="B336" s="91" t="s">
        <v>1332</v>
      </c>
      <c r="C336" s="91" t="s">
        <v>1726</v>
      </c>
      <c r="D336" s="91" t="s">
        <v>20</v>
      </c>
      <c r="E336" s="91"/>
      <c r="F336">
        <v>43</v>
      </c>
      <c r="G336" t="s">
        <v>1419</v>
      </c>
      <c r="H336" s="89">
        <v>46044</v>
      </c>
      <c r="I336" s="89">
        <v>46047</v>
      </c>
      <c r="J336" s="91"/>
      <c r="K336" s="91"/>
      <c r="M336" s="91"/>
      <c r="N336" s="91" t="s">
        <v>1659</v>
      </c>
    </row>
    <row r="337" spans="1:14" x14ac:dyDescent="0.25">
      <c r="A337" s="91" t="s">
        <v>1444</v>
      </c>
      <c r="B337" s="91" t="s">
        <v>1445</v>
      </c>
      <c r="C337" s="91" t="s">
        <v>1722</v>
      </c>
      <c r="D337" s="91" t="s">
        <v>15</v>
      </c>
      <c r="E337" s="91"/>
      <c r="F337">
        <v>143</v>
      </c>
      <c r="G337">
        <v>1</v>
      </c>
      <c r="H337" s="89">
        <v>46044</v>
      </c>
      <c r="I337" s="89">
        <v>46046</v>
      </c>
      <c r="J337" s="91"/>
      <c r="K337" s="91"/>
      <c r="M337" s="91"/>
      <c r="N337" s="91" t="s">
        <v>1659</v>
      </c>
    </row>
    <row r="338" spans="1:14" x14ac:dyDescent="0.25">
      <c r="A338" s="91" t="s">
        <v>1315</v>
      </c>
      <c r="B338" s="91" t="s">
        <v>1329</v>
      </c>
      <c r="C338" s="91" t="s">
        <v>1722</v>
      </c>
      <c r="D338" s="91" t="s">
        <v>15</v>
      </c>
      <c r="E338" s="91"/>
      <c r="F338">
        <v>28</v>
      </c>
      <c r="G338" t="s">
        <v>1419</v>
      </c>
      <c r="H338" s="89">
        <v>46044</v>
      </c>
      <c r="I338" s="89">
        <v>46047</v>
      </c>
      <c r="J338" s="91"/>
      <c r="K338" s="91"/>
      <c r="M338" s="91"/>
      <c r="N338" s="91" t="s">
        <v>1659</v>
      </c>
    </row>
    <row r="339" spans="1:14" x14ac:dyDescent="0.25">
      <c r="A339" s="91" t="s">
        <v>1316</v>
      </c>
      <c r="B339" s="91" t="s">
        <v>1330</v>
      </c>
      <c r="C339" s="91" t="s">
        <v>1727</v>
      </c>
      <c r="D339" s="91" t="s">
        <v>15</v>
      </c>
      <c r="E339" s="91"/>
      <c r="F339">
        <v>20</v>
      </c>
      <c r="G339" t="s">
        <v>1419</v>
      </c>
      <c r="H339" s="89">
        <v>46044</v>
      </c>
      <c r="I339" s="89">
        <v>46047</v>
      </c>
      <c r="J339" s="91"/>
      <c r="K339" s="91"/>
      <c r="M339" s="91"/>
      <c r="N339" s="91" t="s">
        <v>1659</v>
      </c>
    </row>
    <row r="340" spans="1:14" x14ac:dyDescent="0.25">
      <c r="A340" s="91" t="s">
        <v>1317</v>
      </c>
      <c r="B340" s="91" t="s">
        <v>1331</v>
      </c>
      <c r="C340" s="91" t="s">
        <v>1728</v>
      </c>
      <c r="D340" s="91" t="s">
        <v>15</v>
      </c>
      <c r="E340" s="91"/>
      <c r="F340">
        <v>14</v>
      </c>
      <c r="G340" t="s">
        <v>1419</v>
      </c>
      <c r="H340" s="89">
        <v>46044</v>
      </c>
      <c r="I340" s="89">
        <v>46047</v>
      </c>
      <c r="J340" s="91"/>
      <c r="K340" s="91"/>
      <c r="M340" s="91"/>
      <c r="N340" s="91" t="s">
        <v>1659</v>
      </c>
    </row>
    <row r="341" spans="1:14" x14ac:dyDescent="0.25">
      <c r="A341" s="91" t="s">
        <v>1318</v>
      </c>
      <c r="B341" s="91" t="s">
        <v>1332</v>
      </c>
      <c r="C341" s="91" t="s">
        <v>1729</v>
      </c>
      <c r="D341" s="91" t="s">
        <v>15</v>
      </c>
      <c r="E341" s="91"/>
      <c r="F341">
        <v>4</v>
      </c>
      <c r="G341" t="s">
        <v>1419</v>
      </c>
      <c r="H341" s="89">
        <v>46044</v>
      </c>
      <c r="I341" s="89">
        <v>46047</v>
      </c>
      <c r="J341" s="91"/>
      <c r="K341" s="91"/>
      <c r="M341" s="91"/>
      <c r="N341" s="91" t="s">
        <v>1659</v>
      </c>
    </row>
    <row r="342" spans="1:14" x14ac:dyDescent="0.25">
      <c r="A342" s="91" t="s">
        <v>1326</v>
      </c>
      <c r="B342" s="91" t="s">
        <v>1340</v>
      </c>
      <c r="C342" s="91" t="s">
        <v>1730</v>
      </c>
      <c r="D342" s="91" t="s">
        <v>32</v>
      </c>
      <c r="E342" s="91"/>
      <c r="F342">
        <v>1008</v>
      </c>
      <c r="G342">
        <v>24</v>
      </c>
      <c r="H342" s="89">
        <v>46045</v>
      </c>
      <c r="I342" s="89">
        <v>46052</v>
      </c>
      <c r="J342" s="91" t="s">
        <v>1731</v>
      </c>
      <c r="K342" s="91"/>
      <c r="M342" s="91"/>
      <c r="N342" s="91" t="s">
        <v>1659</v>
      </c>
    </row>
    <row r="343" spans="1:14" x14ac:dyDescent="0.25">
      <c r="A343" s="91" t="s">
        <v>1313</v>
      </c>
      <c r="B343" s="91" t="s">
        <v>1327</v>
      </c>
      <c r="C343" s="91" t="s">
        <v>1732</v>
      </c>
      <c r="D343" s="91" t="s">
        <v>21</v>
      </c>
      <c r="E343" s="91"/>
      <c r="F343">
        <v>768</v>
      </c>
      <c r="G343">
        <v>16</v>
      </c>
      <c r="H343" s="89">
        <v>46045</v>
      </c>
      <c r="I343" s="89">
        <v>46049</v>
      </c>
      <c r="J343" s="91"/>
      <c r="K343" s="91"/>
      <c r="M343" s="91"/>
      <c r="N343" s="91" t="s">
        <v>1659</v>
      </c>
    </row>
    <row r="344" spans="1:14" x14ac:dyDescent="0.25">
      <c r="A344" s="91" t="s">
        <v>1444</v>
      </c>
      <c r="B344" s="91" t="s">
        <v>1445</v>
      </c>
      <c r="C344" s="91" t="s">
        <v>1732</v>
      </c>
      <c r="D344" s="91" t="s">
        <v>21</v>
      </c>
      <c r="E344" s="91"/>
      <c r="F344">
        <v>168</v>
      </c>
      <c r="G344">
        <v>1</v>
      </c>
      <c r="H344" s="89">
        <v>46045</v>
      </c>
      <c r="I344" s="89">
        <v>46048</v>
      </c>
      <c r="J344" s="91"/>
      <c r="K344" s="91"/>
      <c r="M344" s="91"/>
      <c r="N344" s="91" t="s">
        <v>1659</v>
      </c>
    </row>
    <row r="345" spans="1:14" x14ac:dyDescent="0.25">
      <c r="A345" s="91" t="s">
        <v>1315</v>
      </c>
      <c r="B345" s="91" t="s">
        <v>1329</v>
      </c>
      <c r="C345" s="91" t="s">
        <v>1732</v>
      </c>
      <c r="D345" s="91" t="s">
        <v>21</v>
      </c>
      <c r="E345" s="91"/>
      <c r="F345">
        <v>44</v>
      </c>
      <c r="G345" t="s">
        <v>1419</v>
      </c>
      <c r="H345" s="89">
        <v>46045</v>
      </c>
      <c r="I345" s="89">
        <v>46047</v>
      </c>
      <c r="J345" s="91"/>
      <c r="K345" s="91"/>
      <c r="M345" s="91"/>
      <c r="N345" s="91" t="s">
        <v>1659</v>
      </c>
    </row>
    <row r="346" spans="1:14" x14ac:dyDescent="0.25">
      <c r="A346" s="91" t="s">
        <v>1316</v>
      </c>
      <c r="B346" s="91" t="s">
        <v>1330</v>
      </c>
      <c r="C346" s="91" t="s">
        <v>1733</v>
      </c>
      <c r="D346" s="91" t="s">
        <v>21</v>
      </c>
      <c r="E346" s="91"/>
      <c r="F346">
        <v>42</v>
      </c>
      <c r="G346" t="s">
        <v>1419</v>
      </c>
      <c r="H346" s="89">
        <v>46045</v>
      </c>
      <c r="I346" s="89">
        <v>46047</v>
      </c>
      <c r="J346" s="91"/>
      <c r="K346" s="91"/>
      <c r="M346" s="91"/>
      <c r="N346" s="91" t="s">
        <v>1659</v>
      </c>
    </row>
    <row r="347" spans="1:14" x14ac:dyDescent="0.25">
      <c r="A347" s="91" t="s">
        <v>1317</v>
      </c>
      <c r="B347" s="91" t="s">
        <v>1331</v>
      </c>
      <c r="C347" s="91" t="s">
        <v>1734</v>
      </c>
      <c r="D347" s="91" t="s">
        <v>21</v>
      </c>
      <c r="E347" s="91"/>
      <c r="F347">
        <v>21</v>
      </c>
      <c r="G347" t="s">
        <v>1419</v>
      </c>
      <c r="H347" s="89">
        <v>46045</v>
      </c>
      <c r="I347" s="89">
        <v>46047</v>
      </c>
      <c r="J347" s="91"/>
      <c r="K347" s="91"/>
      <c r="M347" s="91"/>
      <c r="N347" s="91" t="s">
        <v>1659</v>
      </c>
    </row>
    <row r="348" spans="1:14" x14ac:dyDescent="0.25">
      <c r="A348" s="91" t="s">
        <v>1318</v>
      </c>
      <c r="B348" s="91" t="s">
        <v>1332</v>
      </c>
      <c r="C348" s="91" t="s">
        <v>1735</v>
      </c>
      <c r="D348" s="91" t="s">
        <v>21</v>
      </c>
      <c r="E348" s="91"/>
      <c r="F348">
        <v>56</v>
      </c>
      <c r="G348" t="s">
        <v>1419</v>
      </c>
      <c r="H348" s="89">
        <v>46045</v>
      </c>
      <c r="I348" s="89">
        <v>46047</v>
      </c>
      <c r="J348" s="91"/>
      <c r="K348" s="91"/>
      <c r="M348" s="91"/>
      <c r="N348" s="91" t="s">
        <v>1659</v>
      </c>
    </row>
    <row r="349" spans="1:14" x14ac:dyDescent="0.25">
      <c r="A349" s="91" t="s">
        <v>1313</v>
      </c>
      <c r="B349" s="91" t="s">
        <v>1327</v>
      </c>
      <c r="C349" s="91" t="s">
        <v>1736</v>
      </c>
      <c r="D349" s="91" t="s">
        <v>150</v>
      </c>
      <c r="E349" s="91"/>
      <c r="F349">
        <v>1008</v>
      </c>
      <c r="G349">
        <v>21</v>
      </c>
      <c r="H349" s="89">
        <v>46045</v>
      </c>
      <c r="I349" s="89">
        <v>46050</v>
      </c>
      <c r="J349" s="91" t="s">
        <v>1737</v>
      </c>
      <c r="K349" s="91"/>
      <c r="M349" s="91"/>
      <c r="N349" s="91" t="s">
        <v>1659</v>
      </c>
    </row>
    <row r="350" spans="1:14" x14ac:dyDescent="0.25">
      <c r="A350" s="91" t="s">
        <v>1313</v>
      </c>
      <c r="B350" s="91" t="s">
        <v>1327</v>
      </c>
      <c r="C350" s="91" t="s">
        <v>1736</v>
      </c>
      <c r="D350" s="91" t="s">
        <v>150</v>
      </c>
      <c r="E350" s="91"/>
      <c r="F350">
        <v>144</v>
      </c>
      <c r="G350">
        <v>3</v>
      </c>
      <c r="H350" s="89">
        <v>46045</v>
      </c>
      <c r="I350" s="89">
        <v>46049</v>
      </c>
      <c r="J350" s="91"/>
      <c r="K350" s="91"/>
      <c r="M350" s="91"/>
      <c r="N350" s="91" t="s">
        <v>1659</v>
      </c>
    </row>
    <row r="351" spans="1:14" x14ac:dyDescent="0.25">
      <c r="A351" s="91" t="s">
        <v>1313</v>
      </c>
      <c r="B351" s="91" t="s">
        <v>1327</v>
      </c>
      <c r="C351" s="91" t="s">
        <v>1738</v>
      </c>
      <c r="D351" s="91" t="s">
        <v>23</v>
      </c>
      <c r="E351" s="91"/>
      <c r="F351">
        <v>96</v>
      </c>
      <c r="G351">
        <v>2</v>
      </c>
      <c r="H351" s="89">
        <v>46045</v>
      </c>
      <c r="I351" s="89">
        <v>46050</v>
      </c>
      <c r="J351" s="91"/>
      <c r="K351" s="91"/>
      <c r="M351" s="91"/>
      <c r="N351" s="91" t="s">
        <v>1659</v>
      </c>
    </row>
    <row r="352" spans="1:14" x14ac:dyDescent="0.25">
      <c r="A352" s="91" t="s">
        <v>1313</v>
      </c>
      <c r="B352" s="91" t="s">
        <v>1327</v>
      </c>
      <c r="C352" s="91" t="s">
        <v>1738</v>
      </c>
      <c r="D352" s="91" t="s">
        <v>23</v>
      </c>
      <c r="E352" s="91"/>
      <c r="F352">
        <v>864</v>
      </c>
      <c r="G352">
        <v>18</v>
      </c>
      <c r="H352" s="89">
        <v>46045</v>
      </c>
      <c r="I352" s="89">
        <v>46050</v>
      </c>
      <c r="J352" s="91" t="s">
        <v>1739</v>
      </c>
      <c r="K352" s="91"/>
      <c r="M352" s="91"/>
      <c r="N352" s="91" t="s">
        <v>1659</v>
      </c>
    </row>
    <row r="353" spans="1:14" x14ac:dyDescent="0.25">
      <c r="A353" s="91" t="s">
        <v>1314</v>
      </c>
      <c r="B353" s="91" t="s">
        <v>1328</v>
      </c>
      <c r="C353" s="91" t="s">
        <v>1740</v>
      </c>
      <c r="D353" s="91" t="s">
        <v>21</v>
      </c>
      <c r="E353" s="91"/>
      <c r="F353">
        <v>288</v>
      </c>
      <c r="G353">
        <v>6</v>
      </c>
      <c r="H353" s="89">
        <v>46046</v>
      </c>
      <c r="I353" s="89">
        <v>46050</v>
      </c>
      <c r="J353" s="91" t="s">
        <v>1741</v>
      </c>
      <c r="K353" s="91"/>
      <c r="M353" s="91"/>
      <c r="N353" s="91" t="s">
        <v>1659</v>
      </c>
    </row>
    <row r="354" spans="1:14" x14ac:dyDescent="0.25">
      <c r="A354" s="91" t="s">
        <v>1314</v>
      </c>
      <c r="B354" s="91" t="s">
        <v>1328</v>
      </c>
      <c r="C354" s="91" t="s">
        <v>1740</v>
      </c>
      <c r="D354" s="91" t="s">
        <v>21</v>
      </c>
      <c r="E354" s="91"/>
      <c r="F354">
        <v>144</v>
      </c>
      <c r="G354">
        <v>3</v>
      </c>
      <c r="H354" s="89">
        <v>46046</v>
      </c>
      <c r="I354" s="89">
        <v>46050</v>
      </c>
      <c r="J354" s="91" t="s">
        <v>1742</v>
      </c>
      <c r="K354" s="91"/>
      <c r="M354" s="91"/>
      <c r="N354" s="91" t="s">
        <v>1659</v>
      </c>
    </row>
    <row r="355" spans="1:14" x14ac:dyDescent="0.25">
      <c r="A355" s="91" t="s">
        <v>1313</v>
      </c>
      <c r="B355" s="91" t="s">
        <v>1327</v>
      </c>
      <c r="C355" s="91" t="s">
        <v>1740</v>
      </c>
      <c r="D355" s="91" t="s">
        <v>21</v>
      </c>
      <c r="E355" s="91"/>
      <c r="F355">
        <v>720</v>
      </c>
      <c r="G355">
        <v>15</v>
      </c>
      <c r="H355" s="89">
        <v>46046</v>
      </c>
      <c r="I355" s="89">
        <v>46050</v>
      </c>
      <c r="J355" s="91"/>
      <c r="K355" s="91"/>
      <c r="M355" s="91"/>
      <c r="N355" s="91" t="s">
        <v>1659</v>
      </c>
    </row>
    <row r="356" spans="1:14" x14ac:dyDescent="0.25">
      <c r="A356" s="91" t="s">
        <v>1315</v>
      </c>
      <c r="B356" s="91" t="s">
        <v>1329</v>
      </c>
      <c r="C356" s="91" t="s">
        <v>1740</v>
      </c>
      <c r="D356" s="91" t="s">
        <v>21</v>
      </c>
      <c r="E356" s="91"/>
      <c r="F356">
        <v>69</v>
      </c>
      <c r="G356" t="s">
        <v>1419</v>
      </c>
      <c r="H356" s="89">
        <v>46046</v>
      </c>
      <c r="I356" s="89">
        <v>46047</v>
      </c>
      <c r="J356" s="91"/>
      <c r="K356" s="91"/>
      <c r="M356" s="91"/>
      <c r="N356" s="91" t="s">
        <v>1659</v>
      </c>
    </row>
    <row r="357" spans="1:14" x14ac:dyDescent="0.25">
      <c r="A357" s="91" t="s">
        <v>1316</v>
      </c>
      <c r="B357" s="91" t="s">
        <v>1330</v>
      </c>
      <c r="C357" s="91" t="s">
        <v>1743</v>
      </c>
      <c r="D357" s="91" t="s">
        <v>21</v>
      </c>
      <c r="E357" s="91"/>
      <c r="F357">
        <v>19</v>
      </c>
      <c r="G357" t="s">
        <v>1419</v>
      </c>
      <c r="H357" s="89">
        <v>46046</v>
      </c>
      <c r="I357" s="89">
        <v>46047</v>
      </c>
      <c r="J357" s="91"/>
      <c r="K357" s="91"/>
      <c r="M357" s="91"/>
      <c r="N357" s="91" t="s">
        <v>1659</v>
      </c>
    </row>
    <row r="358" spans="1:14" x14ac:dyDescent="0.25">
      <c r="A358" s="91" t="s">
        <v>1317</v>
      </c>
      <c r="B358" s="91" t="s">
        <v>1331</v>
      </c>
      <c r="C358" s="91" t="s">
        <v>1744</v>
      </c>
      <c r="D358" s="91" t="s">
        <v>21</v>
      </c>
      <c r="E358" s="91"/>
      <c r="F358">
        <v>18</v>
      </c>
      <c r="G358" t="s">
        <v>1419</v>
      </c>
      <c r="H358" s="89">
        <v>46046</v>
      </c>
      <c r="I358" s="89">
        <v>46047</v>
      </c>
      <c r="J358" s="91"/>
      <c r="K358" s="91"/>
      <c r="M358" s="91"/>
      <c r="N358" s="91" t="s">
        <v>1659</v>
      </c>
    </row>
    <row r="359" spans="1:14" x14ac:dyDescent="0.25">
      <c r="A359" s="91" t="s">
        <v>1318</v>
      </c>
      <c r="B359" s="91" t="s">
        <v>1332</v>
      </c>
      <c r="C359" s="91" t="s">
        <v>1745</v>
      </c>
      <c r="D359" s="91" t="s">
        <v>21</v>
      </c>
      <c r="E359" s="91"/>
      <c r="F359">
        <v>78</v>
      </c>
      <c r="G359" t="s">
        <v>1419</v>
      </c>
      <c r="H359" s="89">
        <v>46046</v>
      </c>
      <c r="I359" s="89">
        <v>46047</v>
      </c>
      <c r="J359" s="91"/>
      <c r="K359" s="91"/>
      <c r="M359" s="91"/>
      <c r="N359" s="91" t="s">
        <v>1659</v>
      </c>
    </row>
    <row r="360" spans="1:14" x14ac:dyDescent="0.25">
      <c r="A360" s="91"/>
      <c r="B360" s="91" t="s">
        <v>1746</v>
      </c>
      <c r="C360" s="91" t="s">
        <v>1747</v>
      </c>
      <c r="D360" s="91"/>
      <c r="E360" s="91"/>
      <c r="H360" s="89">
        <v>4</v>
      </c>
      <c r="I360" s="89">
        <v>4</v>
      </c>
      <c r="J360" s="91"/>
      <c r="K360" s="91"/>
      <c r="M360" s="91"/>
      <c r="N360" s="91" t="s">
        <v>1659</v>
      </c>
    </row>
    <row r="361" spans="1:14" x14ac:dyDescent="0.25">
      <c r="A361" s="91" t="s">
        <v>1313</v>
      </c>
      <c r="B361" s="91" t="s">
        <v>1327</v>
      </c>
      <c r="C361" s="91" t="s">
        <v>1748</v>
      </c>
      <c r="D361" s="91" t="s">
        <v>28</v>
      </c>
      <c r="E361" s="91"/>
      <c r="F361">
        <v>1152</v>
      </c>
      <c r="G361">
        <v>24</v>
      </c>
      <c r="H361" s="89">
        <v>46048</v>
      </c>
      <c r="I361" s="89">
        <v>46052</v>
      </c>
      <c r="J361" s="91" t="s">
        <v>1749</v>
      </c>
      <c r="K361" s="91"/>
      <c r="M361" s="91"/>
      <c r="N361" s="91" t="s">
        <v>1750</v>
      </c>
    </row>
    <row r="362" spans="1:14" x14ac:dyDescent="0.25">
      <c r="A362" s="91" t="s">
        <v>1313</v>
      </c>
      <c r="B362" s="91" t="s">
        <v>1327</v>
      </c>
      <c r="C362" s="91" t="s">
        <v>1748</v>
      </c>
      <c r="D362" s="91" t="s">
        <v>28</v>
      </c>
      <c r="E362" s="91"/>
      <c r="F362">
        <v>144</v>
      </c>
      <c r="G362">
        <v>3</v>
      </c>
      <c r="H362" s="89">
        <v>46048</v>
      </c>
      <c r="I362" s="89">
        <v>46054</v>
      </c>
      <c r="J362" s="91" t="s">
        <v>1751</v>
      </c>
      <c r="K362" s="91"/>
      <c r="M362" s="91"/>
      <c r="N362" s="91" t="s">
        <v>1750</v>
      </c>
    </row>
    <row r="363" spans="1:14" x14ac:dyDescent="0.25">
      <c r="A363" s="91" t="s">
        <v>1315</v>
      </c>
      <c r="B363" s="91" t="s">
        <v>1329</v>
      </c>
      <c r="C363" s="91" t="s">
        <v>1748</v>
      </c>
      <c r="D363" s="91" t="s">
        <v>28</v>
      </c>
      <c r="E363" s="91"/>
      <c r="F363">
        <v>16</v>
      </c>
      <c r="G363" t="s">
        <v>1419</v>
      </c>
      <c r="H363" s="89">
        <v>46048</v>
      </c>
      <c r="I363" s="89">
        <v>46049</v>
      </c>
      <c r="J363" s="91"/>
      <c r="K363" s="91"/>
      <c r="M363" s="91"/>
      <c r="N363" s="91" t="s">
        <v>1750</v>
      </c>
    </row>
    <row r="364" spans="1:14" x14ac:dyDescent="0.25">
      <c r="A364" s="91" t="s">
        <v>1316</v>
      </c>
      <c r="B364" s="91" t="s">
        <v>1330</v>
      </c>
      <c r="C364" s="91" t="s">
        <v>1752</v>
      </c>
      <c r="D364" s="91" t="s">
        <v>28</v>
      </c>
      <c r="E364" s="91"/>
      <c r="F364">
        <v>40</v>
      </c>
      <c r="G364" t="s">
        <v>1419</v>
      </c>
      <c r="H364" s="89">
        <v>46048</v>
      </c>
      <c r="I364" s="89">
        <v>46049</v>
      </c>
      <c r="J364" s="91"/>
      <c r="K364" s="91"/>
      <c r="M364" s="91"/>
      <c r="N364" s="91" t="s">
        <v>1750</v>
      </c>
    </row>
    <row r="365" spans="1:14" x14ac:dyDescent="0.25">
      <c r="A365" s="91" t="s">
        <v>1317</v>
      </c>
      <c r="B365" s="91" t="s">
        <v>1331</v>
      </c>
      <c r="C365" s="91" t="s">
        <v>1752</v>
      </c>
      <c r="D365" s="91" t="s">
        <v>28</v>
      </c>
      <c r="E365" s="91"/>
      <c r="F365">
        <v>5</v>
      </c>
      <c r="G365" t="s">
        <v>1419</v>
      </c>
      <c r="H365" s="89">
        <v>46048</v>
      </c>
      <c r="I365" s="89">
        <v>46049</v>
      </c>
      <c r="J365" s="91"/>
      <c r="K365" s="91"/>
      <c r="M365" s="91"/>
      <c r="N365" s="91" t="s">
        <v>1750</v>
      </c>
    </row>
    <row r="366" spans="1:14" x14ac:dyDescent="0.25">
      <c r="A366" s="91" t="s">
        <v>1318</v>
      </c>
      <c r="B366" s="91" t="s">
        <v>1332</v>
      </c>
      <c r="C366" s="91" t="s">
        <v>1753</v>
      </c>
      <c r="D366" s="91" t="s">
        <v>28</v>
      </c>
      <c r="E366" s="91"/>
      <c r="F366">
        <v>56</v>
      </c>
      <c r="G366" t="s">
        <v>1419</v>
      </c>
      <c r="H366" s="89">
        <v>46048</v>
      </c>
      <c r="I366" s="89">
        <v>46049</v>
      </c>
      <c r="J366" s="91"/>
      <c r="K366" s="91"/>
      <c r="M366" s="91"/>
      <c r="N366" s="91" t="s">
        <v>1750</v>
      </c>
    </row>
    <row r="367" spans="1:14" x14ac:dyDescent="0.25">
      <c r="A367" s="91" t="s">
        <v>1313</v>
      </c>
      <c r="B367" s="91" t="s">
        <v>1327</v>
      </c>
      <c r="C367" s="91" t="s">
        <v>1754</v>
      </c>
      <c r="D367" s="91" t="s">
        <v>23</v>
      </c>
      <c r="E367" s="91"/>
      <c r="F367">
        <v>816</v>
      </c>
      <c r="G367">
        <v>17</v>
      </c>
      <c r="H367" s="89">
        <v>46048</v>
      </c>
      <c r="I367" s="89">
        <v>46052</v>
      </c>
      <c r="J367" s="91" t="s">
        <v>1755</v>
      </c>
      <c r="K367" s="91"/>
      <c r="M367" s="91"/>
      <c r="N367" s="91" t="s">
        <v>1750</v>
      </c>
    </row>
    <row r="368" spans="1:14" x14ac:dyDescent="0.25">
      <c r="A368" s="91" t="s">
        <v>1315</v>
      </c>
      <c r="B368" s="91" t="s">
        <v>1329</v>
      </c>
      <c r="C368" s="91" t="s">
        <v>1754</v>
      </c>
      <c r="D368" s="91" t="s">
        <v>23</v>
      </c>
      <c r="E368" s="91"/>
      <c r="F368">
        <v>48</v>
      </c>
      <c r="G368">
        <v>1</v>
      </c>
      <c r="H368" s="89">
        <v>46048</v>
      </c>
      <c r="I368" s="89">
        <v>46049</v>
      </c>
      <c r="J368" s="91"/>
      <c r="K368" s="91"/>
      <c r="M368" s="91"/>
      <c r="N368" s="91" t="s">
        <v>1750</v>
      </c>
    </row>
    <row r="369" spans="1:14" x14ac:dyDescent="0.25">
      <c r="A369" s="91" t="s">
        <v>1314</v>
      </c>
      <c r="B369" s="91" t="s">
        <v>1328</v>
      </c>
      <c r="C369" s="91" t="s">
        <v>1756</v>
      </c>
      <c r="D369" s="91" t="s">
        <v>15</v>
      </c>
      <c r="E369" s="91"/>
      <c r="F369">
        <v>288</v>
      </c>
      <c r="G369">
        <v>6</v>
      </c>
      <c r="H369" s="89">
        <v>46048</v>
      </c>
      <c r="I369" s="89">
        <v>46052</v>
      </c>
      <c r="J369" s="91" t="s">
        <v>1757</v>
      </c>
      <c r="K369" s="91"/>
      <c r="M369" s="91"/>
      <c r="N369" s="91" t="s">
        <v>1750</v>
      </c>
    </row>
    <row r="370" spans="1:14" x14ac:dyDescent="0.25">
      <c r="A370" s="91" t="s">
        <v>1326</v>
      </c>
      <c r="B370" s="91" t="s">
        <v>1340</v>
      </c>
      <c r="C370" s="91" t="s">
        <v>1758</v>
      </c>
      <c r="D370" s="91" t="s">
        <v>32</v>
      </c>
      <c r="E370" s="91"/>
      <c r="F370">
        <v>840</v>
      </c>
      <c r="G370">
        <v>20</v>
      </c>
      <c r="H370" s="89">
        <v>46048</v>
      </c>
      <c r="I370" s="89">
        <v>46052</v>
      </c>
      <c r="J370" s="91" t="s">
        <v>1759</v>
      </c>
      <c r="K370" s="91"/>
      <c r="M370" s="91"/>
      <c r="N370" s="91" t="s">
        <v>1750</v>
      </c>
    </row>
    <row r="371" spans="1:14" x14ac:dyDescent="0.25">
      <c r="A371" s="91" t="s">
        <v>1427</v>
      </c>
      <c r="B371" s="91" t="s">
        <v>1428</v>
      </c>
      <c r="C371" s="91" t="s">
        <v>1760</v>
      </c>
      <c r="D371" s="91" t="s">
        <v>20</v>
      </c>
      <c r="E371" s="91"/>
      <c r="F371">
        <v>756</v>
      </c>
      <c r="G371">
        <v>14</v>
      </c>
      <c r="H371" s="89">
        <v>46048</v>
      </c>
      <c r="I371" s="89">
        <v>46051</v>
      </c>
      <c r="J371" s="91" t="s">
        <v>1761</v>
      </c>
      <c r="K371" s="91"/>
      <c r="M371" s="91"/>
      <c r="N371" s="91" t="s">
        <v>1750</v>
      </c>
    </row>
    <row r="372" spans="1:14" x14ac:dyDescent="0.25">
      <c r="A372" s="91" t="s">
        <v>1322</v>
      </c>
      <c r="B372" s="91" t="s">
        <v>1336</v>
      </c>
      <c r="C372" s="91" t="s">
        <v>1760</v>
      </c>
      <c r="D372" s="91" t="s">
        <v>20</v>
      </c>
      <c r="E372" s="91"/>
      <c r="F372">
        <v>324</v>
      </c>
      <c r="G372">
        <v>6</v>
      </c>
      <c r="H372" s="89">
        <v>46048</v>
      </c>
      <c r="I372" s="89">
        <v>46051</v>
      </c>
      <c r="J372" s="91" t="s">
        <v>1761</v>
      </c>
      <c r="K372" s="91"/>
      <c r="M372" s="91"/>
      <c r="N372" s="91" t="s">
        <v>1750</v>
      </c>
    </row>
    <row r="373" spans="1:14" x14ac:dyDescent="0.25">
      <c r="A373" s="91" t="s">
        <v>1315</v>
      </c>
      <c r="B373" s="91" t="s">
        <v>1329</v>
      </c>
      <c r="C373" s="91" t="s">
        <v>1760</v>
      </c>
      <c r="D373" s="91" t="s">
        <v>20</v>
      </c>
      <c r="E373" s="91"/>
      <c r="F373">
        <v>206</v>
      </c>
      <c r="G373" t="s">
        <v>1419</v>
      </c>
      <c r="H373" s="89">
        <v>46048</v>
      </c>
      <c r="I373" s="89">
        <v>46049</v>
      </c>
      <c r="J373" s="91"/>
      <c r="K373" s="91"/>
      <c r="M373" s="91"/>
      <c r="N373" s="91" t="s">
        <v>1750</v>
      </c>
    </row>
    <row r="374" spans="1:14" x14ac:dyDescent="0.25">
      <c r="A374" s="91" t="s">
        <v>1316</v>
      </c>
      <c r="B374" s="91" t="s">
        <v>1330</v>
      </c>
      <c r="C374" s="91" t="s">
        <v>1762</v>
      </c>
      <c r="D374" s="91" t="s">
        <v>20</v>
      </c>
      <c r="E374" s="91"/>
      <c r="F374">
        <v>90</v>
      </c>
      <c r="G374" t="s">
        <v>1419</v>
      </c>
      <c r="H374" s="89">
        <v>46048</v>
      </c>
      <c r="I374" s="89">
        <v>46049</v>
      </c>
      <c r="J374" s="91"/>
      <c r="K374" s="91"/>
      <c r="M374" s="91"/>
      <c r="N374" s="91" t="s">
        <v>1750</v>
      </c>
    </row>
    <row r="375" spans="1:14" x14ac:dyDescent="0.25">
      <c r="A375" s="91" t="s">
        <v>1317</v>
      </c>
      <c r="B375" s="91" t="s">
        <v>1331</v>
      </c>
      <c r="C375" s="91" t="s">
        <v>1763</v>
      </c>
      <c r="D375" s="91" t="s">
        <v>20</v>
      </c>
      <c r="E375" s="91"/>
      <c r="F375">
        <v>17</v>
      </c>
      <c r="G375" t="s">
        <v>1419</v>
      </c>
      <c r="H375" s="89">
        <v>46048</v>
      </c>
      <c r="I375" s="89">
        <v>46049</v>
      </c>
      <c r="J375" s="91"/>
      <c r="K375" s="91"/>
      <c r="M375" s="91"/>
      <c r="N375" s="91" t="s">
        <v>1750</v>
      </c>
    </row>
    <row r="376" spans="1:14" x14ac:dyDescent="0.25">
      <c r="A376" s="91" t="s">
        <v>1318</v>
      </c>
      <c r="B376" s="91" t="s">
        <v>1332</v>
      </c>
      <c r="C376" s="91" t="s">
        <v>1764</v>
      </c>
      <c r="D376" s="91" t="s">
        <v>20</v>
      </c>
      <c r="E376" s="91"/>
      <c r="F376">
        <v>32</v>
      </c>
      <c r="G376" t="s">
        <v>1419</v>
      </c>
      <c r="H376" s="89">
        <v>46048</v>
      </c>
      <c r="I376" s="89">
        <v>46049</v>
      </c>
      <c r="J376" s="91"/>
      <c r="K376" s="91"/>
      <c r="M376" s="91"/>
      <c r="N376" s="91" t="s">
        <v>1750</v>
      </c>
    </row>
    <row r="377" spans="1:14" x14ac:dyDescent="0.25">
      <c r="A377" s="91" t="s">
        <v>1444</v>
      </c>
      <c r="B377" s="91" t="s">
        <v>1445</v>
      </c>
      <c r="C377" s="91" t="s">
        <v>1756</v>
      </c>
      <c r="D377" s="91" t="s">
        <v>15</v>
      </c>
      <c r="E377" s="91"/>
      <c r="F377">
        <v>156</v>
      </c>
      <c r="G377">
        <v>1</v>
      </c>
      <c r="H377" s="89">
        <v>46048</v>
      </c>
      <c r="I377" s="89">
        <v>46050</v>
      </c>
      <c r="J377" s="91"/>
      <c r="K377" s="91"/>
      <c r="M377" s="91"/>
      <c r="N377" s="91" t="s">
        <v>1750</v>
      </c>
    </row>
    <row r="378" spans="1:14" x14ac:dyDescent="0.25">
      <c r="A378" s="91" t="s">
        <v>1313</v>
      </c>
      <c r="B378" s="91" t="s">
        <v>1327</v>
      </c>
      <c r="C378" s="91" t="s">
        <v>1756</v>
      </c>
      <c r="D378" s="91" t="s">
        <v>15</v>
      </c>
      <c r="E378" s="91"/>
      <c r="F378">
        <v>480</v>
      </c>
      <c r="G378">
        <v>10</v>
      </c>
      <c r="H378" s="89">
        <v>46048</v>
      </c>
      <c r="I378" s="89">
        <v>46050</v>
      </c>
      <c r="J378" s="91"/>
      <c r="K378" s="91"/>
      <c r="M378" s="91"/>
      <c r="N378" s="91" t="s">
        <v>1750</v>
      </c>
    </row>
    <row r="379" spans="1:14" x14ac:dyDescent="0.25">
      <c r="A379" s="91" t="s">
        <v>1315</v>
      </c>
      <c r="B379" s="91" t="s">
        <v>1329</v>
      </c>
      <c r="C379" s="91" t="s">
        <v>1756</v>
      </c>
      <c r="D379" s="91" t="s">
        <v>15</v>
      </c>
      <c r="E379" s="91"/>
      <c r="F379">
        <v>40</v>
      </c>
      <c r="G379" t="s">
        <v>1419</v>
      </c>
      <c r="H379" s="89">
        <v>46048</v>
      </c>
      <c r="I379" s="89">
        <v>46049</v>
      </c>
      <c r="J379" s="91"/>
      <c r="K379" s="91"/>
      <c r="M379" s="91"/>
      <c r="N379" s="91" t="s">
        <v>1750</v>
      </c>
    </row>
    <row r="380" spans="1:14" x14ac:dyDescent="0.25">
      <c r="A380" s="91" t="s">
        <v>1316</v>
      </c>
      <c r="B380" s="91" t="s">
        <v>1330</v>
      </c>
      <c r="C380" s="91" t="s">
        <v>1765</v>
      </c>
      <c r="D380" s="91" t="s">
        <v>15</v>
      </c>
      <c r="E380" s="91"/>
      <c r="F380">
        <v>24</v>
      </c>
      <c r="G380" t="s">
        <v>1419</v>
      </c>
      <c r="H380" s="89">
        <v>46048</v>
      </c>
      <c r="I380" s="89">
        <v>46049</v>
      </c>
      <c r="J380" s="91"/>
      <c r="K380" s="91"/>
      <c r="M380" s="91"/>
      <c r="N380" s="91" t="s">
        <v>1750</v>
      </c>
    </row>
    <row r="381" spans="1:14" x14ac:dyDescent="0.25">
      <c r="A381" s="91" t="s">
        <v>1317</v>
      </c>
      <c r="B381" s="91" t="s">
        <v>1331</v>
      </c>
      <c r="C381" s="91" t="s">
        <v>1766</v>
      </c>
      <c r="D381" s="91" t="s">
        <v>15</v>
      </c>
      <c r="E381" s="91"/>
      <c r="F381">
        <v>7</v>
      </c>
      <c r="G381" t="s">
        <v>1419</v>
      </c>
      <c r="H381" s="89">
        <v>46048</v>
      </c>
      <c r="I381" s="89">
        <v>46049</v>
      </c>
      <c r="J381" s="91"/>
      <c r="K381" s="91"/>
      <c r="M381" s="91"/>
      <c r="N381" s="91" t="s">
        <v>1750</v>
      </c>
    </row>
    <row r="382" spans="1:14" x14ac:dyDescent="0.25">
      <c r="A382" s="91" t="s">
        <v>1318</v>
      </c>
      <c r="B382" s="91" t="s">
        <v>1332</v>
      </c>
      <c r="C382" s="91" t="s">
        <v>1767</v>
      </c>
      <c r="D382" s="91" t="s">
        <v>15</v>
      </c>
      <c r="E382" s="91"/>
      <c r="F382">
        <v>6</v>
      </c>
      <c r="G382" t="s">
        <v>1419</v>
      </c>
      <c r="H382" s="89">
        <v>46048</v>
      </c>
      <c r="I382" s="89">
        <v>46049</v>
      </c>
      <c r="J382" s="91"/>
      <c r="K382" s="91"/>
      <c r="M382" s="91"/>
      <c r="N382" s="91" t="s">
        <v>1750</v>
      </c>
    </row>
    <row r="383" spans="1:14" x14ac:dyDescent="0.25">
      <c r="A383" s="91" t="s">
        <v>1313</v>
      </c>
      <c r="B383" s="91" t="s">
        <v>1327</v>
      </c>
      <c r="C383" s="91" t="s">
        <v>1768</v>
      </c>
      <c r="D383" s="91" t="s">
        <v>23</v>
      </c>
      <c r="E383" s="91"/>
      <c r="F383">
        <v>1147</v>
      </c>
      <c r="G383">
        <v>23.895833333333332</v>
      </c>
      <c r="H383" s="89">
        <v>46049</v>
      </c>
      <c r="I383" s="89">
        <v>46054</v>
      </c>
      <c r="J383" s="91" t="s">
        <v>1769</v>
      </c>
      <c r="K383" s="91"/>
      <c r="M383" s="91"/>
      <c r="N383" s="91" t="s">
        <v>1750</v>
      </c>
    </row>
    <row r="384" spans="1:14" x14ac:dyDescent="0.25">
      <c r="A384" s="91" t="s">
        <v>1566</v>
      </c>
      <c r="B384" s="91" t="s">
        <v>1567</v>
      </c>
      <c r="C384" s="91" t="s">
        <v>1770</v>
      </c>
      <c r="D384" s="91" t="s">
        <v>15</v>
      </c>
      <c r="E384" s="91"/>
      <c r="F384">
        <v>5</v>
      </c>
      <c r="G384">
        <v>0.10416666666666669</v>
      </c>
      <c r="H384" s="89">
        <v>46049</v>
      </c>
      <c r="I384" s="89">
        <v>46054</v>
      </c>
      <c r="J384" s="91" t="s">
        <v>1771</v>
      </c>
      <c r="K384" s="91"/>
      <c r="M384" s="91"/>
      <c r="N384" s="91" t="s">
        <v>1750</v>
      </c>
    </row>
    <row r="385" spans="1:14" x14ac:dyDescent="0.25">
      <c r="A385" s="91" t="s">
        <v>1313</v>
      </c>
      <c r="B385" s="91" t="s">
        <v>1327</v>
      </c>
      <c r="C385" s="91" t="s">
        <v>1768</v>
      </c>
      <c r="D385" s="91" t="s">
        <v>23</v>
      </c>
      <c r="E385" s="91"/>
      <c r="F385">
        <v>5</v>
      </c>
      <c r="G385">
        <v>0.10416666666666669</v>
      </c>
      <c r="H385" s="89">
        <v>46049</v>
      </c>
      <c r="I385" s="89">
        <v>46049</v>
      </c>
      <c r="J385" s="91"/>
      <c r="K385" s="91"/>
      <c r="M385" s="91"/>
      <c r="N385" s="91" t="s">
        <v>1750</v>
      </c>
    </row>
    <row r="386" spans="1:14" x14ac:dyDescent="0.25">
      <c r="A386" s="91" t="s">
        <v>1313</v>
      </c>
      <c r="B386" s="91" t="s">
        <v>1327</v>
      </c>
      <c r="C386" s="91" t="s">
        <v>1770</v>
      </c>
      <c r="D386" s="91" t="s">
        <v>15</v>
      </c>
      <c r="E386" s="91"/>
      <c r="F386">
        <v>768</v>
      </c>
      <c r="G386">
        <v>15.895833333333334</v>
      </c>
      <c r="H386" s="89">
        <v>46049</v>
      </c>
      <c r="I386" s="89">
        <v>46049</v>
      </c>
      <c r="J386" s="91"/>
      <c r="K386" s="91"/>
      <c r="M386" s="91"/>
      <c r="N386" s="91" t="s">
        <v>1750</v>
      </c>
    </row>
    <row r="387" spans="1:14" x14ac:dyDescent="0.25">
      <c r="A387" s="91" t="s">
        <v>1313</v>
      </c>
      <c r="B387" s="91" t="s">
        <v>1327</v>
      </c>
      <c r="C387" s="91" t="s">
        <v>1770</v>
      </c>
      <c r="D387" s="91" t="s">
        <v>15</v>
      </c>
      <c r="E387" s="91"/>
      <c r="F387">
        <v>48</v>
      </c>
      <c r="G387">
        <v>1</v>
      </c>
      <c r="H387" s="89">
        <v>46049</v>
      </c>
      <c r="I387" s="89">
        <v>46052</v>
      </c>
      <c r="J387" s="91" t="s">
        <v>1755</v>
      </c>
      <c r="K387" s="91"/>
      <c r="M387" s="91"/>
      <c r="N387" s="91" t="s">
        <v>1750</v>
      </c>
    </row>
    <row r="388" spans="1:14" x14ac:dyDescent="0.25">
      <c r="A388" s="91" t="s">
        <v>1315</v>
      </c>
      <c r="B388" s="91" t="s">
        <v>1329</v>
      </c>
      <c r="C388" s="91" t="s">
        <v>1770</v>
      </c>
      <c r="D388" s="91" t="s">
        <v>15</v>
      </c>
      <c r="E388" s="91"/>
      <c r="F388">
        <v>221</v>
      </c>
      <c r="G388" t="s">
        <v>1419</v>
      </c>
      <c r="H388" s="89">
        <v>46049</v>
      </c>
      <c r="I388" s="89">
        <v>46049</v>
      </c>
      <c r="J388" s="91"/>
      <c r="K388" s="91"/>
      <c r="M388" s="91"/>
      <c r="N388" s="91" t="s">
        <v>1750</v>
      </c>
    </row>
    <row r="389" spans="1:14" x14ac:dyDescent="0.25">
      <c r="A389" s="91" t="s">
        <v>1313</v>
      </c>
      <c r="B389" s="91" t="s">
        <v>1327</v>
      </c>
      <c r="C389" s="91" t="s">
        <v>1770</v>
      </c>
      <c r="D389" s="91" t="s">
        <v>15</v>
      </c>
      <c r="E389" s="91"/>
      <c r="F389">
        <v>144</v>
      </c>
      <c r="G389">
        <v>3</v>
      </c>
      <c r="H389" s="89">
        <v>46049</v>
      </c>
      <c r="I389" s="89">
        <v>46053</v>
      </c>
      <c r="J389" s="91" t="s">
        <v>1772</v>
      </c>
      <c r="K389" s="91"/>
      <c r="M389" s="91"/>
      <c r="N389" s="91" t="s">
        <v>1750</v>
      </c>
    </row>
    <row r="390" spans="1:14" x14ac:dyDescent="0.25">
      <c r="A390" s="91" t="s">
        <v>1313</v>
      </c>
      <c r="B390" s="91" t="s">
        <v>1327</v>
      </c>
      <c r="C390" s="91" t="s">
        <v>1770</v>
      </c>
      <c r="D390" s="91" t="s">
        <v>15</v>
      </c>
      <c r="E390" s="91"/>
      <c r="F390">
        <v>96</v>
      </c>
      <c r="G390">
        <v>2</v>
      </c>
      <c r="H390" s="89">
        <v>46049</v>
      </c>
      <c r="I390" s="89">
        <v>46054</v>
      </c>
      <c r="J390" s="91" t="s">
        <v>1751</v>
      </c>
      <c r="K390" s="91"/>
      <c r="M390" s="91"/>
      <c r="N390" s="91" t="s">
        <v>1750</v>
      </c>
    </row>
    <row r="391" spans="1:14" x14ac:dyDescent="0.25">
      <c r="A391" s="91" t="s">
        <v>1316</v>
      </c>
      <c r="B391" s="91" t="s">
        <v>1330</v>
      </c>
      <c r="C391" s="91" t="s">
        <v>1773</v>
      </c>
      <c r="D391" s="91" t="s">
        <v>15</v>
      </c>
      <c r="E391" s="91"/>
      <c r="F391">
        <v>29</v>
      </c>
      <c r="G391" t="s">
        <v>1419</v>
      </c>
      <c r="H391" s="89">
        <v>46049</v>
      </c>
      <c r="I391" s="89">
        <v>46049</v>
      </c>
      <c r="J391" s="91"/>
      <c r="K391" s="91"/>
      <c r="M391" s="91"/>
      <c r="N391" s="91" t="s">
        <v>1750</v>
      </c>
    </row>
    <row r="392" spans="1:14" x14ac:dyDescent="0.25">
      <c r="A392" s="91" t="s">
        <v>1317</v>
      </c>
      <c r="B392" s="91" t="s">
        <v>1331</v>
      </c>
      <c r="C392" s="91" t="s">
        <v>1774</v>
      </c>
      <c r="D392" s="91" t="s">
        <v>15</v>
      </c>
      <c r="E392" s="91"/>
      <c r="F392">
        <v>15</v>
      </c>
      <c r="G392" t="s">
        <v>1419</v>
      </c>
      <c r="H392" s="89">
        <v>46049</v>
      </c>
      <c r="I392" s="89">
        <v>46049</v>
      </c>
      <c r="J392" s="91"/>
      <c r="K392" s="91"/>
      <c r="M392" s="91"/>
      <c r="N392" s="91" t="s">
        <v>1750</v>
      </c>
    </row>
    <row r="393" spans="1:14" x14ac:dyDescent="0.25">
      <c r="A393" s="91" t="s">
        <v>1318</v>
      </c>
      <c r="B393" s="91" t="s">
        <v>1332</v>
      </c>
      <c r="C393" s="91" t="s">
        <v>1775</v>
      </c>
      <c r="D393" s="91" t="s">
        <v>15</v>
      </c>
      <c r="E393" s="91"/>
      <c r="F393">
        <v>28</v>
      </c>
      <c r="G393" t="s">
        <v>1419</v>
      </c>
      <c r="H393" s="89">
        <v>46049</v>
      </c>
      <c r="I393" s="89">
        <v>46049</v>
      </c>
      <c r="J393" s="91"/>
      <c r="K393" s="91"/>
      <c r="M393" s="91"/>
      <c r="N393" s="91" t="s">
        <v>1750</v>
      </c>
    </row>
    <row r="394" spans="1:14" x14ac:dyDescent="0.25">
      <c r="A394" s="91" t="s">
        <v>1313</v>
      </c>
      <c r="B394" s="91" t="s">
        <v>1327</v>
      </c>
      <c r="C394" s="91" t="s">
        <v>1776</v>
      </c>
      <c r="D394" s="91" t="s">
        <v>28</v>
      </c>
      <c r="E394" s="91"/>
      <c r="F394">
        <v>1008</v>
      </c>
      <c r="G394">
        <v>21</v>
      </c>
      <c r="H394" s="89">
        <v>46049</v>
      </c>
      <c r="I394" s="89">
        <v>46053</v>
      </c>
      <c r="J394" s="91" t="s">
        <v>1772</v>
      </c>
      <c r="K394" s="91"/>
      <c r="M394" s="91"/>
      <c r="N394" s="91" t="s">
        <v>1750</v>
      </c>
    </row>
    <row r="395" spans="1:14" x14ac:dyDescent="0.25">
      <c r="A395" s="91" t="s">
        <v>1315</v>
      </c>
      <c r="B395" s="91" t="s">
        <v>1329</v>
      </c>
      <c r="C395" s="91" t="s">
        <v>1776</v>
      </c>
      <c r="D395" s="91" t="s">
        <v>28</v>
      </c>
      <c r="E395" s="91"/>
      <c r="F395">
        <v>400</v>
      </c>
      <c r="G395" t="s">
        <v>1419</v>
      </c>
      <c r="H395" s="89">
        <v>46049</v>
      </c>
      <c r="I395" s="89">
        <v>46049</v>
      </c>
      <c r="J395" s="91"/>
      <c r="K395" s="91"/>
      <c r="M395" s="91"/>
      <c r="N395" s="91" t="s">
        <v>1750</v>
      </c>
    </row>
    <row r="396" spans="1:14" x14ac:dyDescent="0.25">
      <c r="A396" s="91" t="s">
        <v>1316</v>
      </c>
      <c r="B396" s="91" t="s">
        <v>1330</v>
      </c>
      <c r="C396" s="91" t="s">
        <v>1777</v>
      </c>
      <c r="D396" s="91" t="s">
        <v>28</v>
      </c>
      <c r="E396" s="91"/>
      <c r="F396">
        <v>32</v>
      </c>
      <c r="G396" t="s">
        <v>1419</v>
      </c>
      <c r="H396" s="89">
        <v>46049</v>
      </c>
      <c r="I396" s="89">
        <v>46049</v>
      </c>
      <c r="J396" s="91"/>
      <c r="K396" s="91"/>
      <c r="M396" s="91"/>
      <c r="N396" s="91" t="s">
        <v>1750</v>
      </c>
    </row>
    <row r="397" spans="1:14" x14ac:dyDescent="0.25">
      <c r="A397" s="91" t="s">
        <v>1317</v>
      </c>
      <c r="B397" s="91" t="s">
        <v>1331</v>
      </c>
      <c r="C397" s="91" t="s">
        <v>1777</v>
      </c>
      <c r="D397" s="91" t="s">
        <v>28</v>
      </c>
      <c r="E397" s="91"/>
      <c r="F397">
        <v>9</v>
      </c>
      <c r="G397" t="s">
        <v>1419</v>
      </c>
      <c r="H397" s="89">
        <v>46049</v>
      </c>
      <c r="I397" s="89">
        <v>46049</v>
      </c>
      <c r="J397" s="91"/>
      <c r="K397" s="91"/>
      <c r="M397" s="91"/>
      <c r="N397" s="91" t="s">
        <v>1750</v>
      </c>
    </row>
    <row r="398" spans="1:14" x14ac:dyDescent="0.25">
      <c r="A398" s="91" t="s">
        <v>1318</v>
      </c>
      <c r="B398" s="91" t="s">
        <v>1332</v>
      </c>
      <c r="C398" s="91" t="s">
        <v>1778</v>
      </c>
      <c r="D398" s="91" t="s">
        <v>28</v>
      </c>
      <c r="E398" s="91"/>
      <c r="F398">
        <v>59</v>
      </c>
      <c r="G398" t="s">
        <v>1419</v>
      </c>
      <c r="H398" s="89">
        <v>46049</v>
      </c>
      <c r="I398" s="89">
        <v>46049</v>
      </c>
      <c r="J398" s="91"/>
      <c r="K398" s="91"/>
      <c r="M398" s="91"/>
      <c r="N398" s="91" t="s">
        <v>1750</v>
      </c>
    </row>
    <row r="399" spans="1:14" x14ac:dyDescent="0.25">
      <c r="A399" s="91" t="s">
        <v>1324</v>
      </c>
      <c r="B399" s="91" t="s">
        <v>1338</v>
      </c>
      <c r="C399" s="91" t="s">
        <v>1779</v>
      </c>
      <c r="D399" s="91" t="s">
        <v>147</v>
      </c>
      <c r="E399" s="91"/>
      <c r="F399">
        <v>624</v>
      </c>
      <c r="G399">
        <v>13</v>
      </c>
      <c r="H399" s="89">
        <v>46049</v>
      </c>
      <c r="I399" s="89">
        <v>46055</v>
      </c>
      <c r="J399" s="91" t="s">
        <v>1780</v>
      </c>
      <c r="K399" s="91"/>
      <c r="M399" s="91"/>
      <c r="N399" s="91" t="s">
        <v>1750</v>
      </c>
    </row>
    <row r="400" spans="1:14" x14ac:dyDescent="0.25">
      <c r="A400" s="91" t="s">
        <v>1324</v>
      </c>
      <c r="B400" s="91" t="s">
        <v>1338</v>
      </c>
      <c r="C400" s="91" t="s">
        <v>1781</v>
      </c>
      <c r="D400" s="91" t="s">
        <v>13</v>
      </c>
      <c r="E400" s="91"/>
      <c r="F400">
        <v>336</v>
      </c>
      <c r="G400">
        <v>7</v>
      </c>
      <c r="H400" s="89">
        <v>46049</v>
      </c>
      <c r="I400" s="89">
        <v>46055</v>
      </c>
      <c r="J400" s="91" t="s">
        <v>1780</v>
      </c>
      <c r="K400" s="91"/>
      <c r="M400" s="91"/>
      <c r="N400" s="91" t="s">
        <v>1750</v>
      </c>
    </row>
    <row r="401" spans="1:14" x14ac:dyDescent="0.25">
      <c r="A401" s="91" t="s">
        <v>1315</v>
      </c>
      <c r="B401" s="91" t="s">
        <v>1329</v>
      </c>
      <c r="C401" s="91" t="s">
        <v>1782</v>
      </c>
      <c r="D401" s="91" t="s">
        <v>20</v>
      </c>
      <c r="E401" s="91"/>
      <c r="F401">
        <v>1155</v>
      </c>
      <c r="G401" t="s">
        <v>1419</v>
      </c>
      <c r="H401" s="89">
        <v>46049</v>
      </c>
      <c r="I401" s="89">
        <v>46050</v>
      </c>
      <c r="J401" s="91"/>
      <c r="K401" s="91"/>
      <c r="M401" s="91"/>
      <c r="N401" s="91" t="s">
        <v>1750</v>
      </c>
    </row>
    <row r="402" spans="1:14" x14ac:dyDescent="0.25">
      <c r="A402" s="91" t="s">
        <v>1316</v>
      </c>
      <c r="B402" s="91" t="s">
        <v>1330</v>
      </c>
      <c r="C402" s="91" t="s">
        <v>1783</v>
      </c>
      <c r="D402" s="91" t="s">
        <v>20</v>
      </c>
      <c r="E402" s="91"/>
      <c r="F402">
        <v>113</v>
      </c>
      <c r="G402" t="s">
        <v>1419</v>
      </c>
      <c r="H402" s="89">
        <v>46049</v>
      </c>
      <c r="I402" s="89">
        <v>46050</v>
      </c>
      <c r="J402" s="91"/>
      <c r="K402" s="91"/>
      <c r="M402" s="91"/>
      <c r="N402" s="91" t="s">
        <v>1750</v>
      </c>
    </row>
    <row r="403" spans="1:14" x14ac:dyDescent="0.25">
      <c r="A403" s="91" t="s">
        <v>1317</v>
      </c>
      <c r="B403" s="91" t="s">
        <v>1331</v>
      </c>
      <c r="C403" s="91" t="s">
        <v>1784</v>
      </c>
      <c r="D403" s="91" t="s">
        <v>20</v>
      </c>
      <c r="E403" s="91"/>
      <c r="F403">
        <v>7</v>
      </c>
      <c r="G403" t="s">
        <v>1419</v>
      </c>
      <c r="H403" s="89">
        <v>46049</v>
      </c>
      <c r="I403" s="89">
        <v>46050</v>
      </c>
      <c r="J403" s="91"/>
      <c r="K403" s="91"/>
      <c r="M403" s="91"/>
      <c r="N403" s="91" t="s">
        <v>1750</v>
      </c>
    </row>
    <row r="404" spans="1:14" x14ac:dyDescent="0.25">
      <c r="A404" s="91" t="s">
        <v>1318</v>
      </c>
      <c r="B404" s="91" t="s">
        <v>1332</v>
      </c>
      <c r="C404" s="91" t="s">
        <v>1785</v>
      </c>
      <c r="D404" s="91" t="s">
        <v>20</v>
      </c>
      <c r="E404" s="91"/>
      <c r="F404">
        <v>53</v>
      </c>
      <c r="G404" t="s">
        <v>1419</v>
      </c>
      <c r="H404" s="89">
        <v>46049</v>
      </c>
      <c r="I404" s="89">
        <v>46050</v>
      </c>
      <c r="J404" s="91"/>
      <c r="K404" s="91"/>
      <c r="M404" s="91"/>
      <c r="N404" s="91" t="s">
        <v>1750</v>
      </c>
    </row>
    <row r="405" spans="1:14" x14ac:dyDescent="0.25">
      <c r="A405" s="91" t="s">
        <v>1313</v>
      </c>
      <c r="B405" s="91" t="s">
        <v>1327</v>
      </c>
      <c r="C405" s="91" t="s">
        <v>1786</v>
      </c>
      <c r="D405" s="91" t="s">
        <v>15</v>
      </c>
      <c r="E405" s="91"/>
      <c r="F405">
        <v>912</v>
      </c>
      <c r="G405">
        <v>19</v>
      </c>
      <c r="H405" s="89">
        <v>46050</v>
      </c>
      <c r="I405" s="89">
        <v>46054</v>
      </c>
      <c r="J405" s="91" t="s">
        <v>1751</v>
      </c>
      <c r="K405" s="91"/>
      <c r="M405" s="91"/>
      <c r="N405" s="91" t="s">
        <v>1750</v>
      </c>
    </row>
    <row r="406" spans="1:14" x14ac:dyDescent="0.25">
      <c r="A406" s="91" t="s">
        <v>1313</v>
      </c>
      <c r="B406" s="91" t="s">
        <v>1327</v>
      </c>
      <c r="C406" s="91" t="s">
        <v>1786</v>
      </c>
      <c r="D406" s="91" t="s">
        <v>15</v>
      </c>
      <c r="E406" s="91"/>
      <c r="F406">
        <v>384</v>
      </c>
      <c r="G406">
        <v>8</v>
      </c>
      <c r="H406" s="89">
        <v>46050</v>
      </c>
      <c r="I406" s="89">
        <v>46052</v>
      </c>
      <c r="J406" s="91"/>
      <c r="K406" s="91"/>
      <c r="M406" s="91"/>
      <c r="N406" s="91" t="s">
        <v>1750</v>
      </c>
    </row>
    <row r="407" spans="1:14" x14ac:dyDescent="0.25">
      <c r="A407" s="91" t="s">
        <v>1315</v>
      </c>
      <c r="B407" s="91" t="s">
        <v>1329</v>
      </c>
      <c r="C407" s="91" t="s">
        <v>1786</v>
      </c>
      <c r="D407" s="91" t="s">
        <v>15</v>
      </c>
      <c r="E407" s="91"/>
      <c r="F407">
        <v>44</v>
      </c>
      <c r="G407" t="s">
        <v>1419</v>
      </c>
      <c r="H407" s="89">
        <v>46050</v>
      </c>
      <c r="I407" s="89">
        <v>46050</v>
      </c>
      <c r="J407" s="91"/>
      <c r="K407" s="91"/>
      <c r="M407" s="91"/>
      <c r="N407" s="91" t="s">
        <v>1750</v>
      </c>
    </row>
    <row r="408" spans="1:14" x14ac:dyDescent="0.25">
      <c r="A408" s="91" t="s">
        <v>1316</v>
      </c>
      <c r="B408" s="91" t="s">
        <v>1330</v>
      </c>
      <c r="C408" s="91" t="s">
        <v>1787</v>
      </c>
      <c r="D408" s="91" t="s">
        <v>15</v>
      </c>
      <c r="E408" s="91"/>
      <c r="F408">
        <v>28</v>
      </c>
      <c r="G408" t="s">
        <v>1419</v>
      </c>
      <c r="H408" s="89">
        <v>46050</v>
      </c>
      <c r="I408" s="89">
        <v>46050</v>
      </c>
      <c r="J408" s="91"/>
      <c r="K408" s="91"/>
      <c r="M408" s="91"/>
      <c r="N408" s="91" t="s">
        <v>1750</v>
      </c>
    </row>
    <row r="409" spans="1:14" x14ac:dyDescent="0.25">
      <c r="A409" s="91" t="s">
        <v>1317</v>
      </c>
      <c r="B409" s="91" t="s">
        <v>1331</v>
      </c>
      <c r="C409" s="91" t="s">
        <v>1788</v>
      </c>
      <c r="D409" s="91" t="s">
        <v>15</v>
      </c>
      <c r="E409" s="91"/>
      <c r="F409">
        <v>12</v>
      </c>
      <c r="G409" t="s">
        <v>1419</v>
      </c>
      <c r="H409" s="89">
        <v>46050</v>
      </c>
      <c r="I409" s="89">
        <v>46050</v>
      </c>
      <c r="J409" s="91"/>
      <c r="K409" s="91"/>
      <c r="M409" s="91"/>
      <c r="N409" s="91" t="s">
        <v>1750</v>
      </c>
    </row>
    <row r="410" spans="1:14" x14ac:dyDescent="0.25">
      <c r="A410" s="91" t="s">
        <v>1318</v>
      </c>
      <c r="B410" s="91" t="s">
        <v>1332</v>
      </c>
      <c r="C410" s="91" t="s">
        <v>1789</v>
      </c>
      <c r="D410" s="91" t="s">
        <v>15</v>
      </c>
      <c r="E410" s="91"/>
      <c r="F410">
        <v>21</v>
      </c>
      <c r="G410" t="s">
        <v>1419</v>
      </c>
      <c r="H410" s="89">
        <v>46050</v>
      </c>
      <c r="I410" s="89">
        <v>46050</v>
      </c>
      <c r="J410" s="91"/>
      <c r="K410" s="91"/>
      <c r="M410" s="91"/>
      <c r="N410" s="91" t="s">
        <v>1750</v>
      </c>
    </row>
    <row r="411" spans="1:14" x14ac:dyDescent="0.25">
      <c r="A411" s="91" t="s">
        <v>1315</v>
      </c>
      <c r="B411" s="91" t="s">
        <v>1329</v>
      </c>
      <c r="C411" s="91" t="s">
        <v>1790</v>
      </c>
      <c r="D411" s="91" t="s">
        <v>20</v>
      </c>
      <c r="E411" s="91"/>
      <c r="F411">
        <v>1155</v>
      </c>
      <c r="G411" t="s">
        <v>1419</v>
      </c>
      <c r="H411" s="89">
        <v>46050</v>
      </c>
      <c r="I411" s="89">
        <v>46052</v>
      </c>
      <c r="J411" s="91"/>
      <c r="K411" s="91"/>
      <c r="M411" s="91"/>
      <c r="N411" s="91" t="s">
        <v>1750</v>
      </c>
    </row>
    <row r="412" spans="1:14" x14ac:dyDescent="0.25">
      <c r="A412" s="91" t="s">
        <v>1316</v>
      </c>
      <c r="B412" s="91" t="s">
        <v>1330</v>
      </c>
      <c r="C412" s="91" t="s">
        <v>1791</v>
      </c>
      <c r="D412" s="91" t="s">
        <v>20</v>
      </c>
      <c r="E412" s="91"/>
      <c r="F412">
        <v>107</v>
      </c>
      <c r="G412" t="s">
        <v>1419</v>
      </c>
      <c r="H412" s="89">
        <v>46050</v>
      </c>
      <c r="I412" s="89">
        <v>46052</v>
      </c>
      <c r="J412" s="91"/>
      <c r="K412" s="91"/>
      <c r="M412" s="91"/>
      <c r="N412" s="91" t="s">
        <v>1750</v>
      </c>
    </row>
    <row r="413" spans="1:14" x14ac:dyDescent="0.25">
      <c r="A413" s="91" t="s">
        <v>1317</v>
      </c>
      <c r="B413" s="91" t="s">
        <v>1331</v>
      </c>
      <c r="C413" s="91" t="s">
        <v>1792</v>
      </c>
      <c r="D413" s="91" t="s">
        <v>20</v>
      </c>
      <c r="E413" s="91"/>
      <c r="F413">
        <v>3</v>
      </c>
      <c r="G413" t="s">
        <v>1419</v>
      </c>
      <c r="H413" s="89">
        <v>46050</v>
      </c>
      <c r="I413" s="89">
        <v>46052</v>
      </c>
      <c r="J413" s="91"/>
      <c r="K413" s="91"/>
      <c r="M413" s="91"/>
      <c r="N413" s="91" t="s">
        <v>1750</v>
      </c>
    </row>
    <row r="414" spans="1:14" x14ac:dyDescent="0.25">
      <c r="A414" s="91" t="s">
        <v>1318</v>
      </c>
      <c r="B414" s="91" t="s">
        <v>1332</v>
      </c>
      <c r="C414" s="91" t="s">
        <v>1793</v>
      </c>
      <c r="D414" s="91" t="s">
        <v>20</v>
      </c>
      <c r="E414" s="91"/>
      <c r="F414">
        <v>59</v>
      </c>
      <c r="G414" t="s">
        <v>1419</v>
      </c>
      <c r="H414" s="89">
        <v>46050</v>
      </c>
      <c r="I414" s="89">
        <v>46052</v>
      </c>
      <c r="J414" s="91"/>
      <c r="K414" s="91"/>
      <c r="M414" s="91"/>
      <c r="N414" s="91" t="s">
        <v>1750</v>
      </c>
    </row>
    <row r="415" spans="1:14" x14ac:dyDescent="0.25">
      <c r="A415" s="91" t="s">
        <v>1325</v>
      </c>
      <c r="B415" s="91" t="s">
        <v>1339</v>
      </c>
      <c r="C415" s="91" t="s">
        <v>1794</v>
      </c>
      <c r="D415" s="91" t="s">
        <v>138</v>
      </c>
      <c r="E415" s="91"/>
      <c r="F415">
        <v>576</v>
      </c>
      <c r="G415">
        <v>12</v>
      </c>
      <c r="H415" s="89">
        <v>46050</v>
      </c>
      <c r="I415" s="89">
        <v>46052</v>
      </c>
      <c r="J415" s="91"/>
      <c r="K415" s="91"/>
      <c r="M415" s="91"/>
      <c r="N415" s="91" t="s">
        <v>1750</v>
      </c>
    </row>
    <row r="416" spans="1:14" x14ac:dyDescent="0.25">
      <c r="A416" s="91" t="s">
        <v>1313</v>
      </c>
      <c r="B416" s="91" t="s">
        <v>1327</v>
      </c>
      <c r="C416" s="91" t="s">
        <v>1795</v>
      </c>
      <c r="D416" s="91" t="s">
        <v>23</v>
      </c>
      <c r="E416" s="91"/>
      <c r="F416">
        <v>672</v>
      </c>
      <c r="G416">
        <v>14</v>
      </c>
      <c r="H416" s="89">
        <v>46050</v>
      </c>
      <c r="I416" s="89">
        <v>46052</v>
      </c>
      <c r="J416" s="91"/>
      <c r="K416" s="91"/>
      <c r="M416" s="91"/>
      <c r="N416" s="91" t="s">
        <v>1750</v>
      </c>
    </row>
    <row r="417" spans="1:14" x14ac:dyDescent="0.25">
      <c r="A417" s="91" t="s">
        <v>1444</v>
      </c>
      <c r="B417" s="91" t="s">
        <v>1445</v>
      </c>
      <c r="C417" s="91" t="s">
        <v>1796</v>
      </c>
      <c r="D417" s="91" t="s">
        <v>21</v>
      </c>
      <c r="E417" s="91"/>
      <c r="F417">
        <v>132</v>
      </c>
      <c r="G417">
        <v>1</v>
      </c>
      <c r="H417" s="89">
        <v>46050</v>
      </c>
      <c r="I417" s="89">
        <v>46053</v>
      </c>
      <c r="J417" s="91"/>
      <c r="K417" s="91"/>
      <c r="M417" s="91"/>
      <c r="N417" s="91" t="s">
        <v>1750</v>
      </c>
    </row>
    <row r="418" spans="1:14" x14ac:dyDescent="0.25">
      <c r="A418" s="91" t="s">
        <v>1313</v>
      </c>
      <c r="B418" s="91" t="s">
        <v>1327</v>
      </c>
      <c r="C418" s="91" t="s">
        <v>1796</v>
      </c>
      <c r="D418" s="91" t="s">
        <v>21</v>
      </c>
      <c r="E418" s="91"/>
      <c r="F418">
        <v>1248</v>
      </c>
      <c r="G418">
        <v>26</v>
      </c>
      <c r="H418" s="89">
        <v>46050</v>
      </c>
      <c r="I418" s="89">
        <v>46052</v>
      </c>
      <c r="J418" s="91"/>
      <c r="K418" s="91"/>
      <c r="M418" s="91"/>
      <c r="N418" s="91" t="s">
        <v>1750</v>
      </c>
    </row>
    <row r="419" spans="1:14" x14ac:dyDescent="0.25">
      <c r="A419" s="91" t="s">
        <v>1315</v>
      </c>
      <c r="B419" s="91" t="s">
        <v>1329</v>
      </c>
      <c r="C419" s="91" t="s">
        <v>1796</v>
      </c>
      <c r="D419" s="91" t="s">
        <v>21</v>
      </c>
      <c r="E419" s="91"/>
      <c r="F419">
        <v>163</v>
      </c>
      <c r="G419" t="s">
        <v>1419</v>
      </c>
      <c r="H419" s="89">
        <v>46050</v>
      </c>
      <c r="I419" s="89">
        <v>46051</v>
      </c>
      <c r="J419" s="91"/>
      <c r="K419" s="91"/>
      <c r="M419" s="91"/>
      <c r="N419" s="91" t="s">
        <v>1750</v>
      </c>
    </row>
    <row r="420" spans="1:14" x14ac:dyDescent="0.25">
      <c r="A420" s="91" t="s">
        <v>1316</v>
      </c>
      <c r="B420" s="91" t="s">
        <v>1330</v>
      </c>
      <c r="C420" s="91" t="s">
        <v>1797</v>
      </c>
      <c r="D420" s="91" t="s">
        <v>21</v>
      </c>
      <c r="E420" s="91"/>
      <c r="F420">
        <v>39</v>
      </c>
      <c r="G420" t="s">
        <v>1419</v>
      </c>
      <c r="H420" s="89">
        <v>46050</v>
      </c>
      <c r="I420" s="89">
        <v>46050</v>
      </c>
      <c r="J420" s="91"/>
      <c r="K420" s="91"/>
      <c r="M420" s="91"/>
      <c r="N420" s="91" t="s">
        <v>1750</v>
      </c>
    </row>
    <row r="421" spans="1:14" x14ac:dyDescent="0.25">
      <c r="A421" s="91" t="s">
        <v>1317</v>
      </c>
      <c r="B421" s="91" t="s">
        <v>1331</v>
      </c>
      <c r="C421" s="91" t="s">
        <v>1798</v>
      </c>
      <c r="D421" s="91" t="s">
        <v>21</v>
      </c>
      <c r="E421" s="91"/>
      <c r="F421">
        <v>24</v>
      </c>
      <c r="G421" t="s">
        <v>1419</v>
      </c>
      <c r="H421" s="89">
        <v>46050</v>
      </c>
      <c r="I421" s="89">
        <v>46050</v>
      </c>
      <c r="J421" s="91"/>
      <c r="K421" s="91"/>
      <c r="M421" s="91"/>
      <c r="N421" s="91" t="s">
        <v>1750</v>
      </c>
    </row>
    <row r="422" spans="1:14" x14ac:dyDescent="0.25">
      <c r="A422" s="91" t="s">
        <v>1318</v>
      </c>
      <c r="B422" s="91" t="s">
        <v>1332</v>
      </c>
      <c r="C422" s="91" t="s">
        <v>1799</v>
      </c>
      <c r="D422" s="91" t="s">
        <v>21</v>
      </c>
      <c r="E422" s="91"/>
      <c r="F422">
        <v>65</v>
      </c>
      <c r="G422" t="s">
        <v>1419</v>
      </c>
      <c r="H422" s="89">
        <v>46050</v>
      </c>
      <c r="I422" s="89">
        <v>46050</v>
      </c>
      <c r="J422" s="91"/>
      <c r="K422" s="91"/>
      <c r="M422" s="91"/>
      <c r="N422" s="91" t="s">
        <v>1750</v>
      </c>
    </row>
    <row r="423" spans="1:14" x14ac:dyDescent="0.25">
      <c r="A423" s="91" t="s">
        <v>1313</v>
      </c>
      <c r="B423" s="91" t="s">
        <v>1327</v>
      </c>
      <c r="C423" s="91" t="s">
        <v>1800</v>
      </c>
      <c r="D423" s="91" t="s">
        <v>21</v>
      </c>
      <c r="E423" s="91"/>
      <c r="F423">
        <v>1152</v>
      </c>
      <c r="G423">
        <v>24</v>
      </c>
      <c r="H423" s="89">
        <v>46051</v>
      </c>
      <c r="I423" s="89">
        <v>46055</v>
      </c>
      <c r="J423" s="91" t="s">
        <v>1801</v>
      </c>
      <c r="K423" s="91"/>
      <c r="M423" s="91"/>
      <c r="N423" s="91" t="s">
        <v>1750</v>
      </c>
    </row>
    <row r="424" spans="1:14" x14ac:dyDescent="0.25">
      <c r="A424" s="91" t="s">
        <v>1313</v>
      </c>
      <c r="B424" s="91" t="s">
        <v>1327</v>
      </c>
      <c r="C424" s="91" t="s">
        <v>1800</v>
      </c>
      <c r="D424" s="91" t="s">
        <v>21</v>
      </c>
      <c r="E424" s="91"/>
      <c r="F424">
        <v>336</v>
      </c>
      <c r="G424">
        <v>7</v>
      </c>
      <c r="H424" s="89">
        <v>46051</v>
      </c>
      <c r="I424" s="89">
        <v>46053</v>
      </c>
      <c r="J424" s="91"/>
      <c r="K424" s="91"/>
      <c r="M424" s="91"/>
      <c r="N424" s="91" t="s">
        <v>1750</v>
      </c>
    </row>
    <row r="425" spans="1:14" x14ac:dyDescent="0.25">
      <c r="A425" s="91" t="s">
        <v>1315</v>
      </c>
      <c r="B425" s="91" t="s">
        <v>1329</v>
      </c>
      <c r="C425" s="91" t="s">
        <v>1800</v>
      </c>
      <c r="D425" s="91" t="s">
        <v>21</v>
      </c>
      <c r="E425" s="91"/>
      <c r="F425">
        <v>50</v>
      </c>
      <c r="G425" t="s">
        <v>1419</v>
      </c>
      <c r="H425" s="89">
        <v>46051</v>
      </c>
      <c r="I425" s="89">
        <v>46053</v>
      </c>
      <c r="J425" s="91"/>
      <c r="K425" s="91"/>
      <c r="M425" s="91"/>
      <c r="N425" s="91" t="s">
        <v>1750</v>
      </c>
    </row>
    <row r="426" spans="1:14" x14ac:dyDescent="0.25">
      <c r="A426" s="91" t="s">
        <v>1316</v>
      </c>
      <c r="B426" s="91" t="s">
        <v>1330</v>
      </c>
      <c r="C426" s="91" t="s">
        <v>1802</v>
      </c>
      <c r="D426" s="91" t="s">
        <v>21</v>
      </c>
      <c r="E426" s="91"/>
      <c r="F426">
        <v>42</v>
      </c>
      <c r="G426" t="s">
        <v>1419</v>
      </c>
      <c r="H426" s="89">
        <v>46051</v>
      </c>
      <c r="I426" s="89">
        <v>46053</v>
      </c>
      <c r="J426" s="91"/>
      <c r="K426" s="91"/>
      <c r="M426" s="91"/>
      <c r="N426" s="91" t="s">
        <v>1750</v>
      </c>
    </row>
    <row r="427" spans="1:14" x14ac:dyDescent="0.25">
      <c r="A427" s="91" t="s">
        <v>1317</v>
      </c>
      <c r="B427" s="91" t="s">
        <v>1331</v>
      </c>
      <c r="C427" s="91" t="s">
        <v>1803</v>
      </c>
      <c r="D427" s="91" t="s">
        <v>21</v>
      </c>
      <c r="E427" s="91"/>
      <c r="F427">
        <v>21</v>
      </c>
      <c r="G427" t="s">
        <v>1419</v>
      </c>
      <c r="H427" s="89">
        <v>46051</v>
      </c>
      <c r="I427" s="89">
        <v>46053</v>
      </c>
      <c r="J427" s="91"/>
      <c r="K427" s="91"/>
      <c r="M427" s="91"/>
      <c r="N427" s="91" t="s">
        <v>1750</v>
      </c>
    </row>
    <row r="428" spans="1:14" x14ac:dyDescent="0.25">
      <c r="A428" s="91" t="s">
        <v>1318</v>
      </c>
      <c r="B428" s="91" t="s">
        <v>1332</v>
      </c>
      <c r="C428" s="91" t="s">
        <v>1804</v>
      </c>
      <c r="D428" s="91" t="s">
        <v>21</v>
      </c>
      <c r="E428" s="91"/>
      <c r="F428">
        <v>58</v>
      </c>
      <c r="G428" t="s">
        <v>1419</v>
      </c>
      <c r="H428" s="89">
        <v>46051</v>
      </c>
      <c r="I428" s="89">
        <v>46053</v>
      </c>
      <c r="J428" s="91"/>
      <c r="K428" s="91"/>
      <c r="M428" s="91"/>
      <c r="N428" s="91" t="s">
        <v>1750</v>
      </c>
    </row>
    <row r="429" spans="1:14" x14ac:dyDescent="0.25">
      <c r="A429" s="91" t="s">
        <v>1313</v>
      </c>
      <c r="B429" s="91" t="s">
        <v>1327</v>
      </c>
      <c r="C429" s="91" t="s">
        <v>1805</v>
      </c>
      <c r="D429" s="91" t="s">
        <v>20</v>
      </c>
      <c r="E429" s="91"/>
      <c r="F429">
        <v>1152</v>
      </c>
      <c r="G429">
        <v>24</v>
      </c>
      <c r="H429" s="89">
        <v>46051</v>
      </c>
      <c r="I429" s="89">
        <v>46054</v>
      </c>
      <c r="J429" s="91" t="s">
        <v>1806</v>
      </c>
      <c r="K429" s="91"/>
      <c r="M429" s="91"/>
      <c r="N429" s="91" t="s">
        <v>1750</v>
      </c>
    </row>
    <row r="430" spans="1:14" x14ac:dyDescent="0.25">
      <c r="A430" s="91" t="s">
        <v>1315</v>
      </c>
      <c r="B430" s="91" t="s">
        <v>1329</v>
      </c>
      <c r="C430" s="91" t="s">
        <v>1805</v>
      </c>
      <c r="D430" s="91" t="s">
        <v>20</v>
      </c>
      <c r="E430" s="91"/>
      <c r="F430">
        <v>109</v>
      </c>
      <c r="G430" t="s">
        <v>1419</v>
      </c>
      <c r="H430" s="89">
        <v>46051</v>
      </c>
      <c r="I430" s="89">
        <v>46053</v>
      </c>
      <c r="J430" s="91"/>
      <c r="K430" s="91"/>
      <c r="M430" s="91"/>
      <c r="N430" s="91" t="s">
        <v>1750</v>
      </c>
    </row>
    <row r="431" spans="1:14" x14ac:dyDescent="0.25">
      <c r="A431" s="91" t="s">
        <v>1316</v>
      </c>
      <c r="B431" s="91" t="s">
        <v>1330</v>
      </c>
      <c r="C431" s="91" t="s">
        <v>1807</v>
      </c>
      <c r="D431" s="91" t="s">
        <v>20</v>
      </c>
      <c r="E431" s="91"/>
      <c r="F431">
        <v>131</v>
      </c>
      <c r="G431" t="s">
        <v>1419</v>
      </c>
      <c r="H431" s="89">
        <v>46051</v>
      </c>
      <c r="I431" s="89">
        <v>46052</v>
      </c>
      <c r="J431" s="91"/>
      <c r="K431" s="91"/>
      <c r="M431" s="91"/>
      <c r="N431" s="91" t="s">
        <v>1750</v>
      </c>
    </row>
    <row r="432" spans="1:14" x14ac:dyDescent="0.25">
      <c r="A432" s="91" t="s">
        <v>1317</v>
      </c>
      <c r="B432" s="91" t="s">
        <v>1331</v>
      </c>
      <c r="C432" s="91" t="s">
        <v>1808</v>
      </c>
      <c r="D432" s="91" t="s">
        <v>20</v>
      </c>
      <c r="E432" s="91"/>
      <c r="F432">
        <v>16</v>
      </c>
      <c r="G432" t="s">
        <v>1419</v>
      </c>
      <c r="H432" s="89">
        <v>46051</v>
      </c>
      <c r="I432" s="89">
        <v>46052</v>
      </c>
      <c r="J432" s="91"/>
      <c r="K432" s="91"/>
      <c r="M432" s="91"/>
      <c r="N432" s="91" t="s">
        <v>1750</v>
      </c>
    </row>
    <row r="433" spans="1:14" x14ac:dyDescent="0.25">
      <c r="A433" s="91" t="s">
        <v>1318</v>
      </c>
      <c r="B433" s="91" t="s">
        <v>1332</v>
      </c>
      <c r="C433" s="91" t="s">
        <v>1809</v>
      </c>
      <c r="D433" s="91" t="s">
        <v>20</v>
      </c>
      <c r="E433" s="91"/>
      <c r="F433">
        <v>55</v>
      </c>
      <c r="G433" t="s">
        <v>1419</v>
      </c>
      <c r="H433" s="89">
        <v>46051</v>
      </c>
      <c r="I433" s="89">
        <v>46052</v>
      </c>
      <c r="J433" s="91"/>
      <c r="K433" s="91"/>
      <c r="M433" s="91"/>
      <c r="N433" s="91" t="s">
        <v>1750</v>
      </c>
    </row>
    <row r="434" spans="1:14" x14ac:dyDescent="0.25">
      <c r="A434" s="91" t="s">
        <v>1313</v>
      </c>
      <c r="B434" s="91" t="s">
        <v>1327</v>
      </c>
      <c r="C434" s="91" t="s">
        <v>1810</v>
      </c>
      <c r="D434" s="91" t="s">
        <v>15</v>
      </c>
      <c r="E434" s="91"/>
      <c r="F434">
        <v>864</v>
      </c>
      <c r="G434">
        <v>18</v>
      </c>
      <c r="H434" s="89">
        <v>46051</v>
      </c>
      <c r="I434" s="89">
        <v>46055</v>
      </c>
      <c r="J434" s="91" t="s">
        <v>1811</v>
      </c>
      <c r="K434" s="91"/>
      <c r="M434" s="91"/>
      <c r="N434" s="91" t="s">
        <v>1750</v>
      </c>
    </row>
    <row r="435" spans="1:14" x14ac:dyDescent="0.25">
      <c r="A435" s="91" t="s">
        <v>1314</v>
      </c>
      <c r="B435" s="91" t="s">
        <v>1328</v>
      </c>
      <c r="C435" s="91" t="s">
        <v>1810</v>
      </c>
      <c r="D435" s="91" t="s">
        <v>15</v>
      </c>
      <c r="E435" s="91"/>
      <c r="F435">
        <v>288</v>
      </c>
      <c r="G435">
        <v>6</v>
      </c>
      <c r="H435" s="89">
        <v>46051</v>
      </c>
      <c r="I435" s="89">
        <v>46055</v>
      </c>
      <c r="J435" s="91" t="s">
        <v>1812</v>
      </c>
      <c r="K435" s="91"/>
      <c r="M435" s="91"/>
      <c r="N435" s="91" t="s">
        <v>1750</v>
      </c>
    </row>
    <row r="436" spans="1:14" x14ac:dyDescent="0.25">
      <c r="A436" s="91" t="s">
        <v>1315</v>
      </c>
      <c r="B436" s="91" t="s">
        <v>1329</v>
      </c>
      <c r="C436" s="91" t="s">
        <v>1810</v>
      </c>
      <c r="D436" s="91" t="s">
        <v>15</v>
      </c>
      <c r="E436" s="91"/>
      <c r="F436">
        <v>43</v>
      </c>
      <c r="G436" t="s">
        <v>1419</v>
      </c>
      <c r="H436" s="89">
        <v>46051</v>
      </c>
      <c r="I436" s="89">
        <v>46054</v>
      </c>
      <c r="J436" s="91"/>
      <c r="K436" s="91"/>
      <c r="M436" s="91"/>
      <c r="N436" s="91" t="s">
        <v>1750</v>
      </c>
    </row>
    <row r="437" spans="1:14" x14ac:dyDescent="0.25">
      <c r="A437" s="91" t="s">
        <v>1316</v>
      </c>
      <c r="B437" s="91" t="s">
        <v>1330</v>
      </c>
      <c r="C437" s="91" t="s">
        <v>1813</v>
      </c>
      <c r="D437" s="91" t="s">
        <v>15</v>
      </c>
      <c r="E437" s="91"/>
      <c r="F437">
        <v>32</v>
      </c>
      <c r="G437" t="s">
        <v>1419</v>
      </c>
      <c r="H437" s="89">
        <v>46051</v>
      </c>
      <c r="I437" s="89">
        <v>46054</v>
      </c>
      <c r="J437" s="91"/>
      <c r="K437" s="91"/>
      <c r="M437" s="91"/>
      <c r="N437" s="91" t="s">
        <v>1750</v>
      </c>
    </row>
    <row r="438" spans="1:14" x14ac:dyDescent="0.25">
      <c r="A438" s="91" t="s">
        <v>1317</v>
      </c>
      <c r="B438" s="91" t="s">
        <v>1331</v>
      </c>
      <c r="C438" s="91" t="s">
        <v>1814</v>
      </c>
      <c r="D438" s="91" t="s">
        <v>15</v>
      </c>
      <c r="E438" s="91"/>
      <c r="F438">
        <v>12</v>
      </c>
      <c r="G438" t="s">
        <v>1419</v>
      </c>
      <c r="H438" s="89">
        <v>46051</v>
      </c>
      <c r="I438" s="89">
        <v>46054</v>
      </c>
      <c r="J438" s="91"/>
      <c r="K438" s="91"/>
      <c r="M438" s="91"/>
      <c r="N438" s="91" t="s">
        <v>1750</v>
      </c>
    </row>
    <row r="439" spans="1:14" x14ac:dyDescent="0.25">
      <c r="A439" s="91" t="s">
        <v>1318</v>
      </c>
      <c r="B439" s="91" t="s">
        <v>1332</v>
      </c>
      <c r="C439" s="91" t="s">
        <v>1815</v>
      </c>
      <c r="D439" s="91" t="s">
        <v>15</v>
      </c>
      <c r="E439" s="91"/>
      <c r="F439">
        <v>24</v>
      </c>
      <c r="G439" t="s">
        <v>1419</v>
      </c>
      <c r="H439" s="89">
        <v>46051</v>
      </c>
      <c r="I439" s="89">
        <v>46054</v>
      </c>
      <c r="J439" s="91"/>
      <c r="K439" s="91"/>
      <c r="M439" s="91"/>
      <c r="N439" s="91" t="s">
        <v>1750</v>
      </c>
    </row>
    <row r="440" spans="1:14" x14ac:dyDescent="0.25">
      <c r="A440" s="91" t="s">
        <v>1313</v>
      </c>
      <c r="B440" s="91" t="s">
        <v>1327</v>
      </c>
      <c r="C440" s="91" t="s">
        <v>1816</v>
      </c>
      <c r="D440" s="91" t="s">
        <v>23</v>
      </c>
      <c r="E440" s="91"/>
      <c r="F440">
        <v>768</v>
      </c>
      <c r="G440">
        <v>16</v>
      </c>
      <c r="H440" s="89">
        <v>46051</v>
      </c>
      <c r="I440" s="89">
        <v>46055</v>
      </c>
      <c r="J440" s="91"/>
      <c r="K440" s="91"/>
      <c r="M440" s="91"/>
      <c r="N440" s="91" t="s">
        <v>1750</v>
      </c>
    </row>
    <row r="441" spans="1:14" x14ac:dyDescent="0.25">
      <c r="A441" s="91" t="s">
        <v>1324</v>
      </c>
      <c r="B441" s="91" t="s">
        <v>1338</v>
      </c>
      <c r="C441" s="91" t="s">
        <v>1817</v>
      </c>
      <c r="D441" s="91" t="s">
        <v>97</v>
      </c>
      <c r="E441" s="91"/>
      <c r="F441">
        <v>960</v>
      </c>
      <c r="G441">
        <v>20</v>
      </c>
      <c r="H441" s="89">
        <v>46052</v>
      </c>
      <c r="I441" s="89">
        <v>46057</v>
      </c>
      <c r="J441" s="91" t="s">
        <v>1818</v>
      </c>
      <c r="K441" s="91"/>
      <c r="M441" s="91"/>
      <c r="N441" s="91" t="s">
        <v>1750</v>
      </c>
    </row>
    <row r="442" spans="1:14" x14ac:dyDescent="0.25">
      <c r="A442" s="91" t="s">
        <v>1313</v>
      </c>
      <c r="B442" s="91" t="s">
        <v>1327</v>
      </c>
      <c r="C442" s="91" t="s">
        <v>1819</v>
      </c>
      <c r="D442" s="91" t="s">
        <v>21</v>
      </c>
      <c r="E442" s="91"/>
      <c r="F442">
        <v>864</v>
      </c>
      <c r="G442">
        <v>18</v>
      </c>
      <c r="H442" s="89">
        <v>46052</v>
      </c>
      <c r="I442" s="89">
        <v>46057</v>
      </c>
      <c r="J442" s="91" t="s">
        <v>1820</v>
      </c>
      <c r="K442" s="91"/>
      <c r="M442" s="91"/>
      <c r="N442" s="91" t="s">
        <v>1750</v>
      </c>
    </row>
    <row r="443" spans="1:14" x14ac:dyDescent="0.25">
      <c r="A443" s="91" t="s">
        <v>1314</v>
      </c>
      <c r="B443" s="91" t="s">
        <v>1328</v>
      </c>
      <c r="C443" s="91" t="s">
        <v>1819</v>
      </c>
      <c r="D443" s="91" t="s">
        <v>21</v>
      </c>
      <c r="E443" s="91"/>
      <c r="F443">
        <v>288</v>
      </c>
      <c r="G443">
        <v>6</v>
      </c>
      <c r="H443" s="89">
        <v>46052</v>
      </c>
      <c r="I443" s="89">
        <v>46057</v>
      </c>
      <c r="J443" s="91" t="s">
        <v>1821</v>
      </c>
      <c r="K443" s="91"/>
      <c r="M443" s="91"/>
      <c r="N443" s="91" t="s">
        <v>1750</v>
      </c>
    </row>
    <row r="444" spans="1:14" x14ac:dyDescent="0.25">
      <c r="A444" s="91" t="s">
        <v>1315</v>
      </c>
      <c r="B444" s="91" t="s">
        <v>1329</v>
      </c>
      <c r="C444" s="91" t="s">
        <v>1819</v>
      </c>
      <c r="D444" s="91" t="s">
        <v>21</v>
      </c>
      <c r="E444" s="91"/>
      <c r="F444">
        <v>442</v>
      </c>
      <c r="G444" t="s">
        <v>1419</v>
      </c>
      <c r="H444" s="89">
        <v>46052</v>
      </c>
      <c r="I444" s="89">
        <v>46053</v>
      </c>
      <c r="J444" s="91"/>
      <c r="K444" s="91"/>
      <c r="M444" s="91"/>
      <c r="N444" s="91" t="s">
        <v>1750</v>
      </c>
    </row>
    <row r="445" spans="1:14" x14ac:dyDescent="0.25">
      <c r="A445" s="91" t="s">
        <v>1316</v>
      </c>
      <c r="B445" s="91" t="s">
        <v>1330</v>
      </c>
      <c r="C445" s="91" t="s">
        <v>1822</v>
      </c>
      <c r="D445" s="91" t="s">
        <v>21</v>
      </c>
      <c r="E445" s="91"/>
      <c r="F445">
        <v>65</v>
      </c>
      <c r="G445" t="s">
        <v>1419</v>
      </c>
      <c r="H445" s="89">
        <v>46052</v>
      </c>
      <c r="I445" s="89">
        <v>46053</v>
      </c>
      <c r="J445" s="91"/>
      <c r="K445" s="91"/>
      <c r="M445" s="91"/>
      <c r="N445" s="91" t="s">
        <v>1750</v>
      </c>
    </row>
    <row r="446" spans="1:14" x14ac:dyDescent="0.25">
      <c r="A446" s="91" t="s">
        <v>1317</v>
      </c>
      <c r="B446" s="91" t="s">
        <v>1331</v>
      </c>
      <c r="C446" s="91" t="s">
        <v>1823</v>
      </c>
      <c r="D446" s="91" t="s">
        <v>21</v>
      </c>
      <c r="E446" s="91"/>
      <c r="F446">
        <v>22</v>
      </c>
      <c r="G446" t="s">
        <v>1419</v>
      </c>
      <c r="H446" s="89">
        <v>46052</v>
      </c>
      <c r="I446" s="89">
        <v>46053</v>
      </c>
      <c r="J446" s="91"/>
      <c r="K446" s="91"/>
      <c r="M446" s="91"/>
      <c r="N446" s="91" t="s">
        <v>1750</v>
      </c>
    </row>
    <row r="447" spans="1:14" x14ac:dyDescent="0.25">
      <c r="A447" s="91" t="s">
        <v>1318</v>
      </c>
      <c r="B447" s="91" t="s">
        <v>1332</v>
      </c>
      <c r="C447" s="91" t="s">
        <v>1824</v>
      </c>
      <c r="D447" s="91" t="s">
        <v>21</v>
      </c>
      <c r="E447" s="91"/>
      <c r="F447">
        <v>56</v>
      </c>
      <c r="G447" t="s">
        <v>1419</v>
      </c>
      <c r="H447" s="89">
        <v>46052</v>
      </c>
      <c r="I447" s="89">
        <v>46053</v>
      </c>
      <c r="J447" s="91"/>
      <c r="K447" s="91"/>
      <c r="M447" s="91"/>
      <c r="N447" s="91" t="s">
        <v>1750</v>
      </c>
    </row>
    <row r="448" spans="1:14" x14ac:dyDescent="0.25">
      <c r="A448" s="91" t="s">
        <v>1313</v>
      </c>
      <c r="B448" s="91" t="s">
        <v>1327</v>
      </c>
      <c r="C448" s="91" t="s">
        <v>1825</v>
      </c>
      <c r="D448" s="91" t="s">
        <v>23</v>
      </c>
      <c r="E448" s="91"/>
      <c r="F448">
        <v>624</v>
      </c>
      <c r="G448">
        <v>13</v>
      </c>
      <c r="H448" s="89">
        <v>46052</v>
      </c>
      <c r="I448" s="89">
        <v>46057</v>
      </c>
      <c r="J448" s="91"/>
      <c r="K448" s="91"/>
      <c r="M448" s="91"/>
      <c r="N448" s="91" t="s">
        <v>1750</v>
      </c>
    </row>
    <row r="449" spans="1:14" x14ac:dyDescent="0.25">
      <c r="A449" s="91" t="s">
        <v>1313</v>
      </c>
      <c r="B449" s="91" t="s">
        <v>1327</v>
      </c>
      <c r="C449" s="91" t="s">
        <v>1826</v>
      </c>
      <c r="D449" s="91" t="s">
        <v>15</v>
      </c>
      <c r="E449" s="91"/>
      <c r="F449">
        <v>336</v>
      </c>
      <c r="G449">
        <v>7</v>
      </c>
      <c r="H449" s="89">
        <v>46052</v>
      </c>
      <c r="I449" s="89">
        <v>46057</v>
      </c>
      <c r="J449" s="91"/>
      <c r="K449" s="91"/>
      <c r="M449" s="91"/>
      <c r="N449" s="91" t="s">
        <v>1750</v>
      </c>
    </row>
    <row r="450" spans="1:14" x14ac:dyDescent="0.25">
      <c r="A450" s="91" t="s">
        <v>1444</v>
      </c>
      <c r="B450" s="91" t="s">
        <v>1445</v>
      </c>
      <c r="C450" s="91" t="s">
        <v>1826</v>
      </c>
      <c r="D450" s="91" t="s">
        <v>15</v>
      </c>
      <c r="E450" s="91"/>
      <c r="F450">
        <v>176</v>
      </c>
      <c r="G450">
        <v>1</v>
      </c>
      <c r="H450" s="89">
        <v>46052</v>
      </c>
      <c r="I450" s="89">
        <v>46055</v>
      </c>
      <c r="J450" s="91"/>
      <c r="K450" s="91"/>
      <c r="M450" s="91"/>
      <c r="N450" s="91" t="s">
        <v>1750</v>
      </c>
    </row>
    <row r="451" spans="1:14" x14ac:dyDescent="0.25">
      <c r="A451" s="91" t="s">
        <v>1315</v>
      </c>
      <c r="B451" s="91" t="s">
        <v>1329</v>
      </c>
      <c r="C451" s="91" t="s">
        <v>1826</v>
      </c>
      <c r="D451" s="91" t="s">
        <v>15</v>
      </c>
      <c r="E451" s="91"/>
      <c r="F451">
        <v>61</v>
      </c>
      <c r="G451" t="s">
        <v>1419</v>
      </c>
      <c r="H451" s="89">
        <v>46052</v>
      </c>
      <c r="I451" s="89">
        <v>46054</v>
      </c>
      <c r="J451" s="91"/>
      <c r="K451" s="91"/>
      <c r="M451" s="91"/>
      <c r="N451" s="91" t="s">
        <v>1750</v>
      </c>
    </row>
    <row r="452" spans="1:14" x14ac:dyDescent="0.25">
      <c r="A452" s="91" t="s">
        <v>1316</v>
      </c>
      <c r="B452" s="91" t="s">
        <v>1330</v>
      </c>
      <c r="C452" s="91" t="s">
        <v>1827</v>
      </c>
      <c r="D452" s="91" t="s">
        <v>15</v>
      </c>
      <c r="E452" s="91"/>
      <c r="F452">
        <v>20</v>
      </c>
      <c r="G452" t="s">
        <v>1419</v>
      </c>
      <c r="H452" s="89">
        <v>46052</v>
      </c>
      <c r="I452" s="89">
        <v>46054</v>
      </c>
      <c r="J452" s="91"/>
      <c r="K452" s="91"/>
      <c r="M452" s="91"/>
      <c r="N452" s="91" t="s">
        <v>1750</v>
      </c>
    </row>
    <row r="453" spans="1:14" x14ac:dyDescent="0.25">
      <c r="A453" s="91" t="s">
        <v>1317</v>
      </c>
      <c r="B453" s="91" t="s">
        <v>1331</v>
      </c>
      <c r="C453" s="91" t="s">
        <v>1828</v>
      </c>
      <c r="D453" s="91" t="s">
        <v>15</v>
      </c>
      <c r="E453" s="91"/>
      <c r="F453">
        <v>16</v>
      </c>
      <c r="G453" t="s">
        <v>1419</v>
      </c>
      <c r="H453" s="89">
        <v>46052</v>
      </c>
      <c r="I453" s="89">
        <v>46054</v>
      </c>
      <c r="J453" s="91"/>
      <c r="K453" s="91"/>
      <c r="M453" s="91"/>
      <c r="N453" s="91" t="s">
        <v>1750</v>
      </c>
    </row>
    <row r="454" spans="1:14" x14ac:dyDescent="0.25">
      <c r="A454" s="91" t="s">
        <v>1318</v>
      </c>
      <c r="B454" s="91" t="s">
        <v>1332</v>
      </c>
      <c r="C454" s="91" t="s">
        <v>1829</v>
      </c>
      <c r="D454" s="91" t="s">
        <v>15</v>
      </c>
      <c r="E454" s="91"/>
      <c r="F454">
        <v>5</v>
      </c>
      <c r="G454" t="s">
        <v>1419</v>
      </c>
      <c r="H454" s="89">
        <v>46052</v>
      </c>
      <c r="I454" s="89">
        <v>46054</v>
      </c>
      <c r="J454" s="91"/>
      <c r="K454" s="91"/>
      <c r="M454" s="91"/>
      <c r="N454" s="91" t="s">
        <v>1750</v>
      </c>
    </row>
    <row r="455" spans="1:14" x14ac:dyDescent="0.25">
      <c r="A455" s="91" t="s">
        <v>1324</v>
      </c>
      <c r="B455" s="91" t="s">
        <v>1338</v>
      </c>
      <c r="C455" s="91" t="s">
        <v>1830</v>
      </c>
      <c r="D455" s="91" t="s">
        <v>88</v>
      </c>
      <c r="E455" s="91"/>
      <c r="F455">
        <v>960</v>
      </c>
      <c r="G455">
        <v>20</v>
      </c>
      <c r="H455" s="89">
        <v>46053</v>
      </c>
      <c r="I455" s="89">
        <v>46057</v>
      </c>
      <c r="J455" s="91" t="s">
        <v>1818</v>
      </c>
      <c r="K455" s="91"/>
      <c r="M455" s="91"/>
      <c r="N455" s="91" t="s">
        <v>1750</v>
      </c>
    </row>
    <row r="456" spans="1:14" x14ac:dyDescent="0.25">
      <c r="A456" s="91" t="s">
        <v>1444</v>
      </c>
      <c r="B456" s="91" t="s">
        <v>1445</v>
      </c>
      <c r="C456" s="91" t="s">
        <v>1831</v>
      </c>
      <c r="D456" s="91" t="s">
        <v>21</v>
      </c>
      <c r="E456" s="91"/>
      <c r="F456">
        <v>156</v>
      </c>
      <c r="G456">
        <v>1</v>
      </c>
      <c r="H456" s="89">
        <v>46053</v>
      </c>
      <c r="I456" s="89">
        <v>46057</v>
      </c>
      <c r="J456" s="91"/>
      <c r="K456" s="91"/>
      <c r="M456" s="91"/>
      <c r="N456" s="91" t="s">
        <v>1750</v>
      </c>
    </row>
    <row r="457" spans="1:14" x14ac:dyDescent="0.25">
      <c r="A457" s="91" t="s">
        <v>1313</v>
      </c>
      <c r="B457" s="91" t="s">
        <v>1327</v>
      </c>
      <c r="C457" s="91" t="s">
        <v>1831</v>
      </c>
      <c r="D457" s="91" t="s">
        <v>21</v>
      </c>
      <c r="E457" s="91"/>
      <c r="F457">
        <v>624</v>
      </c>
      <c r="G457">
        <v>13</v>
      </c>
      <c r="H457" s="89">
        <v>46053</v>
      </c>
      <c r="I457" s="89">
        <v>46057</v>
      </c>
      <c r="J457" s="91"/>
      <c r="K457" s="91"/>
      <c r="M457" s="91"/>
      <c r="N457" s="91" t="s">
        <v>1750</v>
      </c>
    </row>
    <row r="458" spans="1:14" x14ac:dyDescent="0.25">
      <c r="A458" s="91" t="s">
        <v>1315</v>
      </c>
      <c r="B458" s="91" t="s">
        <v>1329</v>
      </c>
      <c r="C458" s="91" t="s">
        <v>1831</v>
      </c>
      <c r="D458" s="91" t="s">
        <v>21</v>
      </c>
      <c r="E458" s="91"/>
      <c r="F458">
        <v>417</v>
      </c>
      <c r="G458" t="s">
        <v>1419</v>
      </c>
      <c r="H458" s="89">
        <v>46053</v>
      </c>
      <c r="I458" s="89">
        <v>46054</v>
      </c>
      <c r="J458" s="91"/>
      <c r="K458" s="91"/>
      <c r="M458" s="91"/>
      <c r="N458" s="91" t="s">
        <v>1750</v>
      </c>
    </row>
    <row r="459" spans="1:14" x14ac:dyDescent="0.25">
      <c r="A459" s="91" t="s">
        <v>1316</v>
      </c>
      <c r="B459" s="91" t="s">
        <v>1330</v>
      </c>
      <c r="C459" s="91" t="s">
        <v>1832</v>
      </c>
      <c r="D459" s="91" t="s">
        <v>21</v>
      </c>
      <c r="E459" s="91"/>
      <c r="F459">
        <v>18</v>
      </c>
      <c r="G459" t="s">
        <v>1419</v>
      </c>
      <c r="H459" s="89">
        <v>46053</v>
      </c>
      <c r="I459" s="89">
        <v>46054</v>
      </c>
      <c r="J459" s="91"/>
      <c r="K459" s="91"/>
      <c r="M459" s="91"/>
      <c r="N459" s="91" t="s">
        <v>1750</v>
      </c>
    </row>
    <row r="460" spans="1:14" x14ac:dyDescent="0.25">
      <c r="A460" s="91" t="s">
        <v>1317</v>
      </c>
      <c r="B460" s="91" t="s">
        <v>1331</v>
      </c>
      <c r="C460" s="91" t="s">
        <v>1833</v>
      </c>
      <c r="D460" s="91" t="s">
        <v>21</v>
      </c>
      <c r="E460" s="91"/>
      <c r="F460">
        <v>21</v>
      </c>
      <c r="G460" t="s">
        <v>1419</v>
      </c>
      <c r="H460" s="89">
        <v>46053</v>
      </c>
      <c r="I460" s="89">
        <v>46054</v>
      </c>
      <c r="J460" s="91"/>
      <c r="K460" s="91"/>
      <c r="M460" s="91"/>
      <c r="N460" s="91" t="s">
        <v>1750</v>
      </c>
    </row>
    <row r="461" spans="1:14" x14ac:dyDescent="0.25">
      <c r="A461" s="91" t="s">
        <v>1318</v>
      </c>
      <c r="B461" s="91" t="s">
        <v>1332</v>
      </c>
      <c r="C461" s="91" t="s">
        <v>1834</v>
      </c>
      <c r="D461" s="91" t="s">
        <v>21</v>
      </c>
      <c r="E461" s="91"/>
      <c r="F461">
        <v>33</v>
      </c>
      <c r="G461" t="s">
        <v>1419</v>
      </c>
      <c r="H461" s="89">
        <v>46053</v>
      </c>
      <c r="I461" s="89">
        <v>46054</v>
      </c>
      <c r="J461" s="91"/>
      <c r="K461" s="91"/>
      <c r="M461" s="91"/>
      <c r="N461" s="91" t="s">
        <v>1750</v>
      </c>
    </row>
    <row r="462" spans="1:14" x14ac:dyDescent="0.25">
      <c r="A462" s="91" t="s">
        <v>1324</v>
      </c>
      <c r="B462" s="91" t="s">
        <v>1338</v>
      </c>
      <c r="C462" s="91" t="s">
        <v>1835</v>
      </c>
      <c r="D462" s="91" t="s">
        <v>28</v>
      </c>
      <c r="E462" s="91"/>
      <c r="F462">
        <v>720</v>
      </c>
      <c r="G462">
        <v>15</v>
      </c>
      <c r="H462" s="89">
        <v>46062</v>
      </c>
      <c r="I462" s="89">
        <v>46067</v>
      </c>
      <c r="J462" s="91" t="s">
        <v>1836</v>
      </c>
      <c r="K462" s="91"/>
      <c r="M462" s="91"/>
      <c r="N462" s="91" t="s">
        <v>1837</v>
      </c>
    </row>
    <row r="463" spans="1:14" x14ac:dyDescent="0.25">
      <c r="A463" s="91" t="s">
        <v>1324</v>
      </c>
      <c r="B463" s="91" t="s">
        <v>1338</v>
      </c>
      <c r="C463" s="91" t="s">
        <v>1835</v>
      </c>
      <c r="D463" s="91" t="s">
        <v>28</v>
      </c>
      <c r="E463" s="91"/>
      <c r="F463">
        <v>240</v>
      </c>
      <c r="G463">
        <v>5</v>
      </c>
      <c r="H463" s="89">
        <v>46062</v>
      </c>
      <c r="I463" s="89">
        <v>46070</v>
      </c>
      <c r="J463" s="91" t="s">
        <v>1838</v>
      </c>
      <c r="K463" s="91"/>
      <c r="M463" s="91"/>
      <c r="N463" s="91" t="s">
        <v>1837</v>
      </c>
    </row>
    <row r="464" spans="1:14" x14ac:dyDescent="0.25">
      <c r="A464" s="91" t="s">
        <v>1315</v>
      </c>
      <c r="B464" s="91" t="s">
        <v>1329</v>
      </c>
      <c r="C464" s="91" t="s">
        <v>1835</v>
      </c>
      <c r="D464" s="91" t="s">
        <v>28</v>
      </c>
      <c r="E464" s="91"/>
      <c r="F464">
        <v>4</v>
      </c>
      <c r="G464" t="s">
        <v>1419</v>
      </c>
      <c r="H464" s="89">
        <v>46062</v>
      </c>
      <c r="I464" s="89">
        <v>46064</v>
      </c>
      <c r="J464" s="91"/>
      <c r="K464" s="91"/>
      <c r="M464" s="91"/>
      <c r="N464" s="91" t="s">
        <v>1837</v>
      </c>
    </row>
    <row r="465" spans="1:14" x14ac:dyDescent="0.25">
      <c r="A465" s="91" t="s">
        <v>1316</v>
      </c>
      <c r="B465" s="91" t="s">
        <v>1330</v>
      </c>
      <c r="C465" s="91" t="s">
        <v>1839</v>
      </c>
      <c r="D465" s="91" t="s">
        <v>28</v>
      </c>
      <c r="E465" s="91"/>
      <c r="F465">
        <v>50</v>
      </c>
      <c r="G465" t="s">
        <v>1419</v>
      </c>
      <c r="H465" s="89">
        <v>46062</v>
      </c>
      <c r="I465" s="89">
        <v>46064</v>
      </c>
      <c r="J465" s="91"/>
      <c r="K465" s="91"/>
      <c r="M465" s="91"/>
      <c r="N465" s="91" t="s">
        <v>1837</v>
      </c>
    </row>
    <row r="466" spans="1:14" x14ac:dyDescent="0.25">
      <c r="A466" s="91" t="s">
        <v>1317</v>
      </c>
      <c r="B466" s="91" t="s">
        <v>1331</v>
      </c>
      <c r="C466" s="91" t="s">
        <v>1840</v>
      </c>
      <c r="D466" s="91" t="s">
        <v>28</v>
      </c>
      <c r="E466" s="91"/>
      <c r="F466">
        <v>2</v>
      </c>
      <c r="G466" t="s">
        <v>1419</v>
      </c>
      <c r="H466" s="89">
        <v>46062</v>
      </c>
      <c r="I466" s="89">
        <v>46064</v>
      </c>
      <c r="J466" s="91"/>
      <c r="K466" s="91"/>
      <c r="M466" s="91"/>
      <c r="N466" s="91" t="s">
        <v>1837</v>
      </c>
    </row>
    <row r="467" spans="1:14" x14ac:dyDescent="0.25">
      <c r="A467" s="91" t="s">
        <v>1318</v>
      </c>
      <c r="B467" s="91" t="s">
        <v>1332</v>
      </c>
      <c r="C467" s="91" t="s">
        <v>1841</v>
      </c>
      <c r="D467" s="91" t="s">
        <v>28</v>
      </c>
      <c r="E467" s="91"/>
      <c r="F467">
        <v>49</v>
      </c>
      <c r="G467" t="s">
        <v>1419</v>
      </c>
      <c r="H467" s="89">
        <v>46062</v>
      </c>
      <c r="I467" s="89">
        <v>46064</v>
      </c>
      <c r="J467" s="91"/>
      <c r="K467" s="91"/>
      <c r="M467" s="91"/>
      <c r="N467" s="91" t="s">
        <v>1837</v>
      </c>
    </row>
    <row r="468" spans="1:14" x14ac:dyDescent="0.25">
      <c r="A468" s="91" t="s">
        <v>1324</v>
      </c>
      <c r="B468" s="91" t="s">
        <v>1338</v>
      </c>
      <c r="C468" s="91" t="s">
        <v>1842</v>
      </c>
      <c r="D468" s="91" t="s">
        <v>13</v>
      </c>
      <c r="E468" s="91"/>
      <c r="F468">
        <v>960</v>
      </c>
      <c r="G468">
        <v>20</v>
      </c>
      <c r="H468" s="89">
        <v>46062</v>
      </c>
      <c r="I468" s="89">
        <v>46070</v>
      </c>
      <c r="J468" s="91" t="s">
        <v>1838</v>
      </c>
      <c r="K468" s="91"/>
      <c r="M468" s="91"/>
      <c r="N468" s="91" t="s">
        <v>1837</v>
      </c>
    </row>
    <row r="469" spans="1:14" x14ac:dyDescent="0.25">
      <c r="A469" s="91" t="s">
        <v>1324</v>
      </c>
      <c r="B469" s="91" t="s">
        <v>1338</v>
      </c>
      <c r="C469" s="91" t="s">
        <v>1842</v>
      </c>
      <c r="D469" s="91" t="s">
        <v>13</v>
      </c>
      <c r="E469" s="91"/>
      <c r="F469">
        <v>480</v>
      </c>
      <c r="G469">
        <v>10</v>
      </c>
      <c r="H469" s="89">
        <v>46062</v>
      </c>
      <c r="I469" s="89">
        <v>46069</v>
      </c>
      <c r="J469" s="91" t="s">
        <v>1843</v>
      </c>
      <c r="K469" s="91"/>
      <c r="M469" s="91"/>
      <c r="N469" s="91" t="s">
        <v>1837</v>
      </c>
    </row>
    <row r="470" spans="1:14" x14ac:dyDescent="0.25">
      <c r="A470" s="91" t="s">
        <v>1313</v>
      </c>
      <c r="B470" s="91" t="s">
        <v>1327</v>
      </c>
      <c r="C470" s="91" t="s">
        <v>1844</v>
      </c>
      <c r="D470" s="91" t="s">
        <v>20</v>
      </c>
      <c r="E470" s="91"/>
      <c r="F470">
        <v>1152</v>
      </c>
      <c r="G470">
        <v>24</v>
      </c>
      <c r="H470" s="89">
        <v>46062</v>
      </c>
      <c r="I470" s="89">
        <v>46066</v>
      </c>
      <c r="J470" s="91" t="s">
        <v>1845</v>
      </c>
      <c r="K470" s="91"/>
      <c r="M470" s="91"/>
      <c r="N470" s="91" t="s">
        <v>1837</v>
      </c>
    </row>
    <row r="471" spans="1:14" x14ac:dyDescent="0.25">
      <c r="A471" s="91" t="s">
        <v>1316</v>
      </c>
      <c r="B471" s="91" t="s">
        <v>1330</v>
      </c>
      <c r="C471" s="91" t="s">
        <v>1846</v>
      </c>
      <c r="D471" s="91" t="s">
        <v>20</v>
      </c>
      <c r="E471" s="91"/>
      <c r="F471">
        <v>138</v>
      </c>
      <c r="G471" t="s">
        <v>1419</v>
      </c>
      <c r="H471" s="89">
        <v>46062</v>
      </c>
      <c r="I471" s="89">
        <v>46064</v>
      </c>
      <c r="J471" s="91"/>
      <c r="K471" s="91"/>
      <c r="M471" s="91"/>
      <c r="N471" s="91" t="s">
        <v>1837</v>
      </c>
    </row>
    <row r="472" spans="1:14" x14ac:dyDescent="0.25">
      <c r="A472" s="91" t="s">
        <v>1317</v>
      </c>
      <c r="B472" s="91" t="s">
        <v>1331</v>
      </c>
      <c r="C472" s="91" t="s">
        <v>1847</v>
      </c>
      <c r="D472" s="91" t="s">
        <v>20</v>
      </c>
      <c r="E472" s="91"/>
      <c r="F472">
        <v>12</v>
      </c>
      <c r="G472" t="s">
        <v>1419</v>
      </c>
      <c r="H472" s="89">
        <v>46062</v>
      </c>
      <c r="I472" s="89">
        <v>46064</v>
      </c>
      <c r="J472" s="91"/>
      <c r="K472" s="91"/>
      <c r="M472" s="91"/>
      <c r="N472" s="91" t="s">
        <v>1837</v>
      </c>
    </row>
    <row r="473" spans="1:14" x14ac:dyDescent="0.25">
      <c r="A473" s="91" t="s">
        <v>1318</v>
      </c>
      <c r="B473" s="91" t="s">
        <v>1332</v>
      </c>
      <c r="C473" s="91" t="s">
        <v>1848</v>
      </c>
      <c r="D473" s="91" t="s">
        <v>20</v>
      </c>
      <c r="E473" s="91"/>
      <c r="F473">
        <v>55</v>
      </c>
      <c r="G473" t="s">
        <v>1419</v>
      </c>
      <c r="H473" s="89">
        <v>46062</v>
      </c>
      <c r="I473" s="89">
        <v>46064</v>
      </c>
      <c r="J473" s="91"/>
      <c r="K473" s="91"/>
      <c r="M473" s="91"/>
      <c r="N473" s="91" t="s">
        <v>1837</v>
      </c>
    </row>
    <row r="474" spans="1:14" x14ac:dyDescent="0.25">
      <c r="A474" s="91" t="s">
        <v>1313</v>
      </c>
      <c r="B474" s="91" t="s">
        <v>1327</v>
      </c>
      <c r="C474" s="91" t="s">
        <v>1849</v>
      </c>
      <c r="D474" s="91" t="s">
        <v>15</v>
      </c>
      <c r="E474" s="91"/>
      <c r="F474">
        <v>192</v>
      </c>
      <c r="G474">
        <v>4</v>
      </c>
      <c r="H474" s="89">
        <v>46062</v>
      </c>
      <c r="I474" s="89">
        <v>46068</v>
      </c>
      <c r="J474" s="91" t="s">
        <v>1850</v>
      </c>
      <c r="K474" s="91"/>
      <c r="M474" s="91"/>
      <c r="N474" s="91" t="s">
        <v>1837</v>
      </c>
    </row>
    <row r="475" spans="1:14" x14ac:dyDescent="0.25">
      <c r="A475" s="91" t="s">
        <v>1314</v>
      </c>
      <c r="B475" s="91" t="s">
        <v>1328</v>
      </c>
      <c r="C475" s="91" t="s">
        <v>1849</v>
      </c>
      <c r="D475" s="91" t="s">
        <v>15</v>
      </c>
      <c r="E475" s="91"/>
      <c r="F475">
        <v>288</v>
      </c>
      <c r="G475">
        <v>6</v>
      </c>
      <c r="H475" s="89">
        <v>46062</v>
      </c>
      <c r="I475" s="89">
        <v>46066</v>
      </c>
      <c r="J475" s="91" t="s">
        <v>1851</v>
      </c>
      <c r="K475" s="91"/>
      <c r="M475" s="91"/>
      <c r="N475" s="91" t="s">
        <v>1837</v>
      </c>
    </row>
    <row r="476" spans="1:14" x14ac:dyDescent="0.25">
      <c r="A476" s="91" t="s">
        <v>1324</v>
      </c>
      <c r="B476" s="91" t="s">
        <v>1338</v>
      </c>
      <c r="C476" s="91" t="s">
        <v>1849</v>
      </c>
      <c r="D476" s="91" t="s">
        <v>15</v>
      </c>
      <c r="E476" s="91"/>
      <c r="F476">
        <v>672</v>
      </c>
      <c r="G476">
        <v>14</v>
      </c>
      <c r="H476" s="89">
        <v>46062</v>
      </c>
      <c r="I476" s="89">
        <v>46069</v>
      </c>
      <c r="J476" s="91" t="s">
        <v>1843</v>
      </c>
      <c r="K476" s="91"/>
      <c r="M476" s="91"/>
      <c r="N476" s="91" t="s">
        <v>1837</v>
      </c>
    </row>
    <row r="477" spans="1:14" x14ac:dyDescent="0.25">
      <c r="A477" s="91" t="s">
        <v>1315</v>
      </c>
      <c r="B477" s="91" t="s">
        <v>1329</v>
      </c>
      <c r="C477" s="91" t="s">
        <v>1849</v>
      </c>
      <c r="D477" s="91" t="s">
        <v>15</v>
      </c>
      <c r="E477" s="91"/>
      <c r="F477">
        <v>51</v>
      </c>
      <c r="G477" t="s">
        <v>1419</v>
      </c>
      <c r="H477" s="89">
        <v>46062</v>
      </c>
      <c r="I477" s="89">
        <v>46064</v>
      </c>
      <c r="J477" s="91"/>
      <c r="K477" s="91"/>
      <c r="M477" s="91"/>
      <c r="N477" s="91" t="s">
        <v>1837</v>
      </c>
    </row>
    <row r="478" spans="1:14" x14ac:dyDescent="0.25">
      <c r="A478" s="91" t="s">
        <v>1316</v>
      </c>
      <c r="B478" s="91" t="s">
        <v>1330</v>
      </c>
      <c r="C478" s="91" t="s">
        <v>1852</v>
      </c>
      <c r="D478" s="91" t="s">
        <v>15</v>
      </c>
      <c r="E478" s="91"/>
      <c r="F478">
        <v>35</v>
      </c>
      <c r="G478" t="s">
        <v>1419</v>
      </c>
      <c r="H478" s="89">
        <v>46062</v>
      </c>
      <c r="I478" s="89">
        <v>46064</v>
      </c>
      <c r="J478" s="91"/>
      <c r="K478" s="91"/>
      <c r="M478" s="91"/>
      <c r="N478" s="91" t="s">
        <v>1837</v>
      </c>
    </row>
    <row r="479" spans="1:14" x14ac:dyDescent="0.25">
      <c r="A479" s="91" t="s">
        <v>1317</v>
      </c>
      <c r="B479" s="91" t="s">
        <v>1331</v>
      </c>
      <c r="C479" s="91" t="s">
        <v>1853</v>
      </c>
      <c r="D479" s="91" t="s">
        <v>15</v>
      </c>
      <c r="E479" s="91"/>
      <c r="F479">
        <v>9</v>
      </c>
      <c r="G479" t="s">
        <v>1419</v>
      </c>
      <c r="H479" s="89">
        <v>46062</v>
      </c>
      <c r="I479" s="89">
        <v>46064</v>
      </c>
      <c r="J479" s="91"/>
      <c r="K479" s="91"/>
      <c r="M479" s="91"/>
      <c r="N479" s="91" t="s">
        <v>1837</v>
      </c>
    </row>
    <row r="480" spans="1:14" x14ac:dyDescent="0.25">
      <c r="A480" s="91" t="s">
        <v>1318</v>
      </c>
      <c r="B480" s="91" t="s">
        <v>1332</v>
      </c>
      <c r="C480" s="91" t="s">
        <v>1854</v>
      </c>
      <c r="D480" s="91" t="s">
        <v>15</v>
      </c>
      <c r="E480" s="91"/>
      <c r="F480">
        <v>15</v>
      </c>
      <c r="G480" t="s">
        <v>1419</v>
      </c>
      <c r="H480" s="89">
        <v>46062</v>
      </c>
      <c r="I480" s="89">
        <v>46064</v>
      </c>
      <c r="J480" s="91"/>
      <c r="K480" s="91"/>
      <c r="M480" s="91"/>
      <c r="N480" s="91" t="s">
        <v>1837</v>
      </c>
    </row>
    <row r="481" spans="1:14" x14ac:dyDescent="0.25">
      <c r="A481" s="91" t="s">
        <v>1326</v>
      </c>
      <c r="B481" s="91" t="s">
        <v>1340</v>
      </c>
      <c r="C481" s="91" t="s">
        <v>1855</v>
      </c>
      <c r="D481" s="91" t="s">
        <v>32</v>
      </c>
      <c r="E481" s="91"/>
      <c r="F481">
        <v>840</v>
      </c>
      <c r="G481">
        <v>20</v>
      </c>
      <c r="H481" s="89">
        <v>46062</v>
      </c>
      <c r="I481" s="89">
        <v>46066</v>
      </c>
      <c r="J481" s="91" t="s">
        <v>1856</v>
      </c>
      <c r="K481" s="91"/>
      <c r="M481" s="91"/>
      <c r="N481" s="91" t="s">
        <v>1837</v>
      </c>
    </row>
    <row r="482" spans="1:14" x14ac:dyDescent="0.25">
      <c r="A482" s="91" t="s">
        <v>1313</v>
      </c>
      <c r="B482" s="91" t="s">
        <v>1327</v>
      </c>
      <c r="C482" s="91" t="s">
        <v>1857</v>
      </c>
      <c r="D482" s="91" t="s">
        <v>28</v>
      </c>
      <c r="E482" s="91"/>
      <c r="F482">
        <v>1008</v>
      </c>
      <c r="G482">
        <v>21</v>
      </c>
      <c r="H482" s="89">
        <v>46063</v>
      </c>
      <c r="I482" s="89">
        <v>46068</v>
      </c>
      <c r="J482" s="91" t="s">
        <v>1858</v>
      </c>
      <c r="K482" s="91"/>
      <c r="M482" s="91"/>
      <c r="N482" s="91" t="s">
        <v>1837</v>
      </c>
    </row>
    <row r="483" spans="1:14" x14ac:dyDescent="0.25">
      <c r="A483" s="91" t="s">
        <v>1315</v>
      </c>
      <c r="B483" s="91" t="s">
        <v>1329</v>
      </c>
      <c r="C483" s="91" t="s">
        <v>1857</v>
      </c>
      <c r="D483" s="91" t="s">
        <v>28</v>
      </c>
      <c r="E483" s="91"/>
      <c r="F483">
        <v>22</v>
      </c>
      <c r="G483" t="s">
        <v>1419</v>
      </c>
      <c r="H483" s="89">
        <v>46063</v>
      </c>
      <c r="I483" s="89">
        <v>46065</v>
      </c>
      <c r="J483" s="91"/>
      <c r="K483" s="91"/>
      <c r="M483" s="91"/>
      <c r="N483" s="91" t="s">
        <v>1837</v>
      </c>
    </row>
    <row r="484" spans="1:14" x14ac:dyDescent="0.25">
      <c r="A484" s="91" t="s">
        <v>1316</v>
      </c>
      <c r="B484" s="91" t="s">
        <v>1330</v>
      </c>
      <c r="C484" s="91" t="s">
        <v>1859</v>
      </c>
      <c r="D484" s="91" t="s">
        <v>28</v>
      </c>
      <c r="E484" s="91"/>
      <c r="F484">
        <v>41</v>
      </c>
      <c r="G484" t="s">
        <v>1419</v>
      </c>
      <c r="H484" s="89">
        <v>46063</v>
      </c>
      <c r="I484" s="89">
        <v>46065</v>
      </c>
      <c r="J484" s="91"/>
      <c r="K484" s="91"/>
      <c r="M484" s="91"/>
      <c r="N484" s="91" t="s">
        <v>1837</v>
      </c>
    </row>
    <row r="485" spans="1:14" x14ac:dyDescent="0.25">
      <c r="A485" s="91" t="s">
        <v>1317</v>
      </c>
      <c r="B485" s="91" t="s">
        <v>1331</v>
      </c>
      <c r="C485" s="91" t="s">
        <v>1857</v>
      </c>
      <c r="D485" s="91" t="s">
        <v>28</v>
      </c>
      <c r="E485" s="91"/>
      <c r="F485">
        <v>1</v>
      </c>
      <c r="G485" t="s">
        <v>1419</v>
      </c>
      <c r="H485" s="89">
        <v>46063</v>
      </c>
      <c r="I485" s="89">
        <v>46065</v>
      </c>
      <c r="J485" s="91"/>
      <c r="K485" s="91"/>
      <c r="M485" s="91"/>
      <c r="N485" s="91" t="s">
        <v>1837</v>
      </c>
    </row>
    <row r="486" spans="1:14" x14ac:dyDescent="0.25">
      <c r="A486" s="91" t="s">
        <v>1318</v>
      </c>
      <c r="B486" s="91" t="s">
        <v>1332</v>
      </c>
      <c r="C486" s="91" t="s">
        <v>1860</v>
      </c>
      <c r="D486" s="91" t="s">
        <v>28</v>
      </c>
      <c r="E486" s="91"/>
      <c r="F486">
        <v>40</v>
      </c>
      <c r="G486" t="s">
        <v>1419</v>
      </c>
      <c r="H486" s="89">
        <v>46063</v>
      </c>
      <c r="I486" s="89">
        <v>46065</v>
      </c>
      <c r="J486" s="91"/>
      <c r="K486" s="91"/>
      <c r="M486" s="91"/>
      <c r="N486" s="91" t="s">
        <v>1837</v>
      </c>
    </row>
    <row r="487" spans="1:14" x14ac:dyDescent="0.25">
      <c r="A487" s="91" t="s">
        <v>1324</v>
      </c>
      <c r="B487" s="91" t="s">
        <v>1338</v>
      </c>
      <c r="C487" s="91" t="s">
        <v>1861</v>
      </c>
      <c r="D487" s="91" t="s">
        <v>13</v>
      </c>
      <c r="E487" s="91"/>
      <c r="F487">
        <v>480</v>
      </c>
      <c r="G487">
        <v>10</v>
      </c>
      <c r="H487" s="89">
        <v>46063</v>
      </c>
      <c r="I487" s="89">
        <v>46069</v>
      </c>
      <c r="J487" s="91" t="s">
        <v>1843</v>
      </c>
      <c r="K487" s="91"/>
      <c r="M487" s="91"/>
      <c r="N487" s="91" t="s">
        <v>1837</v>
      </c>
    </row>
    <row r="488" spans="1:14" x14ac:dyDescent="0.25">
      <c r="A488" s="91" t="s">
        <v>1324</v>
      </c>
      <c r="B488" s="91" t="s">
        <v>1338</v>
      </c>
      <c r="C488" s="91" t="s">
        <v>1862</v>
      </c>
      <c r="D488" s="91" t="s">
        <v>13</v>
      </c>
      <c r="E488" s="91"/>
      <c r="F488">
        <v>576</v>
      </c>
      <c r="G488">
        <v>12</v>
      </c>
      <c r="H488" s="89">
        <v>46064</v>
      </c>
      <c r="I488" s="89">
        <v>46070</v>
      </c>
      <c r="J488" s="91" t="s">
        <v>1838</v>
      </c>
      <c r="K488" s="91"/>
      <c r="M488" s="91"/>
      <c r="N488" s="91" t="s">
        <v>1837</v>
      </c>
    </row>
    <row r="489" spans="1:14" x14ac:dyDescent="0.25">
      <c r="A489" s="91" t="s">
        <v>1324</v>
      </c>
      <c r="B489" s="91" t="s">
        <v>1338</v>
      </c>
      <c r="C489" s="91" t="s">
        <v>1861</v>
      </c>
      <c r="D489" s="91" t="s">
        <v>13</v>
      </c>
      <c r="E489" s="91"/>
      <c r="F489">
        <v>192</v>
      </c>
      <c r="G489">
        <v>4</v>
      </c>
      <c r="H489" s="89">
        <v>46063</v>
      </c>
      <c r="I489" s="89">
        <v>46071</v>
      </c>
      <c r="J489" s="91" t="s">
        <v>1863</v>
      </c>
      <c r="K489" s="91"/>
      <c r="M489" s="91"/>
      <c r="N489" s="91" t="s">
        <v>1837</v>
      </c>
    </row>
    <row r="490" spans="1:14" x14ac:dyDescent="0.25">
      <c r="A490" s="91" t="s">
        <v>1321</v>
      </c>
      <c r="B490" s="91" t="s">
        <v>1335</v>
      </c>
      <c r="C490" s="91" t="s">
        <v>1864</v>
      </c>
      <c r="D490" s="91" t="s">
        <v>138</v>
      </c>
      <c r="E490" s="91"/>
      <c r="F490">
        <v>144</v>
      </c>
      <c r="G490">
        <v>3</v>
      </c>
      <c r="H490" s="89">
        <v>46064</v>
      </c>
      <c r="I490" s="89">
        <v>46070</v>
      </c>
      <c r="J490" s="91" t="s">
        <v>1838</v>
      </c>
      <c r="K490" s="91"/>
      <c r="M490" s="91"/>
      <c r="N490" s="91" t="s">
        <v>1837</v>
      </c>
    </row>
    <row r="491" spans="1:14" x14ac:dyDescent="0.25">
      <c r="A491" s="91" t="s">
        <v>1324</v>
      </c>
      <c r="B491" s="91" t="s">
        <v>1338</v>
      </c>
      <c r="C491" s="91" t="s">
        <v>1865</v>
      </c>
      <c r="D491" s="91" t="s">
        <v>129</v>
      </c>
      <c r="E491" s="91"/>
      <c r="F491">
        <v>576</v>
      </c>
      <c r="G491">
        <v>12</v>
      </c>
      <c r="H491" s="89">
        <v>46063</v>
      </c>
      <c r="I491" s="89">
        <v>46071</v>
      </c>
      <c r="J491" s="91" t="s">
        <v>1863</v>
      </c>
      <c r="K491" s="91"/>
      <c r="M491" s="91"/>
      <c r="N491" s="91" t="s">
        <v>1837</v>
      </c>
    </row>
    <row r="492" spans="1:14" x14ac:dyDescent="0.25">
      <c r="A492" s="91" t="s">
        <v>1321</v>
      </c>
      <c r="B492" s="91" t="s">
        <v>1335</v>
      </c>
      <c r="C492" s="91" t="s">
        <v>1866</v>
      </c>
      <c r="D492" s="91" t="s">
        <v>138</v>
      </c>
      <c r="E492" s="91"/>
      <c r="F492">
        <v>96</v>
      </c>
      <c r="G492">
        <v>2</v>
      </c>
      <c r="H492" s="89">
        <v>46063</v>
      </c>
      <c r="I492" s="89">
        <v>46069</v>
      </c>
      <c r="J492" s="91" t="s">
        <v>1843</v>
      </c>
      <c r="K492" s="91"/>
      <c r="M492" s="91"/>
      <c r="N492" s="91" t="s">
        <v>1837</v>
      </c>
    </row>
    <row r="493" spans="1:14" x14ac:dyDescent="0.25">
      <c r="A493" s="91" t="s">
        <v>1313</v>
      </c>
      <c r="B493" s="91" t="s">
        <v>1327</v>
      </c>
      <c r="C493" s="91" t="s">
        <v>1867</v>
      </c>
      <c r="D493" s="91" t="s">
        <v>23</v>
      </c>
      <c r="E493" s="91"/>
      <c r="F493">
        <v>864</v>
      </c>
      <c r="G493">
        <v>18</v>
      </c>
      <c r="H493" s="89">
        <v>46063</v>
      </c>
      <c r="I493" s="89">
        <v>46066</v>
      </c>
      <c r="J493" s="91" t="s">
        <v>1868</v>
      </c>
      <c r="K493" s="91"/>
      <c r="M493" s="91"/>
      <c r="N493" s="91" t="s">
        <v>1837</v>
      </c>
    </row>
    <row r="494" spans="1:14" x14ac:dyDescent="0.25">
      <c r="A494" s="91" t="s">
        <v>1313</v>
      </c>
      <c r="B494" s="91" t="s">
        <v>1327</v>
      </c>
      <c r="C494" s="91" t="s">
        <v>1867</v>
      </c>
      <c r="D494" s="91" t="s">
        <v>23</v>
      </c>
      <c r="E494" s="91"/>
      <c r="F494">
        <v>144</v>
      </c>
      <c r="G494">
        <v>3</v>
      </c>
      <c r="H494" s="89">
        <v>46063</v>
      </c>
      <c r="I494" s="89">
        <v>46065</v>
      </c>
      <c r="J494" s="91"/>
      <c r="K494" s="91"/>
      <c r="M494" s="91"/>
      <c r="N494" s="91" t="s">
        <v>1837</v>
      </c>
    </row>
    <row r="495" spans="1:14" x14ac:dyDescent="0.25">
      <c r="A495" s="91" t="s">
        <v>1325</v>
      </c>
      <c r="B495" s="91" t="s">
        <v>1339</v>
      </c>
      <c r="C495" s="91" t="s">
        <v>1866</v>
      </c>
      <c r="D495" s="91" t="s">
        <v>138</v>
      </c>
      <c r="E495" s="91"/>
      <c r="F495">
        <v>336</v>
      </c>
      <c r="G495">
        <v>7</v>
      </c>
      <c r="H495" s="89">
        <v>46063</v>
      </c>
      <c r="I495" s="89">
        <v>46065</v>
      </c>
      <c r="J495" s="91"/>
      <c r="K495" s="91"/>
      <c r="M495" s="91"/>
      <c r="N495" s="91" t="s">
        <v>1837</v>
      </c>
    </row>
    <row r="496" spans="1:14" x14ac:dyDescent="0.25">
      <c r="A496" s="91" t="s">
        <v>1313</v>
      </c>
      <c r="B496" s="91" t="s">
        <v>1327</v>
      </c>
      <c r="C496" s="91" t="s">
        <v>1869</v>
      </c>
      <c r="D496" s="91" t="s">
        <v>15</v>
      </c>
      <c r="E496" s="91"/>
      <c r="F496">
        <v>955</v>
      </c>
      <c r="G496">
        <v>19.895833333333332</v>
      </c>
      <c r="H496" s="89">
        <v>46063</v>
      </c>
      <c r="I496" s="89">
        <v>46068</v>
      </c>
      <c r="J496" s="91" t="s">
        <v>1850</v>
      </c>
      <c r="K496" s="91"/>
      <c r="M496" s="91"/>
      <c r="N496" s="91" t="s">
        <v>1837</v>
      </c>
    </row>
    <row r="497" spans="1:14" x14ac:dyDescent="0.25">
      <c r="A497" s="91" t="s">
        <v>1566</v>
      </c>
      <c r="B497" s="91" t="s">
        <v>1567</v>
      </c>
      <c r="C497" s="91" t="s">
        <v>1869</v>
      </c>
      <c r="D497" s="91" t="s">
        <v>15</v>
      </c>
      <c r="E497" s="91"/>
      <c r="F497">
        <v>5</v>
      </c>
      <c r="G497">
        <v>0.10416666666666669</v>
      </c>
      <c r="H497" s="89">
        <v>46063</v>
      </c>
      <c r="I497" s="89">
        <v>46068</v>
      </c>
      <c r="J497" s="91" t="s">
        <v>1870</v>
      </c>
      <c r="K497" s="91"/>
      <c r="M497" s="91"/>
      <c r="N497" s="91" t="s">
        <v>1837</v>
      </c>
    </row>
    <row r="498" spans="1:14" x14ac:dyDescent="0.25">
      <c r="A498" s="91" t="s">
        <v>1313</v>
      </c>
      <c r="B498" s="91" t="s">
        <v>1327</v>
      </c>
      <c r="C498" s="91" t="s">
        <v>1869</v>
      </c>
      <c r="D498" s="91" t="s">
        <v>15</v>
      </c>
      <c r="E498" s="91"/>
      <c r="F498">
        <v>144</v>
      </c>
      <c r="G498">
        <v>3</v>
      </c>
      <c r="H498" s="89">
        <v>46063</v>
      </c>
      <c r="I498" s="89">
        <v>46068</v>
      </c>
      <c r="J498" s="91" t="s">
        <v>1858</v>
      </c>
      <c r="K498" s="91"/>
      <c r="M498" s="91"/>
      <c r="N498" s="91" t="s">
        <v>1837</v>
      </c>
    </row>
    <row r="499" spans="1:14" x14ac:dyDescent="0.25">
      <c r="A499" s="91" t="s">
        <v>1313</v>
      </c>
      <c r="B499" s="91" t="s">
        <v>1327</v>
      </c>
      <c r="C499" s="91" t="s">
        <v>1869</v>
      </c>
      <c r="D499" s="91" t="s">
        <v>15</v>
      </c>
      <c r="E499" s="91"/>
      <c r="F499">
        <v>192</v>
      </c>
      <c r="G499">
        <v>4</v>
      </c>
      <c r="H499" s="89">
        <v>46063</v>
      </c>
      <c r="I499" s="89">
        <v>46067</v>
      </c>
      <c r="J499" s="91" t="s">
        <v>1871</v>
      </c>
      <c r="K499" s="91"/>
      <c r="M499" s="91"/>
      <c r="N499" s="91" t="s">
        <v>1837</v>
      </c>
    </row>
    <row r="500" spans="1:14" x14ac:dyDescent="0.25">
      <c r="A500" s="91" t="s">
        <v>1444</v>
      </c>
      <c r="B500" s="91" t="s">
        <v>1445</v>
      </c>
      <c r="C500" s="91" t="s">
        <v>1869</v>
      </c>
      <c r="D500" s="91" t="s">
        <v>15</v>
      </c>
      <c r="E500" s="91"/>
      <c r="F500">
        <v>120</v>
      </c>
      <c r="G500">
        <v>1</v>
      </c>
      <c r="H500" s="89">
        <v>46063</v>
      </c>
      <c r="I500" s="89">
        <v>46065</v>
      </c>
      <c r="J500" s="91"/>
      <c r="K500" s="91"/>
      <c r="M500" s="91"/>
      <c r="N500" s="91" t="s">
        <v>1837</v>
      </c>
    </row>
    <row r="501" spans="1:14" x14ac:dyDescent="0.25">
      <c r="A501" s="91" t="s">
        <v>1315</v>
      </c>
      <c r="B501" s="91" t="s">
        <v>1329</v>
      </c>
      <c r="C501" s="91" t="s">
        <v>1869</v>
      </c>
      <c r="D501" s="91" t="s">
        <v>15</v>
      </c>
      <c r="E501" s="91"/>
      <c r="F501">
        <v>52</v>
      </c>
      <c r="G501" t="s">
        <v>1419</v>
      </c>
      <c r="H501" s="89">
        <v>46063</v>
      </c>
      <c r="I501" s="89">
        <v>46065</v>
      </c>
      <c r="J501" s="91"/>
      <c r="K501" s="91"/>
      <c r="M501" s="91"/>
      <c r="N501" s="91" t="s">
        <v>1837</v>
      </c>
    </row>
    <row r="502" spans="1:14" x14ac:dyDescent="0.25">
      <c r="A502" s="91" t="s">
        <v>1316</v>
      </c>
      <c r="B502" s="91" t="s">
        <v>1330</v>
      </c>
      <c r="C502" s="91" t="s">
        <v>1872</v>
      </c>
      <c r="D502" s="91" t="s">
        <v>15</v>
      </c>
      <c r="E502" s="91"/>
      <c r="F502">
        <v>26</v>
      </c>
      <c r="G502" t="s">
        <v>1419</v>
      </c>
      <c r="H502" s="89">
        <v>46063</v>
      </c>
      <c r="I502" s="89">
        <v>46065</v>
      </c>
      <c r="J502" s="91"/>
      <c r="K502" s="91"/>
      <c r="M502" s="91"/>
      <c r="N502" s="91" t="s">
        <v>1837</v>
      </c>
    </row>
    <row r="503" spans="1:14" x14ac:dyDescent="0.25">
      <c r="A503" s="91" t="s">
        <v>1317</v>
      </c>
      <c r="B503" s="91" t="s">
        <v>1331</v>
      </c>
      <c r="C503" s="91" t="s">
        <v>1873</v>
      </c>
      <c r="D503" s="91" t="s">
        <v>15</v>
      </c>
      <c r="E503" s="91"/>
      <c r="F503">
        <v>14</v>
      </c>
      <c r="G503" t="s">
        <v>1419</v>
      </c>
      <c r="H503" s="89">
        <v>46063</v>
      </c>
      <c r="I503" s="89">
        <v>46065</v>
      </c>
      <c r="J503" s="91"/>
      <c r="K503" s="91"/>
      <c r="M503" s="91"/>
      <c r="N503" s="91" t="s">
        <v>1837</v>
      </c>
    </row>
    <row r="504" spans="1:14" x14ac:dyDescent="0.25">
      <c r="A504" s="91" t="s">
        <v>1318</v>
      </c>
      <c r="B504" s="91" t="s">
        <v>1332</v>
      </c>
      <c r="C504" s="91" t="s">
        <v>1874</v>
      </c>
      <c r="D504" s="91" t="s">
        <v>15</v>
      </c>
      <c r="E504" s="91"/>
      <c r="F504">
        <v>9</v>
      </c>
      <c r="G504" t="s">
        <v>1419</v>
      </c>
      <c r="H504" s="89">
        <v>46063</v>
      </c>
      <c r="I504" s="89">
        <v>46065</v>
      </c>
      <c r="J504" s="91"/>
      <c r="K504" s="91"/>
      <c r="M504" s="91"/>
      <c r="N504" s="91" t="s">
        <v>1837</v>
      </c>
    </row>
    <row r="505" spans="1:14" x14ac:dyDescent="0.25">
      <c r="A505" s="91" t="s">
        <v>1313</v>
      </c>
      <c r="B505" s="91" t="s">
        <v>1327</v>
      </c>
      <c r="C505" s="91" t="s">
        <v>1875</v>
      </c>
      <c r="D505" s="91" t="s">
        <v>20</v>
      </c>
      <c r="E505" s="91"/>
      <c r="F505">
        <v>1248</v>
      </c>
      <c r="G505">
        <v>26</v>
      </c>
      <c r="H505" s="89">
        <v>46063</v>
      </c>
      <c r="I505" s="89">
        <v>46066</v>
      </c>
      <c r="J505" s="91"/>
      <c r="K505" s="91"/>
      <c r="M505" s="91"/>
      <c r="N505" s="91" t="s">
        <v>1837</v>
      </c>
    </row>
    <row r="506" spans="1:14" x14ac:dyDescent="0.25">
      <c r="A506" s="91" t="s">
        <v>1315</v>
      </c>
      <c r="B506" s="91" t="s">
        <v>1329</v>
      </c>
      <c r="C506" s="91" t="s">
        <v>1875</v>
      </c>
      <c r="D506" s="91" t="s">
        <v>20</v>
      </c>
      <c r="E506" s="91"/>
      <c r="F506">
        <v>11</v>
      </c>
      <c r="G506" t="s">
        <v>1419</v>
      </c>
      <c r="H506" s="89">
        <v>46063</v>
      </c>
      <c r="I506" s="89">
        <v>46066</v>
      </c>
      <c r="J506" s="91"/>
      <c r="K506" s="91"/>
      <c r="M506" s="91"/>
      <c r="N506" s="91" t="s">
        <v>1837</v>
      </c>
    </row>
    <row r="507" spans="1:14" x14ac:dyDescent="0.25">
      <c r="A507" s="91" t="s">
        <v>1316</v>
      </c>
      <c r="B507" s="91" t="s">
        <v>1330</v>
      </c>
      <c r="C507" s="91" t="s">
        <v>1876</v>
      </c>
      <c r="D507" s="91" t="s">
        <v>20</v>
      </c>
      <c r="E507" s="91"/>
      <c r="F507">
        <v>102</v>
      </c>
      <c r="G507" t="s">
        <v>1419</v>
      </c>
      <c r="H507" s="89">
        <v>46063</v>
      </c>
      <c r="I507" s="89">
        <v>46065</v>
      </c>
      <c r="J507" s="91"/>
      <c r="K507" s="91"/>
      <c r="M507" s="91"/>
      <c r="N507" s="91" t="s">
        <v>1837</v>
      </c>
    </row>
    <row r="508" spans="1:14" x14ac:dyDescent="0.25">
      <c r="A508" s="91" t="s">
        <v>1317</v>
      </c>
      <c r="B508" s="91" t="s">
        <v>1331</v>
      </c>
      <c r="C508" s="91" t="s">
        <v>1877</v>
      </c>
      <c r="D508" s="91" t="s">
        <v>20</v>
      </c>
      <c r="E508" s="91"/>
      <c r="F508">
        <v>6</v>
      </c>
      <c r="G508" t="s">
        <v>1419</v>
      </c>
      <c r="H508" s="89">
        <v>46063</v>
      </c>
      <c r="I508" s="89">
        <v>46065</v>
      </c>
      <c r="J508" s="91"/>
      <c r="K508" s="91"/>
      <c r="M508" s="91"/>
      <c r="N508" s="91" t="s">
        <v>1837</v>
      </c>
    </row>
    <row r="509" spans="1:14" x14ac:dyDescent="0.25">
      <c r="A509" s="91" t="s">
        <v>1318</v>
      </c>
      <c r="B509" s="91" t="s">
        <v>1332</v>
      </c>
      <c r="C509" s="91" t="s">
        <v>1878</v>
      </c>
      <c r="D509" s="91" t="s">
        <v>20</v>
      </c>
      <c r="E509" s="91"/>
      <c r="F509">
        <v>54</v>
      </c>
      <c r="G509" t="s">
        <v>1419</v>
      </c>
      <c r="H509" s="89">
        <v>46063</v>
      </c>
      <c r="I509" s="89">
        <v>46065</v>
      </c>
      <c r="J509" s="91"/>
      <c r="K509" s="91"/>
      <c r="M509" s="91"/>
      <c r="N509" s="91" t="s">
        <v>1837</v>
      </c>
    </row>
    <row r="510" spans="1:14" x14ac:dyDescent="0.25">
      <c r="A510" s="91" t="s">
        <v>1313</v>
      </c>
      <c r="B510" s="91" t="s">
        <v>1327</v>
      </c>
      <c r="C510" s="91" t="s">
        <v>1879</v>
      </c>
      <c r="D510" s="91" t="s">
        <v>15</v>
      </c>
      <c r="E510" s="91"/>
      <c r="F510">
        <v>960</v>
      </c>
      <c r="G510">
        <v>20</v>
      </c>
      <c r="H510" s="89">
        <v>46064</v>
      </c>
      <c r="I510" s="89">
        <v>46067</v>
      </c>
      <c r="J510" s="91" t="s">
        <v>1871</v>
      </c>
      <c r="K510" s="91"/>
      <c r="M510" s="91"/>
      <c r="N510" s="91" t="s">
        <v>1837</v>
      </c>
    </row>
    <row r="511" spans="1:14" x14ac:dyDescent="0.25">
      <c r="A511" s="91" t="s">
        <v>1313</v>
      </c>
      <c r="B511" s="91" t="s">
        <v>1327</v>
      </c>
      <c r="C511" s="91" t="s">
        <v>1879</v>
      </c>
      <c r="D511" s="91" t="s">
        <v>15</v>
      </c>
      <c r="E511" s="91"/>
      <c r="F511">
        <v>331</v>
      </c>
      <c r="G511">
        <v>6.895833333333333</v>
      </c>
      <c r="H511" s="89">
        <v>46064</v>
      </c>
      <c r="I511" s="89">
        <v>46069</v>
      </c>
      <c r="J511" s="91" t="s">
        <v>1880</v>
      </c>
      <c r="K511" s="91"/>
      <c r="M511" s="91"/>
      <c r="N511" s="91" t="s">
        <v>1837</v>
      </c>
    </row>
    <row r="512" spans="1:14" x14ac:dyDescent="0.25">
      <c r="A512" s="91" t="s">
        <v>1316</v>
      </c>
      <c r="B512" s="91" t="s">
        <v>1330</v>
      </c>
      <c r="C512" s="91" t="s">
        <v>1881</v>
      </c>
      <c r="D512" s="91" t="s">
        <v>15</v>
      </c>
      <c r="E512" s="91"/>
      <c r="F512">
        <v>39</v>
      </c>
      <c r="G512" t="s">
        <v>1419</v>
      </c>
      <c r="H512" s="89">
        <v>46064</v>
      </c>
      <c r="I512" s="89">
        <v>46066</v>
      </c>
      <c r="J512" s="91"/>
      <c r="K512" s="91"/>
      <c r="M512" s="91"/>
      <c r="N512" s="91" t="s">
        <v>1837</v>
      </c>
    </row>
    <row r="513" spans="1:14" x14ac:dyDescent="0.25">
      <c r="A513" s="91" t="s">
        <v>1317</v>
      </c>
      <c r="B513" s="91" t="s">
        <v>1331</v>
      </c>
      <c r="C513" s="91" t="s">
        <v>1882</v>
      </c>
      <c r="D513" s="91" t="s">
        <v>15</v>
      </c>
      <c r="E513" s="91"/>
      <c r="F513">
        <v>12</v>
      </c>
      <c r="G513" t="s">
        <v>1419</v>
      </c>
      <c r="H513" s="89">
        <v>46064</v>
      </c>
      <c r="I513" s="89">
        <v>46066</v>
      </c>
      <c r="J513" s="91"/>
      <c r="K513" s="91"/>
      <c r="M513" s="91"/>
      <c r="N513" s="91" t="s">
        <v>1837</v>
      </c>
    </row>
    <row r="514" spans="1:14" x14ac:dyDescent="0.25">
      <c r="A514" s="91" t="s">
        <v>1318</v>
      </c>
      <c r="B514" s="91" t="s">
        <v>1332</v>
      </c>
      <c r="C514" s="91" t="s">
        <v>1883</v>
      </c>
      <c r="D514" s="91" t="s">
        <v>15</v>
      </c>
      <c r="E514" s="91"/>
      <c r="F514">
        <v>30</v>
      </c>
      <c r="G514" t="s">
        <v>1419</v>
      </c>
      <c r="H514" s="89">
        <v>46064</v>
      </c>
      <c r="I514" s="89">
        <v>46066</v>
      </c>
      <c r="J514" s="91"/>
      <c r="K514" s="91"/>
      <c r="M514" s="91"/>
      <c r="N514" s="91" t="s">
        <v>1837</v>
      </c>
    </row>
    <row r="515" spans="1:14" x14ac:dyDescent="0.25">
      <c r="A515" s="91" t="s">
        <v>1313</v>
      </c>
      <c r="B515" s="91" t="s">
        <v>1327</v>
      </c>
      <c r="C515" s="91" t="s">
        <v>1884</v>
      </c>
      <c r="D515" s="91" t="s">
        <v>21</v>
      </c>
      <c r="E515" s="91"/>
      <c r="F515">
        <v>480</v>
      </c>
      <c r="G515">
        <v>10</v>
      </c>
      <c r="H515" s="89">
        <v>46064</v>
      </c>
      <c r="I515" s="89">
        <v>46065</v>
      </c>
      <c r="J515" s="91"/>
      <c r="K515" s="91"/>
      <c r="M515" s="91"/>
      <c r="N515" s="91" t="s">
        <v>1837</v>
      </c>
    </row>
    <row r="516" spans="1:14" x14ac:dyDescent="0.25">
      <c r="A516" s="91" t="s">
        <v>1315</v>
      </c>
      <c r="B516" s="91" t="s">
        <v>1329</v>
      </c>
      <c r="C516" s="91" t="s">
        <v>1885</v>
      </c>
      <c r="D516" s="91" t="s">
        <v>21</v>
      </c>
      <c r="E516" s="91"/>
      <c r="F516">
        <v>39</v>
      </c>
      <c r="G516" t="s">
        <v>1419</v>
      </c>
      <c r="H516" s="89">
        <v>46064</v>
      </c>
      <c r="I516" s="89">
        <v>46066</v>
      </c>
      <c r="J516" s="91"/>
      <c r="K516" s="91"/>
      <c r="M516" s="91"/>
      <c r="N516" s="91" t="s">
        <v>1837</v>
      </c>
    </row>
    <row r="517" spans="1:14" x14ac:dyDescent="0.25">
      <c r="A517" s="91" t="s">
        <v>1316</v>
      </c>
      <c r="B517" s="91" t="s">
        <v>1330</v>
      </c>
      <c r="C517" s="91" t="s">
        <v>1885</v>
      </c>
      <c r="D517" s="91" t="s">
        <v>21</v>
      </c>
      <c r="E517" s="91"/>
      <c r="F517">
        <v>23</v>
      </c>
      <c r="G517" t="s">
        <v>1419</v>
      </c>
      <c r="H517" s="89">
        <v>46064</v>
      </c>
      <c r="I517" s="89">
        <v>46066</v>
      </c>
      <c r="J517" s="91"/>
      <c r="K517" s="91"/>
      <c r="M517" s="91"/>
      <c r="N517" s="91" t="s">
        <v>1837</v>
      </c>
    </row>
    <row r="518" spans="1:14" x14ac:dyDescent="0.25">
      <c r="A518" s="91" t="s">
        <v>1317</v>
      </c>
      <c r="B518" s="91" t="s">
        <v>1331</v>
      </c>
      <c r="C518" s="91" t="s">
        <v>1886</v>
      </c>
      <c r="D518" s="91" t="s">
        <v>21</v>
      </c>
      <c r="E518" s="91"/>
      <c r="F518">
        <v>21</v>
      </c>
      <c r="G518" t="s">
        <v>1419</v>
      </c>
      <c r="H518" s="89">
        <v>46064</v>
      </c>
      <c r="I518" s="89">
        <v>46066</v>
      </c>
      <c r="J518" s="91"/>
      <c r="K518" s="91"/>
      <c r="M518" s="91"/>
      <c r="N518" s="91" t="s">
        <v>1837</v>
      </c>
    </row>
    <row r="519" spans="1:14" x14ac:dyDescent="0.25">
      <c r="A519" s="91" t="s">
        <v>1318</v>
      </c>
      <c r="B519" s="91" t="s">
        <v>1332</v>
      </c>
      <c r="C519" s="91" t="s">
        <v>1887</v>
      </c>
      <c r="D519" s="91" t="s">
        <v>21</v>
      </c>
      <c r="E519" s="91"/>
      <c r="F519">
        <v>56</v>
      </c>
      <c r="G519" t="s">
        <v>1419</v>
      </c>
      <c r="H519" s="89">
        <v>46064</v>
      </c>
      <c r="I519" s="89">
        <v>46066</v>
      </c>
      <c r="J519" s="91"/>
      <c r="K519" s="91"/>
      <c r="M519" s="91"/>
      <c r="N519" s="91" t="s">
        <v>1837</v>
      </c>
    </row>
    <row r="520" spans="1:14" x14ac:dyDescent="0.25">
      <c r="A520" s="91" t="s">
        <v>1313</v>
      </c>
      <c r="B520" s="91" t="s">
        <v>1327</v>
      </c>
      <c r="C520" s="91" t="s">
        <v>1888</v>
      </c>
      <c r="D520" s="91" t="s">
        <v>23</v>
      </c>
      <c r="E520" s="91"/>
      <c r="F520">
        <v>144</v>
      </c>
      <c r="G520">
        <v>3</v>
      </c>
      <c r="H520" s="89">
        <v>46064</v>
      </c>
      <c r="I520" s="89">
        <v>46069</v>
      </c>
      <c r="J520" s="91" t="s">
        <v>1889</v>
      </c>
      <c r="K520" s="91"/>
      <c r="M520" s="91"/>
      <c r="N520" s="91" t="s">
        <v>1837</v>
      </c>
    </row>
    <row r="521" spans="1:14" x14ac:dyDescent="0.25">
      <c r="A521" s="91" t="s">
        <v>1324</v>
      </c>
      <c r="B521" s="91" t="s">
        <v>1338</v>
      </c>
      <c r="C521" s="91" t="s">
        <v>1890</v>
      </c>
      <c r="D521" s="91" t="s">
        <v>129</v>
      </c>
      <c r="E521" s="91"/>
      <c r="F521">
        <v>192</v>
      </c>
      <c r="G521">
        <v>4</v>
      </c>
      <c r="H521" s="89">
        <v>46064</v>
      </c>
      <c r="I521" s="89">
        <v>46071</v>
      </c>
      <c r="J521" s="91" t="s">
        <v>1863</v>
      </c>
      <c r="K521" s="91"/>
      <c r="M521" s="91"/>
      <c r="N521" s="91" t="s">
        <v>1837</v>
      </c>
    </row>
    <row r="522" spans="1:14" x14ac:dyDescent="0.25">
      <c r="A522" s="91" t="s">
        <v>1313</v>
      </c>
      <c r="B522" s="91" t="s">
        <v>1327</v>
      </c>
      <c r="C522" s="91" t="s">
        <v>1890</v>
      </c>
      <c r="D522" s="91" t="s">
        <v>129</v>
      </c>
      <c r="E522" s="91"/>
      <c r="F522">
        <v>192</v>
      </c>
      <c r="G522">
        <v>4</v>
      </c>
      <c r="H522" s="89">
        <v>46064</v>
      </c>
      <c r="I522" s="89">
        <v>46066</v>
      </c>
      <c r="J522" s="91"/>
      <c r="K522" s="91"/>
      <c r="M522" s="91"/>
      <c r="N522" s="91" t="s">
        <v>1837</v>
      </c>
    </row>
    <row r="523" spans="1:14" x14ac:dyDescent="0.25">
      <c r="A523" s="91" t="s">
        <v>1427</v>
      </c>
      <c r="B523" s="91" t="s">
        <v>1428</v>
      </c>
      <c r="C523" s="91" t="s">
        <v>1891</v>
      </c>
      <c r="D523" s="91" t="s">
        <v>20</v>
      </c>
      <c r="E523" s="91"/>
      <c r="F523">
        <v>756</v>
      </c>
      <c r="G523">
        <v>14</v>
      </c>
      <c r="H523" s="89">
        <v>46064</v>
      </c>
      <c r="I523" s="89">
        <v>46066</v>
      </c>
      <c r="J523" s="91" t="s">
        <v>1892</v>
      </c>
      <c r="K523" s="91"/>
      <c r="M523" s="91"/>
      <c r="N523" s="91" t="s">
        <v>1837</v>
      </c>
    </row>
    <row r="524" spans="1:14" x14ac:dyDescent="0.25">
      <c r="A524" s="91" t="s">
        <v>1322</v>
      </c>
      <c r="B524" s="91" t="s">
        <v>1336</v>
      </c>
      <c r="C524" s="91" t="s">
        <v>1891</v>
      </c>
      <c r="D524" s="91" t="s">
        <v>20</v>
      </c>
      <c r="E524" s="91"/>
      <c r="F524">
        <v>324</v>
      </c>
      <c r="G524">
        <v>6</v>
      </c>
      <c r="H524" s="89">
        <v>46064</v>
      </c>
      <c r="I524" s="89">
        <v>46066</v>
      </c>
      <c r="J524" s="91" t="s">
        <v>1892</v>
      </c>
      <c r="K524" s="91"/>
      <c r="M524" s="91"/>
      <c r="N524" s="91" t="s">
        <v>1837</v>
      </c>
    </row>
    <row r="525" spans="1:14" x14ac:dyDescent="0.25">
      <c r="A525" s="91" t="s">
        <v>1315</v>
      </c>
      <c r="B525" s="91" t="s">
        <v>1329</v>
      </c>
      <c r="C525" s="91" t="s">
        <v>1891</v>
      </c>
      <c r="D525" s="91" t="s">
        <v>20</v>
      </c>
      <c r="E525" s="91"/>
      <c r="F525">
        <v>160</v>
      </c>
      <c r="G525" t="s">
        <v>1419</v>
      </c>
      <c r="H525" s="89">
        <v>46064</v>
      </c>
      <c r="I525" s="89">
        <v>46066</v>
      </c>
      <c r="J525" s="91"/>
      <c r="K525" s="91"/>
      <c r="M525" s="91"/>
      <c r="N525" s="91" t="s">
        <v>1837</v>
      </c>
    </row>
    <row r="526" spans="1:14" x14ac:dyDescent="0.25">
      <c r="A526" s="91" t="s">
        <v>1316</v>
      </c>
      <c r="B526" s="91" t="s">
        <v>1330</v>
      </c>
      <c r="C526" s="91" t="s">
        <v>1893</v>
      </c>
      <c r="D526" s="91" t="s">
        <v>20</v>
      </c>
      <c r="E526" s="91"/>
      <c r="F526">
        <v>104</v>
      </c>
      <c r="G526" t="s">
        <v>1419</v>
      </c>
      <c r="H526" s="89">
        <v>46064</v>
      </c>
      <c r="I526" s="89">
        <v>46066</v>
      </c>
      <c r="J526" s="91"/>
      <c r="K526" s="91"/>
      <c r="M526" s="91"/>
      <c r="N526" s="91" t="s">
        <v>1837</v>
      </c>
    </row>
    <row r="527" spans="1:14" x14ac:dyDescent="0.25">
      <c r="A527" s="91" t="s">
        <v>1317</v>
      </c>
      <c r="B527" s="91" t="s">
        <v>1331</v>
      </c>
      <c r="C527" s="91" t="s">
        <v>1894</v>
      </c>
      <c r="D527" s="91" t="s">
        <v>20</v>
      </c>
      <c r="E527" s="91"/>
      <c r="F527">
        <v>9</v>
      </c>
      <c r="G527" t="s">
        <v>1419</v>
      </c>
      <c r="H527" s="89">
        <v>46064</v>
      </c>
      <c r="I527" s="89">
        <v>46066</v>
      </c>
      <c r="J527" s="91"/>
      <c r="K527" s="91"/>
      <c r="M527" s="91"/>
      <c r="N527" s="91" t="s">
        <v>1837</v>
      </c>
    </row>
    <row r="528" spans="1:14" x14ac:dyDescent="0.25">
      <c r="A528" s="91" t="s">
        <v>1318</v>
      </c>
      <c r="B528" s="91" t="s">
        <v>1332</v>
      </c>
      <c r="C528" s="91" t="s">
        <v>1895</v>
      </c>
      <c r="D528" s="91" t="s">
        <v>20</v>
      </c>
      <c r="E528" s="91"/>
      <c r="F528">
        <v>37</v>
      </c>
      <c r="G528" t="s">
        <v>1419</v>
      </c>
      <c r="H528" s="89">
        <v>46064</v>
      </c>
      <c r="I528" s="89">
        <v>46066</v>
      </c>
      <c r="J528" s="91"/>
      <c r="K528" s="91"/>
      <c r="M528" s="91"/>
      <c r="N528" s="91" t="s">
        <v>1837</v>
      </c>
    </row>
    <row r="529" spans="1:14" x14ac:dyDescent="0.25">
      <c r="A529" s="91" t="s">
        <v>1313</v>
      </c>
      <c r="B529" s="91" t="s">
        <v>1327</v>
      </c>
      <c r="C529" s="91" t="s">
        <v>1888</v>
      </c>
      <c r="D529" s="91" t="s">
        <v>23</v>
      </c>
      <c r="E529" s="91"/>
      <c r="F529">
        <v>816</v>
      </c>
      <c r="G529">
        <v>17</v>
      </c>
      <c r="H529" s="89">
        <v>46064</v>
      </c>
      <c r="I529" s="89">
        <v>46065</v>
      </c>
      <c r="J529" s="91"/>
      <c r="K529" s="91"/>
      <c r="M529" s="91"/>
      <c r="N529" s="91" t="s">
        <v>1837</v>
      </c>
    </row>
    <row r="530" spans="1:14" x14ac:dyDescent="0.25">
      <c r="A530" s="91" t="s">
        <v>1313</v>
      </c>
      <c r="B530" s="91" t="s">
        <v>1327</v>
      </c>
      <c r="C530" s="91" t="s">
        <v>1896</v>
      </c>
      <c r="D530" s="91" t="s">
        <v>23</v>
      </c>
      <c r="E530" s="91"/>
      <c r="F530">
        <v>1008</v>
      </c>
      <c r="G530">
        <v>21</v>
      </c>
      <c r="H530" s="89">
        <v>46065</v>
      </c>
      <c r="I530" s="89">
        <v>46069</v>
      </c>
      <c r="J530" s="91" t="s">
        <v>1889</v>
      </c>
      <c r="K530" s="91"/>
      <c r="M530" s="91"/>
      <c r="N530" s="91" t="s">
        <v>1837</v>
      </c>
    </row>
    <row r="531" spans="1:14" x14ac:dyDescent="0.25">
      <c r="A531" s="91" t="s">
        <v>1313</v>
      </c>
      <c r="B531" s="91" t="s">
        <v>1327</v>
      </c>
      <c r="C531" s="91" t="s">
        <v>1897</v>
      </c>
      <c r="D531" s="91" t="s">
        <v>15</v>
      </c>
      <c r="E531" s="91"/>
      <c r="F531">
        <v>5</v>
      </c>
      <c r="G531">
        <v>0.10416666666666669</v>
      </c>
      <c r="H531" s="89">
        <v>46065</v>
      </c>
      <c r="I531" s="89">
        <v>46069</v>
      </c>
      <c r="J531" s="91" t="s">
        <v>1880</v>
      </c>
      <c r="K531" s="91"/>
      <c r="M531" s="91"/>
      <c r="N531" s="91" t="s">
        <v>1837</v>
      </c>
    </row>
    <row r="532" spans="1:14" x14ac:dyDescent="0.25">
      <c r="A532" s="91" t="s">
        <v>1314</v>
      </c>
      <c r="B532" s="91" t="s">
        <v>1328</v>
      </c>
      <c r="C532" s="91" t="s">
        <v>1897</v>
      </c>
      <c r="D532" s="91" t="s">
        <v>15</v>
      </c>
      <c r="E532" s="91"/>
      <c r="F532">
        <v>336</v>
      </c>
      <c r="G532">
        <v>7</v>
      </c>
      <c r="H532" s="89">
        <v>46065</v>
      </c>
      <c r="I532" s="89">
        <v>46069</v>
      </c>
      <c r="J532" s="91" t="s">
        <v>1898</v>
      </c>
      <c r="K532" s="91"/>
      <c r="M532" s="91"/>
      <c r="N532" s="91" t="s">
        <v>1837</v>
      </c>
    </row>
    <row r="533" spans="1:14" x14ac:dyDescent="0.25">
      <c r="A533" s="91" t="s">
        <v>1313</v>
      </c>
      <c r="B533" s="91" t="s">
        <v>1327</v>
      </c>
      <c r="C533" s="91" t="s">
        <v>1897</v>
      </c>
      <c r="D533" s="91" t="s">
        <v>15</v>
      </c>
      <c r="E533" s="91"/>
      <c r="F533">
        <v>480</v>
      </c>
      <c r="G533">
        <v>10</v>
      </c>
      <c r="H533" s="89">
        <v>46065</v>
      </c>
      <c r="I533" s="89">
        <v>46067</v>
      </c>
      <c r="J533" s="91"/>
      <c r="K533" s="91"/>
      <c r="M533" s="91"/>
      <c r="N533" s="91" t="s">
        <v>1837</v>
      </c>
    </row>
    <row r="534" spans="1:14" x14ac:dyDescent="0.25">
      <c r="A534" s="91" t="s">
        <v>1444</v>
      </c>
      <c r="B534" s="91" t="s">
        <v>1445</v>
      </c>
      <c r="C534" s="91" t="s">
        <v>1897</v>
      </c>
      <c r="D534" s="91" t="s">
        <v>15</v>
      </c>
      <c r="E534" s="91"/>
      <c r="F534">
        <v>136</v>
      </c>
      <c r="G534">
        <v>1</v>
      </c>
      <c r="H534" s="89">
        <v>46065</v>
      </c>
      <c r="I534" s="89">
        <v>46067</v>
      </c>
      <c r="J534" s="91"/>
      <c r="K534" s="91"/>
      <c r="M534" s="91"/>
      <c r="N534" s="91" t="s">
        <v>1837</v>
      </c>
    </row>
    <row r="535" spans="1:14" x14ac:dyDescent="0.25">
      <c r="A535" s="91" t="s">
        <v>1315</v>
      </c>
      <c r="B535" s="91" t="s">
        <v>1329</v>
      </c>
      <c r="C535" s="91" t="s">
        <v>1897</v>
      </c>
      <c r="D535" s="91" t="s">
        <v>15</v>
      </c>
      <c r="E535" s="91"/>
      <c r="F535">
        <v>38</v>
      </c>
      <c r="G535" t="s">
        <v>1419</v>
      </c>
      <c r="H535" s="89">
        <v>46065</v>
      </c>
      <c r="I535" s="89">
        <v>46067</v>
      </c>
      <c r="J535" s="91"/>
      <c r="K535" s="91"/>
      <c r="M535" s="91"/>
      <c r="N535" s="91" t="s">
        <v>1837</v>
      </c>
    </row>
    <row r="536" spans="1:14" x14ac:dyDescent="0.25">
      <c r="A536" s="91" t="s">
        <v>1316</v>
      </c>
      <c r="B536" s="91" t="s">
        <v>1330</v>
      </c>
      <c r="C536" s="91" t="s">
        <v>1899</v>
      </c>
      <c r="D536" s="91" t="s">
        <v>15</v>
      </c>
      <c r="E536" s="91"/>
      <c r="F536">
        <v>49</v>
      </c>
      <c r="G536" t="s">
        <v>1419</v>
      </c>
      <c r="H536" s="89">
        <v>46065</v>
      </c>
      <c r="I536" s="89">
        <v>46067</v>
      </c>
      <c r="J536" s="91"/>
      <c r="K536" s="91"/>
      <c r="M536" s="91"/>
      <c r="N536" s="91" t="s">
        <v>1837</v>
      </c>
    </row>
    <row r="537" spans="1:14" x14ac:dyDescent="0.25">
      <c r="A537" s="91" t="s">
        <v>1317</v>
      </c>
      <c r="B537" s="91" t="s">
        <v>1331</v>
      </c>
      <c r="C537" s="91" t="s">
        <v>1900</v>
      </c>
      <c r="D537" s="91" t="s">
        <v>15</v>
      </c>
      <c r="E537" s="91"/>
      <c r="F537">
        <v>14</v>
      </c>
      <c r="G537" t="s">
        <v>1419</v>
      </c>
      <c r="H537" s="89">
        <v>46065</v>
      </c>
      <c r="I537" s="89">
        <v>46067</v>
      </c>
      <c r="J537" s="91"/>
      <c r="K537" s="91"/>
      <c r="M537" s="91"/>
      <c r="N537" s="91" t="s">
        <v>1837</v>
      </c>
    </row>
    <row r="538" spans="1:14" x14ac:dyDescent="0.25">
      <c r="A538" s="91" t="s">
        <v>1318</v>
      </c>
      <c r="B538" s="91" t="s">
        <v>1332</v>
      </c>
      <c r="C538" s="91" t="s">
        <v>1901</v>
      </c>
      <c r="D538" s="91" t="s">
        <v>15</v>
      </c>
      <c r="E538" s="91"/>
      <c r="F538">
        <v>8</v>
      </c>
      <c r="G538" t="s">
        <v>1419</v>
      </c>
      <c r="H538" s="89">
        <v>46065</v>
      </c>
      <c r="I538" s="89">
        <v>46067</v>
      </c>
      <c r="J538" s="91"/>
      <c r="K538" s="91"/>
      <c r="M538" s="91"/>
      <c r="N538" s="91" t="s">
        <v>1837</v>
      </c>
    </row>
    <row r="539" spans="1:14" x14ac:dyDescent="0.25">
      <c r="A539" s="91" t="s">
        <v>1313</v>
      </c>
      <c r="B539" s="91" t="s">
        <v>1327</v>
      </c>
      <c r="C539" s="91" t="s">
        <v>1902</v>
      </c>
      <c r="D539" s="91" t="s">
        <v>21</v>
      </c>
      <c r="E539" s="91"/>
      <c r="F539">
        <v>288</v>
      </c>
      <c r="G539">
        <v>6</v>
      </c>
      <c r="H539" s="89">
        <v>46065</v>
      </c>
      <c r="I539" s="89">
        <v>46068</v>
      </c>
      <c r="J539" s="91"/>
      <c r="K539" s="91"/>
      <c r="M539" s="91"/>
      <c r="N539" s="91" t="s">
        <v>1837</v>
      </c>
    </row>
    <row r="540" spans="1:14" x14ac:dyDescent="0.25">
      <c r="A540" s="91" t="s">
        <v>1313</v>
      </c>
      <c r="B540" s="91" t="s">
        <v>1327</v>
      </c>
      <c r="C540" s="91" t="s">
        <v>1902</v>
      </c>
      <c r="D540" s="91" t="s">
        <v>21</v>
      </c>
      <c r="E540" s="91"/>
      <c r="F540">
        <v>1152</v>
      </c>
      <c r="G540">
        <v>24</v>
      </c>
      <c r="H540" s="89">
        <v>46065</v>
      </c>
      <c r="I540" s="89">
        <v>46068</v>
      </c>
      <c r="J540" s="91" t="s">
        <v>1903</v>
      </c>
      <c r="K540" s="91"/>
      <c r="M540" s="91"/>
      <c r="N540" s="91" t="s">
        <v>1837</v>
      </c>
    </row>
    <row r="541" spans="1:14" x14ac:dyDescent="0.25">
      <c r="A541" s="91" t="s">
        <v>1315</v>
      </c>
      <c r="B541" s="91" t="s">
        <v>1329</v>
      </c>
      <c r="C541" s="91" t="s">
        <v>1902</v>
      </c>
      <c r="D541" s="91" t="s">
        <v>21</v>
      </c>
      <c r="E541" s="91"/>
      <c r="F541">
        <v>57</v>
      </c>
      <c r="G541" t="s">
        <v>1419</v>
      </c>
      <c r="H541" s="89">
        <v>46065</v>
      </c>
      <c r="I541" s="89">
        <v>46067</v>
      </c>
      <c r="J541" s="91"/>
      <c r="K541" s="91"/>
      <c r="M541" s="91"/>
      <c r="N541" s="91" t="s">
        <v>1837</v>
      </c>
    </row>
    <row r="542" spans="1:14" x14ac:dyDescent="0.25">
      <c r="A542" s="91" t="s">
        <v>1316</v>
      </c>
      <c r="B542" s="91" t="s">
        <v>1330</v>
      </c>
      <c r="C542" s="91" t="s">
        <v>1904</v>
      </c>
      <c r="D542" s="91" t="s">
        <v>21</v>
      </c>
      <c r="E542" s="91"/>
      <c r="F542">
        <v>25</v>
      </c>
      <c r="G542" t="s">
        <v>1419</v>
      </c>
      <c r="H542" s="89">
        <v>46065</v>
      </c>
      <c r="I542" s="89">
        <v>46067</v>
      </c>
      <c r="J542" s="91"/>
      <c r="K542" s="91"/>
      <c r="M542" s="91"/>
      <c r="N542" s="91" t="s">
        <v>1837</v>
      </c>
    </row>
    <row r="543" spans="1:14" x14ac:dyDescent="0.25">
      <c r="A543" s="91" t="s">
        <v>1317</v>
      </c>
      <c r="B543" s="91" t="s">
        <v>1331</v>
      </c>
      <c r="C543" s="91" t="s">
        <v>1905</v>
      </c>
      <c r="D543" s="91" t="s">
        <v>21</v>
      </c>
      <c r="E543" s="91"/>
      <c r="F543">
        <v>27</v>
      </c>
      <c r="G543" t="s">
        <v>1419</v>
      </c>
      <c r="H543" s="89">
        <v>46065</v>
      </c>
      <c r="I543" s="89">
        <v>46067</v>
      </c>
      <c r="J543" s="91"/>
      <c r="K543" s="91"/>
      <c r="M543" s="91"/>
      <c r="N543" s="91" t="s">
        <v>1837</v>
      </c>
    </row>
    <row r="544" spans="1:14" x14ac:dyDescent="0.25">
      <c r="A544" s="91" t="s">
        <v>1318</v>
      </c>
      <c r="B544" s="91" t="s">
        <v>1332</v>
      </c>
      <c r="C544" s="91" t="s">
        <v>1906</v>
      </c>
      <c r="D544" s="91" t="s">
        <v>21</v>
      </c>
      <c r="E544" s="91"/>
      <c r="F544">
        <v>69</v>
      </c>
      <c r="G544" t="s">
        <v>1419</v>
      </c>
      <c r="H544" s="89">
        <v>46065</v>
      </c>
      <c r="I544" s="89">
        <v>46067</v>
      </c>
      <c r="J544" s="91"/>
      <c r="K544" s="91"/>
      <c r="M544" s="91"/>
      <c r="N544" s="91" t="s">
        <v>1837</v>
      </c>
    </row>
    <row r="545" spans="1:14" x14ac:dyDescent="0.25">
      <c r="A545" s="91" t="s">
        <v>1324</v>
      </c>
      <c r="B545" s="91" t="s">
        <v>1338</v>
      </c>
      <c r="C545" s="91" t="s">
        <v>1907</v>
      </c>
      <c r="D545" s="91" t="s">
        <v>97</v>
      </c>
      <c r="E545" s="91"/>
      <c r="F545">
        <v>960</v>
      </c>
      <c r="G545">
        <v>20</v>
      </c>
      <c r="H545" s="89">
        <v>46065</v>
      </c>
      <c r="I545" s="89">
        <v>46071</v>
      </c>
      <c r="J545" s="91" t="s">
        <v>1863</v>
      </c>
      <c r="K545" s="91"/>
      <c r="M545" s="91"/>
      <c r="N545" s="91" t="s">
        <v>1837</v>
      </c>
    </row>
    <row r="546" spans="1:14" x14ac:dyDescent="0.25">
      <c r="A546" s="91" t="s">
        <v>1315</v>
      </c>
      <c r="B546" s="91" t="s">
        <v>1329</v>
      </c>
      <c r="C546" s="91" t="s">
        <v>1908</v>
      </c>
      <c r="D546" s="91" t="s">
        <v>20</v>
      </c>
      <c r="E546" s="91"/>
      <c r="F546">
        <v>1300</v>
      </c>
      <c r="G546" t="s">
        <v>1419</v>
      </c>
      <c r="H546" s="89">
        <v>46065</v>
      </c>
      <c r="I546" s="89">
        <v>46069</v>
      </c>
      <c r="J546" s="91"/>
      <c r="K546" s="91"/>
      <c r="M546" s="91"/>
      <c r="N546" s="91" t="s">
        <v>1837</v>
      </c>
    </row>
    <row r="547" spans="1:14" x14ac:dyDescent="0.25">
      <c r="A547" s="91" t="s">
        <v>1316</v>
      </c>
      <c r="B547" s="91" t="s">
        <v>1330</v>
      </c>
      <c r="C547" s="91" t="s">
        <v>1909</v>
      </c>
      <c r="D547" s="91" t="s">
        <v>20</v>
      </c>
      <c r="E547" s="91"/>
      <c r="F547">
        <v>145</v>
      </c>
      <c r="G547" t="s">
        <v>1419</v>
      </c>
      <c r="H547" s="89">
        <v>46065</v>
      </c>
      <c r="I547" s="89">
        <v>46067</v>
      </c>
      <c r="J547" s="91"/>
      <c r="K547" s="91"/>
      <c r="M547" s="91"/>
      <c r="N547" s="91" t="s">
        <v>1837</v>
      </c>
    </row>
    <row r="548" spans="1:14" x14ac:dyDescent="0.25">
      <c r="A548" s="91" t="s">
        <v>1317</v>
      </c>
      <c r="B548" s="91" t="s">
        <v>1331</v>
      </c>
      <c r="C548" s="91" t="s">
        <v>1910</v>
      </c>
      <c r="D548" s="91" t="s">
        <v>20</v>
      </c>
      <c r="E548" s="91"/>
      <c r="F548">
        <v>14</v>
      </c>
      <c r="G548" t="s">
        <v>1419</v>
      </c>
      <c r="H548" s="89">
        <v>46065</v>
      </c>
      <c r="I548" s="89">
        <v>46067</v>
      </c>
      <c r="J548" s="91"/>
      <c r="K548" s="91"/>
      <c r="M548" s="91"/>
      <c r="N548" s="91" t="s">
        <v>1837</v>
      </c>
    </row>
    <row r="549" spans="1:14" x14ac:dyDescent="0.25">
      <c r="A549" s="91" t="s">
        <v>1318</v>
      </c>
      <c r="B549" s="91" t="s">
        <v>1332</v>
      </c>
      <c r="C549" s="91" t="s">
        <v>1911</v>
      </c>
      <c r="D549" s="91" t="s">
        <v>20</v>
      </c>
      <c r="E549" s="91"/>
      <c r="F549">
        <v>58</v>
      </c>
      <c r="G549" t="s">
        <v>1419</v>
      </c>
      <c r="H549" s="89">
        <v>46065</v>
      </c>
      <c r="I549" s="89">
        <v>46067</v>
      </c>
      <c r="J549" s="91"/>
      <c r="K549" s="91"/>
      <c r="M549" s="91"/>
      <c r="N549" s="91" t="s">
        <v>1837</v>
      </c>
    </row>
    <row r="550" spans="1:14" x14ac:dyDescent="0.25">
      <c r="A550" s="91" t="s">
        <v>1324</v>
      </c>
      <c r="B550" s="91" t="s">
        <v>1338</v>
      </c>
      <c r="C550" s="91" t="s">
        <v>1912</v>
      </c>
      <c r="D550" s="91" t="s">
        <v>23</v>
      </c>
      <c r="E550" s="91"/>
      <c r="F550">
        <v>960</v>
      </c>
      <c r="G550">
        <v>20</v>
      </c>
      <c r="H550" s="89">
        <v>46066</v>
      </c>
      <c r="I550" s="89">
        <v>46070</v>
      </c>
      <c r="J550" s="91"/>
      <c r="K550" s="91"/>
      <c r="M550" s="91"/>
      <c r="N550" s="91" t="s">
        <v>1837</v>
      </c>
    </row>
    <row r="551" spans="1:14" x14ac:dyDescent="0.25">
      <c r="A551" s="91" t="s">
        <v>1315</v>
      </c>
      <c r="B551" s="91" t="s">
        <v>1329</v>
      </c>
      <c r="C551" s="91" t="s">
        <v>1913</v>
      </c>
      <c r="D551" s="91" t="s">
        <v>15</v>
      </c>
      <c r="E551" s="91"/>
      <c r="F551">
        <v>984</v>
      </c>
      <c r="G551" t="s">
        <v>1419</v>
      </c>
      <c r="H551" s="89">
        <v>46066</v>
      </c>
      <c r="I551" s="89">
        <v>46070</v>
      </c>
      <c r="J551" s="91"/>
      <c r="K551" s="91"/>
      <c r="M551" s="91"/>
      <c r="N551" s="91" t="s">
        <v>1837</v>
      </c>
    </row>
    <row r="552" spans="1:14" x14ac:dyDescent="0.25">
      <c r="A552" s="91" t="s">
        <v>1314</v>
      </c>
      <c r="B552" s="91" t="s">
        <v>1328</v>
      </c>
      <c r="C552" s="91" t="s">
        <v>1913</v>
      </c>
      <c r="D552" s="91" t="s">
        <v>15</v>
      </c>
      <c r="E552" s="91"/>
      <c r="F552">
        <v>336</v>
      </c>
      <c r="G552">
        <v>7</v>
      </c>
      <c r="H552" s="89">
        <v>46066</v>
      </c>
      <c r="I552" s="89">
        <v>46071</v>
      </c>
      <c r="J552" s="91" t="s">
        <v>1914</v>
      </c>
      <c r="K552" s="91"/>
      <c r="M552" s="91"/>
      <c r="N552" s="91" t="s">
        <v>1837</v>
      </c>
    </row>
    <row r="553" spans="1:14" x14ac:dyDescent="0.25">
      <c r="A553" s="91" t="s">
        <v>1316</v>
      </c>
      <c r="B553" s="91" t="s">
        <v>1330</v>
      </c>
      <c r="C553" s="91" t="s">
        <v>1915</v>
      </c>
      <c r="D553" s="91" t="s">
        <v>15</v>
      </c>
      <c r="E553" s="91"/>
      <c r="F553">
        <v>34</v>
      </c>
      <c r="G553" t="s">
        <v>1419</v>
      </c>
      <c r="H553" s="89">
        <v>46066</v>
      </c>
      <c r="I553" s="89">
        <v>46068</v>
      </c>
      <c r="J553" s="91"/>
      <c r="K553" s="91"/>
      <c r="M553" s="91"/>
      <c r="N553" s="91" t="s">
        <v>1837</v>
      </c>
    </row>
    <row r="554" spans="1:14" x14ac:dyDescent="0.25">
      <c r="A554" s="91" t="s">
        <v>1317</v>
      </c>
      <c r="B554" s="91" t="s">
        <v>1331</v>
      </c>
      <c r="C554" s="91" t="s">
        <v>1916</v>
      </c>
      <c r="D554" s="91" t="s">
        <v>15</v>
      </c>
      <c r="E554" s="91"/>
      <c r="F554">
        <v>15</v>
      </c>
      <c r="G554" t="s">
        <v>1419</v>
      </c>
      <c r="H554" s="89">
        <v>46066</v>
      </c>
      <c r="I554" s="89">
        <v>46068</v>
      </c>
      <c r="J554" s="91"/>
      <c r="K554" s="91"/>
      <c r="M554" s="91"/>
      <c r="N554" s="91" t="s">
        <v>1837</v>
      </c>
    </row>
    <row r="555" spans="1:14" x14ac:dyDescent="0.25">
      <c r="A555" s="91" t="s">
        <v>1318</v>
      </c>
      <c r="B555" s="91" t="s">
        <v>1332</v>
      </c>
      <c r="C555" s="91" t="s">
        <v>1917</v>
      </c>
      <c r="D555" s="91" t="s">
        <v>15</v>
      </c>
      <c r="E555" s="91"/>
      <c r="F555">
        <v>26</v>
      </c>
      <c r="G555" t="s">
        <v>1419</v>
      </c>
      <c r="H555" s="89">
        <v>46066</v>
      </c>
      <c r="I555" s="89">
        <v>46068</v>
      </c>
      <c r="J555" s="91"/>
      <c r="K555" s="91"/>
      <c r="M555" s="91"/>
      <c r="N555" s="91" t="s">
        <v>1837</v>
      </c>
    </row>
    <row r="556" spans="1:14" x14ac:dyDescent="0.25">
      <c r="A556" s="91" t="s">
        <v>1313</v>
      </c>
      <c r="B556" s="91" t="s">
        <v>1327</v>
      </c>
      <c r="C556" s="91" t="s">
        <v>1918</v>
      </c>
      <c r="D556" s="91" t="s">
        <v>21</v>
      </c>
      <c r="E556" s="91"/>
      <c r="F556">
        <v>816</v>
      </c>
      <c r="G556">
        <v>17</v>
      </c>
      <c r="H556" s="89">
        <v>46066</v>
      </c>
      <c r="I556" s="89">
        <v>46071</v>
      </c>
      <c r="J556" s="91" t="s">
        <v>1919</v>
      </c>
      <c r="K556" s="91"/>
      <c r="M556" s="91"/>
      <c r="N556" s="91" t="s">
        <v>1837</v>
      </c>
    </row>
    <row r="557" spans="1:14" x14ac:dyDescent="0.25">
      <c r="A557" s="91" t="s">
        <v>1313</v>
      </c>
      <c r="B557" s="91" t="s">
        <v>1327</v>
      </c>
      <c r="C557" s="91" t="s">
        <v>1918</v>
      </c>
      <c r="D557" s="91" t="s">
        <v>21</v>
      </c>
      <c r="E557" s="91"/>
      <c r="F557">
        <v>144</v>
      </c>
      <c r="G557">
        <v>3</v>
      </c>
      <c r="H557" s="89">
        <v>46066</v>
      </c>
      <c r="I557" s="89">
        <v>46068</v>
      </c>
      <c r="J557" s="91"/>
      <c r="K557" s="91"/>
      <c r="M557" s="91"/>
      <c r="N557" s="91" t="s">
        <v>1837</v>
      </c>
    </row>
    <row r="558" spans="1:14" x14ac:dyDescent="0.25">
      <c r="A558" s="91" t="s">
        <v>1324</v>
      </c>
      <c r="B558" s="91" t="s">
        <v>1338</v>
      </c>
      <c r="C558" s="91" t="s">
        <v>1918</v>
      </c>
      <c r="D558" s="91" t="s">
        <v>21</v>
      </c>
      <c r="E558" s="91"/>
      <c r="F558">
        <v>48</v>
      </c>
      <c r="G558">
        <v>1</v>
      </c>
      <c r="H558" s="89">
        <v>46066</v>
      </c>
      <c r="I558" s="89">
        <v>46068</v>
      </c>
      <c r="J558" s="91"/>
      <c r="K558" s="91"/>
      <c r="M558" s="91"/>
      <c r="N558" s="91" t="s">
        <v>1837</v>
      </c>
    </row>
    <row r="559" spans="1:14" x14ac:dyDescent="0.25">
      <c r="A559" s="91" t="s">
        <v>1315</v>
      </c>
      <c r="B559" s="91" t="s">
        <v>1329</v>
      </c>
      <c r="C559" s="91" t="s">
        <v>1918</v>
      </c>
      <c r="D559" s="91" t="s">
        <v>21</v>
      </c>
      <c r="E559" s="91"/>
      <c r="F559">
        <v>29</v>
      </c>
      <c r="G559" t="s">
        <v>1419</v>
      </c>
      <c r="H559" s="89">
        <v>46066</v>
      </c>
      <c r="I559" s="89">
        <v>46068</v>
      </c>
      <c r="J559" s="91"/>
      <c r="K559" s="91"/>
      <c r="M559" s="91"/>
      <c r="N559" s="91" t="s">
        <v>1837</v>
      </c>
    </row>
    <row r="560" spans="1:14" x14ac:dyDescent="0.25">
      <c r="A560" s="91" t="s">
        <v>1316</v>
      </c>
      <c r="B560" s="91" t="s">
        <v>1330</v>
      </c>
      <c r="C560" s="91" t="s">
        <v>1920</v>
      </c>
      <c r="D560" s="91" t="s">
        <v>21</v>
      </c>
      <c r="E560" s="91"/>
      <c r="F560">
        <v>36</v>
      </c>
      <c r="G560" t="s">
        <v>1419</v>
      </c>
      <c r="H560" s="89">
        <v>46066</v>
      </c>
      <c r="I560" s="89">
        <v>46068</v>
      </c>
      <c r="J560" s="91"/>
      <c r="K560" s="91"/>
      <c r="M560" s="91"/>
      <c r="N560" s="91" t="s">
        <v>1837</v>
      </c>
    </row>
    <row r="561" spans="1:14" x14ac:dyDescent="0.25">
      <c r="A561" s="91" t="s">
        <v>1317</v>
      </c>
      <c r="B561" s="91" t="s">
        <v>1331</v>
      </c>
      <c r="C561" s="91" t="s">
        <v>1921</v>
      </c>
      <c r="D561" s="91" t="s">
        <v>21</v>
      </c>
      <c r="E561" s="91"/>
      <c r="F561">
        <v>23</v>
      </c>
      <c r="G561" t="s">
        <v>1419</v>
      </c>
      <c r="H561" s="89">
        <v>46066</v>
      </c>
      <c r="I561" s="89">
        <v>46068</v>
      </c>
      <c r="J561" s="91"/>
      <c r="K561" s="91"/>
      <c r="M561" s="91"/>
      <c r="N561" s="91" t="s">
        <v>1837</v>
      </c>
    </row>
    <row r="562" spans="1:14" x14ac:dyDescent="0.25">
      <c r="A562" s="91" t="s">
        <v>1318</v>
      </c>
      <c r="B562" s="91" t="s">
        <v>1332</v>
      </c>
      <c r="C562" s="91" t="s">
        <v>1922</v>
      </c>
      <c r="D562" s="91" t="s">
        <v>21</v>
      </c>
      <c r="E562" s="91"/>
      <c r="F562">
        <v>45</v>
      </c>
      <c r="G562" t="s">
        <v>1419</v>
      </c>
      <c r="H562" s="89">
        <v>46066</v>
      </c>
      <c r="I562" s="89">
        <v>46068</v>
      </c>
      <c r="J562" s="91"/>
      <c r="K562" s="91"/>
      <c r="M562" s="91"/>
      <c r="N562" s="91" t="s">
        <v>1837</v>
      </c>
    </row>
    <row r="563" spans="1:14" x14ac:dyDescent="0.25">
      <c r="A563" s="91" t="s">
        <v>1324</v>
      </c>
      <c r="B563" s="91" t="s">
        <v>1338</v>
      </c>
      <c r="C563" s="91" t="s">
        <v>1923</v>
      </c>
      <c r="D563" s="91" t="s">
        <v>97</v>
      </c>
      <c r="E563" s="91"/>
      <c r="F563">
        <v>960</v>
      </c>
      <c r="G563">
        <v>20</v>
      </c>
      <c r="H563" s="89">
        <v>46067</v>
      </c>
      <c r="I563" s="89">
        <v>46074</v>
      </c>
      <c r="J563" s="91" t="s">
        <v>1924</v>
      </c>
      <c r="K563" s="91"/>
      <c r="M563" s="91"/>
      <c r="N563" s="91" t="s">
        <v>1837</v>
      </c>
    </row>
    <row r="564" spans="1:14" x14ac:dyDescent="0.25">
      <c r="A564" s="91" t="s">
        <v>1324</v>
      </c>
      <c r="B564" s="91" t="s">
        <v>1338</v>
      </c>
      <c r="C564" s="91" t="s">
        <v>1925</v>
      </c>
      <c r="D564" s="91" t="s">
        <v>23</v>
      </c>
      <c r="E564" s="91"/>
      <c r="F564">
        <v>960</v>
      </c>
      <c r="G564">
        <v>20</v>
      </c>
      <c r="H564" s="89">
        <v>46067</v>
      </c>
      <c r="I564" s="89">
        <v>46074</v>
      </c>
      <c r="J564" s="91" t="s">
        <v>1924</v>
      </c>
      <c r="K564" s="91"/>
      <c r="M564" s="91"/>
      <c r="N564" s="91" t="s">
        <v>1837</v>
      </c>
    </row>
    <row r="565" spans="1:14" x14ac:dyDescent="0.25">
      <c r="A565" s="91" t="s">
        <v>1313</v>
      </c>
      <c r="B565" s="91" t="s">
        <v>1327</v>
      </c>
      <c r="C565" s="91" t="s">
        <v>1926</v>
      </c>
      <c r="D565" s="91" t="s">
        <v>21</v>
      </c>
      <c r="E565" s="91"/>
      <c r="F565">
        <v>1152</v>
      </c>
      <c r="G565">
        <v>24</v>
      </c>
      <c r="H565" s="89">
        <v>46069</v>
      </c>
      <c r="I565" s="89">
        <v>46072</v>
      </c>
      <c r="J565" s="91" t="s">
        <v>1927</v>
      </c>
      <c r="K565" s="91"/>
      <c r="M565" s="91"/>
      <c r="N565" s="91" t="s">
        <v>1928</v>
      </c>
    </row>
    <row r="566" spans="1:14" x14ac:dyDescent="0.25">
      <c r="A566" s="91" t="s">
        <v>1313</v>
      </c>
      <c r="B566" s="91" t="s">
        <v>1327</v>
      </c>
      <c r="C566" s="91" t="s">
        <v>1926</v>
      </c>
      <c r="D566" s="91" t="s">
        <v>21</v>
      </c>
      <c r="E566" s="91"/>
      <c r="F566">
        <v>96</v>
      </c>
      <c r="G566">
        <v>2</v>
      </c>
      <c r="H566" s="89">
        <v>46069</v>
      </c>
      <c r="I566" s="89">
        <v>46073</v>
      </c>
      <c r="J566" s="91" t="s">
        <v>1929</v>
      </c>
      <c r="K566" s="91"/>
      <c r="M566" s="91"/>
      <c r="N566" s="91" t="s">
        <v>1928</v>
      </c>
    </row>
    <row r="567" spans="1:14" x14ac:dyDescent="0.25">
      <c r="A567" s="91" t="s">
        <v>1315</v>
      </c>
      <c r="B567" s="91" t="s">
        <v>1329</v>
      </c>
      <c r="C567" s="91" t="s">
        <v>1926</v>
      </c>
      <c r="D567" s="91" t="s">
        <v>21</v>
      </c>
      <c r="E567" s="91"/>
      <c r="F567">
        <v>38</v>
      </c>
      <c r="G567">
        <v>2</v>
      </c>
      <c r="H567" s="89">
        <v>46069</v>
      </c>
      <c r="I567" s="89">
        <v>46073</v>
      </c>
      <c r="J567" s="91"/>
      <c r="K567" s="91"/>
      <c r="M567" s="91"/>
      <c r="N567" s="91" t="s">
        <v>1928</v>
      </c>
    </row>
    <row r="568" spans="1:14" x14ac:dyDescent="0.25">
      <c r="A568" s="91" t="s">
        <v>1444</v>
      </c>
      <c r="B568" s="91" t="s">
        <v>1445</v>
      </c>
      <c r="C568" s="91" t="s">
        <v>1926</v>
      </c>
      <c r="D568" s="91" t="s">
        <v>21</v>
      </c>
      <c r="E568" s="91"/>
      <c r="F568">
        <v>156</v>
      </c>
      <c r="G568">
        <v>1</v>
      </c>
      <c r="H568" s="89">
        <v>46069</v>
      </c>
      <c r="I568" s="89">
        <v>46071</v>
      </c>
      <c r="J568" s="91"/>
      <c r="K568" s="91"/>
      <c r="M568" s="91"/>
      <c r="N568" s="91" t="s">
        <v>1928</v>
      </c>
    </row>
    <row r="569" spans="1:14" x14ac:dyDescent="0.25">
      <c r="A569" s="91" t="s">
        <v>1316</v>
      </c>
      <c r="B569" s="91" t="s">
        <v>1330</v>
      </c>
      <c r="C569" s="91" t="s">
        <v>1930</v>
      </c>
      <c r="D569" s="91" t="s">
        <v>21</v>
      </c>
      <c r="E569" s="91"/>
      <c r="F569">
        <v>45</v>
      </c>
      <c r="G569" t="s">
        <v>1419</v>
      </c>
      <c r="H569" s="89">
        <v>46069</v>
      </c>
      <c r="I569" s="89">
        <v>46073</v>
      </c>
      <c r="J569" s="91"/>
      <c r="K569" s="91"/>
      <c r="M569" s="91"/>
      <c r="N569" s="91" t="s">
        <v>1928</v>
      </c>
    </row>
    <row r="570" spans="1:14" x14ac:dyDescent="0.25">
      <c r="A570" s="91" t="s">
        <v>1317</v>
      </c>
      <c r="B570" s="91" t="s">
        <v>1331</v>
      </c>
      <c r="C570" s="91" t="s">
        <v>1931</v>
      </c>
      <c r="D570" s="91" t="s">
        <v>21</v>
      </c>
      <c r="E570" s="91"/>
      <c r="F570">
        <v>29</v>
      </c>
      <c r="G570" t="s">
        <v>1419</v>
      </c>
      <c r="H570" s="89">
        <v>46069</v>
      </c>
      <c r="I570" s="89">
        <v>46073</v>
      </c>
      <c r="J570" s="91"/>
      <c r="K570" s="91"/>
      <c r="M570" s="91"/>
      <c r="N570" s="91" t="s">
        <v>1928</v>
      </c>
    </row>
    <row r="571" spans="1:14" x14ac:dyDescent="0.25">
      <c r="A571" s="91" t="s">
        <v>1318</v>
      </c>
      <c r="B571" s="91" t="s">
        <v>1332</v>
      </c>
      <c r="C571" s="91" t="s">
        <v>1932</v>
      </c>
      <c r="D571" s="91" t="s">
        <v>21</v>
      </c>
      <c r="E571" s="91"/>
      <c r="F571">
        <v>68</v>
      </c>
      <c r="G571" t="s">
        <v>1419</v>
      </c>
      <c r="H571" s="89">
        <v>46069</v>
      </c>
      <c r="I571" s="89">
        <v>46073</v>
      </c>
      <c r="J571" s="91"/>
      <c r="K571" s="91"/>
      <c r="M571" s="91"/>
      <c r="N571" s="91" t="s">
        <v>1928</v>
      </c>
    </row>
    <row r="572" spans="1:14" x14ac:dyDescent="0.25">
      <c r="A572" s="91" t="s">
        <v>1324</v>
      </c>
      <c r="B572" s="91" t="s">
        <v>1338</v>
      </c>
      <c r="C572" s="91" t="s">
        <v>1933</v>
      </c>
      <c r="D572" s="91" t="s">
        <v>13</v>
      </c>
      <c r="E572" s="91"/>
      <c r="F572">
        <v>624</v>
      </c>
      <c r="G572">
        <v>13</v>
      </c>
      <c r="H572" s="89">
        <v>46069</v>
      </c>
      <c r="I572" s="89">
        <v>46077</v>
      </c>
      <c r="J572" s="91" t="s">
        <v>1934</v>
      </c>
      <c r="K572" s="91"/>
      <c r="M572" s="91"/>
      <c r="N572" s="91" t="s">
        <v>1928</v>
      </c>
    </row>
    <row r="573" spans="1:14" x14ac:dyDescent="0.25">
      <c r="A573" s="91" t="s">
        <v>1427</v>
      </c>
      <c r="B573" s="91" t="s">
        <v>1428</v>
      </c>
      <c r="C573" s="91" t="s">
        <v>1935</v>
      </c>
      <c r="D573" s="91" t="s">
        <v>20</v>
      </c>
      <c r="E573" s="91"/>
      <c r="F573">
        <v>918</v>
      </c>
      <c r="G573">
        <v>17</v>
      </c>
      <c r="H573" s="89">
        <v>46069</v>
      </c>
      <c r="I573" s="89">
        <v>46072</v>
      </c>
      <c r="J573" s="91" t="s">
        <v>1936</v>
      </c>
      <c r="K573" s="91"/>
      <c r="M573" s="91"/>
      <c r="N573" s="91" t="s">
        <v>1928</v>
      </c>
    </row>
    <row r="574" spans="1:14" x14ac:dyDescent="0.25">
      <c r="A574" s="91" t="s">
        <v>1322</v>
      </c>
      <c r="B574" s="91" t="s">
        <v>1336</v>
      </c>
      <c r="C574" s="91" t="s">
        <v>1935</v>
      </c>
      <c r="D574" s="91" t="s">
        <v>20</v>
      </c>
      <c r="E574" s="91"/>
      <c r="F574">
        <v>162</v>
      </c>
      <c r="G574">
        <v>3</v>
      </c>
      <c r="H574" s="89">
        <v>46069</v>
      </c>
      <c r="I574" s="89">
        <v>46072</v>
      </c>
      <c r="J574" s="91" t="s">
        <v>1936</v>
      </c>
      <c r="K574" s="91"/>
      <c r="M574" s="91"/>
      <c r="N574" s="91" t="s">
        <v>1928</v>
      </c>
    </row>
    <row r="575" spans="1:14" x14ac:dyDescent="0.25">
      <c r="A575" s="91" t="s">
        <v>1315</v>
      </c>
      <c r="B575" s="91" t="s">
        <v>1329</v>
      </c>
      <c r="C575" s="91" t="s">
        <v>1935</v>
      </c>
      <c r="D575" s="91" t="s">
        <v>20</v>
      </c>
      <c r="E575" s="91"/>
      <c r="F575">
        <v>377</v>
      </c>
      <c r="G575" t="s">
        <v>1419</v>
      </c>
      <c r="H575" s="89">
        <v>46069</v>
      </c>
      <c r="I575" s="89">
        <v>46073</v>
      </c>
      <c r="J575" s="91"/>
      <c r="K575" s="91"/>
      <c r="M575" s="91"/>
      <c r="N575" s="91" t="s">
        <v>1928</v>
      </c>
    </row>
    <row r="576" spans="1:14" x14ac:dyDescent="0.25">
      <c r="A576" s="91" t="s">
        <v>1316</v>
      </c>
      <c r="B576" s="91" t="s">
        <v>1330</v>
      </c>
      <c r="C576" s="91" t="s">
        <v>1937</v>
      </c>
      <c r="D576" s="91" t="s">
        <v>20</v>
      </c>
      <c r="E576" s="91"/>
      <c r="F576">
        <v>141</v>
      </c>
      <c r="G576" t="s">
        <v>1419</v>
      </c>
      <c r="H576" s="89">
        <v>46069</v>
      </c>
      <c r="I576" s="89">
        <v>46073</v>
      </c>
      <c r="J576" s="91"/>
      <c r="K576" s="91"/>
      <c r="M576" s="91"/>
      <c r="N576" s="91" t="s">
        <v>1928</v>
      </c>
    </row>
    <row r="577" spans="1:14" x14ac:dyDescent="0.25">
      <c r="A577" s="91" t="s">
        <v>1317</v>
      </c>
      <c r="B577" s="91" t="s">
        <v>1331</v>
      </c>
      <c r="C577" s="91" t="s">
        <v>1938</v>
      </c>
      <c r="D577" s="91" t="s">
        <v>20</v>
      </c>
      <c r="E577" s="91"/>
      <c r="F577">
        <v>6</v>
      </c>
      <c r="G577" t="s">
        <v>1419</v>
      </c>
      <c r="H577" s="89">
        <v>46069</v>
      </c>
      <c r="I577" s="89">
        <v>46073</v>
      </c>
      <c r="J577" s="91"/>
      <c r="K577" s="91"/>
      <c r="M577" s="91"/>
      <c r="N577" s="91" t="s">
        <v>1928</v>
      </c>
    </row>
    <row r="578" spans="1:14" x14ac:dyDescent="0.25">
      <c r="A578" s="91" t="s">
        <v>1318</v>
      </c>
      <c r="B578" s="91" t="s">
        <v>1332</v>
      </c>
      <c r="C578" s="91" t="s">
        <v>1939</v>
      </c>
      <c r="D578" s="91" t="s">
        <v>20</v>
      </c>
      <c r="E578" s="91"/>
      <c r="F578">
        <v>53</v>
      </c>
      <c r="G578" t="s">
        <v>1419</v>
      </c>
      <c r="H578" s="89">
        <v>46069</v>
      </c>
      <c r="I578" s="89">
        <v>46073</v>
      </c>
      <c r="J578" s="91"/>
      <c r="K578" s="91"/>
      <c r="M578" s="91"/>
      <c r="N578" s="91" t="s">
        <v>1928</v>
      </c>
    </row>
    <row r="579" spans="1:14" x14ac:dyDescent="0.25">
      <c r="A579" s="91" t="s">
        <v>1326</v>
      </c>
      <c r="B579" s="91" t="s">
        <v>1340</v>
      </c>
      <c r="C579" s="91" t="s">
        <v>1940</v>
      </c>
      <c r="D579" s="91" t="s">
        <v>32</v>
      </c>
      <c r="E579" s="91"/>
      <c r="F579">
        <v>126</v>
      </c>
      <c r="G579">
        <v>3</v>
      </c>
      <c r="H579" s="89">
        <v>46069</v>
      </c>
      <c r="I579" s="89">
        <v>46073</v>
      </c>
      <c r="J579" s="91" t="s">
        <v>1941</v>
      </c>
      <c r="K579" s="91"/>
      <c r="M579" s="91"/>
      <c r="N579" s="91" t="s">
        <v>1928</v>
      </c>
    </row>
    <row r="580" spans="1:14" x14ac:dyDescent="0.25">
      <c r="A580" s="91" t="s">
        <v>1313</v>
      </c>
      <c r="B580" s="91" t="s">
        <v>1327</v>
      </c>
      <c r="C580" s="91" t="s">
        <v>1942</v>
      </c>
      <c r="D580" s="91" t="s">
        <v>21</v>
      </c>
      <c r="E580" s="91"/>
      <c r="F580">
        <v>1056</v>
      </c>
      <c r="G580">
        <v>22</v>
      </c>
      <c r="H580" s="89">
        <v>46070</v>
      </c>
      <c r="I580" s="89">
        <v>46073</v>
      </c>
      <c r="J580" s="91" t="s">
        <v>1929</v>
      </c>
      <c r="K580" s="91"/>
      <c r="M580" s="91"/>
      <c r="N580" s="91" t="s">
        <v>1928</v>
      </c>
    </row>
    <row r="581" spans="1:14" x14ac:dyDescent="0.25">
      <c r="A581" s="91" t="s">
        <v>1313</v>
      </c>
      <c r="B581" s="91" t="s">
        <v>1327</v>
      </c>
      <c r="C581" s="91" t="s">
        <v>1942</v>
      </c>
      <c r="D581" s="91" t="s">
        <v>21</v>
      </c>
      <c r="E581" s="91"/>
      <c r="F581">
        <v>192</v>
      </c>
      <c r="G581">
        <v>4</v>
      </c>
      <c r="H581" s="89">
        <v>46070</v>
      </c>
      <c r="I581" s="89">
        <v>46072</v>
      </c>
      <c r="J581" s="91"/>
      <c r="K581" s="91"/>
      <c r="M581" s="91"/>
      <c r="N581" s="91" t="s">
        <v>1928</v>
      </c>
    </row>
    <row r="582" spans="1:14" x14ac:dyDescent="0.25">
      <c r="A582" s="91" t="s">
        <v>1315</v>
      </c>
      <c r="B582" s="91" t="s">
        <v>1329</v>
      </c>
      <c r="C582" s="91" t="s">
        <v>1942</v>
      </c>
      <c r="D582" s="91" t="s">
        <v>21</v>
      </c>
      <c r="E582" s="91"/>
      <c r="F582">
        <v>20</v>
      </c>
      <c r="G582" t="s">
        <v>1419</v>
      </c>
      <c r="H582" s="89">
        <v>46070</v>
      </c>
      <c r="I582" s="89">
        <v>46072</v>
      </c>
      <c r="J582" s="91"/>
      <c r="K582" s="91"/>
      <c r="M582" s="91"/>
      <c r="N582" s="91" t="s">
        <v>1928</v>
      </c>
    </row>
    <row r="583" spans="1:14" x14ac:dyDescent="0.25">
      <c r="A583" s="91" t="s">
        <v>1444</v>
      </c>
      <c r="B583" s="91" t="s">
        <v>1445</v>
      </c>
      <c r="C583" s="91" t="s">
        <v>1942</v>
      </c>
      <c r="D583" s="91" t="s">
        <v>21</v>
      </c>
      <c r="E583" s="91"/>
      <c r="F583">
        <v>108</v>
      </c>
      <c r="G583">
        <v>1</v>
      </c>
      <c r="H583" s="89">
        <v>46070</v>
      </c>
      <c r="I583" s="89">
        <v>46072</v>
      </c>
      <c r="J583" s="91"/>
      <c r="K583" s="91"/>
      <c r="M583" s="91"/>
      <c r="N583" s="91" t="s">
        <v>1928</v>
      </c>
    </row>
    <row r="584" spans="1:14" x14ac:dyDescent="0.25">
      <c r="A584" s="91" t="s">
        <v>1316</v>
      </c>
      <c r="B584" s="91" t="s">
        <v>1330</v>
      </c>
      <c r="C584" s="91" t="s">
        <v>1943</v>
      </c>
      <c r="D584" s="91" t="s">
        <v>21</v>
      </c>
      <c r="E584" s="91"/>
      <c r="F584">
        <v>52</v>
      </c>
      <c r="G584" t="s">
        <v>1419</v>
      </c>
      <c r="H584" s="89">
        <v>46070</v>
      </c>
      <c r="I584" s="89">
        <v>46073</v>
      </c>
      <c r="J584" s="91"/>
      <c r="K584" s="91"/>
      <c r="M584" s="91"/>
      <c r="N584" s="91" t="s">
        <v>1928</v>
      </c>
    </row>
    <row r="585" spans="1:14" x14ac:dyDescent="0.25">
      <c r="A585" s="91" t="s">
        <v>1317</v>
      </c>
      <c r="B585" s="91" t="s">
        <v>1331</v>
      </c>
      <c r="C585" s="91" t="s">
        <v>1944</v>
      </c>
      <c r="D585" s="91" t="s">
        <v>21</v>
      </c>
      <c r="E585" s="91"/>
      <c r="F585">
        <v>34</v>
      </c>
      <c r="G585" t="s">
        <v>1419</v>
      </c>
      <c r="H585" s="89">
        <v>46070</v>
      </c>
      <c r="I585" s="89">
        <v>46073</v>
      </c>
      <c r="J585" s="91"/>
      <c r="K585" s="91"/>
      <c r="M585" s="91"/>
      <c r="N585" s="91" t="s">
        <v>1928</v>
      </c>
    </row>
    <row r="586" spans="1:14" x14ac:dyDescent="0.25">
      <c r="A586" s="91" t="s">
        <v>1318</v>
      </c>
      <c r="B586" s="91" t="s">
        <v>1332</v>
      </c>
      <c r="C586" s="91" t="s">
        <v>1945</v>
      </c>
      <c r="D586" s="91" t="s">
        <v>21</v>
      </c>
      <c r="E586" s="91"/>
      <c r="F586">
        <v>62</v>
      </c>
      <c r="G586" t="s">
        <v>1419</v>
      </c>
      <c r="H586" s="89">
        <v>46070</v>
      </c>
      <c r="I586" s="89">
        <v>46073</v>
      </c>
      <c r="J586" s="91"/>
      <c r="K586" s="91"/>
      <c r="M586" s="91"/>
      <c r="N586" s="91" t="s">
        <v>1928</v>
      </c>
    </row>
    <row r="587" spans="1:14" x14ac:dyDescent="0.25">
      <c r="A587" s="91" t="s">
        <v>1313</v>
      </c>
      <c r="B587" s="91" t="s">
        <v>1327</v>
      </c>
      <c r="C587" s="91" t="s">
        <v>1946</v>
      </c>
      <c r="D587" s="91" t="s">
        <v>15</v>
      </c>
      <c r="E587" s="91"/>
      <c r="F587">
        <v>816</v>
      </c>
      <c r="G587">
        <v>17</v>
      </c>
      <c r="H587" s="89">
        <v>46070</v>
      </c>
      <c r="I587" s="89">
        <v>46073</v>
      </c>
      <c r="J587" s="91" t="s">
        <v>1947</v>
      </c>
      <c r="K587" s="91"/>
      <c r="M587" s="91"/>
      <c r="N587" s="91" t="s">
        <v>1928</v>
      </c>
    </row>
    <row r="588" spans="1:14" x14ac:dyDescent="0.25">
      <c r="A588" s="91" t="s">
        <v>1314</v>
      </c>
      <c r="B588" s="91" t="s">
        <v>1328</v>
      </c>
      <c r="C588" s="91" t="s">
        <v>1946</v>
      </c>
      <c r="D588" s="91" t="s">
        <v>15</v>
      </c>
      <c r="E588" s="91"/>
      <c r="F588">
        <v>336</v>
      </c>
      <c r="G588">
        <v>7</v>
      </c>
      <c r="H588" s="89">
        <v>46070</v>
      </c>
      <c r="I588" s="89">
        <v>46073</v>
      </c>
      <c r="J588" s="91" t="s">
        <v>1948</v>
      </c>
      <c r="K588" s="91"/>
      <c r="M588" s="91"/>
      <c r="N588" s="91" t="s">
        <v>1928</v>
      </c>
    </row>
    <row r="589" spans="1:14" x14ac:dyDescent="0.25">
      <c r="A589" s="91" t="s">
        <v>1566</v>
      </c>
      <c r="B589" s="91" t="s">
        <v>1567</v>
      </c>
      <c r="C589" s="91" t="s">
        <v>1946</v>
      </c>
      <c r="D589" s="91" t="s">
        <v>15</v>
      </c>
      <c r="E589" s="91"/>
      <c r="F589">
        <v>5</v>
      </c>
      <c r="G589">
        <v>0.10416666666666669</v>
      </c>
      <c r="H589" s="89">
        <v>46070</v>
      </c>
      <c r="I589" s="89">
        <v>46075</v>
      </c>
      <c r="J589" s="91" t="s">
        <v>1949</v>
      </c>
      <c r="K589" s="91"/>
      <c r="M589" s="91"/>
      <c r="N589" s="91" t="s">
        <v>1928</v>
      </c>
    </row>
    <row r="590" spans="1:14" x14ac:dyDescent="0.25">
      <c r="A590" s="91" t="s">
        <v>1315</v>
      </c>
      <c r="B590" s="91" t="s">
        <v>1329</v>
      </c>
      <c r="C590" s="91" t="s">
        <v>1946</v>
      </c>
      <c r="D590" s="91" t="s">
        <v>15</v>
      </c>
      <c r="E590" s="91"/>
      <c r="F590">
        <v>44</v>
      </c>
      <c r="G590" t="s">
        <v>1419</v>
      </c>
      <c r="H590" s="89">
        <v>46070</v>
      </c>
      <c r="I590" s="89">
        <v>46072</v>
      </c>
      <c r="J590" s="91"/>
      <c r="K590" s="91"/>
      <c r="M590" s="91"/>
      <c r="N590" s="91" t="s">
        <v>1928</v>
      </c>
    </row>
    <row r="591" spans="1:14" x14ac:dyDescent="0.25">
      <c r="A591" s="91" t="s">
        <v>1316</v>
      </c>
      <c r="B591" s="91" t="s">
        <v>1330</v>
      </c>
      <c r="C591" s="91" t="s">
        <v>1950</v>
      </c>
      <c r="D591" s="91" t="s">
        <v>15</v>
      </c>
      <c r="E591" s="91"/>
      <c r="F591">
        <v>27</v>
      </c>
      <c r="G591" t="s">
        <v>1419</v>
      </c>
      <c r="H591" s="89">
        <v>46070</v>
      </c>
      <c r="I591" s="89">
        <v>46073</v>
      </c>
      <c r="J591" s="91"/>
      <c r="K591" s="91"/>
      <c r="M591" s="91"/>
      <c r="N591" s="91" t="s">
        <v>1928</v>
      </c>
    </row>
    <row r="592" spans="1:14" x14ac:dyDescent="0.25">
      <c r="A592" s="91" t="s">
        <v>1317</v>
      </c>
      <c r="B592" s="91" t="s">
        <v>1331</v>
      </c>
      <c r="C592" s="91" t="s">
        <v>1951</v>
      </c>
      <c r="D592" s="91" t="s">
        <v>15</v>
      </c>
      <c r="E592" s="91"/>
      <c r="F592">
        <v>8</v>
      </c>
      <c r="G592" t="s">
        <v>1419</v>
      </c>
      <c r="H592" s="89">
        <v>46070</v>
      </c>
      <c r="I592" s="89">
        <v>46073</v>
      </c>
      <c r="J592" s="91"/>
      <c r="K592" s="91"/>
      <c r="M592" s="91"/>
      <c r="N592" s="91" t="s">
        <v>1928</v>
      </c>
    </row>
    <row r="593" spans="1:14" x14ac:dyDescent="0.25">
      <c r="A593" s="91" t="s">
        <v>1318</v>
      </c>
      <c r="B593" s="91" t="s">
        <v>1332</v>
      </c>
      <c r="C593" s="91" t="s">
        <v>1952</v>
      </c>
      <c r="D593" s="91" t="s">
        <v>15</v>
      </c>
      <c r="E593" s="91"/>
      <c r="F593">
        <v>20</v>
      </c>
      <c r="G593" t="s">
        <v>1419</v>
      </c>
      <c r="H593" s="89">
        <v>46070</v>
      </c>
      <c r="I593" s="89">
        <v>46073</v>
      </c>
      <c r="J593" s="91"/>
      <c r="K593" s="91"/>
      <c r="M593" s="91"/>
      <c r="N593" s="91" t="s">
        <v>1928</v>
      </c>
    </row>
    <row r="594" spans="1:14" x14ac:dyDescent="0.25">
      <c r="A594" s="91" t="s">
        <v>1324</v>
      </c>
      <c r="B594" s="91" t="s">
        <v>1338</v>
      </c>
      <c r="C594" s="91" t="s">
        <v>1953</v>
      </c>
      <c r="D594" s="91" t="s">
        <v>13</v>
      </c>
      <c r="E594" s="91"/>
      <c r="F594">
        <v>336</v>
      </c>
      <c r="G594">
        <v>7</v>
      </c>
      <c r="H594" s="89">
        <v>46070</v>
      </c>
      <c r="I594" s="89">
        <v>46077</v>
      </c>
      <c r="J594" s="91" t="s">
        <v>1934</v>
      </c>
      <c r="K594" s="91"/>
      <c r="M594" s="91"/>
      <c r="N594" s="91" t="s">
        <v>1928</v>
      </c>
    </row>
    <row r="595" spans="1:14" x14ac:dyDescent="0.25">
      <c r="A595" s="91" t="s">
        <v>1427</v>
      </c>
      <c r="B595" s="91" t="s">
        <v>1428</v>
      </c>
      <c r="C595" s="91" t="s">
        <v>1954</v>
      </c>
      <c r="D595" s="91" t="s">
        <v>20</v>
      </c>
      <c r="E595" s="91"/>
      <c r="F595">
        <v>918</v>
      </c>
      <c r="G595">
        <v>17</v>
      </c>
      <c r="H595" s="89">
        <v>46070</v>
      </c>
      <c r="I595" s="89">
        <v>46073</v>
      </c>
      <c r="J595" s="91" t="s">
        <v>1955</v>
      </c>
      <c r="K595" s="91"/>
      <c r="M595" s="91"/>
      <c r="N595" s="91" t="s">
        <v>1928</v>
      </c>
    </row>
    <row r="596" spans="1:14" x14ac:dyDescent="0.25">
      <c r="A596" s="91" t="s">
        <v>1322</v>
      </c>
      <c r="B596" s="91" t="s">
        <v>1336</v>
      </c>
      <c r="C596" s="91" t="s">
        <v>1954</v>
      </c>
      <c r="D596" s="91" t="s">
        <v>20</v>
      </c>
      <c r="E596" s="91"/>
      <c r="F596">
        <v>162</v>
      </c>
      <c r="G596">
        <v>3</v>
      </c>
      <c r="H596" s="89">
        <v>46070</v>
      </c>
      <c r="I596" s="89">
        <v>46073</v>
      </c>
      <c r="J596" s="91" t="s">
        <v>1955</v>
      </c>
      <c r="K596" s="91"/>
      <c r="M596" s="91"/>
      <c r="N596" s="91" t="s">
        <v>1928</v>
      </c>
    </row>
    <row r="597" spans="1:14" x14ac:dyDescent="0.25">
      <c r="A597" s="91" t="s">
        <v>1315</v>
      </c>
      <c r="B597" s="91" t="s">
        <v>1329</v>
      </c>
      <c r="C597" s="91" t="s">
        <v>1954</v>
      </c>
      <c r="D597" s="91" t="s">
        <v>20</v>
      </c>
      <c r="E597" s="91"/>
      <c r="F597">
        <v>61</v>
      </c>
      <c r="G597" t="s">
        <v>1419</v>
      </c>
      <c r="H597" s="89">
        <v>46070</v>
      </c>
      <c r="I597" s="89">
        <v>46073</v>
      </c>
      <c r="J597" s="91"/>
      <c r="K597" s="91"/>
      <c r="M597" s="91"/>
      <c r="N597" s="91" t="s">
        <v>1928</v>
      </c>
    </row>
    <row r="598" spans="1:14" x14ac:dyDescent="0.25">
      <c r="A598" s="91" t="s">
        <v>1316</v>
      </c>
      <c r="B598" s="91" t="s">
        <v>1330</v>
      </c>
      <c r="C598" s="91" t="s">
        <v>1956</v>
      </c>
      <c r="D598" s="91" t="s">
        <v>20</v>
      </c>
      <c r="E598" s="91"/>
      <c r="F598">
        <v>77</v>
      </c>
      <c r="G598" t="s">
        <v>1419</v>
      </c>
      <c r="H598" s="89">
        <v>46070</v>
      </c>
      <c r="I598" s="89">
        <v>46073</v>
      </c>
      <c r="J598" s="91"/>
      <c r="K598" s="91"/>
      <c r="M598" s="91"/>
      <c r="N598" s="91" t="s">
        <v>1928</v>
      </c>
    </row>
    <row r="599" spans="1:14" x14ac:dyDescent="0.25">
      <c r="A599" s="91" t="s">
        <v>1317</v>
      </c>
      <c r="B599" s="91" t="s">
        <v>1331</v>
      </c>
      <c r="C599" s="91" t="s">
        <v>1957</v>
      </c>
      <c r="D599" s="91" t="s">
        <v>20</v>
      </c>
      <c r="E599" s="91"/>
      <c r="F599">
        <v>4</v>
      </c>
      <c r="G599" t="s">
        <v>1419</v>
      </c>
      <c r="H599" s="89">
        <v>46070</v>
      </c>
      <c r="I599" s="89">
        <v>46073</v>
      </c>
      <c r="J599" s="91"/>
      <c r="K599" s="91"/>
      <c r="M599" s="91"/>
      <c r="N599" s="91" t="s">
        <v>1928</v>
      </c>
    </row>
    <row r="600" spans="1:14" x14ac:dyDescent="0.25">
      <c r="A600" s="91" t="s">
        <v>1318</v>
      </c>
      <c r="B600" s="91" t="s">
        <v>1332</v>
      </c>
      <c r="C600" s="91" t="s">
        <v>1958</v>
      </c>
      <c r="D600" s="91" t="s">
        <v>20</v>
      </c>
      <c r="E600" s="91"/>
      <c r="F600">
        <v>31</v>
      </c>
      <c r="G600" t="s">
        <v>1419</v>
      </c>
      <c r="H600" s="89">
        <v>46070</v>
      </c>
      <c r="I600" s="89">
        <v>46073</v>
      </c>
      <c r="J600" s="91"/>
      <c r="K600" s="91"/>
      <c r="M600" s="91"/>
      <c r="N600" s="91" t="s">
        <v>1928</v>
      </c>
    </row>
    <row r="601" spans="1:14" x14ac:dyDescent="0.25">
      <c r="A601" s="91" t="s">
        <v>1325</v>
      </c>
      <c r="B601" s="91" t="s">
        <v>1339</v>
      </c>
      <c r="C601" s="91" t="s">
        <v>1959</v>
      </c>
      <c r="D601" s="91" t="s">
        <v>138</v>
      </c>
      <c r="E601" s="91"/>
      <c r="F601">
        <v>336</v>
      </c>
      <c r="G601">
        <v>7</v>
      </c>
      <c r="H601" s="89">
        <v>46070</v>
      </c>
      <c r="I601" s="89">
        <v>46072</v>
      </c>
      <c r="J601" s="91"/>
      <c r="K601" s="91"/>
      <c r="M601" s="91"/>
      <c r="N601" s="91" t="s">
        <v>1928</v>
      </c>
    </row>
    <row r="602" spans="1:14" x14ac:dyDescent="0.25">
      <c r="A602" s="91" t="s">
        <v>1313</v>
      </c>
      <c r="B602" s="91" t="s">
        <v>1327</v>
      </c>
      <c r="C602" s="91" t="s">
        <v>1960</v>
      </c>
      <c r="D602" s="91" t="s">
        <v>23</v>
      </c>
      <c r="E602" s="91"/>
      <c r="F602">
        <v>720</v>
      </c>
      <c r="G602">
        <v>15</v>
      </c>
      <c r="H602" s="89">
        <v>46070</v>
      </c>
      <c r="I602" s="89">
        <v>46072</v>
      </c>
      <c r="J602" s="91"/>
      <c r="K602" s="91"/>
      <c r="M602" s="91"/>
      <c r="N602" s="91" t="s">
        <v>1928</v>
      </c>
    </row>
    <row r="603" spans="1:14" x14ac:dyDescent="0.25">
      <c r="A603" s="91" t="s">
        <v>1313</v>
      </c>
      <c r="B603" s="91" t="s">
        <v>1327</v>
      </c>
      <c r="C603" s="91" t="s">
        <v>1961</v>
      </c>
      <c r="D603" s="91" t="s">
        <v>129</v>
      </c>
      <c r="E603" s="91"/>
      <c r="F603">
        <v>619</v>
      </c>
      <c r="G603">
        <v>12.895833333333334</v>
      </c>
      <c r="H603" s="89">
        <v>46070</v>
      </c>
      <c r="I603" s="89">
        <v>46075</v>
      </c>
      <c r="J603" s="91" t="s">
        <v>1962</v>
      </c>
      <c r="K603" s="91"/>
      <c r="M603" s="91"/>
      <c r="N603" s="91" t="s">
        <v>1928</v>
      </c>
    </row>
    <row r="604" spans="1:14" x14ac:dyDescent="0.25">
      <c r="A604" s="91" t="s">
        <v>1315</v>
      </c>
      <c r="B604" s="91" t="s">
        <v>1329</v>
      </c>
      <c r="C604" s="91" t="s">
        <v>1961</v>
      </c>
      <c r="D604" s="91" t="s">
        <v>129</v>
      </c>
      <c r="E604" s="91"/>
      <c r="F604">
        <v>5</v>
      </c>
      <c r="G604" t="s">
        <v>1419</v>
      </c>
      <c r="H604" s="89">
        <v>46070</v>
      </c>
      <c r="I604" s="89">
        <v>46075</v>
      </c>
      <c r="J604" s="91"/>
      <c r="K604" s="91"/>
      <c r="M604" s="91"/>
      <c r="N604" s="91" t="s">
        <v>1928</v>
      </c>
    </row>
    <row r="605" spans="1:14" x14ac:dyDescent="0.25">
      <c r="A605" s="91" t="s">
        <v>1313</v>
      </c>
      <c r="B605" s="91" t="s">
        <v>1327</v>
      </c>
      <c r="C605" s="91" t="s">
        <v>1963</v>
      </c>
      <c r="D605" s="91" t="s">
        <v>23</v>
      </c>
      <c r="E605" s="91"/>
      <c r="F605">
        <v>960</v>
      </c>
      <c r="G605">
        <v>20</v>
      </c>
      <c r="H605" s="89">
        <v>46071</v>
      </c>
      <c r="I605" s="89">
        <v>46075</v>
      </c>
      <c r="J605" s="91" t="s">
        <v>1964</v>
      </c>
      <c r="K605" s="91"/>
      <c r="M605" s="91"/>
      <c r="N605" s="91" t="s">
        <v>1928</v>
      </c>
    </row>
    <row r="606" spans="1:14" x14ac:dyDescent="0.25">
      <c r="A606" s="91" t="s">
        <v>1313</v>
      </c>
      <c r="B606" s="91" t="s">
        <v>1327</v>
      </c>
      <c r="C606" s="91" t="s">
        <v>1965</v>
      </c>
      <c r="D606" s="91" t="s">
        <v>15</v>
      </c>
      <c r="E606" s="91"/>
      <c r="F606">
        <v>192</v>
      </c>
      <c r="G606">
        <v>4</v>
      </c>
      <c r="H606" s="89">
        <v>46071</v>
      </c>
      <c r="I606" s="89">
        <v>46075</v>
      </c>
      <c r="J606" s="91" t="s">
        <v>1964</v>
      </c>
      <c r="K606" s="91"/>
      <c r="M606" s="91"/>
      <c r="N606" s="91" t="s">
        <v>1928</v>
      </c>
    </row>
    <row r="607" spans="1:14" x14ac:dyDescent="0.25">
      <c r="A607" s="91" t="s">
        <v>1313</v>
      </c>
      <c r="B607" s="91" t="s">
        <v>1327</v>
      </c>
      <c r="C607" s="91" t="s">
        <v>1965</v>
      </c>
      <c r="D607" s="91" t="s">
        <v>15</v>
      </c>
      <c r="E607" s="91"/>
      <c r="F607">
        <v>816</v>
      </c>
      <c r="G607">
        <v>17</v>
      </c>
      <c r="H607" s="89">
        <v>46071</v>
      </c>
      <c r="I607" s="89">
        <v>46075</v>
      </c>
      <c r="J607" s="91" t="s">
        <v>1966</v>
      </c>
      <c r="K607" s="91"/>
      <c r="M607" s="91"/>
      <c r="N607" s="91" t="s">
        <v>1928</v>
      </c>
    </row>
    <row r="608" spans="1:14" x14ac:dyDescent="0.25">
      <c r="A608" s="91" t="s">
        <v>1314</v>
      </c>
      <c r="B608" s="91" t="s">
        <v>1328</v>
      </c>
      <c r="C608" s="91" t="s">
        <v>1965</v>
      </c>
      <c r="D608" s="91" t="s">
        <v>15</v>
      </c>
      <c r="E608" s="91"/>
      <c r="F608">
        <v>144</v>
      </c>
      <c r="G608">
        <v>3</v>
      </c>
      <c r="H608" s="89">
        <v>46071</v>
      </c>
      <c r="I608" s="89">
        <v>46076</v>
      </c>
      <c r="J608" s="91" t="s">
        <v>1967</v>
      </c>
      <c r="K608" s="91"/>
      <c r="M608" s="91"/>
      <c r="N608" s="91" t="s">
        <v>1928</v>
      </c>
    </row>
    <row r="609" spans="1:14" x14ac:dyDescent="0.25">
      <c r="A609" s="91" t="s">
        <v>1315</v>
      </c>
      <c r="B609" s="91" t="s">
        <v>1329</v>
      </c>
      <c r="C609" s="91" t="s">
        <v>1965</v>
      </c>
      <c r="D609" s="91" t="s">
        <v>15</v>
      </c>
      <c r="E609" s="91"/>
      <c r="F609">
        <v>92</v>
      </c>
      <c r="G609" t="s">
        <v>1419</v>
      </c>
      <c r="H609" s="89">
        <v>46071</v>
      </c>
      <c r="I609" s="89">
        <v>46073</v>
      </c>
      <c r="J609" s="91"/>
      <c r="K609" s="91"/>
      <c r="M609" s="91"/>
      <c r="N609" s="91" t="s">
        <v>1928</v>
      </c>
    </row>
    <row r="610" spans="1:14" x14ac:dyDescent="0.25">
      <c r="A610" s="91" t="s">
        <v>1316</v>
      </c>
      <c r="B610" s="91" t="s">
        <v>1330</v>
      </c>
      <c r="C610" s="91" t="s">
        <v>1968</v>
      </c>
      <c r="D610" s="91" t="s">
        <v>15</v>
      </c>
      <c r="E610" s="91"/>
      <c r="F610">
        <v>36</v>
      </c>
      <c r="G610" t="s">
        <v>1419</v>
      </c>
      <c r="H610" s="89">
        <v>46071</v>
      </c>
      <c r="I610" s="89">
        <v>46073</v>
      </c>
      <c r="J610" s="91"/>
      <c r="K610" s="91"/>
      <c r="M610" s="91"/>
      <c r="N610" s="91" t="s">
        <v>1928</v>
      </c>
    </row>
    <row r="611" spans="1:14" x14ac:dyDescent="0.25">
      <c r="A611" s="91" t="s">
        <v>1317</v>
      </c>
      <c r="B611" s="91" t="s">
        <v>1331</v>
      </c>
      <c r="C611" s="91" t="s">
        <v>1969</v>
      </c>
      <c r="D611" s="91" t="s">
        <v>15</v>
      </c>
      <c r="E611" s="91"/>
      <c r="F611">
        <v>11</v>
      </c>
      <c r="G611" t="s">
        <v>1419</v>
      </c>
      <c r="H611" s="89">
        <v>46071</v>
      </c>
      <c r="I611" s="89">
        <v>46073</v>
      </c>
      <c r="J611" s="91"/>
      <c r="K611" s="91"/>
      <c r="M611" s="91"/>
      <c r="N611" s="91" t="s">
        <v>1928</v>
      </c>
    </row>
    <row r="612" spans="1:14" x14ac:dyDescent="0.25">
      <c r="A612" s="91" t="s">
        <v>1318</v>
      </c>
      <c r="B612" s="91" t="s">
        <v>1332</v>
      </c>
      <c r="C612" s="91" t="s">
        <v>1970</v>
      </c>
      <c r="D612" s="91" t="s">
        <v>15</v>
      </c>
      <c r="E612" s="91"/>
      <c r="F612">
        <v>23</v>
      </c>
      <c r="G612" t="s">
        <v>1419</v>
      </c>
      <c r="H612" s="89">
        <v>46071</v>
      </c>
      <c r="I612" s="89">
        <v>46073</v>
      </c>
      <c r="J612" s="91"/>
      <c r="K612" s="91"/>
      <c r="M612" s="91"/>
      <c r="N612" s="91" t="s">
        <v>1928</v>
      </c>
    </row>
    <row r="613" spans="1:14" x14ac:dyDescent="0.25">
      <c r="A613" s="91" t="s">
        <v>1313</v>
      </c>
      <c r="B613" s="91" t="s">
        <v>1327</v>
      </c>
      <c r="C613" s="91" t="s">
        <v>1971</v>
      </c>
      <c r="D613" s="91" t="s">
        <v>129</v>
      </c>
      <c r="E613" s="91"/>
      <c r="F613">
        <v>528</v>
      </c>
      <c r="G613">
        <v>11</v>
      </c>
      <c r="H613" s="89">
        <v>46071</v>
      </c>
      <c r="I613" s="89">
        <v>46075</v>
      </c>
      <c r="J613" s="91" t="s">
        <v>1962</v>
      </c>
      <c r="K613" s="91"/>
      <c r="M613" s="91"/>
      <c r="N613" s="91" t="s">
        <v>1928</v>
      </c>
    </row>
    <row r="614" spans="1:14" x14ac:dyDescent="0.25">
      <c r="A614" s="91" t="s">
        <v>1313</v>
      </c>
      <c r="B614" s="91" t="s">
        <v>1327</v>
      </c>
      <c r="C614" s="91" t="s">
        <v>1972</v>
      </c>
      <c r="D614" s="91" t="s">
        <v>28</v>
      </c>
      <c r="E614" s="91"/>
      <c r="F614">
        <v>240</v>
      </c>
      <c r="G614">
        <v>5</v>
      </c>
      <c r="H614" s="89">
        <v>46071</v>
      </c>
      <c r="I614" s="89">
        <v>46075</v>
      </c>
      <c r="J614" s="91" t="s">
        <v>1973</v>
      </c>
      <c r="K614" s="91"/>
      <c r="M614" s="91"/>
      <c r="N614" s="91" t="s">
        <v>1928</v>
      </c>
    </row>
    <row r="615" spans="1:14" x14ac:dyDescent="0.25">
      <c r="A615" s="91" t="s">
        <v>1313</v>
      </c>
      <c r="B615" s="91" t="s">
        <v>1327</v>
      </c>
      <c r="C615" s="91" t="s">
        <v>1972</v>
      </c>
      <c r="D615" s="91" t="s">
        <v>28</v>
      </c>
      <c r="E615" s="91"/>
      <c r="F615">
        <v>1152</v>
      </c>
      <c r="G615">
        <v>24</v>
      </c>
      <c r="H615" s="89">
        <v>46071</v>
      </c>
      <c r="I615" s="89">
        <v>46075</v>
      </c>
      <c r="J615" s="91" t="s">
        <v>1974</v>
      </c>
      <c r="K615" s="91"/>
      <c r="M615" s="91"/>
      <c r="N615" s="91" t="s">
        <v>1928</v>
      </c>
    </row>
    <row r="616" spans="1:14" x14ac:dyDescent="0.25">
      <c r="A616" s="91" t="s">
        <v>1315</v>
      </c>
      <c r="B616" s="91" t="s">
        <v>1329</v>
      </c>
      <c r="C616" s="91" t="s">
        <v>1972</v>
      </c>
      <c r="D616" s="91" t="s">
        <v>28</v>
      </c>
      <c r="E616" s="91"/>
      <c r="F616">
        <v>47</v>
      </c>
      <c r="G616" t="s">
        <v>1419</v>
      </c>
      <c r="H616" s="89">
        <v>46071</v>
      </c>
      <c r="I616" s="89">
        <v>46073</v>
      </c>
      <c r="J616" s="91"/>
      <c r="K616" s="91"/>
      <c r="M616" s="91"/>
      <c r="N616" s="91" t="s">
        <v>1928</v>
      </c>
    </row>
    <row r="617" spans="1:14" x14ac:dyDescent="0.25">
      <c r="A617" s="91" t="s">
        <v>1316</v>
      </c>
      <c r="B617" s="91" t="s">
        <v>1330</v>
      </c>
      <c r="C617" s="91" t="s">
        <v>1975</v>
      </c>
      <c r="D617" s="91" t="s">
        <v>28</v>
      </c>
      <c r="E617" s="91"/>
      <c r="F617">
        <v>62</v>
      </c>
      <c r="G617" t="s">
        <v>1419</v>
      </c>
      <c r="H617" s="89">
        <v>46071</v>
      </c>
      <c r="I617" s="89">
        <v>46073</v>
      </c>
      <c r="J617" s="91"/>
      <c r="K617" s="91"/>
      <c r="M617" s="91"/>
      <c r="N617" s="91" t="s">
        <v>1928</v>
      </c>
    </row>
    <row r="618" spans="1:14" x14ac:dyDescent="0.25">
      <c r="A618" s="91" t="s">
        <v>1317</v>
      </c>
      <c r="B618" s="91" t="s">
        <v>1331</v>
      </c>
      <c r="C618" s="91" t="s">
        <v>1976</v>
      </c>
      <c r="D618" s="91" t="s">
        <v>28</v>
      </c>
      <c r="E618" s="91"/>
      <c r="F618">
        <v>2</v>
      </c>
      <c r="G618" t="s">
        <v>1419</v>
      </c>
      <c r="H618" s="89">
        <v>46071</v>
      </c>
      <c r="I618" s="89">
        <v>46073</v>
      </c>
      <c r="J618" s="91"/>
      <c r="K618" s="91"/>
      <c r="M618" s="91"/>
      <c r="N618" s="91" t="s">
        <v>1928</v>
      </c>
    </row>
    <row r="619" spans="1:14" x14ac:dyDescent="0.25">
      <c r="A619" s="91" t="s">
        <v>1318</v>
      </c>
      <c r="B619" s="91" t="s">
        <v>1332</v>
      </c>
      <c r="C619" s="91" t="s">
        <v>1977</v>
      </c>
      <c r="D619" s="91" t="s">
        <v>28</v>
      </c>
      <c r="E619" s="91"/>
      <c r="F619">
        <v>50</v>
      </c>
      <c r="G619" t="s">
        <v>1419</v>
      </c>
      <c r="H619" s="89">
        <v>46071</v>
      </c>
      <c r="I619" s="89">
        <v>46073</v>
      </c>
      <c r="J619" s="91"/>
      <c r="K619" s="91"/>
      <c r="M619" s="91"/>
      <c r="N619" s="91" t="s">
        <v>1928</v>
      </c>
    </row>
    <row r="620" spans="1:14" x14ac:dyDescent="0.25">
      <c r="A620" s="91" t="s">
        <v>1324</v>
      </c>
      <c r="B620" s="91" t="s">
        <v>1338</v>
      </c>
      <c r="C620" s="91" t="s">
        <v>1978</v>
      </c>
      <c r="D620" s="91" t="s">
        <v>13</v>
      </c>
      <c r="E620" s="91"/>
      <c r="F620">
        <v>672</v>
      </c>
      <c r="G620">
        <v>14</v>
      </c>
      <c r="H620" s="89">
        <v>46071</v>
      </c>
      <c r="I620" s="89">
        <v>46077</v>
      </c>
      <c r="J620" s="91" t="s">
        <v>1934</v>
      </c>
      <c r="K620" s="91"/>
      <c r="M620" s="91"/>
      <c r="N620" s="91" t="s">
        <v>1928</v>
      </c>
    </row>
    <row r="621" spans="1:14" x14ac:dyDescent="0.25">
      <c r="A621" s="91" t="s">
        <v>1324</v>
      </c>
      <c r="B621" s="91" t="s">
        <v>1338</v>
      </c>
      <c r="C621" s="91" t="s">
        <v>1979</v>
      </c>
      <c r="D621" s="91" t="s">
        <v>118</v>
      </c>
      <c r="E621" s="91"/>
      <c r="F621">
        <v>960</v>
      </c>
      <c r="G621">
        <v>20</v>
      </c>
      <c r="H621" s="89">
        <v>46071</v>
      </c>
      <c r="I621" s="89">
        <v>46077</v>
      </c>
      <c r="J621" s="91" t="s">
        <v>1980</v>
      </c>
      <c r="K621" s="91"/>
      <c r="M621" s="91"/>
      <c r="N621" s="91" t="s">
        <v>1928</v>
      </c>
    </row>
    <row r="622" spans="1:14" x14ac:dyDescent="0.25">
      <c r="A622" s="91" t="s">
        <v>1324</v>
      </c>
      <c r="B622" s="91" t="s">
        <v>1338</v>
      </c>
      <c r="C622" s="91" t="s">
        <v>1978</v>
      </c>
      <c r="D622" s="91" t="s">
        <v>13</v>
      </c>
      <c r="E622" s="91"/>
      <c r="F622">
        <v>480</v>
      </c>
      <c r="G622">
        <v>10</v>
      </c>
      <c r="H622" s="89">
        <v>46071</v>
      </c>
      <c r="I622" s="89">
        <v>46077</v>
      </c>
      <c r="J622" s="91" t="s">
        <v>1980</v>
      </c>
      <c r="K622" s="91"/>
      <c r="M622" s="91"/>
      <c r="N622" s="91" t="s">
        <v>1928</v>
      </c>
    </row>
    <row r="623" spans="1:14" x14ac:dyDescent="0.25">
      <c r="A623" s="91" t="s">
        <v>1313</v>
      </c>
      <c r="B623" s="91" t="s">
        <v>1327</v>
      </c>
      <c r="C623" s="91" t="s">
        <v>1981</v>
      </c>
      <c r="D623" s="91" t="s">
        <v>20</v>
      </c>
      <c r="E623" s="91"/>
      <c r="F623">
        <v>1296</v>
      </c>
      <c r="G623">
        <v>27</v>
      </c>
      <c r="H623" s="89">
        <v>46071</v>
      </c>
      <c r="I623" s="89">
        <v>46073</v>
      </c>
      <c r="J623" s="91"/>
      <c r="K623" s="91"/>
      <c r="M623" s="91"/>
      <c r="N623" s="91" t="s">
        <v>1928</v>
      </c>
    </row>
    <row r="624" spans="1:14" x14ac:dyDescent="0.25">
      <c r="A624" s="91" t="s">
        <v>1315</v>
      </c>
      <c r="B624" s="91" t="s">
        <v>1329</v>
      </c>
      <c r="C624" s="91" t="s">
        <v>1981</v>
      </c>
      <c r="D624" s="91" t="s">
        <v>20</v>
      </c>
      <c r="E624" s="91"/>
      <c r="F624">
        <v>33</v>
      </c>
      <c r="G624" t="s">
        <v>1419</v>
      </c>
      <c r="H624" s="89">
        <v>46071</v>
      </c>
      <c r="I624" s="89">
        <v>46073</v>
      </c>
      <c r="J624" s="91"/>
      <c r="K624" s="91"/>
      <c r="M624" s="91"/>
      <c r="N624" s="91" t="s">
        <v>1928</v>
      </c>
    </row>
    <row r="625" spans="1:14" x14ac:dyDescent="0.25">
      <c r="A625" s="91" t="s">
        <v>1316</v>
      </c>
      <c r="B625" s="91" t="s">
        <v>1330</v>
      </c>
      <c r="C625" s="91" t="s">
        <v>1982</v>
      </c>
      <c r="D625" s="91" t="s">
        <v>20</v>
      </c>
      <c r="E625" s="91"/>
      <c r="F625">
        <v>143</v>
      </c>
      <c r="G625" t="s">
        <v>1419</v>
      </c>
      <c r="H625" s="89">
        <v>46071</v>
      </c>
      <c r="I625" s="89">
        <v>46073</v>
      </c>
      <c r="J625" s="91"/>
      <c r="K625" s="91"/>
      <c r="M625" s="91"/>
      <c r="N625" s="91" t="s">
        <v>1928</v>
      </c>
    </row>
    <row r="626" spans="1:14" x14ac:dyDescent="0.25">
      <c r="A626" s="91" t="s">
        <v>1317</v>
      </c>
      <c r="B626" s="91" t="s">
        <v>1331</v>
      </c>
      <c r="C626" s="91" t="s">
        <v>1983</v>
      </c>
      <c r="D626" s="91" t="s">
        <v>20</v>
      </c>
      <c r="E626" s="91"/>
      <c r="F626">
        <v>5</v>
      </c>
      <c r="G626" t="s">
        <v>1419</v>
      </c>
      <c r="H626" s="89">
        <v>46071</v>
      </c>
      <c r="I626" s="89">
        <v>46073</v>
      </c>
      <c r="J626" s="91"/>
      <c r="K626" s="91"/>
      <c r="M626" s="91"/>
      <c r="N626" s="91" t="s">
        <v>1928</v>
      </c>
    </row>
    <row r="627" spans="1:14" x14ac:dyDescent="0.25">
      <c r="A627" s="91" t="s">
        <v>1318</v>
      </c>
      <c r="B627" s="91" t="s">
        <v>1332</v>
      </c>
      <c r="C627" s="91" t="s">
        <v>1984</v>
      </c>
      <c r="D627" s="91" t="s">
        <v>20</v>
      </c>
      <c r="E627" s="91"/>
      <c r="F627">
        <v>51</v>
      </c>
      <c r="G627" t="s">
        <v>1419</v>
      </c>
      <c r="H627" s="89">
        <v>46071</v>
      </c>
      <c r="I627" s="89">
        <v>46073</v>
      </c>
      <c r="J627" s="91"/>
      <c r="K627" s="91"/>
      <c r="M627" s="91"/>
      <c r="N627" s="91" t="s">
        <v>1928</v>
      </c>
    </row>
    <row r="628" spans="1:14" x14ac:dyDescent="0.25">
      <c r="A628" s="91" t="s">
        <v>1314</v>
      </c>
      <c r="B628" s="91" t="s">
        <v>1328</v>
      </c>
      <c r="C628" s="91" t="s">
        <v>1985</v>
      </c>
      <c r="D628" s="91" t="s">
        <v>15</v>
      </c>
      <c r="E628" s="91"/>
      <c r="F628">
        <v>192</v>
      </c>
      <c r="G628">
        <v>4</v>
      </c>
      <c r="H628" s="89">
        <v>46072</v>
      </c>
      <c r="I628" s="89">
        <v>46076</v>
      </c>
      <c r="J628" s="91" t="s">
        <v>1967</v>
      </c>
      <c r="K628" s="91"/>
      <c r="M628" s="91"/>
      <c r="N628" s="91" t="s">
        <v>1928</v>
      </c>
    </row>
    <row r="629" spans="1:14" x14ac:dyDescent="0.25">
      <c r="A629" s="91" t="s">
        <v>1313</v>
      </c>
      <c r="B629" s="91" t="s">
        <v>1327</v>
      </c>
      <c r="C629" s="91" t="s">
        <v>1985</v>
      </c>
      <c r="D629" s="91" t="s">
        <v>15</v>
      </c>
      <c r="E629" s="91"/>
      <c r="F629">
        <v>816</v>
      </c>
      <c r="G629">
        <v>17</v>
      </c>
      <c r="H629" s="89">
        <v>46072</v>
      </c>
      <c r="I629" s="89">
        <v>46076</v>
      </c>
      <c r="J629" s="91" t="s">
        <v>1973</v>
      </c>
      <c r="K629" s="91"/>
      <c r="M629" s="91"/>
      <c r="N629" s="91" t="s">
        <v>1928</v>
      </c>
    </row>
    <row r="630" spans="1:14" x14ac:dyDescent="0.25">
      <c r="A630" s="91" t="s">
        <v>1315</v>
      </c>
      <c r="B630" s="91" t="s">
        <v>1329</v>
      </c>
      <c r="C630" s="91" t="s">
        <v>1985</v>
      </c>
      <c r="D630" s="91" t="s">
        <v>15</v>
      </c>
      <c r="E630" s="91"/>
      <c r="F630">
        <v>24</v>
      </c>
      <c r="G630" t="s">
        <v>1419</v>
      </c>
      <c r="H630" s="89">
        <v>46072</v>
      </c>
      <c r="I630" s="89">
        <v>46073</v>
      </c>
      <c r="J630" s="91"/>
      <c r="K630" s="91"/>
      <c r="M630" s="91"/>
      <c r="N630" s="91" t="s">
        <v>1928</v>
      </c>
    </row>
    <row r="631" spans="1:14" x14ac:dyDescent="0.25">
      <c r="A631" s="91" t="s">
        <v>1444</v>
      </c>
      <c r="B631" s="91" t="s">
        <v>1445</v>
      </c>
      <c r="C631" s="91" t="s">
        <v>1985</v>
      </c>
      <c r="D631" s="91" t="s">
        <v>15</v>
      </c>
      <c r="E631" s="91"/>
      <c r="F631">
        <v>140</v>
      </c>
      <c r="G631">
        <v>1</v>
      </c>
      <c r="H631" s="89">
        <v>46072</v>
      </c>
      <c r="I631" s="89">
        <v>46074</v>
      </c>
      <c r="J631" s="91"/>
      <c r="K631" s="91"/>
      <c r="M631" s="91"/>
      <c r="N631" s="91" t="s">
        <v>1928</v>
      </c>
    </row>
    <row r="632" spans="1:14" x14ac:dyDescent="0.25">
      <c r="A632" s="91" t="s">
        <v>1316</v>
      </c>
      <c r="B632" s="91" t="s">
        <v>1330</v>
      </c>
      <c r="C632" s="91" t="s">
        <v>1986</v>
      </c>
      <c r="D632" s="91" t="s">
        <v>15</v>
      </c>
      <c r="E632" s="91"/>
      <c r="F632">
        <v>28</v>
      </c>
      <c r="G632" t="s">
        <v>1419</v>
      </c>
      <c r="H632" s="89">
        <v>46072</v>
      </c>
      <c r="I632" s="89">
        <v>46075</v>
      </c>
      <c r="J632" s="91"/>
      <c r="K632" s="91"/>
      <c r="M632" s="91"/>
      <c r="N632" s="91" t="s">
        <v>1928</v>
      </c>
    </row>
    <row r="633" spans="1:14" x14ac:dyDescent="0.25">
      <c r="A633" s="91" t="s">
        <v>1317</v>
      </c>
      <c r="B633" s="91" t="s">
        <v>1331</v>
      </c>
      <c r="C633" s="91" t="s">
        <v>1987</v>
      </c>
      <c r="D633" s="91" t="s">
        <v>15</v>
      </c>
      <c r="E633" s="91"/>
      <c r="F633">
        <v>17</v>
      </c>
      <c r="G633" t="s">
        <v>1419</v>
      </c>
      <c r="H633" s="89">
        <v>46072</v>
      </c>
      <c r="I633" s="89">
        <v>46075</v>
      </c>
      <c r="J633" s="91"/>
      <c r="K633" s="91"/>
      <c r="M633" s="91"/>
      <c r="N633" s="91" t="s">
        <v>1928</v>
      </c>
    </row>
    <row r="634" spans="1:14" x14ac:dyDescent="0.25">
      <c r="A634" s="91" t="s">
        <v>1318</v>
      </c>
      <c r="B634" s="91" t="s">
        <v>1332</v>
      </c>
      <c r="C634" s="91" t="s">
        <v>1988</v>
      </c>
      <c r="D634" s="91" t="s">
        <v>15</v>
      </c>
      <c r="E634" s="91"/>
      <c r="F634">
        <v>10</v>
      </c>
      <c r="G634" t="s">
        <v>1419</v>
      </c>
      <c r="H634" s="89">
        <v>46072</v>
      </c>
      <c r="I634" s="89">
        <v>46075</v>
      </c>
      <c r="J634" s="91"/>
      <c r="K634" s="91"/>
      <c r="M634" s="91"/>
      <c r="N634" s="91" t="s">
        <v>1928</v>
      </c>
    </row>
    <row r="635" spans="1:14" x14ac:dyDescent="0.25">
      <c r="A635" s="91" t="s">
        <v>1313</v>
      </c>
      <c r="B635" s="91" t="s">
        <v>1327</v>
      </c>
      <c r="C635" s="91" t="s">
        <v>1989</v>
      </c>
      <c r="D635" s="91" t="s">
        <v>129</v>
      </c>
      <c r="E635" s="91"/>
      <c r="F635">
        <v>528</v>
      </c>
      <c r="G635">
        <v>11</v>
      </c>
      <c r="H635" s="89">
        <v>46072</v>
      </c>
      <c r="I635" s="89">
        <v>46078</v>
      </c>
      <c r="J635" s="91" t="s">
        <v>1990</v>
      </c>
      <c r="K635" s="91"/>
      <c r="M635" s="91"/>
      <c r="N635" s="91" t="s">
        <v>1928</v>
      </c>
    </row>
    <row r="636" spans="1:14" x14ac:dyDescent="0.25">
      <c r="A636" s="91" t="s">
        <v>1324</v>
      </c>
      <c r="B636" s="91" t="s">
        <v>1338</v>
      </c>
      <c r="C636" s="91" t="s">
        <v>1991</v>
      </c>
      <c r="D636" s="91" t="s">
        <v>13</v>
      </c>
      <c r="E636" s="91"/>
      <c r="F636">
        <v>480</v>
      </c>
      <c r="G636">
        <v>10</v>
      </c>
      <c r="H636" s="89">
        <v>46072</v>
      </c>
      <c r="I636" s="89">
        <v>46077</v>
      </c>
      <c r="J636" s="91" t="s">
        <v>1980</v>
      </c>
      <c r="K636" s="91"/>
      <c r="M636" s="91"/>
      <c r="N636" s="91" t="s">
        <v>1928</v>
      </c>
    </row>
    <row r="637" spans="1:14" x14ac:dyDescent="0.25">
      <c r="A637" s="91" t="s">
        <v>1324</v>
      </c>
      <c r="B637" s="91" t="s">
        <v>1338</v>
      </c>
      <c r="C637" s="91" t="s">
        <v>1992</v>
      </c>
      <c r="D637" s="91" t="s">
        <v>21</v>
      </c>
      <c r="E637" s="91"/>
      <c r="F637">
        <v>960</v>
      </c>
      <c r="G637">
        <v>20</v>
      </c>
      <c r="H637" s="89">
        <v>46072</v>
      </c>
      <c r="I637" s="89">
        <v>46078</v>
      </c>
      <c r="J637" s="91" t="s">
        <v>1993</v>
      </c>
      <c r="K637" s="91"/>
      <c r="M637" s="91"/>
      <c r="N637" s="91" t="s">
        <v>1928</v>
      </c>
    </row>
    <row r="638" spans="1:14" x14ac:dyDescent="0.25">
      <c r="A638" s="91" t="s">
        <v>1313</v>
      </c>
      <c r="B638" s="91" t="s">
        <v>1327</v>
      </c>
      <c r="C638" s="91" t="s">
        <v>1992</v>
      </c>
      <c r="D638" s="91" t="s">
        <v>21</v>
      </c>
      <c r="E638" s="91"/>
      <c r="F638">
        <v>240</v>
      </c>
      <c r="G638">
        <v>5</v>
      </c>
      <c r="H638" s="89">
        <v>46072</v>
      </c>
      <c r="I638" s="89">
        <v>46072</v>
      </c>
      <c r="J638" s="91"/>
      <c r="K638" s="91"/>
      <c r="M638" s="91"/>
      <c r="N638" s="91" t="s">
        <v>1928</v>
      </c>
    </row>
    <row r="639" spans="1:14" x14ac:dyDescent="0.25">
      <c r="A639" s="91" t="s">
        <v>1315</v>
      </c>
      <c r="B639" s="91" t="s">
        <v>1329</v>
      </c>
      <c r="C639" s="91" t="s">
        <v>1992</v>
      </c>
      <c r="D639" s="91" t="s">
        <v>21</v>
      </c>
      <c r="E639" s="91"/>
      <c r="F639">
        <v>46</v>
      </c>
      <c r="G639" t="s">
        <v>1419</v>
      </c>
      <c r="H639" s="89">
        <v>46072</v>
      </c>
      <c r="I639" s="89">
        <v>46073</v>
      </c>
      <c r="J639" s="91"/>
      <c r="K639" s="91"/>
      <c r="M639" s="91"/>
      <c r="N639" s="91" t="s">
        <v>1928</v>
      </c>
    </row>
    <row r="640" spans="1:14" x14ac:dyDescent="0.25">
      <c r="A640" s="91" t="s">
        <v>1316</v>
      </c>
      <c r="B640" s="91" t="s">
        <v>1330</v>
      </c>
      <c r="C640" s="91" t="s">
        <v>1994</v>
      </c>
      <c r="D640" s="91" t="s">
        <v>21</v>
      </c>
      <c r="E640" s="91"/>
      <c r="F640">
        <v>99</v>
      </c>
      <c r="G640" t="s">
        <v>1419</v>
      </c>
      <c r="H640" s="89">
        <v>46072</v>
      </c>
      <c r="I640" s="89">
        <v>46075</v>
      </c>
      <c r="J640" s="91"/>
      <c r="K640" s="91"/>
      <c r="M640" s="91"/>
      <c r="N640" s="91" t="s">
        <v>1928</v>
      </c>
    </row>
    <row r="641" spans="1:14" x14ac:dyDescent="0.25">
      <c r="A641" s="91" t="s">
        <v>1317</v>
      </c>
      <c r="B641" s="91" t="s">
        <v>1331</v>
      </c>
      <c r="C641" s="91" t="s">
        <v>1995</v>
      </c>
      <c r="D641" s="91" t="s">
        <v>21</v>
      </c>
      <c r="E641" s="91"/>
      <c r="F641">
        <v>29</v>
      </c>
      <c r="G641" t="s">
        <v>1419</v>
      </c>
      <c r="H641" s="89">
        <v>46072</v>
      </c>
      <c r="I641" s="89">
        <v>46075</v>
      </c>
      <c r="J641" s="91"/>
      <c r="K641" s="91"/>
      <c r="M641" s="91"/>
      <c r="N641" s="91" t="s">
        <v>1928</v>
      </c>
    </row>
    <row r="642" spans="1:14" x14ac:dyDescent="0.25">
      <c r="A642" s="91" t="s">
        <v>1318</v>
      </c>
      <c r="B642" s="91" t="s">
        <v>1332</v>
      </c>
      <c r="C642" s="91" t="s">
        <v>1996</v>
      </c>
      <c r="D642" s="91" t="s">
        <v>21</v>
      </c>
      <c r="E642" s="91"/>
      <c r="F642">
        <v>59</v>
      </c>
      <c r="G642" t="s">
        <v>1419</v>
      </c>
      <c r="H642" s="89">
        <v>46072</v>
      </c>
      <c r="I642" s="89">
        <v>46075</v>
      </c>
      <c r="J642" s="91"/>
      <c r="K642" s="91"/>
      <c r="M642" s="91"/>
      <c r="N642" s="91" t="s">
        <v>1928</v>
      </c>
    </row>
    <row r="643" spans="1:14" x14ac:dyDescent="0.25">
      <c r="A643" s="91" t="s">
        <v>1313</v>
      </c>
      <c r="B643" s="91" t="s">
        <v>1327</v>
      </c>
      <c r="C643" s="91" t="s">
        <v>1997</v>
      </c>
      <c r="D643" s="91" t="s">
        <v>20</v>
      </c>
      <c r="E643" s="91"/>
      <c r="F643">
        <v>1152</v>
      </c>
      <c r="G643">
        <v>24</v>
      </c>
      <c r="H643" s="89">
        <v>46072</v>
      </c>
      <c r="I643" s="89">
        <v>46076</v>
      </c>
      <c r="J643" s="91" t="s">
        <v>1998</v>
      </c>
      <c r="K643" s="91"/>
      <c r="M643" s="91"/>
      <c r="N643" s="91" t="s">
        <v>1928</v>
      </c>
    </row>
    <row r="644" spans="1:14" x14ac:dyDescent="0.25">
      <c r="A644" s="91" t="s">
        <v>1315</v>
      </c>
      <c r="B644" s="91" t="s">
        <v>1329</v>
      </c>
      <c r="C644" s="91" t="s">
        <v>1997</v>
      </c>
      <c r="D644" s="91" t="s">
        <v>20</v>
      </c>
      <c r="E644" s="91"/>
      <c r="F644">
        <v>16</v>
      </c>
      <c r="G644" t="s">
        <v>1419</v>
      </c>
      <c r="H644" s="89">
        <v>46072</v>
      </c>
      <c r="I644" s="89">
        <v>46073</v>
      </c>
      <c r="J644" s="91"/>
      <c r="K644" s="91"/>
      <c r="M644" s="91"/>
      <c r="N644" s="91" t="s">
        <v>1928</v>
      </c>
    </row>
    <row r="645" spans="1:14" x14ac:dyDescent="0.25">
      <c r="A645" s="91" t="s">
        <v>1316</v>
      </c>
      <c r="B645" s="91" t="s">
        <v>1330</v>
      </c>
      <c r="C645" s="91" t="s">
        <v>1999</v>
      </c>
      <c r="D645" s="91" t="s">
        <v>20</v>
      </c>
      <c r="E645" s="91"/>
      <c r="F645">
        <v>87</v>
      </c>
      <c r="G645" t="s">
        <v>1419</v>
      </c>
      <c r="H645" s="89">
        <v>46072</v>
      </c>
      <c r="I645" s="89">
        <v>46075</v>
      </c>
      <c r="J645" s="91"/>
      <c r="K645" s="91"/>
      <c r="M645" s="91"/>
      <c r="N645" s="91" t="s">
        <v>1928</v>
      </c>
    </row>
    <row r="646" spans="1:14" x14ac:dyDescent="0.25">
      <c r="A646" s="91" t="s">
        <v>1317</v>
      </c>
      <c r="B646" s="91" t="s">
        <v>1331</v>
      </c>
      <c r="C646" s="91" t="s">
        <v>2000</v>
      </c>
      <c r="D646" s="91" t="s">
        <v>20</v>
      </c>
      <c r="E646" s="91"/>
      <c r="F646">
        <v>4</v>
      </c>
      <c r="G646" t="s">
        <v>1419</v>
      </c>
      <c r="H646" s="89">
        <v>46072</v>
      </c>
      <c r="I646" s="89">
        <v>46075</v>
      </c>
      <c r="J646" s="91"/>
      <c r="K646" s="91"/>
      <c r="M646" s="91"/>
      <c r="N646" s="91" t="s">
        <v>1928</v>
      </c>
    </row>
    <row r="647" spans="1:14" x14ac:dyDescent="0.25">
      <c r="A647" s="91" t="s">
        <v>1318</v>
      </c>
      <c r="B647" s="91" t="s">
        <v>1332</v>
      </c>
      <c r="C647" s="91" t="s">
        <v>2001</v>
      </c>
      <c r="D647" s="91" t="s">
        <v>20</v>
      </c>
      <c r="E647" s="91"/>
      <c r="F647">
        <v>38</v>
      </c>
      <c r="G647" t="s">
        <v>1419</v>
      </c>
      <c r="H647" s="89">
        <v>46072</v>
      </c>
      <c r="I647" s="89">
        <v>46075</v>
      </c>
      <c r="J647" s="91"/>
      <c r="K647" s="91"/>
      <c r="M647" s="91"/>
      <c r="N647" s="91" t="s">
        <v>1928</v>
      </c>
    </row>
    <row r="648" spans="1:14" x14ac:dyDescent="0.25">
      <c r="A648" s="91" t="s">
        <v>1313</v>
      </c>
      <c r="B648" s="91" t="s">
        <v>1327</v>
      </c>
      <c r="C648" s="91" t="s">
        <v>2002</v>
      </c>
      <c r="D648" s="91" t="s">
        <v>23</v>
      </c>
      <c r="E648" s="91"/>
      <c r="F648">
        <v>960</v>
      </c>
      <c r="G648">
        <v>20</v>
      </c>
      <c r="H648" s="89">
        <v>46072</v>
      </c>
      <c r="I648" s="89">
        <v>46074</v>
      </c>
      <c r="J648" s="91"/>
      <c r="K648" s="91"/>
      <c r="M648" s="91"/>
      <c r="N648" s="91" t="s">
        <v>1928</v>
      </c>
    </row>
    <row r="649" spans="1:14" x14ac:dyDescent="0.25">
      <c r="A649" s="91" t="s">
        <v>1325</v>
      </c>
      <c r="B649" s="91" t="s">
        <v>1339</v>
      </c>
      <c r="C649" s="91" t="s">
        <v>2003</v>
      </c>
      <c r="D649" s="91" t="s">
        <v>138</v>
      </c>
      <c r="E649" s="91"/>
      <c r="F649">
        <v>336</v>
      </c>
      <c r="G649">
        <v>7</v>
      </c>
      <c r="H649" s="89">
        <v>46072</v>
      </c>
      <c r="I649" s="89">
        <v>46074</v>
      </c>
      <c r="J649" s="91"/>
      <c r="K649" s="91"/>
      <c r="M649" s="91"/>
      <c r="N649" s="91" t="s">
        <v>1928</v>
      </c>
    </row>
    <row r="650" spans="1:14" x14ac:dyDescent="0.25">
      <c r="A650" s="91" t="s">
        <v>1324</v>
      </c>
      <c r="B650" s="91" t="s">
        <v>1338</v>
      </c>
      <c r="C650" s="91" t="s">
        <v>2004</v>
      </c>
      <c r="D650" s="91" t="s">
        <v>23</v>
      </c>
      <c r="E650" s="91"/>
      <c r="F650">
        <v>960</v>
      </c>
      <c r="G650">
        <v>20</v>
      </c>
      <c r="H650" s="89">
        <v>46073</v>
      </c>
      <c r="I650" s="89">
        <v>46078</v>
      </c>
      <c r="J650" s="91" t="s">
        <v>1993</v>
      </c>
      <c r="K650" s="91"/>
      <c r="M650" s="91"/>
      <c r="N650" s="91" t="s">
        <v>1928</v>
      </c>
    </row>
    <row r="651" spans="1:14" x14ac:dyDescent="0.25">
      <c r="A651" s="91" t="s">
        <v>1313</v>
      </c>
      <c r="B651" s="91" t="s">
        <v>1327</v>
      </c>
      <c r="C651" s="91" t="s">
        <v>2005</v>
      </c>
      <c r="D651" s="91" t="s">
        <v>129</v>
      </c>
      <c r="E651" s="91"/>
      <c r="F651">
        <v>288</v>
      </c>
      <c r="G651">
        <v>6</v>
      </c>
      <c r="H651" s="89">
        <v>46073</v>
      </c>
      <c r="I651" s="89">
        <v>46078</v>
      </c>
      <c r="J651" s="91" t="s">
        <v>1990</v>
      </c>
      <c r="K651" s="91"/>
      <c r="M651" s="91"/>
      <c r="N651" s="91" t="s">
        <v>1928</v>
      </c>
    </row>
    <row r="652" spans="1:14" x14ac:dyDescent="0.25">
      <c r="A652" s="91" t="s">
        <v>1313</v>
      </c>
      <c r="B652" s="91" t="s">
        <v>1327</v>
      </c>
      <c r="C652" s="91" t="s">
        <v>2005</v>
      </c>
      <c r="D652" s="91" t="s">
        <v>129</v>
      </c>
      <c r="E652" s="91"/>
      <c r="F652">
        <v>144</v>
      </c>
      <c r="G652">
        <v>3</v>
      </c>
      <c r="H652" s="89">
        <v>46073</v>
      </c>
      <c r="I652" s="89">
        <v>46075</v>
      </c>
      <c r="J652" s="91"/>
      <c r="K652" s="91"/>
      <c r="M652" s="91"/>
      <c r="N652" s="91" t="s">
        <v>1928</v>
      </c>
    </row>
    <row r="653" spans="1:14" x14ac:dyDescent="0.25">
      <c r="A653" s="91" t="s">
        <v>1313</v>
      </c>
      <c r="B653" s="91" t="s">
        <v>1327</v>
      </c>
      <c r="C653" s="91" t="s">
        <v>2006</v>
      </c>
      <c r="D653" s="91" t="s">
        <v>15</v>
      </c>
      <c r="E653" s="91"/>
      <c r="F653">
        <v>816</v>
      </c>
      <c r="G653">
        <v>17</v>
      </c>
      <c r="H653" s="89">
        <v>46073</v>
      </c>
      <c r="I653" s="89">
        <v>46077</v>
      </c>
      <c r="J653" s="91" t="s">
        <v>2007</v>
      </c>
      <c r="K653" s="91"/>
      <c r="M653" s="91"/>
      <c r="N653" s="91" t="s">
        <v>1928</v>
      </c>
    </row>
    <row r="654" spans="1:14" x14ac:dyDescent="0.25">
      <c r="A654" s="91" t="s">
        <v>1313</v>
      </c>
      <c r="B654" s="91" t="s">
        <v>1327</v>
      </c>
      <c r="C654" s="91" t="s">
        <v>2006</v>
      </c>
      <c r="D654" s="91" t="s">
        <v>15</v>
      </c>
      <c r="E654" s="91"/>
      <c r="F654">
        <v>144</v>
      </c>
      <c r="G654">
        <v>3</v>
      </c>
      <c r="H654" s="89">
        <v>46073</v>
      </c>
      <c r="I654" s="89">
        <v>46078</v>
      </c>
      <c r="J654" s="91" t="s">
        <v>2008</v>
      </c>
      <c r="K654" s="91"/>
      <c r="M654" s="91"/>
      <c r="N654" s="91" t="s">
        <v>1928</v>
      </c>
    </row>
    <row r="655" spans="1:14" x14ac:dyDescent="0.25">
      <c r="A655" s="91" t="s">
        <v>1314</v>
      </c>
      <c r="B655" s="91" t="s">
        <v>1328</v>
      </c>
      <c r="C655" s="91" t="s">
        <v>2006</v>
      </c>
      <c r="D655" s="91" t="s">
        <v>15</v>
      </c>
      <c r="E655" s="91"/>
      <c r="F655">
        <v>336</v>
      </c>
      <c r="G655">
        <v>7</v>
      </c>
      <c r="H655" s="89">
        <v>46073</v>
      </c>
      <c r="I655" s="89">
        <v>46078</v>
      </c>
      <c r="J655" s="91" t="s">
        <v>2009</v>
      </c>
      <c r="K655" s="91"/>
      <c r="M655" s="91"/>
      <c r="N655" s="91" t="s">
        <v>1928</v>
      </c>
    </row>
    <row r="656" spans="1:14" x14ac:dyDescent="0.25">
      <c r="A656" s="91" t="s">
        <v>1315</v>
      </c>
      <c r="B656" s="91" t="s">
        <v>1329</v>
      </c>
      <c r="C656" s="91" t="s">
        <v>2006</v>
      </c>
      <c r="D656" s="91" t="s">
        <v>15</v>
      </c>
      <c r="E656" s="91"/>
      <c r="F656">
        <v>21</v>
      </c>
      <c r="G656" t="s">
        <v>1419</v>
      </c>
      <c r="H656" s="89">
        <v>46073</v>
      </c>
      <c r="I656" s="89">
        <v>46073</v>
      </c>
      <c r="J656" s="91"/>
      <c r="K656" s="91"/>
      <c r="M656" s="91"/>
      <c r="N656" s="91" t="s">
        <v>1928</v>
      </c>
    </row>
    <row r="657" spans="1:14" x14ac:dyDescent="0.25">
      <c r="A657" s="91" t="s">
        <v>1316</v>
      </c>
      <c r="B657" s="91" t="s">
        <v>1330</v>
      </c>
      <c r="C657" s="91" t="s">
        <v>2010</v>
      </c>
      <c r="D657" s="91" t="s">
        <v>15</v>
      </c>
      <c r="E657" s="91"/>
      <c r="F657">
        <v>41</v>
      </c>
      <c r="G657" t="s">
        <v>1419</v>
      </c>
      <c r="H657" s="89">
        <v>46073</v>
      </c>
      <c r="I657" s="89">
        <v>46075</v>
      </c>
      <c r="J657" s="91"/>
      <c r="K657" s="91"/>
      <c r="M657" s="91"/>
      <c r="N657" s="91" t="s">
        <v>1928</v>
      </c>
    </row>
    <row r="658" spans="1:14" x14ac:dyDescent="0.25">
      <c r="A658" s="91" t="s">
        <v>1317</v>
      </c>
      <c r="B658" s="91" t="s">
        <v>1331</v>
      </c>
      <c r="C658" s="91" t="s">
        <v>2011</v>
      </c>
      <c r="D658" s="91" t="s">
        <v>15</v>
      </c>
      <c r="E658" s="91"/>
      <c r="F658">
        <v>10</v>
      </c>
      <c r="G658" t="s">
        <v>1419</v>
      </c>
      <c r="H658" s="89">
        <v>46073</v>
      </c>
      <c r="I658" s="89">
        <v>46075</v>
      </c>
      <c r="J658" s="91"/>
      <c r="K658" s="91"/>
      <c r="M658" s="91"/>
      <c r="N658" s="91" t="s">
        <v>1928</v>
      </c>
    </row>
    <row r="659" spans="1:14" x14ac:dyDescent="0.25">
      <c r="A659" s="91" t="s">
        <v>1318</v>
      </c>
      <c r="B659" s="91" t="s">
        <v>1332</v>
      </c>
      <c r="C659" s="91" t="s">
        <v>2012</v>
      </c>
      <c r="D659" s="91" t="s">
        <v>15</v>
      </c>
      <c r="E659" s="91"/>
      <c r="F659">
        <v>34</v>
      </c>
      <c r="G659" t="s">
        <v>1419</v>
      </c>
      <c r="H659" s="89">
        <v>46073</v>
      </c>
      <c r="I659" s="89">
        <v>46075</v>
      </c>
      <c r="J659" s="91"/>
      <c r="K659" s="91"/>
      <c r="M659" s="91"/>
      <c r="N659" s="91" t="s">
        <v>1928</v>
      </c>
    </row>
    <row r="660" spans="1:14" x14ac:dyDescent="0.25">
      <c r="A660" s="91" t="s">
        <v>1313</v>
      </c>
      <c r="B660" s="91" t="s">
        <v>1327</v>
      </c>
      <c r="C660" s="91" t="s">
        <v>2013</v>
      </c>
      <c r="D660" s="91" t="s">
        <v>21</v>
      </c>
      <c r="E660" s="91"/>
      <c r="F660">
        <v>336</v>
      </c>
      <c r="G660">
        <v>7</v>
      </c>
      <c r="H660" s="89">
        <v>46073</v>
      </c>
      <c r="I660" s="89">
        <v>46077</v>
      </c>
      <c r="J660" s="91" t="s">
        <v>2007</v>
      </c>
      <c r="K660" s="91"/>
      <c r="M660" s="91"/>
      <c r="N660" s="91" t="s">
        <v>1928</v>
      </c>
    </row>
    <row r="661" spans="1:14" x14ac:dyDescent="0.25">
      <c r="A661" s="91" t="s">
        <v>1324</v>
      </c>
      <c r="B661" s="91" t="s">
        <v>1338</v>
      </c>
      <c r="C661" s="91" t="s">
        <v>2013</v>
      </c>
      <c r="D661" s="91" t="s">
        <v>21</v>
      </c>
      <c r="E661" s="91"/>
      <c r="F661">
        <v>1056</v>
      </c>
      <c r="G661">
        <v>22</v>
      </c>
      <c r="H661" s="89">
        <v>46073</v>
      </c>
      <c r="I661" s="89">
        <v>46076</v>
      </c>
      <c r="J661" s="91"/>
      <c r="K661" s="91"/>
      <c r="M661" s="91"/>
      <c r="N661" s="91" t="s">
        <v>1928</v>
      </c>
    </row>
    <row r="662" spans="1:14" x14ac:dyDescent="0.25">
      <c r="A662" s="91" t="s">
        <v>1313</v>
      </c>
      <c r="B662" s="91" t="s">
        <v>1327</v>
      </c>
      <c r="C662" s="91" t="s">
        <v>2013</v>
      </c>
      <c r="D662" s="91" t="s">
        <v>21</v>
      </c>
      <c r="E662" s="91"/>
      <c r="F662">
        <v>240</v>
      </c>
      <c r="G662">
        <v>5</v>
      </c>
      <c r="H662" s="89">
        <v>46073</v>
      </c>
      <c r="I662" s="89">
        <v>46076</v>
      </c>
      <c r="J662" s="91"/>
      <c r="K662" s="91"/>
      <c r="M662" s="91"/>
      <c r="N662" s="91" t="s">
        <v>1928</v>
      </c>
    </row>
    <row r="663" spans="1:14" x14ac:dyDescent="0.25">
      <c r="A663" s="91" t="s">
        <v>1315</v>
      </c>
      <c r="B663" s="91" t="s">
        <v>1329</v>
      </c>
      <c r="C663" s="91" t="s">
        <v>2013</v>
      </c>
      <c r="D663" s="91" t="s">
        <v>21</v>
      </c>
      <c r="E663" s="91"/>
      <c r="F663">
        <v>14</v>
      </c>
      <c r="G663" t="s">
        <v>1419</v>
      </c>
      <c r="H663" s="89">
        <v>46073</v>
      </c>
      <c r="I663" s="89">
        <v>46073</v>
      </c>
      <c r="J663" s="91"/>
      <c r="K663" s="91"/>
      <c r="M663" s="91"/>
      <c r="N663" s="91" t="s">
        <v>1928</v>
      </c>
    </row>
    <row r="664" spans="1:14" x14ac:dyDescent="0.25">
      <c r="A664" s="91" t="s">
        <v>1316</v>
      </c>
      <c r="B664" s="91" t="s">
        <v>1330</v>
      </c>
      <c r="C664" s="91" t="s">
        <v>2014</v>
      </c>
      <c r="D664" s="91" t="s">
        <v>21</v>
      </c>
      <c r="E664" s="91"/>
      <c r="F664">
        <v>95</v>
      </c>
      <c r="G664" t="s">
        <v>1419</v>
      </c>
      <c r="H664" s="89">
        <v>46073</v>
      </c>
      <c r="I664" s="89">
        <v>46075</v>
      </c>
      <c r="J664" s="91"/>
      <c r="K664" s="91"/>
      <c r="M664" s="91"/>
      <c r="N664" s="91" t="s">
        <v>1928</v>
      </c>
    </row>
    <row r="665" spans="1:14" x14ac:dyDescent="0.25">
      <c r="A665" s="91" t="s">
        <v>1317</v>
      </c>
      <c r="B665" s="91" t="s">
        <v>1331</v>
      </c>
      <c r="C665" s="91" t="s">
        <v>2015</v>
      </c>
      <c r="D665" s="91" t="s">
        <v>21</v>
      </c>
      <c r="E665" s="91"/>
      <c r="F665">
        <v>18</v>
      </c>
      <c r="G665" t="s">
        <v>1419</v>
      </c>
      <c r="H665" s="89">
        <v>46073</v>
      </c>
      <c r="I665" s="89">
        <v>46075</v>
      </c>
      <c r="J665" s="91"/>
      <c r="K665" s="91"/>
      <c r="M665" s="91"/>
      <c r="N665" s="91" t="s">
        <v>1928</v>
      </c>
    </row>
    <row r="666" spans="1:14" x14ac:dyDescent="0.25">
      <c r="A666" s="91" t="s">
        <v>1318</v>
      </c>
      <c r="B666" s="91" t="s">
        <v>1332</v>
      </c>
      <c r="C666" s="91" t="s">
        <v>2016</v>
      </c>
      <c r="D666" s="91" t="s">
        <v>21</v>
      </c>
      <c r="E666" s="91"/>
      <c r="F666">
        <v>83</v>
      </c>
      <c r="G666" t="s">
        <v>1419</v>
      </c>
      <c r="H666" s="89">
        <v>46073</v>
      </c>
      <c r="I666" s="89">
        <v>46075</v>
      </c>
      <c r="J666" s="91"/>
      <c r="K666" s="91"/>
      <c r="M666" s="91"/>
      <c r="N666" s="91" t="s">
        <v>1928</v>
      </c>
    </row>
    <row r="667" spans="1:14" x14ac:dyDescent="0.25">
      <c r="A667" s="91" t="s">
        <v>1313</v>
      </c>
      <c r="B667" s="91" t="s">
        <v>1327</v>
      </c>
      <c r="C667" s="91" t="s">
        <v>2017</v>
      </c>
      <c r="D667" s="91" t="s">
        <v>28</v>
      </c>
      <c r="E667" s="91"/>
      <c r="F667">
        <v>816</v>
      </c>
      <c r="G667">
        <v>17</v>
      </c>
      <c r="H667" s="89">
        <v>46074</v>
      </c>
      <c r="I667" s="89">
        <v>46078</v>
      </c>
      <c r="J667" s="91" t="s">
        <v>2008</v>
      </c>
      <c r="K667" s="91"/>
      <c r="M667" s="91"/>
      <c r="N667" s="91" t="s">
        <v>1928</v>
      </c>
    </row>
    <row r="668" spans="1:14" x14ac:dyDescent="0.25">
      <c r="A668" s="91" t="s">
        <v>1313</v>
      </c>
      <c r="B668" s="91" t="s">
        <v>1327</v>
      </c>
      <c r="C668" s="91" t="s">
        <v>2017</v>
      </c>
      <c r="D668" s="91" t="s">
        <v>28</v>
      </c>
      <c r="E668" s="91"/>
      <c r="F668">
        <v>240</v>
      </c>
      <c r="G668">
        <v>5</v>
      </c>
      <c r="H668" s="89">
        <v>46074</v>
      </c>
      <c r="I668" s="89">
        <v>46077</v>
      </c>
      <c r="J668" s="91"/>
      <c r="K668" s="91"/>
      <c r="M668" s="91"/>
      <c r="N668" s="91" t="s">
        <v>1928</v>
      </c>
    </row>
    <row r="669" spans="1:14" x14ac:dyDescent="0.25">
      <c r="A669" s="91" t="s">
        <v>1315</v>
      </c>
      <c r="B669" s="91" t="s">
        <v>1329</v>
      </c>
      <c r="C669" s="91" t="s">
        <v>2017</v>
      </c>
      <c r="D669" s="91" t="s">
        <v>28</v>
      </c>
      <c r="E669" s="91"/>
      <c r="F669">
        <v>1</v>
      </c>
      <c r="G669" t="s">
        <v>1419</v>
      </c>
      <c r="H669" s="89">
        <v>46074</v>
      </c>
      <c r="I669" s="89">
        <v>46073</v>
      </c>
      <c r="J669" s="91"/>
      <c r="K669" s="91"/>
      <c r="M669" s="91"/>
      <c r="N669" s="91" t="s">
        <v>1928</v>
      </c>
    </row>
    <row r="670" spans="1:14" x14ac:dyDescent="0.25">
      <c r="A670" s="91" t="s">
        <v>1316</v>
      </c>
      <c r="B670" s="91" t="s">
        <v>1330</v>
      </c>
      <c r="C670" s="91" t="s">
        <v>2018</v>
      </c>
      <c r="D670" s="91" t="s">
        <v>28</v>
      </c>
      <c r="E670" s="91"/>
      <c r="F670">
        <v>64</v>
      </c>
      <c r="G670" t="s">
        <v>1419</v>
      </c>
      <c r="H670" s="89">
        <v>46074</v>
      </c>
      <c r="I670" s="89">
        <v>46075</v>
      </c>
      <c r="J670" s="91"/>
      <c r="K670" s="91"/>
      <c r="M670" s="91"/>
      <c r="N670" s="91" t="s">
        <v>1928</v>
      </c>
    </row>
    <row r="671" spans="1:14" x14ac:dyDescent="0.25">
      <c r="A671" s="91" t="s">
        <v>1317</v>
      </c>
      <c r="B671" s="91" t="s">
        <v>1331</v>
      </c>
      <c r="C671" s="91" t="s">
        <v>2019</v>
      </c>
      <c r="D671" s="91" t="s">
        <v>28</v>
      </c>
      <c r="E671" s="91"/>
      <c r="F671">
        <v>0</v>
      </c>
      <c r="G671" t="s">
        <v>1419</v>
      </c>
      <c r="H671" s="89">
        <v>46074</v>
      </c>
      <c r="I671" s="89">
        <v>46075</v>
      </c>
      <c r="J671" s="91"/>
      <c r="K671" s="91"/>
      <c r="M671" s="91"/>
      <c r="N671" s="91" t="s">
        <v>1928</v>
      </c>
    </row>
    <row r="672" spans="1:14" x14ac:dyDescent="0.25">
      <c r="A672" s="91" t="s">
        <v>1318</v>
      </c>
      <c r="B672" s="91" t="s">
        <v>1332</v>
      </c>
      <c r="C672" s="91" t="s">
        <v>2020</v>
      </c>
      <c r="D672" s="91" t="s">
        <v>28</v>
      </c>
      <c r="E672" s="91"/>
      <c r="F672">
        <v>40</v>
      </c>
      <c r="G672" t="s">
        <v>1419</v>
      </c>
      <c r="H672" s="89">
        <v>46074</v>
      </c>
      <c r="I672" s="89">
        <v>46075</v>
      </c>
      <c r="J672" s="91"/>
      <c r="K672" s="91"/>
      <c r="M672" s="91"/>
      <c r="N672" s="91" t="s">
        <v>1928</v>
      </c>
    </row>
    <row r="673" spans="1:14" x14ac:dyDescent="0.25">
      <c r="A673" s="91" t="s">
        <v>1320</v>
      </c>
      <c r="B673" s="91" t="s">
        <v>1334</v>
      </c>
      <c r="C673" s="91" t="s">
        <v>2021</v>
      </c>
      <c r="D673" s="91" t="s">
        <v>88</v>
      </c>
      <c r="E673" s="91"/>
      <c r="F673">
        <v>960</v>
      </c>
      <c r="G673">
        <v>20</v>
      </c>
      <c r="H673" s="89">
        <v>46074</v>
      </c>
      <c r="I673" s="89">
        <v>46079</v>
      </c>
      <c r="J673" s="91" t="s">
        <v>2022</v>
      </c>
      <c r="K673" s="91"/>
      <c r="M673" s="91"/>
      <c r="N673" s="91" t="s">
        <v>1928</v>
      </c>
    </row>
    <row r="674" spans="1:14" x14ac:dyDescent="0.25">
      <c r="A674" s="91" t="s">
        <v>1320</v>
      </c>
      <c r="B674" s="91" t="s">
        <v>1334</v>
      </c>
      <c r="C674" s="91" t="s">
        <v>2023</v>
      </c>
      <c r="D674" s="91" t="s">
        <v>15</v>
      </c>
      <c r="E674" s="91"/>
      <c r="F674">
        <v>960</v>
      </c>
      <c r="G674">
        <v>20</v>
      </c>
      <c r="H674" s="89">
        <v>46074</v>
      </c>
      <c r="I674" s="89">
        <v>46079</v>
      </c>
      <c r="J674" s="91" t="s">
        <v>2024</v>
      </c>
      <c r="K674" s="91"/>
      <c r="M674" s="91"/>
      <c r="N674" s="91" t="s">
        <v>1928</v>
      </c>
    </row>
    <row r="675" spans="1:14" x14ac:dyDescent="0.25">
      <c r="A675" s="91" t="s">
        <v>1313</v>
      </c>
      <c r="B675" s="91" t="s">
        <v>1327</v>
      </c>
      <c r="C675" s="91" t="s">
        <v>2023</v>
      </c>
      <c r="D675" s="91" t="s">
        <v>15</v>
      </c>
      <c r="E675" s="91"/>
      <c r="F675">
        <v>192</v>
      </c>
      <c r="G675">
        <v>4</v>
      </c>
      <c r="H675" s="89">
        <v>46074</v>
      </c>
      <c r="I675" s="89">
        <v>46078</v>
      </c>
      <c r="J675" s="91" t="s">
        <v>2008</v>
      </c>
      <c r="K675" s="91"/>
      <c r="M675" s="91"/>
      <c r="N675" s="91" t="s">
        <v>1928</v>
      </c>
    </row>
    <row r="676" spans="1:14" x14ac:dyDescent="0.25">
      <c r="A676" s="91" t="s">
        <v>1315</v>
      </c>
      <c r="B676" s="91" t="s">
        <v>1329</v>
      </c>
      <c r="C676" s="91" t="s">
        <v>2023</v>
      </c>
      <c r="D676" s="91" t="s">
        <v>15</v>
      </c>
      <c r="E676" s="91"/>
      <c r="F676">
        <v>36</v>
      </c>
      <c r="G676" t="s">
        <v>1419</v>
      </c>
      <c r="H676" s="89">
        <v>46074</v>
      </c>
      <c r="I676" s="89">
        <v>46073</v>
      </c>
      <c r="J676" s="91"/>
      <c r="K676" s="91"/>
      <c r="M676" s="91"/>
      <c r="N676" s="91" t="s">
        <v>1928</v>
      </c>
    </row>
    <row r="677" spans="1:14" x14ac:dyDescent="0.25">
      <c r="A677" s="91" t="s">
        <v>1444</v>
      </c>
      <c r="B677" s="91" t="s">
        <v>1445</v>
      </c>
      <c r="C677" s="91" t="s">
        <v>2023</v>
      </c>
      <c r="D677" s="91" t="s">
        <v>15</v>
      </c>
      <c r="E677" s="91"/>
      <c r="F677">
        <v>120</v>
      </c>
      <c r="G677">
        <v>1</v>
      </c>
      <c r="H677" s="89">
        <v>46074</v>
      </c>
      <c r="I677" s="89">
        <v>46076</v>
      </c>
      <c r="J677" s="91"/>
      <c r="K677" s="91"/>
      <c r="M677" s="91"/>
      <c r="N677" s="91" t="s">
        <v>1928</v>
      </c>
    </row>
    <row r="678" spans="1:14" x14ac:dyDescent="0.25">
      <c r="A678" s="91" t="s">
        <v>1316</v>
      </c>
      <c r="B678" s="91" t="s">
        <v>1330</v>
      </c>
      <c r="C678" s="91" t="s">
        <v>2025</v>
      </c>
      <c r="D678" s="91" t="s">
        <v>15</v>
      </c>
      <c r="E678" s="91"/>
      <c r="F678">
        <v>56</v>
      </c>
      <c r="G678" t="s">
        <v>1419</v>
      </c>
      <c r="H678" s="89">
        <v>46074</v>
      </c>
      <c r="I678" s="89">
        <v>46077</v>
      </c>
      <c r="J678" s="91"/>
      <c r="K678" s="91"/>
      <c r="M678" s="91"/>
      <c r="N678" s="91" t="s">
        <v>1928</v>
      </c>
    </row>
    <row r="679" spans="1:14" x14ac:dyDescent="0.25">
      <c r="A679" s="91" t="s">
        <v>1317</v>
      </c>
      <c r="B679" s="91" t="s">
        <v>1331</v>
      </c>
      <c r="C679" s="91" t="s">
        <v>2026</v>
      </c>
      <c r="D679" s="91" t="s">
        <v>15</v>
      </c>
      <c r="E679" s="91"/>
      <c r="F679">
        <v>4</v>
      </c>
      <c r="G679" t="s">
        <v>1419</v>
      </c>
      <c r="H679" s="89">
        <v>46074</v>
      </c>
      <c r="I679" s="89">
        <v>46077</v>
      </c>
      <c r="J679" s="91"/>
      <c r="K679" s="91"/>
      <c r="M679" s="91"/>
      <c r="N679" s="91" t="s">
        <v>1928</v>
      </c>
    </row>
    <row r="680" spans="1:14" x14ac:dyDescent="0.25">
      <c r="A680" s="91" t="s">
        <v>1318</v>
      </c>
      <c r="B680" s="91" t="s">
        <v>1332</v>
      </c>
      <c r="C680" s="91" t="s">
        <v>2027</v>
      </c>
      <c r="D680" s="91" t="s">
        <v>15</v>
      </c>
      <c r="E680" s="91"/>
      <c r="F680">
        <v>17</v>
      </c>
      <c r="G680" t="s">
        <v>1419</v>
      </c>
      <c r="H680" s="89">
        <v>46074</v>
      </c>
      <c r="I680" s="89">
        <v>46077</v>
      </c>
      <c r="J680" s="91"/>
      <c r="K680" s="91"/>
      <c r="M680" s="91"/>
      <c r="N680" s="91" t="s">
        <v>1928</v>
      </c>
    </row>
    <row r="681" spans="1:14" x14ac:dyDescent="0.25">
      <c r="A681" s="91" t="s">
        <v>1320</v>
      </c>
      <c r="B681" s="91" t="s">
        <v>1334</v>
      </c>
      <c r="C681" s="91" t="s">
        <v>2028</v>
      </c>
      <c r="D681" s="91" t="s">
        <v>20</v>
      </c>
      <c r="E681" s="91"/>
      <c r="F681">
        <v>960</v>
      </c>
      <c r="G681">
        <v>20</v>
      </c>
      <c r="H681" s="89">
        <v>46076</v>
      </c>
      <c r="I681" s="89">
        <v>46080</v>
      </c>
      <c r="J681" s="91" t="s">
        <v>2029</v>
      </c>
      <c r="K681" s="91"/>
      <c r="M681" s="91"/>
      <c r="N681" s="91" t="s">
        <v>2030</v>
      </c>
    </row>
    <row r="682" spans="1:14" x14ac:dyDescent="0.25">
      <c r="A682" s="91" t="s">
        <v>1315</v>
      </c>
      <c r="B682" s="91" t="s">
        <v>1329</v>
      </c>
      <c r="C682" s="91" t="s">
        <v>2028</v>
      </c>
      <c r="D682" s="91" t="s">
        <v>20</v>
      </c>
      <c r="E682" s="91"/>
      <c r="F682">
        <v>80</v>
      </c>
      <c r="G682" t="s">
        <v>1419</v>
      </c>
      <c r="H682" s="89">
        <v>46076</v>
      </c>
      <c r="I682" s="89">
        <v>46078</v>
      </c>
      <c r="J682" s="91"/>
      <c r="K682" s="91"/>
      <c r="M682" s="91"/>
      <c r="N682" s="91" t="s">
        <v>2030</v>
      </c>
    </row>
    <row r="683" spans="1:14" x14ac:dyDescent="0.25">
      <c r="A683" s="91" t="s">
        <v>1316</v>
      </c>
      <c r="B683" s="91" t="s">
        <v>1330</v>
      </c>
      <c r="C683" s="91" t="s">
        <v>2031</v>
      </c>
      <c r="D683" s="91" t="s">
        <v>20</v>
      </c>
      <c r="E683" s="91"/>
      <c r="F683">
        <v>160</v>
      </c>
      <c r="G683" t="s">
        <v>1419</v>
      </c>
      <c r="H683" s="89">
        <v>46076</v>
      </c>
      <c r="I683" s="89">
        <v>46078</v>
      </c>
      <c r="J683" s="91"/>
      <c r="K683" s="91"/>
      <c r="M683" s="91"/>
      <c r="N683" s="91" t="s">
        <v>2030</v>
      </c>
    </row>
    <row r="684" spans="1:14" x14ac:dyDescent="0.25">
      <c r="A684" s="91" t="s">
        <v>1317</v>
      </c>
      <c r="B684" s="91" t="s">
        <v>1331</v>
      </c>
      <c r="C684" s="91" t="s">
        <v>2032</v>
      </c>
      <c r="D684" s="91" t="s">
        <v>20</v>
      </c>
      <c r="E684" s="91"/>
      <c r="F684">
        <v>10</v>
      </c>
      <c r="G684" t="s">
        <v>1419</v>
      </c>
      <c r="H684" s="89">
        <v>46076</v>
      </c>
      <c r="I684" s="89">
        <v>46078</v>
      </c>
      <c r="J684" s="91"/>
      <c r="K684" s="91"/>
      <c r="M684" s="91"/>
      <c r="N684" s="91" t="s">
        <v>2030</v>
      </c>
    </row>
    <row r="685" spans="1:14" x14ac:dyDescent="0.25">
      <c r="A685" s="91" t="s">
        <v>1318</v>
      </c>
      <c r="B685" s="91" t="s">
        <v>1332</v>
      </c>
      <c r="C685" s="91" t="s">
        <v>2033</v>
      </c>
      <c r="D685" s="91" t="s">
        <v>20</v>
      </c>
      <c r="E685" s="91"/>
      <c r="F685">
        <v>55</v>
      </c>
      <c r="G685" t="s">
        <v>1419</v>
      </c>
      <c r="H685" s="89">
        <v>46076</v>
      </c>
      <c r="I685" s="89">
        <v>46078</v>
      </c>
      <c r="J685" s="91"/>
      <c r="K685" s="91"/>
      <c r="M685" s="91"/>
      <c r="N685" s="91" t="s">
        <v>2030</v>
      </c>
    </row>
    <row r="686" spans="1:14" x14ac:dyDescent="0.25">
      <c r="A686" s="91" t="s">
        <v>1320</v>
      </c>
      <c r="B686" s="91" t="s">
        <v>1334</v>
      </c>
      <c r="C686" s="91" t="s">
        <v>2034</v>
      </c>
      <c r="D686" s="91" t="s">
        <v>15</v>
      </c>
      <c r="E686" s="91"/>
      <c r="F686">
        <v>960</v>
      </c>
      <c r="G686">
        <v>20</v>
      </c>
      <c r="H686" s="89">
        <v>46076</v>
      </c>
      <c r="I686" s="89">
        <v>46080</v>
      </c>
      <c r="J686" s="91" t="s">
        <v>2035</v>
      </c>
      <c r="K686" s="91"/>
      <c r="M686" s="91"/>
      <c r="N686" s="91" t="s">
        <v>2030</v>
      </c>
    </row>
    <row r="687" spans="1:14" x14ac:dyDescent="0.25">
      <c r="A687" s="91" t="s">
        <v>1315</v>
      </c>
      <c r="B687" s="91" t="s">
        <v>1329</v>
      </c>
      <c r="C687" s="91" t="s">
        <v>2034</v>
      </c>
      <c r="D687" s="91" t="s">
        <v>15</v>
      </c>
      <c r="E687" s="91"/>
      <c r="F687">
        <v>59</v>
      </c>
      <c r="G687" t="s">
        <v>1419</v>
      </c>
      <c r="H687" s="89">
        <v>46076</v>
      </c>
      <c r="I687" s="89">
        <v>46078</v>
      </c>
      <c r="J687" s="91"/>
      <c r="K687" s="91"/>
      <c r="M687" s="91"/>
      <c r="N687" s="91" t="s">
        <v>2030</v>
      </c>
    </row>
    <row r="688" spans="1:14" x14ac:dyDescent="0.25">
      <c r="A688" s="91" t="s">
        <v>1444</v>
      </c>
      <c r="B688" s="91" t="s">
        <v>1445</v>
      </c>
      <c r="C688" s="91" t="s">
        <v>2034</v>
      </c>
      <c r="D688" s="91" t="s">
        <v>15</v>
      </c>
      <c r="E688" s="91"/>
      <c r="F688">
        <v>180</v>
      </c>
      <c r="G688">
        <v>1</v>
      </c>
      <c r="H688" s="89">
        <v>46076</v>
      </c>
      <c r="I688" s="89">
        <v>46078</v>
      </c>
      <c r="J688" s="91"/>
      <c r="K688" s="91"/>
      <c r="M688" s="91"/>
      <c r="N688" s="91" t="s">
        <v>2030</v>
      </c>
    </row>
    <row r="689" spans="1:14" x14ac:dyDescent="0.25">
      <c r="A689" s="91" t="s">
        <v>1316</v>
      </c>
      <c r="B689" s="91" t="s">
        <v>1330</v>
      </c>
      <c r="C689" s="91" t="s">
        <v>2036</v>
      </c>
      <c r="D689" s="91" t="s">
        <v>15</v>
      </c>
      <c r="E689" s="91"/>
      <c r="F689">
        <v>38</v>
      </c>
      <c r="G689" t="s">
        <v>1419</v>
      </c>
      <c r="H689" s="89">
        <v>46076</v>
      </c>
      <c r="I689" s="89">
        <v>46078</v>
      </c>
      <c r="J689" s="91"/>
      <c r="K689" s="91"/>
      <c r="M689" s="91"/>
      <c r="N689" s="91" t="s">
        <v>2030</v>
      </c>
    </row>
    <row r="690" spans="1:14" x14ac:dyDescent="0.25">
      <c r="A690" s="91" t="s">
        <v>1317</v>
      </c>
      <c r="B690" s="91" t="s">
        <v>1331</v>
      </c>
      <c r="C690" s="91" t="s">
        <v>2037</v>
      </c>
      <c r="D690" s="91" t="s">
        <v>15</v>
      </c>
      <c r="E690" s="91"/>
      <c r="F690">
        <v>14</v>
      </c>
      <c r="G690" t="s">
        <v>1419</v>
      </c>
      <c r="H690" s="89">
        <v>46076</v>
      </c>
      <c r="I690" s="89">
        <v>46078</v>
      </c>
      <c r="J690" s="91"/>
      <c r="K690" s="91"/>
      <c r="M690" s="91"/>
      <c r="N690" s="91" t="s">
        <v>2030</v>
      </c>
    </row>
    <row r="691" spans="1:14" x14ac:dyDescent="0.25">
      <c r="A691" s="91" t="s">
        <v>1318</v>
      </c>
      <c r="B691" s="91" t="s">
        <v>1332</v>
      </c>
      <c r="C691" s="91" t="s">
        <v>2038</v>
      </c>
      <c r="D691" s="91" t="s">
        <v>15</v>
      </c>
      <c r="E691" s="91"/>
      <c r="F691">
        <v>12</v>
      </c>
      <c r="G691" t="s">
        <v>1419</v>
      </c>
      <c r="H691" s="89">
        <v>46076</v>
      </c>
      <c r="I691" s="89">
        <v>46078</v>
      </c>
      <c r="J691" s="91"/>
      <c r="K691" s="91"/>
      <c r="M691" s="91"/>
      <c r="N691" s="91" t="s">
        <v>2030</v>
      </c>
    </row>
    <row r="692" spans="1:14" x14ac:dyDescent="0.25">
      <c r="A692" s="91" t="s">
        <v>1326</v>
      </c>
      <c r="B692" s="91" t="s">
        <v>1340</v>
      </c>
      <c r="C692" s="91" t="s">
        <v>2039</v>
      </c>
      <c r="D692" s="91" t="s">
        <v>138</v>
      </c>
      <c r="E692" s="91"/>
      <c r="F692">
        <v>672</v>
      </c>
      <c r="G692">
        <v>16</v>
      </c>
      <c r="H692" s="89">
        <v>46076</v>
      </c>
      <c r="I692" s="89">
        <v>46080</v>
      </c>
      <c r="J692" s="91" t="s">
        <v>2040</v>
      </c>
      <c r="K692" s="91"/>
      <c r="M692" s="91"/>
      <c r="N692" s="91" t="s">
        <v>2030</v>
      </c>
    </row>
    <row r="693" spans="1:14" x14ac:dyDescent="0.25">
      <c r="A693" s="91" t="s">
        <v>1324</v>
      </c>
      <c r="B693" s="91" t="s">
        <v>1338</v>
      </c>
      <c r="C693" s="91" t="s">
        <v>2041</v>
      </c>
      <c r="D693" s="91" t="s">
        <v>13</v>
      </c>
      <c r="E693" s="91"/>
      <c r="F693">
        <v>384</v>
      </c>
      <c r="G693">
        <v>8</v>
      </c>
      <c r="H693" s="89">
        <v>46076</v>
      </c>
      <c r="I693" s="89">
        <v>46081</v>
      </c>
      <c r="J693" s="91" t="s">
        <v>2042</v>
      </c>
      <c r="K693" s="91"/>
      <c r="M693" s="91"/>
      <c r="N693" s="91" t="s">
        <v>2030</v>
      </c>
    </row>
    <row r="694" spans="1:14" x14ac:dyDescent="0.25">
      <c r="A694" s="91" t="s">
        <v>1324</v>
      </c>
      <c r="B694" s="91" t="s">
        <v>1338</v>
      </c>
      <c r="C694" s="91" t="s">
        <v>2043</v>
      </c>
      <c r="D694" s="91" t="s">
        <v>21</v>
      </c>
      <c r="E694" s="91"/>
      <c r="F694">
        <v>960</v>
      </c>
      <c r="G694">
        <v>20</v>
      </c>
      <c r="H694" s="89">
        <v>46076</v>
      </c>
      <c r="I694" s="89">
        <v>46081</v>
      </c>
      <c r="J694" s="91" t="s">
        <v>2042</v>
      </c>
      <c r="K694" s="91"/>
      <c r="M694" s="91"/>
      <c r="N694" s="91" t="s">
        <v>2030</v>
      </c>
    </row>
    <row r="695" spans="1:14" x14ac:dyDescent="0.25">
      <c r="A695" s="91" t="s">
        <v>1315</v>
      </c>
      <c r="B695" s="91" t="s">
        <v>1329</v>
      </c>
      <c r="C695" s="91" t="s">
        <v>2043</v>
      </c>
      <c r="D695" s="91" t="s">
        <v>21</v>
      </c>
      <c r="E695" s="91"/>
      <c r="F695">
        <v>53</v>
      </c>
      <c r="G695" t="s">
        <v>1419</v>
      </c>
      <c r="H695" s="89">
        <v>46076</v>
      </c>
      <c r="I695" s="89">
        <v>46078</v>
      </c>
      <c r="J695" s="91"/>
      <c r="K695" s="91"/>
      <c r="M695" s="91"/>
      <c r="N695" s="91" t="s">
        <v>2030</v>
      </c>
    </row>
    <row r="696" spans="1:14" x14ac:dyDescent="0.25">
      <c r="A696" s="91" t="s">
        <v>1316</v>
      </c>
      <c r="B696" s="91" t="s">
        <v>1330</v>
      </c>
      <c r="C696" s="91" t="s">
        <v>2044</v>
      </c>
      <c r="D696" s="91" t="s">
        <v>21</v>
      </c>
      <c r="E696" s="91"/>
      <c r="F696">
        <v>63</v>
      </c>
      <c r="G696" t="s">
        <v>1419</v>
      </c>
      <c r="H696" s="89">
        <v>46076</v>
      </c>
      <c r="I696" s="89">
        <v>46078</v>
      </c>
      <c r="J696" s="91"/>
      <c r="K696" s="91"/>
      <c r="M696" s="91"/>
      <c r="N696" s="91" t="s">
        <v>2030</v>
      </c>
    </row>
    <row r="697" spans="1:14" x14ac:dyDescent="0.25">
      <c r="A697" s="91" t="s">
        <v>1317</v>
      </c>
      <c r="B697" s="91" t="s">
        <v>1331</v>
      </c>
      <c r="C697" s="91" t="s">
        <v>2045</v>
      </c>
      <c r="D697" s="91" t="s">
        <v>21</v>
      </c>
      <c r="E697" s="91"/>
      <c r="F697">
        <v>43</v>
      </c>
      <c r="G697" t="s">
        <v>1419</v>
      </c>
      <c r="H697" s="89">
        <v>46076</v>
      </c>
      <c r="I697" s="89">
        <v>46078</v>
      </c>
      <c r="J697" s="91"/>
      <c r="K697" s="91"/>
      <c r="M697" s="91"/>
      <c r="N697" s="91" t="s">
        <v>2030</v>
      </c>
    </row>
    <row r="698" spans="1:14" x14ac:dyDescent="0.25">
      <c r="A698" s="91" t="s">
        <v>1318</v>
      </c>
      <c r="B698" s="91" t="s">
        <v>1332</v>
      </c>
      <c r="C698" s="91" t="s">
        <v>2046</v>
      </c>
      <c r="D698" s="91" t="s">
        <v>21</v>
      </c>
      <c r="E698" s="91"/>
      <c r="F698">
        <v>86</v>
      </c>
      <c r="G698" t="s">
        <v>1419</v>
      </c>
      <c r="H698" s="89">
        <v>46076</v>
      </c>
      <c r="I698" s="89">
        <v>46078</v>
      </c>
      <c r="J698" s="91"/>
      <c r="K698" s="91"/>
      <c r="M698" s="91"/>
      <c r="N698" s="91" t="s">
        <v>2030</v>
      </c>
    </row>
    <row r="699" spans="1:14" x14ac:dyDescent="0.25">
      <c r="A699" s="91" t="s">
        <v>1321</v>
      </c>
      <c r="B699" s="91" t="s">
        <v>1335</v>
      </c>
      <c r="C699" s="91" t="s">
        <v>2039</v>
      </c>
      <c r="D699" s="91" t="s">
        <v>138</v>
      </c>
      <c r="E699" s="91"/>
      <c r="F699">
        <v>96</v>
      </c>
      <c r="G699">
        <v>2</v>
      </c>
      <c r="H699" s="89">
        <v>46076</v>
      </c>
      <c r="I699" s="89">
        <v>46081</v>
      </c>
      <c r="J699" s="91" t="s">
        <v>2042</v>
      </c>
      <c r="K699" s="91"/>
      <c r="M699" s="91"/>
      <c r="N699" s="91" t="s">
        <v>2030</v>
      </c>
    </row>
    <row r="700" spans="1:14" x14ac:dyDescent="0.25">
      <c r="A700" s="91" t="s">
        <v>1326</v>
      </c>
      <c r="B700" s="91" t="s">
        <v>1340</v>
      </c>
      <c r="C700" s="91" t="s">
        <v>2047</v>
      </c>
      <c r="D700" s="91" t="s">
        <v>138</v>
      </c>
      <c r="E700" s="91"/>
      <c r="F700">
        <v>336</v>
      </c>
      <c r="G700">
        <v>8</v>
      </c>
      <c r="H700" s="89">
        <v>46077</v>
      </c>
      <c r="I700" s="89">
        <v>46080</v>
      </c>
      <c r="J700" s="91" t="s">
        <v>2040</v>
      </c>
      <c r="K700" s="91"/>
      <c r="M700" s="91"/>
      <c r="N700" s="91" t="s">
        <v>2030</v>
      </c>
    </row>
    <row r="701" spans="1:14" x14ac:dyDescent="0.25">
      <c r="A701" s="91" t="s">
        <v>1325</v>
      </c>
      <c r="B701" s="91" t="s">
        <v>1339</v>
      </c>
      <c r="C701" s="91" t="s">
        <v>2047</v>
      </c>
      <c r="D701" s="91" t="s">
        <v>138</v>
      </c>
      <c r="E701" s="91"/>
      <c r="F701">
        <v>242</v>
      </c>
      <c r="G701">
        <v>5</v>
      </c>
      <c r="H701" s="89">
        <v>46077</v>
      </c>
      <c r="I701" s="89">
        <v>46079</v>
      </c>
      <c r="J701" s="91"/>
      <c r="K701" s="91"/>
      <c r="M701" s="91"/>
      <c r="N701" s="91" t="s">
        <v>2030</v>
      </c>
    </row>
    <row r="702" spans="1:14" x14ac:dyDescent="0.25">
      <c r="A702" s="91" t="s">
        <v>1324</v>
      </c>
      <c r="B702" s="91" t="s">
        <v>1338</v>
      </c>
      <c r="C702" s="91" t="s">
        <v>2048</v>
      </c>
      <c r="D702" s="91" t="s">
        <v>13</v>
      </c>
      <c r="E702" s="91"/>
      <c r="F702">
        <v>960</v>
      </c>
      <c r="G702">
        <v>20</v>
      </c>
      <c r="H702" s="89">
        <v>46077</v>
      </c>
      <c r="I702" s="89">
        <v>46083</v>
      </c>
      <c r="J702" s="91" t="s">
        <v>2049</v>
      </c>
      <c r="K702" s="91"/>
      <c r="M702" s="91"/>
      <c r="N702" s="91" t="s">
        <v>2030</v>
      </c>
    </row>
    <row r="703" spans="1:14" x14ac:dyDescent="0.25">
      <c r="A703" s="91" t="s">
        <v>1324</v>
      </c>
      <c r="B703" s="91" t="s">
        <v>1338</v>
      </c>
      <c r="C703" s="91" t="s">
        <v>2050</v>
      </c>
      <c r="D703" s="91" t="s">
        <v>15</v>
      </c>
      <c r="E703" s="91"/>
      <c r="F703">
        <v>192</v>
      </c>
      <c r="G703">
        <v>4</v>
      </c>
      <c r="H703" s="89">
        <v>46077</v>
      </c>
      <c r="I703" s="89">
        <v>46083</v>
      </c>
      <c r="J703" s="91" t="s">
        <v>2049</v>
      </c>
      <c r="K703" s="91"/>
      <c r="M703" s="91"/>
      <c r="N703" s="91" t="s">
        <v>2030</v>
      </c>
    </row>
    <row r="704" spans="1:14" x14ac:dyDescent="0.25">
      <c r="A704" s="91" t="s">
        <v>1320</v>
      </c>
      <c r="B704" s="91" t="s">
        <v>1334</v>
      </c>
      <c r="C704" s="91" t="s">
        <v>2050</v>
      </c>
      <c r="D704" s="91" t="s">
        <v>15</v>
      </c>
      <c r="E704" s="91"/>
      <c r="F704">
        <v>960</v>
      </c>
      <c r="G704">
        <v>20</v>
      </c>
      <c r="H704" s="89">
        <v>46077</v>
      </c>
      <c r="I704" s="89">
        <v>46081</v>
      </c>
      <c r="J704" s="91" t="s">
        <v>2051</v>
      </c>
      <c r="K704" s="91"/>
      <c r="M704" s="91"/>
      <c r="N704" s="91" t="s">
        <v>2030</v>
      </c>
    </row>
    <row r="705" spans="1:14" x14ac:dyDescent="0.25">
      <c r="A705" s="91" t="s">
        <v>1313</v>
      </c>
      <c r="B705" s="91" t="s">
        <v>1327</v>
      </c>
      <c r="C705" s="91" t="s">
        <v>2050</v>
      </c>
      <c r="D705" s="91" t="s">
        <v>15</v>
      </c>
      <c r="E705" s="91"/>
      <c r="F705">
        <v>179</v>
      </c>
      <c r="G705">
        <v>3.7291666666666665</v>
      </c>
      <c r="H705" s="89">
        <v>46077</v>
      </c>
      <c r="I705" s="89">
        <v>46082</v>
      </c>
      <c r="J705" s="91" t="s">
        <v>2052</v>
      </c>
      <c r="K705" s="91"/>
      <c r="M705" s="91"/>
      <c r="N705" s="91" t="s">
        <v>2030</v>
      </c>
    </row>
    <row r="706" spans="1:14" x14ac:dyDescent="0.25">
      <c r="A706" s="91" t="s">
        <v>1316</v>
      </c>
      <c r="B706" s="91" t="s">
        <v>1330</v>
      </c>
      <c r="C706" s="91" t="s">
        <v>2053</v>
      </c>
      <c r="D706" s="91" t="s">
        <v>15</v>
      </c>
      <c r="E706" s="91"/>
      <c r="F706">
        <v>57</v>
      </c>
      <c r="G706" t="s">
        <v>1419</v>
      </c>
      <c r="H706" s="89">
        <v>46077</v>
      </c>
      <c r="I706" s="89">
        <v>46079</v>
      </c>
      <c r="J706" s="91"/>
      <c r="K706" s="91"/>
      <c r="M706" s="91"/>
      <c r="N706" s="91" t="s">
        <v>2030</v>
      </c>
    </row>
    <row r="707" spans="1:14" x14ac:dyDescent="0.25">
      <c r="A707" s="91" t="s">
        <v>1317</v>
      </c>
      <c r="B707" s="91" t="s">
        <v>1331</v>
      </c>
      <c r="C707" s="91" t="s">
        <v>2054</v>
      </c>
      <c r="D707" s="91" t="s">
        <v>15</v>
      </c>
      <c r="E707" s="91"/>
      <c r="F707">
        <v>13</v>
      </c>
      <c r="G707" t="s">
        <v>1419</v>
      </c>
      <c r="H707" s="89">
        <v>46077</v>
      </c>
      <c r="I707" s="89">
        <v>46079</v>
      </c>
      <c r="J707" s="91"/>
      <c r="K707" s="91"/>
      <c r="M707" s="91"/>
      <c r="N707" s="91" t="s">
        <v>2030</v>
      </c>
    </row>
    <row r="708" spans="1:14" x14ac:dyDescent="0.25">
      <c r="A708" s="91" t="s">
        <v>1318</v>
      </c>
      <c r="B708" s="91" t="s">
        <v>1332</v>
      </c>
      <c r="C708" s="91" t="s">
        <v>2055</v>
      </c>
      <c r="D708" s="91" t="s">
        <v>15</v>
      </c>
      <c r="E708" s="91"/>
      <c r="F708">
        <v>40</v>
      </c>
      <c r="G708" t="s">
        <v>1419</v>
      </c>
      <c r="H708" s="89">
        <v>46077</v>
      </c>
      <c r="I708" s="89">
        <v>46079</v>
      </c>
      <c r="J708" s="91"/>
      <c r="K708" s="91"/>
      <c r="M708" s="91"/>
      <c r="N708" s="91" t="s">
        <v>2030</v>
      </c>
    </row>
    <row r="709" spans="1:14" x14ac:dyDescent="0.25">
      <c r="A709" s="91" t="s">
        <v>1323</v>
      </c>
      <c r="B709" s="91" t="s">
        <v>1337</v>
      </c>
      <c r="C709" s="91" t="s">
        <v>2056</v>
      </c>
      <c r="D709" s="91" t="s">
        <v>20</v>
      </c>
      <c r="E709" s="91"/>
      <c r="F709">
        <v>756</v>
      </c>
      <c r="G709">
        <v>14</v>
      </c>
      <c r="H709" s="89">
        <v>46077</v>
      </c>
      <c r="I709" s="89">
        <v>46080</v>
      </c>
      <c r="J709" s="91" t="s">
        <v>2057</v>
      </c>
      <c r="K709" s="91"/>
      <c r="M709" s="91"/>
      <c r="N709" s="91" t="s">
        <v>2030</v>
      </c>
    </row>
    <row r="710" spans="1:14" x14ac:dyDescent="0.25">
      <c r="A710" s="91" t="s">
        <v>1322</v>
      </c>
      <c r="B710" s="91" t="s">
        <v>1336</v>
      </c>
      <c r="C710" s="91" t="s">
        <v>2056</v>
      </c>
      <c r="D710" s="91" t="s">
        <v>20</v>
      </c>
      <c r="E710" s="91"/>
      <c r="F710">
        <v>324</v>
      </c>
      <c r="G710">
        <v>6</v>
      </c>
      <c r="H710" s="89">
        <v>46077</v>
      </c>
      <c r="I710" s="89">
        <v>46080</v>
      </c>
      <c r="J710" s="91" t="s">
        <v>2057</v>
      </c>
      <c r="K710" s="91"/>
      <c r="M710" s="91"/>
      <c r="N710" s="91" t="s">
        <v>2030</v>
      </c>
    </row>
    <row r="711" spans="1:14" x14ac:dyDescent="0.25">
      <c r="A711" s="91" t="s">
        <v>1315</v>
      </c>
      <c r="B711" s="91" t="s">
        <v>1329</v>
      </c>
      <c r="C711" s="91" t="s">
        <v>2056</v>
      </c>
      <c r="D711" s="91" t="s">
        <v>20</v>
      </c>
      <c r="E711" s="91"/>
      <c r="F711">
        <v>108</v>
      </c>
      <c r="G711" t="s">
        <v>1419</v>
      </c>
      <c r="H711" s="89">
        <v>46077</v>
      </c>
      <c r="I711" s="89">
        <v>46080</v>
      </c>
      <c r="J711" s="91"/>
      <c r="K711" s="91"/>
      <c r="M711" s="91"/>
      <c r="N711" s="91" t="s">
        <v>2030</v>
      </c>
    </row>
    <row r="712" spans="1:14" x14ac:dyDescent="0.25">
      <c r="A712" s="91" t="s">
        <v>1316</v>
      </c>
      <c r="B712" s="91" t="s">
        <v>1330</v>
      </c>
      <c r="C712" s="91" t="s">
        <v>2058</v>
      </c>
      <c r="D712" s="91" t="s">
        <v>20</v>
      </c>
      <c r="E712" s="91"/>
      <c r="F712">
        <v>92</v>
      </c>
      <c r="G712" t="s">
        <v>1419</v>
      </c>
      <c r="H712" s="89">
        <v>46077</v>
      </c>
      <c r="I712" s="89">
        <v>46079</v>
      </c>
      <c r="J712" s="91"/>
      <c r="K712" s="91"/>
      <c r="M712" s="91"/>
      <c r="N712" s="91" t="s">
        <v>2030</v>
      </c>
    </row>
    <row r="713" spans="1:14" x14ac:dyDescent="0.25">
      <c r="A713" s="91" t="s">
        <v>1317</v>
      </c>
      <c r="B713" s="91" t="s">
        <v>1331</v>
      </c>
      <c r="C713" s="91" t="s">
        <v>2059</v>
      </c>
      <c r="D713" s="91" t="s">
        <v>20</v>
      </c>
      <c r="E713" s="91"/>
      <c r="F713">
        <v>8</v>
      </c>
      <c r="G713" t="s">
        <v>1419</v>
      </c>
      <c r="H713" s="89">
        <v>46077</v>
      </c>
      <c r="I713" s="89">
        <v>46079</v>
      </c>
      <c r="J713" s="91"/>
      <c r="K713" s="91"/>
      <c r="M713" s="91"/>
      <c r="N713" s="91" t="s">
        <v>2030</v>
      </c>
    </row>
    <row r="714" spans="1:14" x14ac:dyDescent="0.25">
      <c r="A714" s="91" t="s">
        <v>1318</v>
      </c>
      <c r="B714" s="91" t="s">
        <v>1332</v>
      </c>
      <c r="C714" s="91" t="s">
        <v>2060</v>
      </c>
      <c r="D714" s="91" t="s">
        <v>20</v>
      </c>
      <c r="E714" s="91"/>
      <c r="F714">
        <v>35</v>
      </c>
      <c r="G714" t="s">
        <v>1419</v>
      </c>
      <c r="H714" s="89">
        <v>46077</v>
      </c>
      <c r="I714" s="89">
        <v>46079</v>
      </c>
      <c r="J714" s="91"/>
      <c r="K714" s="91"/>
      <c r="M714" s="91"/>
      <c r="N714" s="91" t="s">
        <v>2030</v>
      </c>
    </row>
    <row r="715" spans="1:14" x14ac:dyDescent="0.25">
      <c r="A715" s="91" t="s">
        <v>1324</v>
      </c>
      <c r="B715" s="91" t="s">
        <v>1338</v>
      </c>
      <c r="C715" s="91" t="s">
        <v>2061</v>
      </c>
      <c r="D715" s="91" t="s">
        <v>21</v>
      </c>
      <c r="E715" s="91"/>
      <c r="F715">
        <v>48</v>
      </c>
      <c r="G715">
        <v>1</v>
      </c>
      <c r="H715" s="89">
        <v>46077</v>
      </c>
      <c r="I715" s="89">
        <v>46081</v>
      </c>
      <c r="J715" s="91" t="s">
        <v>2042</v>
      </c>
      <c r="K715" s="91"/>
      <c r="M715" s="91"/>
      <c r="N715" s="91" t="s">
        <v>2030</v>
      </c>
    </row>
    <row r="716" spans="1:14" x14ac:dyDescent="0.25">
      <c r="A716" s="91" t="s">
        <v>1324</v>
      </c>
      <c r="B716" s="91" t="s">
        <v>1338</v>
      </c>
      <c r="C716" s="91" t="s">
        <v>2061</v>
      </c>
      <c r="D716" s="91" t="s">
        <v>21</v>
      </c>
      <c r="E716" s="91"/>
      <c r="F716">
        <v>192</v>
      </c>
      <c r="G716">
        <v>4</v>
      </c>
      <c r="H716" s="89">
        <v>46077</v>
      </c>
      <c r="I716" s="89">
        <v>46083</v>
      </c>
      <c r="J716" s="91" t="s">
        <v>2049</v>
      </c>
      <c r="K716" s="91"/>
      <c r="M716" s="91"/>
      <c r="N716" s="91" t="s">
        <v>2030</v>
      </c>
    </row>
    <row r="717" spans="1:14" x14ac:dyDescent="0.25">
      <c r="A717" s="91" t="s">
        <v>1314</v>
      </c>
      <c r="B717" s="91" t="s">
        <v>1328</v>
      </c>
      <c r="C717" s="91" t="s">
        <v>2061</v>
      </c>
      <c r="D717" s="91" t="s">
        <v>21</v>
      </c>
      <c r="E717" s="91"/>
      <c r="F717">
        <v>288</v>
      </c>
      <c r="G717">
        <v>6</v>
      </c>
      <c r="H717" s="89">
        <v>46077</v>
      </c>
      <c r="I717" s="89">
        <v>46080</v>
      </c>
      <c r="J717" s="91" t="s">
        <v>2062</v>
      </c>
      <c r="K717" s="91"/>
      <c r="M717" s="91"/>
      <c r="N717" s="91" t="s">
        <v>2030</v>
      </c>
    </row>
    <row r="718" spans="1:14" x14ac:dyDescent="0.25">
      <c r="A718" s="91" t="s">
        <v>1313</v>
      </c>
      <c r="B718" s="91" t="s">
        <v>1327</v>
      </c>
      <c r="C718" s="91" t="s">
        <v>2061</v>
      </c>
      <c r="D718" s="91" t="s">
        <v>21</v>
      </c>
      <c r="E718" s="91"/>
      <c r="F718">
        <v>864</v>
      </c>
      <c r="G718">
        <v>18</v>
      </c>
      <c r="H718" s="89">
        <v>46077</v>
      </c>
      <c r="I718" s="89">
        <v>46080</v>
      </c>
      <c r="J718" s="91" t="s">
        <v>2063</v>
      </c>
      <c r="K718" s="91"/>
      <c r="M718" s="91"/>
      <c r="N718" s="91" t="s">
        <v>2030</v>
      </c>
    </row>
    <row r="719" spans="1:14" x14ac:dyDescent="0.25">
      <c r="A719" s="91" t="s">
        <v>1315</v>
      </c>
      <c r="B719" s="91" t="s">
        <v>1329</v>
      </c>
      <c r="C719" s="91" t="s">
        <v>2061</v>
      </c>
      <c r="D719" s="91" t="s">
        <v>21</v>
      </c>
      <c r="E719" s="91"/>
      <c r="F719">
        <v>62</v>
      </c>
      <c r="G719" t="s">
        <v>1419</v>
      </c>
      <c r="H719" s="89">
        <v>46077</v>
      </c>
      <c r="I719" s="89">
        <v>46079</v>
      </c>
      <c r="J719" s="91"/>
      <c r="K719" s="91"/>
      <c r="M719" s="91"/>
      <c r="N719" s="91" t="s">
        <v>2030</v>
      </c>
    </row>
    <row r="720" spans="1:14" x14ac:dyDescent="0.25">
      <c r="A720" s="91" t="s">
        <v>1316</v>
      </c>
      <c r="B720" s="91" t="s">
        <v>1330</v>
      </c>
      <c r="C720" s="91" t="s">
        <v>2064</v>
      </c>
      <c r="D720" s="91" t="s">
        <v>21</v>
      </c>
      <c r="E720" s="91"/>
      <c r="F720">
        <v>18</v>
      </c>
      <c r="G720" t="s">
        <v>1419</v>
      </c>
      <c r="H720" s="89">
        <v>46077</v>
      </c>
      <c r="I720" s="89">
        <v>46079</v>
      </c>
      <c r="J720" s="91"/>
      <c r="K720" s="91"/>
      <c r="M720" s="91"/>
      <c r="N720" s="91" t="s">
        <v>2030</v>
      </c>
    </row>
    <row r="721" spans="1:14" x14ac:dyDescent="0.25">
      <c r="A721" s="91" t="s">
        <v>1317</v>
      </c>
      <c r="B721" s="91" t="s">
        <v>1331</v>
      </c>
      <c r="C721" s="91" t="s">
        <v>2065</v>
      </c>
      <c r="D721" s="91" t="s">
        <v>21</v>
      </c>
      <c r="E721" s="91"/>
      <c r="F721">
        <v>35</v>
      </c>
      <c r="G721" t="s">
        <v>1419</v>
      </c>
      <c r="H721" s="89">
        <v>46077</v>
      </c>
      <c r="I721" s="89">
        <v>46079</v>
      </c>
      <c r="J721" s="91"/>
      <c r="K721" s="91"/>
      <c r="M721" s="91"/>
      <c r="N721" s="91" t="s">
        <v>2030</v>
      </c>
    </row>
    <row r="722" spans="1:14" x14ac:dyDescent="0.25">
      <c r="A722" s="91" t="s">
        <v>1318</v>
      </c>
      <c r="B722" s="91" t="s">
        <v>1332</v>
      </c>
      <c r="C722" s="91" t="s">
        <v>2066</v>
      </c>
      <c r="D722" s="91" t="s">
        <v>21</v>
      </c>
      <c r="E722" s="91"/>
      <c r="F722">
        <v>62</v>
      </c>
      <c r="G722" t="s">
        <v>1419</v>
      </c>
      <c r="H722" s="89">
        <v>46077</v>
      </c>
      <c r="I722" s="89">
        <v>46079</v>
      </c>
      <c r="J722" s="91"/>
      <c r="K722" s="91"/>
      <c r="M722" s="91"/>
      <c r="N722" s="91" t="s">
        <v>2030</v>
      </c>
    </row>
    <row r="723" spans="1:14" x14ac:dyDescent="0.25">
      <c r="A723" s="91" t="s">
        <v>1313</v>
      </c>
      <c r="B723" s="91" t="s">
        <v>1327</v>
      </c>
      <c r="C723" s="91" t="s">
        <v>2067</v>
      </c>
      <c r="D723" s="91" t="s">
        <v>23</v>
      </c>
      <c r="E723" s="91"/>
      <c r="F723">
        <v>720</v>
      </c>
      <c r="G723">
        <v>15</v>
      </c>
      <c r="H723" s="89">
        <v>46077</v>
      </c>
      <c r="I723" s="89">
        <v>46079</v>
      </c>
      <c r="J723" s="91"/>
      <c r="K723" s="91"/>
      <c r="M723" s="91"/>
      <c r="N723" s="91" t="s">
        <v>2030</v>
      </c>
    </row>
    <row r="724" spans="1:14" x14ac:dyDescent="0.25">
      <c r="A724" s="91" t="s">
        <v>1324</v>
      </c>
      <c r="B724" s="91" t="s">
        <v>1338</v>
      </c>
      <c r="C724" s="91" t="s">
        <v>2068</v>
      </c>
      <c r="D724" s="91" t="s">
        <v>147</v>
      </c>
      <c r="E724" s="91"/>
      <c r="F724">
        <v>960</v>
      </c>
      <c r="G724">
        <v>20</v>
      </c>
      <c r="H724" s="89">
        <v>46078</v>
      </c>
      <c r="I724" s="89">
        <v>46085</v>
      </c>
      <c r="J724" s="91" t="s">
        <v>2069</v>
      </c>
      <c r="K724" s="91"/>
      <c r="M724" s="91"/>
      <c r="N724" s="91" t="s">
        <v>2030</v>
      </c>
    </row>
    <row r="725" spans="1:14" x14ac:dyDescent="0.25">
      <c r="A725" s="91" t="s">
        <v>1313</v>
      </c>
      <c r="B725" s="91" t="s">
        <v>1327</v>
      </c>
      <c r="C725" s="91" t="s">
        <v>2070</v>
      </c>
      <c r="D725" s="91" t="s">
        <v>21</v>
      </c>
      <c r="E725" s="91"/>
      <c r="F725">
        <v>859</v>
      </c>
      <c r="G725">
        <v>17.895833333333332</v>
      </c>
      <c r="H725" s="89">
        <v>46078</v>
      </c>
      <c r="I725" s="89">
        <v>46082</v>
      </c>
      <c r="J725" s="91" t="s">
        <v>2052</v>
      </c>
      <c r="K725" s="91"/>
      <c r="M725" s="91"/>
      <c r="N725" s="91" t="s">
        <v>2030</v>
      </c>
    </row>
    <row r="726" spans="1:14" x14ac:dyDescent="0.25">
      <c r="A726" s="91" t="s">
        <v>1566</v>
      </c>
      <c r="B726" s="91" t="s">
        <v>1567</v>
      </c>
      <c r="C726" s="91" t="s">
        <v>2070</v>
      </c>
      <c r="D726" s="91" t="s">
        <v>21</v>
      </c>
      <c r="E726" s="91"/>
      <c r="F726">
        <v>5</v>
      </c>
      <c r="G726">
        <v>0.10416666666666669</v>
      </c>
      <c r="H726" s="89">
        <v>46078</v>
      </c>
      <c r="I726" s="89">
        <v>46082</v>
      </c>
      <c r="J726" s="91" t="s">
        <v>2071</v>
      </c>
      <c r="K726" s="91"/>
      <c r="M726" s="91"/>
      <c r="N726" s="91" t="s">
        <v>2030</v>
      </c>
    </row>
    <row r="727" spans="1:14" x14ac:dyDescent="0.25">
      <c r="A727" s="91" t="s">
        <v>1314</v>
      </c>
      <c r="B727" s="91" t="s">
        <v>1328</v>
      </c>
      <c r="C727" s="91" t="s">
        <v>2070</v>
      </c>
      <c r="D727" s="91" t="s">
        <v>21</v>
      </c>
      <c r="E727" s="91"/>
      <c r="F727">
        <v>336</v>
      </c>
      <c r="G727">
        <v>7</v>
      </c>
      <c r="H727" s="89">
        <v>46078</v>
      </c>
      <c r="I727" s="89">
        <v>46082</v>
      </c>
      <c r="J727" s="91" t="s">
        <v>2072</v>
      </c>
      <c r="K727" s="91"/>
      <c r="M727" s="91"/>
      <c r="N727" s="91" t="s">
        <v>2030</v>
      </c>
    </row>
    <row r="728" spans="1:14" x14ac:dyDescent="0.25">
      <c r="A728" s="91" t="s">
        <v>1313</v>
      </c>
      <c r="B728" s="91" t="s">
        <v>1327</v>
      </c>
      <c r="C728" s="91" t="s">
        <v>2070</v>
      </c>
      <c r="D728" s="91" t="s">
        <v>21</v>
      </c>
      <c r="E728" s="91"/>
      <c r="F728">
        <v>240</v>
      </c>
      <c r="G728">
        <v>5</v>
      </c>
      <c r="H728" s="89">
        <v>46078</v>
      </c>
      <c r="I728" s="89">
        <v>46083</v>
      </c>
      <c r="J728" s="91" t="s">
        <v>2073</v>
      </c>
      <c r="K728" s="91"/>
      <c r="M728" s="91"/>
      <c r="N728" s="91" t="s">
        <v>2030</v>
      </c>
    </row>
    <row r="729" spans="1:14" x14ac:dyDescent="0.25">
      <c r="A729" s="91" t="s">
        <v>1316</v>
      </c>
      <c r="B729" s="91" t="s">
        <v>1330</v>
      </c>
      <c r="C729" s="91" t="s">
        <v>2074</v>
      </c>
      <c r="D729" s="91" t="s">
        <v>21</v>
      </c>
      <c r="E729" s="91"/>
      <c r="F729">
        <v>52</v>
      </c>
      <c r="G729" t="s">
        <v>1419</v>
      </c>
      <c r="H729" s="89">
        <v>46078</v>
      </c>
      <c r="I729" s="89">
        <v>46080</v>
      </c>
      <c r="J729" s="91"/>
      <c r="K729" s="91"/>
      <c r="M729" s="91"/>
      <c r="N729" s="91" t="s">
        <v>2030</v>
      </c>
    </row>
    <row r="730" spans="1:14" x14ac:dyDescent="0.25">
      <c r="A730" s="91" t="s">
        <v>1317</v>
      </c>
      <c r="B730" s="91" t="s">
        <v>1331</v>
      </c>
      <c r="C730" s="91" t="s">
        <v>2075</v>
      </c>
      <c r="D730" s="91" t="s">
        <v>21</v>
      </c>
      <c r="E730" s="91"/>
      <c r="F730">
        <v>27</v>
      </c>
      <c r="G730" t="s">
        <v>1419</v>
      </c>
      <c r="H730" s="89">
        <v>46078</v>
      </c>
      <c r="I730" s="89">
        <v>46080</v>
      </c>
      <c r="J730" s="91"/>
      <c r="K730" s="91"/>
      <c r="M730" s="91"/>
      <c r="N730" s="91" t="s">
        <v>2030</v>
      </c>
    </row>
    <row r="731" spans="1:14" x14ac:dyDescent="0.25">
      <c r="A731" s="91" t="s">
        <v>1318</v>
      </c>
      <c r="B731" s="91" t="s">
        <v>1332</v>
      </c>
      <c r="C731" s="91" t="s">
        <v>2076</v>
      </c>
      <c r="D731" s="91" t="s">
        <v>21</v>
      </c>
      <c r="E731" s="91"/>
      <c r="F731">
        <v>53</v>
      </c>
      <c r="G731" t="s">
        <v>1419</v>
      </c>
      <c r="H731" s="89">
        <v>46078</v>
      </c>
      <c r="I731" s="89">
        <v>46080</v>
      </c>
      <c r="J731" s="91"/>
      <c r="K731" s="91"/>
      <c r="M731" s="91"/>
      <c r="N731" s="91" t="s">
        <v>2030</v>
      </c>
    </row>
    <row r="732" spans="1:14" x14ac:dyDescent="0.25">
      <c r="A732" s="91" t="s">
        <v>1313</v>
      </c>
      <c r="B732" s="91" t="s">
        <v>1327</v>
      </c>
      <c r="C732" s="91" t="s">
        <v>2077</v>
      </c>
      <c r="D732" s="91" t="s">
        <v>129</v>
      </c>
      <c r="E732" s="91"/>
      <c r="F732">
        <v>720</v>
      </c>
      <c r="G732">
        <v>15</v>
      </c>
      <c r="H732" s="89">
        <v>46078</v>
      </c>
      <c r="I732" s="89">
        <v>46081</v>
      </c>
      <c r="J732" s="91"/>
      <c r="K732" s="91"/>
      <c r="M732" s="91"/>
      <c r="N732" s="91" t="s">
        <v>2030</v>
      </c>
    </row>
    <row r="733" spans="1:14" x14ac:dyDescent="0.25">
      <c r="A733" s="91" t="s">
        <v>1313</v>
      </c>
      <c r="B733" s="91" t="s">
        <v>1327</v>
      </c>
      <c r="C733" s="91" t="s">
        <v>2078</v>
      </c>
      <c r="D733" s="91" t="s">
        <v>20</v>
      </c>
      <c r="E733" s="91"/>
      <c r="F733">
        <v>1152</v>
      </c>
      <c r="G733">
        <v>24</v>
      </c>
      <c r="H733" s="89">
        <v>46078</v>
      </c>
      <c r="I733" s="89">
        <v>46082</v>
      </c>
      <c r="J733" s="91" t="s">
        <v>2079</v>
      </c>
      <c r="K733" s="91"/>
      <c r="M733" s="91"/>
      <c r="N733" s="91" t="s">
        <v>2030</v>
      </c>
    </row>
    <row r="734" spans="1:14" x14ac:dyDescent="0.25">
      <c r="A734" s="91" t="s">
        <v>1313</v>
      </c>
      <c r="B734" s="91" t="s">
        <v>1327</v>
      </c>
      <c r="C734" s="91" t="s">
        <v>2078</v>
      </c>
      <c r="D734" s="91" t="s">
        <v>20</v>
      </c>
      <c r="E734" s="91"/>
      <c r="F734">
        <v>144</v>
      </c>
      <c r="G734">
        <v>3</v>
      </c>
      <c r="H734" s="89">
        <v>46078</v>
      </c>
      <c r="I734" s="89">
        <v>46080</v>
      </c>
      <c r="J734" s="91"/>
      <c r="K734" s="91"/>
      <c r="M734" s="91"/>
      <c r="N734" s="91" t="s">
        <v>2030</v>
      </c>
    </row>
    <row r="735" spans="1:14" x14ac:dyDescent="0.25">
      <c r="A735" s="91" t="s">
        <v>1315</v>
      </c>
      <c r="B735" s="91" t="s">
        <v>1329</v>
      </c>
      <c r="C735" s="91" t="s">
        <v>2078</v>
      </c>
      <c r="D735" s="91" t="s">
        <v>20</v>
      </c>
      <c r="E735" s="91"/>
      <c r="F735">
        <v>6</v>
      </c>
      <c r="G735" t="s">
        <v>1419</v>
      </c>
      <c r="H735" s="89">
        <v>46078</v>
      </c>
      <c r="I735" s="89">
        <v>46080</v>
      </c>
      <c r="J735" s="91"/>
      <c r="K735" s="91"/>
      <c r="M735" s="91"/>
      <c r="N735" s="91" t="s">
        <v>2030</v>
      </c>
    </row>
    <row r="736" spans="1:14" x14ac:dyDescent="0.25">
      <c r="A736" s="91" t="s">
        <v>1316</v>
      </c>
      <c r="B736" s="91" t="s">
        <v>1330</v>
      </c>
      <c r="C736" s="91" t="s">
        <v>2080</v>
      </c>
      <c r="D736" s="91" t="s">
        <v>20</v>
      </c>
      <c r="E736" s="91"/>
      <c r="F736">
        <v>159</v>
      </c>
      <c r="G736" t="s">
        <v>1419</v>
      </c>
      <c r="H736" s="89">
        <v>46078</v>
      </c>
      <c r="I736" s="89">
        <v>46080</v>
      </c>
      <c r="J736" s="91"/>
      <c r="K736" s="91"/>
      <c r="M736" s="91"/>
      <c r="N736" s="91" t="s">
        <v>2030</v>
      </c>
    </row>
    <row r="737" spans="1:14" x14ac:dyDescent="0.25">
      <c r="A737" s="91" t="s">
        <v>1317</v>
      </c>
      <c r="B737" s="91" t="s">
        <v>1331</v>
      </c>
      <c r="C737" s="91" t="s">
        <v>2081</v>
      </c>
      <c r="D737" s="91" t="s">
        <v>20</v>
      </c>
      <c r="E737" s="91"/>
      <c r="F737">
        <v>9</v>
      </c>
      <c r="G737" t="s">
        <v>1419</v>
      </c>
      <c r="H737" s="89">
        <v>46078</v>
      </c>
      <c r="I737" s="89">
        <v>46080</v>
      </c>
      <c r="J737" s="91"/>
      <c r="K737" s="91"/>
      <c r="M737" s="91"/>
      <c r="N737" s="91" t="s">
        <v>2030</v>
      </c>
    </row>
    <row r="738" spans="1:14" x14ac:dyDescent="0.25">
      <c r="A738" s="91" t="s">
        <v>1318</v>
      </c>
      <c r="B738" s="91" t="s">
        <v>1332</v>
      </c>
      <c r="C738" s="91" t="s">
        <v>2082</v>
      </c>
      <c r="D738" s="91" t="s">
        <v>20</v>
      </c>
      <c r="E738" s="91"/>
      <c r="F738">
        <v>51</v>
      </c>
      <c r="G738" t="s">
        <v>1419</v>
      </c>
      <c r="H738" s="89">
        <v>46078</v>
      </c>
      <c r="I738" s="89">
        <v>46080</v>
      </c>
      <c r="J738" s="91"/>
      <c r="K738" s="91"/>
      <c r="M738" s="91"/>
      <c r="N738" s="91" t="s">
        <v>2030</v>
      </c>
    </row>
    <row r="739" spans="1:14" x14ac:dyDescent="0.25">
      <c r="A739" s="91" t="s">
        <v>1313</v>
      </c>
      <c r="B739" s="91" t="s">
        <v>1327</v>
      </c>
      <c r="C739" s="91" t="s">
        <v>2083</v>
      </c>
      <c r="D739" s="91" t="s">
        <v>23</v>
      </c>
      <c r="E739" s="91"/>
      <c r="F739">
        <v>816</v>
      </c>
      <c r="G739">
        <v>17</v>
      </c>
      <c r="H739" s="89">
        <v>46078</v>
      </c>
      <c r="I739" s="89">
        <v>46082</v>
      </c>
      <c r="J739" s="91" t="s">
        <v>2084</v>
      </c>
      <c r="K739" s="91"/>
      <c r="M739" s="91"/>
      <c r="N739" s="91" t="s">
        <v>2030</v>
      </c>
    </row>
    <row r="740" spans="1:14" x14ac:dyDescent="0.25">
      <c r="A740" s="91" t="s">
        <v>1313</v>
      </c>
      <c r="B740" s="91" t="s">
        <v>1327</v>
      </c>
      <c r="C740" s="91" t="s">
        <v>2083</v>
      </c>
      <c r="D740" s="91" t="s">
        <v>23</v>
      </c>
      <c r="E740" s="91"/>
      <c r="F740">
        <v>144</v>
      </c>
      <c r="G740">
        <v>3</v>
      </c>
      <c r="H740" s="89">
        <v>46078</v>
      </c>
      <c r="I740" s="89">
        <v>46083</v>
      </c>
      <c r="J740" s="91" t="s">
        <v>2073</v>
      </c>
      <c r="K740" s="91"/>
      <c r="M740" s="91"/>
      <c r="N740" s="91" t="s">
        <v>2030</v>
      </c>
    </row>
    <row r="741" spans="1:14" x14ac:dyDescent="0.25">
      <c r="A741" s="91" t="s">
        <v>1320</v>
      </c>
      <c r="B741" s="91" t="s">
        <v>1334</v>
      </c>
      <c r="C741" s="91" t="s">
        <v>2085</v>
      </c>
      <c r="D741" s="91" t="s">
        <v>15</v>
      </c>
      <c r="E741" s="91"/>
      <c r="F741">
        <v>960</v>
      </c>
      <c r="G741">
        <v>20</v>
      </c>
      <c r="H741" s="89">
        <v>46078</v>
      </c>
      <c r="I741" s="89">
        <v>46081</v>
      </c>
      <c r="J741" s="91" t="s">
        <v>2086</v>
      </c>
      <c r="K741" s="91"/>
      <c r="M741" s="91"/>
      <c r="N741" s="91" t="s">
        <v>2030</v>
      </c>
    </row>
    <row r="742" spans="1:14" x14ac:dyDescent="0.25">
      <c r="A742" s="91" t="s">
        <v>1313</v>
      </c>
      <c r="B742" s="91" t="s">
        <v>1327</v>
      </c>
      <c r="C742" s="91" t="s">
        <v>2085</v>
      </c>
      <c r="D742" s="91" t="s">
        <v>15</v>
      </c>
      <c r="E742" s="91"/>
      <c r="F742">
        <v>109</v>
      </c>
      <c r="G742">
        <v>2.2708333333333335</v>
      </c>
      <c r="H742" s="89">
        <v>46078</v>
      </c>
      <c r="I742" s="89">
        <v>46082</v>
      </c>
      <c r="J742" s="91" t="s">
        <v>2052</v>
      </c>
      <c r="K742" s="91"/>
      <c r="M742" s="91"/>
      <c r="N742" s="91" t="s">
        <v>2030</v>
      </c>
    </row>
    <row r="743" spans="1:14" x14ac:dyDescent="0.25">
      <c r="A743" s="91" t="s">
        <v>1315</v>
      </c>
      <c r="B743" s="91" t="s">
        <v>1329</v>
      </c>
      <c r="C743" s="91" t="s">
        <v>2085</v>
      </c>
      <c r="D743" s="91" t="s">
        <v>15</v>
      </c>
      <c r="E743" s="91"/>
      <c r="F743">
        <v>27</v>
      </c>
      <c r="G743" t="s">
        <v>1419</v>
      </c>
      <c r="H743" s="89">
        <v>46078</v>
      </c>
      <c r="I743" s="89">
        <v>46080</v>
      </c>
      <c r="J743" s="91"/>
      <c r="K743" s="91"/>
      <c r="M743" s="91"/>
      <c r="N743" s="91" t="s">
        <v>2030</v>
      </c>
    </row>
    <row r="744" spans="1:14" x14ac:dyDescent="0.25">
      <c r="A744" s="91" t="s">
        <v>1316</v>
      </c>
      <c r="B744" s="91" t="s">
        <v>1330</v>
      </c>
      <c r="C744" s="91" t="s">
        <v>2087</v>
      </c>
      <c r="D744" s="91" t="s">
        <v>15</v>
      </c>
      <c r="E744" s="91"/>
      <c r="F744">
        <v>46</v>
      </c>
      <c r="G744" t="s">
        <v>1419</v>
      </c>
      <c r="H744" s="89">
        <v>46078</v>
      </c>
      <c r="I744" s="89">
        <v>46080</v>
      </c>
      <c r="J744" s="91"/>
      <c r="K744" s="91"/>
      <c r="M744" s="91"/>
      <c r="N744" s="91" t="s">
        <v>2030</v>
      </c>
    </row>
    <row r="745" spans="1:14" x14ac:dyDescent="0.25">
      <c r="A745" s="91" t="s">
        <v>1317</v>
      </c>
      <c r="B745" s="91" t="s">
        <v>1331</v>
      </c>
      <c r="C745" s="91" t="s">
        <v>2088</v>
      </c>
      <c r="D745" s="91" t="s">
        <v>15</v>
      </c>
      <c r="E745" s="91"/>
      <c r="F745">
        <v>10</v>
      </c>
      <c r="G745" t="s">
        <v>1419</v>
      </c>
      <c r="H745" s="89">
        <v>46078</v>
      </c>
      <c r="I745" s="89">
        <v>46080</v>
      </c>
      <c r="J745" s="91"/>
      <c r="K745" s="91"/>
      <c r="M745" s="91"/>
      <c r="N745" s="91" t="s">
        <v>2030</v>
      </c>
    </row>
    <row r="746" spans="1:14" x14ac:dyDescent="0.25">
      <c r="A746" s="91" t="s">
        <v>1318</v>
      </c>
      <c r="B746" s="91" t="s">
        <v>1332</v>
      </c>
      <c r="C746" s="91" t="s">
        <v>2089</v>
      </c>
      <c r="D746" s="91" t="s">
        <v>15</v>
      </c>
      <c r="E746" s="91"/>
      <c r="F746">
        <v>28</v>
      </c>
      <c r="G746" t="s">
        <v>1419</v>
      </c>
      <c r="H746" s="89">
        <v>46078</v>
      </c>
      <c r="I746" s="89">
        <v>46080</v>
      </c>
      <c r="J746" s="91"/>
      <c r="K746" s="91"/>
      <c r="M746" s="91"/>
      <c r="N746" s="91" t="s">
        <v>2030</v>
      </c>
    </row>
    <row r="747" spans="1:14" x14ac:dyDescent="0.25">
      <c r="A747" s="91" t="s">
        <v>1324</v>
      </c>
      <c r="B747" s="91" t="s">
        <v>1338</v>
      </c>
      <c r="C747" s="91" t="s">
        <v>2090</v>
      </c>
      <c r="D747" s="91" t="s">
        <v>23</v>
      </c>
      <c r="E747" s="91"/>
      <c r="F747">
        <v>960</v>
      </c>
      <c r="G747">
        <v>20</v>
      </c>
      <c r="H747" s="89">
        <v>46079</v>
      </c>
      <c r="I747" s="89">
        <v>46086</v>
      </c>
      <c r="J747" s="91" t="s">
        <v>2091</v>
      </c>
      <c r="K747" s="91"/>
      <c r="M747" s="91"/>
      <c r="N747" s="91" t="s">
        <v>2030</v>
      </c>
    </row>
    <row r="748" spans="1:14" x14ac:dyDescent="0.25">
      <c r="A748" s="91" t="s">
        <v>1324</v>
      </c>
      <c r="B748" s="91" t="s">
        <v>1338</v>
      </c>
      <c r="C748" s="91" t="s">
        <v>2092</v>
      </c>
      <c r="D748" s="91" t="s">
        <v>28</v>
      </c>
      <c r="E748" s="91"/>
      <c r="F748">
        <v>960</v>
      </c>
      <c r="G748">
        <v>20</v>
      </c>
      <c r="H748" s="89">
        <v>46079</v>
      </c>
      <c r="I748" s="89">
        <v>46086</v>
      </c>
      <c r="J748" s="91" t="s">
        <v>2091</v>
      </c>
      <c r="K748" s="91"/>
      <c r="M748" s="91"/>
      <c r="N748" s="91" t="s">
        <v>2030</v>
      </c>
    </row>
    <row r="749" spans="1:14" x14ac:dyDescent="0.25">
      <c r="A749" s="91" t="s">
        <v>1313</v>
      </c>
      <c r="B749" s="91" t="s">
        <v>1327</v>
      </c>
      <c r="C749" s="91" t="s">
        <v>2092</v>
      </c>
      <c r="D749" s="91" t="s">
        <v>28</v>
      </c>
      <c r="E749" s="91"/>
      <c r="F749">
        <v>576</v>
      </c>
      <c r="G749">
        <v>12</v>
      </c>
      <c r="H749" s="89">
        <v>46079</v>
      </c>
      <c r="I749" s="89">
        <v>46083</v>
      </c>
      <c r="J749" s="91" t="s">
        <v>2073</v>
      </c>
      <c r="K749" s="91"/>
      <c r="M749" s="91"/>
      <c r="N749" s="91" t="s">
        <v>2030</v>
      </c>
    </row>
    <row r="750" spans="1:14" x14ac:dyDescent="0.25">
      <c r="A750" s="91" t="s">
        <v>1315</v>
      </c>
      <c r="B750" s="91" t="s">
        <v>1329</v>
      </c>
      <c r="C750" s="91" t="s">
        <v>2092</v>
      </c>
      <c r="D750" s="91" t="s">
        <v>28</v>
      </c>
      <c r="E750" s="91"/>
      <c r="F750">
        <v>21</v>
      </c>
      <c r="G750" t="s">
        <v>1419</v>
      </c>
      <c r="H750" s="89">
        <v>46079</v>
      </c>
      <c r="I750" s="89">
        <v>46080</v>
      </c>
      <c r="J750" s="91"/>
      <c r="K750" s="91"/>
      <c r="M750" s="91"/>
      <c r="N750" s="91" t="s">
        <v>2030</v>
      </c>
    </row>
    <row r="751" spans="1:14" x14ac:dyDescent="0.25">
      <c r="A751" s="91" t="s">
        <v>1316</v>
      </c>
      <c r="B751" s="91" t="s">
        <v>1330</v>
      </c>
      <c r="C751" s="91" t="s">
        <v>2093</v>
      </c>
      <c r="D751" s="91" t="s">
        <v>28</v>
      </c>
      <c r="E751" s="91"/>
      <c r="F751">
        <v>45</v>
      </c>
      <c r="G751" t="s">
        <v>1419</v>
      </c>
      <c r="H751" s="89">
        <v>46079</v>
      </c>
      <c r="I751" s="89">
        <v>46081</v>
      </c>
      <c r="J751" s="91"/>
      <c r="K751" s="91"/>
      <c r="M751" s="91"/>
      <c r="N751" s="91" t="s">
        <v>2030</v>
      </c>
    </row>
    <row r="752" spans="1:14" x14ac:dyDescent="0.25">
      <c r="A752" s="91" t="s">
        <v>1317</v>
      </c>
      <c r="B752" s="91" t="s">
        <v>1331</v>
      </c>
      <c r="C752" s="91" t="s">
        <v>2094</v>
      </c>
      <c r="D752" s="91" t="s">
        <v>28</v>
      </c>
      <c r="E752" s="91"/>
      <c r="F752">
        <v>4</v>
      </c>
      <c r="G752" t="s">
        <v>1419</v>
      </c>
      <c r="H752" s="89">
        <v>46079</v>
      </c>
      <c r="I752" s="89">
        <v>46081</v>
      </c>
      <c r="J752" s="91"/>
      <c r="K752" s="91"/>
      <c r="M752" s="91"/>
      <c r="N752" s="91" t="s">
        <v>2030</v>
      </c>
    </row>
    <row r="753" spans="1:14" x14ac:dyDescent="0.25">
      <c r="A753" s="91" t="s">
        <v>1318</v>
      </c>
      <c r="B753" s="91" t="s">
        <v>1332</v>
      </c>
      <c r="C753" s="91" t="s">
        <v>2095</v>
      </c>
      <c r="D753" s="91" t="s">
        <v>28</v>
      </c>
      <c r="E753" s="91"/>
      <c r="F753">
        <v>12</v>
      </c>
      <c r="G753" t="s">
        <v>1419</v>
      </c>
      <c r="H753" s="89">
        <v>46079</v>
      </c>
      <c r="I753" s="89">
        <v>46081</v>
      </c>
      <c r="J753" s="91"/>
      <c r="K753" s="91"/>
      <c r="M753" s="91"/>
      <c r="N753" s="91" t="s">
        <v>2030</v>
      </c>
    </row>
    <row r="754" spans="1:14" x14ac:dyDescent="0.25">
      <c r="A754" s="91" t="s">
        <v>1313</v>
      </c>
      <c r="B754" s="91" t="s">
        <v>1327</v>
      </c>
      <c r="C754" s="91" t="s">
        <v>2096</v>
      </c>
      <c r="D754" s="91" t="s">
        <v>129</v>
      </c>
      <c r="E754" s="91"/>
      <c r="F754">
        <v>432</v>
      </c>
      <c r="G754">
        <v>9</v>
      </c>
      <c r="H754" s="89">
        <v>46079</v>
      </c>
      <c r="I754" s="89">
        <v>46081</v>
      </c>
      <c r="J754" s="91"/>
      <c r="K754" s="91"/>
      <c r="M754" s="91"/>
      <c r="N754" s="91" t="s">
        <v>2030</v>
      </c>
    </row>
    <row r="755" spans="1:14" x14ac:dyDescent="0.25">
      <c r="A755" s="91" t="s">
        <v>1324</v>
      </c>
      <c r="B755" s="91" t="s">
        <v>1338</v>
      </c>
      <c r="C755" s="91" t="s">
        <v>2097</v>
      </c>
      <c r="D755" s="91" t="s">
        <v>88</v>
      </c>
      <c r="E755" s="91"/>
      <c r="F755">
        <v>960</v>
      </c>
      <c r="G755">
        <v>20</v>
      </c>
      <c r="H755" s="89">
        <v>46079</v>
      </c>
      <c r="I755" s="89">
        <v>46085</v>
      </c>
      <c r="J755" s="91" t="s">
        <v>2069</v>
      </c>
      <c r="K755" s="91"/>
      <c r="M755" s="91"/>
      <c r="N755" s="91" t="s">
        <v>2030</v>
      </c>
    </row>
    <row r="756" spans="1:14" x14ac:dyDescent="0.25">
      <c r="A756" s="91" t="s">
        <v>1313</v>
      </c>
      <c r="B756" s="91" t="s">
        <v>1327</v>
      </c>
      <c r="C756" s="91" t="s">
        <v>2098</v>
      </c>
      <c r="D756" s="91" t="s">
        <v>20</v>
      </c>
      <c r="E756" s="91"/>
      <c r="F756">
        <v>192</v>
      </c>
      <c r="G756">
        <v>4</v>
      </c>
      <c r="H756" s="89">
        <v>46079</v>
      </c>
      <c r="I756" s="89">
        <v>46083</v>
      </c>
      <c r="J756" s="91" t="s">
        <v>2073</v>
      </c>
      <c r="K756" s="91"/>
      <c r="M756" s="91"/>
      <c r="N756" s="91" t="s">
        <v>2030</v>
      </c>
    </row>
    <row r="757" spans="1:14" x14ac:dyDescent="0.25">
      <c r="A757" s="91" t="s">
        <v>1315</v>
      </c>
      <c r="B757" s="91" t="s">
        <v>1329</v>
      </c>
      <c r="C757" s="91" t="s">
        <v>2098</v>
      </c>
      <c r="D757" s="91" t="s">
        <v>20</v>
      </c>
      <c r="E757" s="91"/>
      <c r="F757">
        <v>1151</v>
      </c>
      <c r="G757" t="s">
        <v>1419</v>
      </c>
      <c r="H757" s="89">
        <v>46079</v>
      </c>
      <c r="I757" s="89">
        <v>46082</v>
      </c>
      <c r="J757" s="91"/>
      <c r="K757" s="91"/>
      <c r="M757" s="91"/>
      <c r="N757" s="91" t="s">
        <v>2030</v>
      </c>
    </row>
    <row r="758" spans="1:14" x14ac:dyDescent="0.25">
      <c r="A758" s="91" t="s">
        <v>1316</v>
      </c>
      <c r="B758" s="91" t="s">
        <v>1330</v>
      </c>
      <c r="C758" s="91" t="s">
        <v>2099</v>
      </c>
      <c r="D758" s="91" t="s">
        <v>20</v>
      </c>
      <c r="E758" s="91"/>
      <c r="F758">
        <v>120</v>
      </c>
      <c r="G758" t="s">
        <v>1419</v>
      </c>
      <c r="H758" s="89">
        <v>46079</v>
      </c>
      <c r="I758" s="89">
        <v>46081</v>
      </c>
      <c r="J758" s="91"/>
      <c r="K758" s="91"/>
      <c r="M758" s="91"/>
      <c r="N758" s="91" t="s">
        <v>2030</v>
      </c>
    </row>
    <row r="759" spans="1:14" x14ac:dyDescent="0.25">
      <c r="A759" s="91" t="s">
        <v>1317</v>
      </c>
      <c r="B759" s="91" t="s">
        <v>1331</v>
      </c>
      <c r="C759" s="91" t="s">
        <v>2100</v>
      </c>
      <c r="D759" s="91" t="s">
        <v>20</v>
      </c>
      <c r="E759" s="91"/>
      <c r="F759">
        <v>6</v>
      </c>
      <c r="G759" t="s">
        <v>1419</v>
      </c>
      <c r="H759" s="89">
        <v>46079</v>
      </c>
      <c r="I759" s="89">
        <v>46081</v>
      </c>
      <c r="J759" s="91"/>
      <c r="K759" s="91"/>
      <c r="M759" s="91"/>
      <c r="N759" s="91" t="s">
        <v>2030</v>
      </c>
    </row>
    <row r="760" spans="1:14" x14ac:dyDescent="0.25">
      <c r="A760" s="91" t="s">
        <v>1318</v>
      </c>
      <c r="B760" s="91" t="s">
        <v>1332</v>
      </c>
      <c r="C760" s="91" t="s">
        <v>2101</v>
      </c>
      <c r="D760" s="91" t="s">
        <v>20</v>
      </c>
      <c r="E760" s="91"/>
      <c r="F760">
        <v>29</v>
      </c>
      <c r="G760" t="s">
        <v>1419</v>
      </c>
      <c r="H760" s="89">
        <v>46079</v>
      </c>
      <c r="I760" s="89">
        <v>46081</v>
      </c>
      <c r="J760" s="91"/>
      <c r="K760" s="91"/>
      <c r="M760" s="91"/>
      <c r="N760" s="91" t="s">
        <v>2030</v>
      </c>
    </row>
    <row r="761" spans="1:14" x14ac:dyDescent="0.25">
      <c r="A761" s="91" t="s">
        <v>1320</v>
      </c>
      <c r="B761" s="91" t="s">
        <v>1334</v>
      </c>
      <c r="C761" s="91" t="s">
        <v>2102</v>
      </c>
      <c r="D761" s="91" t="s">
        <v>15</v>
      </c>
      <c r="E761" s="91"/>
      <c r="F761">
        <v>960</v>
      </c>
      <c r="G761">
        <v>20</v>
      </c>
      <c r="H761" s="89">
        <v>46079</v>
      </c>
      <c r="I761" s="89">
        <v>46084</v>
      </c>
      <c r="J761" s="91" t="s">
        <v>2103</v>
      </c>
      <c r="K761" s="91"/>
      <c r="M761" s="91"/>
      <c r="N761" s="91" t="s">
        <v>2030</v>
      </c>
    </row>
    <row r="762" spans="1:14" x14ac:dyDescent="0.25">
      <c r="A762" s="91" t="s">
        <v>1313</v>
      </c>
      <c r="B762" s="91" t="s">
        <v>1327</v>
      </c>
      <c r="C762" s="91" t="s">
        <v>2102</v>
      </c>
      <c r="D762" s="91" t="s">
        <v>15</v>
      </c>
      <c r="E762" s="91"/>
      <c r="F762">
        <v>192</v>
      </c>
      <c r="G762">
        <v>4</v>
      </c>
      <c r="H762" s="89">
        <v>46079</v>
      </c>
      <c r="I762" s="89">
        <v>46082</v>
      </c>
      <c r="J762" s="91"/>
      <c r="K762" s="91"/>
      <c r="M762" s="91"/>
      <c r="N762" s="91" t="s">
        <v>2030</v>
      </c>
    </row>
    <row r="763" spans="1:14" x14ac:dyDescent="0.25">
      <c r="A763" s="91" t="s">
        <v>1315</v>
      </c>
      <c r="B763" s="91" t="s">
        <v>1329</v>
      </c>
      <c r="C763" s="91" t="s">
        <v>2102</v>
      </c>
      <c r="D763" s="91" t="s">
        <v>15</v>
      </c>
      <c r="E763" s="91"/>
      <c r="F763">
        <v>23</v>
      </c>
      <c r="G763" t="s">
        <v>1419</v>
      </c>
      <c r="H763" s="89">
        <v>46079</v>
      </c>
      <c r="I763" s="89">
        <v>46080</v>
      </c>
      <c r="J763" s="91"/>
      <c r="K763" s="91"/>
      <c r="M763" s="91"/>
      <c r="N763" s="91" t="s">
        <v>2030</v>
      </c>
    </row>
    <row r="764" spans="1:14" x14ac:dyDescent="0.25">
      <c r="A764" s="91" t="s">
        <v>1444</v>
      </c>
      <c r="B764" s="91" t="s">
        <v>1445</v>
      </c>
      <c r="C764" s="91" t="s">
        <v>2102</v>
      </c>
      <c r="D764" s="91" t="s">
        <v>15</v>
      </c>
      <c r="E764" s="91"/>
      <c r="F764">
        <v>126</v>
      </c>
      <c r="G764">
        <v>1</v>
      </c>
      <c r="H764" s="89">
        <v>46079</v>
      </c>
      <c r="I764" s="89">
        <v>46081</v>
      </c>
      <c r="J764" s="91"/>
      <c r="K764" s="91"/>
      <c r="M764" s="91"/>
      <c r="N764" s="91" t="s">
        <v>2030</v>
      </c>
    </row>
    <row r="765" spans="1:14" x14ac:dyDescent="0.25">
      <c r="A765" s="91" t="s">
        <v>1316</v>
      </c>
      <c r="B765" s="91" t="s">
        <v>1330</v>
      </c>
      <c r="C765" s="91" t="s">
        <v>2104</v>
      </c>
      <c r="D765" s="91" t="s">
        <v>15</v>
      </c>
      <c r="E765" s="91"/>
      <c r="F765">
        <v>44</v>
      </c>
      <c r="G765" t="s">
        <v>1419</v>
      </c>
      <c r="H765" s="89">
        <v>46079</v>
      </c>
      <c r="I765" s="89">
        <v>46081</v>
      </c>
      <c r="J765" s="91"/>
      <c r="K765" s="91"/>
      <c r="M765" s="91"/>
      <c r="N765" s="91" t="s">
        <v>2030</v>
      </c>
    </row>
    <row r="766" spans="1:14" x14ac:dyDescent="0.25">
      <c r="A766" s="91" t="s">
        <v>1317</v>
      </c>
      <c r="B766" s="91" t="s">
        <v>1331</v>
      </c>
      <c r="C766" s="91" t="s">
        <v>2105</v>
      </c>
      <c r="D766" s="91" t="s">
        <v>15</v>
      </c>
      <c r="E766" s="91"/>
      <c r="F766">
        <v>16</v>
      </c>
      <c r="G766" t="s">
        <v>1419</v>
      </c>
      <c r="H766" s="89">
        <v>46079</v>
      </c>
      <c r="I766" s="89">
        <v>46081</v>
      </c>
      <c r="J766" s="91"/>
      <c r="K766" s="91"/>
      <c r="M766" s="91"/>
      <c r="N766" s="91" t="s">
        <v>2030</v>
      </c>
    </row>
    <row r="767" spans="1:14" x14ac:dyDescent="0.25">
      <c r="A767" s="91" t="s">
        <v>1318</v>
      </c>
      <c r="B767" s="91" t="s">
        <v>1332</v>
      </c>
      <c r="C767" s="91" t="s">
        <v>2106</v>
      </c>
      <c r="D767" s="91" t="s">
        <v>15</v>
      </c>
      <c r="E767" s="91"/>
      <c r="F767">
        <v>25</v>
      </c>
      <c r="G767" t="s">
        <v>1419</v>
      </c>
      <c r="H767" s="89">
        <v>46079</v>
      </c>
      <c r="I767" s="89">
        <v>46081</v>
      </c>
      <c r="J767" s="91"/>
      <c r="K767" s="91"/>
      <c r="M767" s="91"/>
      <c r="N767" s="91" t="s">
        <v>2030</v>
      </c>
    </row>
    <row r="768" spans="1:14" x14ac:dyDescent="0.25">
      <c r="A768" s="91" t="s">
        <v>1326</v>
      </c>
      <c r="B768" s="91" t="s">
        <v>1340</v>
      </c>
      <c r="C768" s="91" t="s">
        <v>2107</v>
      </c>
      <c r="D768" s="91" t="s">
        <v>2108</v>
      </c>
      <c r="E768" s="91"/>
      <c r="F768">
        <v>546</v>
      </c>
      <c r="G768">
        <v>13</v>
      </c>
      <c r="H768" s="89">
        <v>46079</v>
      </c>
      <c r="I768" s="89">
        <v>46087</v>
      </c>
      <c r="J768" s="91" t="s">
        <v>2109</v>
      </c>
      <c r="K768" s="91"/>
      <c r="M768" s="91"/>
      <c r="N768" s="91" t="s">
        <v>2030</v>
      </c>
    </row>
    <row r="769" spans="1:14" x14ac:dyDescent="0.25">
      <c r="A769" s="91" t="s">
        <v>1325</v>
      </c>
      <c r="B769" s="91" t="s">
        <v>1339</v>
      </c>
      <c r="C769" s="91" t="s">
        <v>2107</v>
      </c>
      <c r="D769" s="91" t="s">
        <v>2108</v>
      </c>
      <c r="E769" s="91"/>
      <c r="F769">
        <v>21</v>
      </c>
      <c r="G769">
        <v>0.4375</v>
      </c>
      <c r="H769" s="89">
        <v>46079</v>
      </c>
      <c r="I769" s="89">
        <v>46082</v>
      </c>
      <c r="J769" s="91"/>
      <c r="K769" s="91"/>
      <c r="M769" s="91"/>
      <c r="N769" s="91" t="s">
        <v>2030</v>
      </c>
    </row>
    <row r="770" spans="1:14" x14ac:dyDescent="0.25">
      <c r="A770" s="91" t="s">
        <v>1320</v>
      </c>
      <c r="B770" s="91" t="s">
        <v>1334</v>
      </c>
      <c r="C770" s="91" t="s">
        <v>2110</v>
      </c>
      <c r="D770" s="91" t="s">
        <v>15</v>
      </c>
      <c r="E770" s="91"/>
      <c r="F770">
        <v>960</v>
      </c>
      <c r="G770">
        <v>20</v>
      </c>
      <c r="H770" s="89">
        <v>46080</v>
      </c>
      <c r="I770" s="89">
        <v>46084</v>
      </c>
      <c r="J770" s="91" t="s">
        <v>2111</v>
      </c>
      <c r="K770" s="91"/>
      <c r="M770" s="91"/>
      <c r="N770" s="91" t="s">
        <v>2030</v>
      </c>
    </row>
    <row r="771" spans="1:14" x14ac:dyDescent="0.25">
      <c r="A771" s="91" t="s">
        <v>1313</v>
      </c>
      <c r="B771" s="91" t="s">
        <v>1327</v>
      </c>
      <c r="C771" s="91" t="s">
        <v>2110</v>
      </c>
      <c r="D771" s="91" t="s">
        <v>15</v>
      </c>
      <c r="E771" s="91"/>
      <c r="F771">
        <v>96</v>
      </c>
      <c r="G771">
        <v>2</v>
      </c>
      <c r="H771" s="89">
        <v>46080</v>
      </c>
      <c r="I771" s="89">
        <v>46082</v>
      </c>
      <c r="J771" s="91"/>
      <c r="K771" s="91"/>
      <c r="M771" s="91"/>
      <c r="N771" s="91" t="s">
        <v>2030</v>
      </c>
    </row>
    <row r="772" spans="1:14" x14ac:dyDescent="0.25">
      <c r="A772" s="91" t="s">
        <v>1315</v>
      </c>
      <c r="B772" s="91" t="s">
        <v>1329</v>
      </c>
      <c r="C772" s="91" t="s">
        <v>2110</v>
      </c>
      <c r="D772" s="91" t="s">
        <v>15</v>
      </c>
      <c r="E772" s="91"/>
      <c r="F772">
        <v>45</v>
      </c>
      <c r="G772" t="s">
        <v>1419</v>
      </c>
      <c r="H772" s="89">
        <v>46080</v>
      </c>
      <c r="I772" s="89">
        <v>46080</v>
      </c>
      <c r="J772" s="91"/>
      <c r="K772" s="91"/>
      <c r="M772" s="91"/>
      <c r="N772" s="91" t="s">
        <v>2030</v>
      </c>
    </row>
    <row r="773" spans="1:14" x14ac:dyDescent="0.25">
      <c r="A773" s="91" t="s">
        <v>1444</v>
      </c>
      <c r="B773" s="91" t="s">
        <v>1445</v>
      </c>
      <c r="C773" s="91" t="s">
        <v>2110</v>
      </c>
      <c r="D773" s="91" t="s">
        <v>15</v>
      </c>
      <c r="E773" s="91"/>
      <c r="F773">
        <v>112</v>
      </c>
      <c r="G773">
        <v>1</v>
      </c>
      <c r="H773" s="89">
        <v>46080</v>
      </c>
      <c r="I773" s="89">
        <v>46083</v>
      </c>
      <c r="J773" s="91"/>
      <c r="K773" s="91"/>
      <c r="M773" s="91"/>
      <c r="N773" s="91" t="s">
        <v>2030</v>
      </c>
    </row>
    <row r="774" spans="1:14" x14ac:dyDescent="0.25">
      <c r="A774" s="91" t="s">
        <v>1316</v>
      </c>
      <c r="B774" s="91" t="s">
        <v>1330</v>
      </c>
      <c r="C774" s="91" t="s">
        <v>2112</v>
      </c>
      <c r="D774" s="91" t="s">
        <v>15</v>
      </c>
      <c r="E774" s="91"/>
      <c r="F774">
        <v>46</v>
      </c>
      <c r="G774" t="s">
        <v>1419</v>
      </c>
      <c r="H774" s="89">
        <v>46080</v>
      </c>
      <c r="I774" s="89">
        <v>46082</v>
      </c>
      <c r="J774" s="91"/>
      <c r="K774" s="91"/>
      <c r="M774" s="91"/>
      <c r="N774" s="91" t="s">
        <v>2030</v>
      </c>
    </row>
    <row r="775" spans="1:14" x14ac:dyDescent="0.25">
      <c r="A775" s="91" t="s">
        <v>1317</v>
      </c>
      <c r="B775" s="91" t="s">
        <v>1331</v>
      </c>
      <c r="C775" s="91" t="s">
        <v>2113</v>
      </c>
      <c r="D775" s="91" t="s">
        <v>15</v>
      </c>
      <c r="E775" s="91"/>
      <c r="F775">
        <v>24</v>
      </c>
      <c r="G775" t="s">
        <v>1419</v>
      </c>
      <c r="H775" s="89">
        <v>46080</v>
      </c>
      <c r="I775" s="89">
        <v>46082</v>
      </c>
      <c r="J775" s="91"/>
      <c r="K775" s="91"/>
      <c r="M775" s="91"/>
      <c r="N775" s="91" t="s">
        <v>2030</v>
      </c>
    </row>
    <row r="776" spans="1:14" x14ac:dyDescent="0.25">
      <c r="A776" s="91" t="s">
        <v>1318</v>
      </c>
      <c r="B776" s="91" t="s">
        <v>1332</v>
      </c>
      <c r="C776" s="91" t="s">
        <v>2114</v>
      </c>
      <c r="D776" s="91" t="s">
        <v>15</v>
      </c>
      <c r="E776" s="91"/>
      <c r="F776">
        <v>16</v>
      </c>
      <c r="G776" t="s">
        <v>1419</v>
      </c>
      <c r="H776" s="89">
        <v>46080</v>
      </c>
      <c r="I776" s="89">
        <v>46082</v>
      </c>
      <c r="J776" s="91"/>
      <c r="K776" s="91"/>
      <c r="M776" s="91"/>
      <c r="N776" s="91" t="s">
        <v>2030</v>
      </c>
    </row>
    <row r="777" spans="1:14" x14ac:dyDescent="0.25">
      <c r="A777" s="91" t="s">
        <v>1326</v>
      </c>
      <c r="B777" s="91" t="s">
        <v>1340</v>
      </c>
      <c r="C777" s="91" t="s">
        <v>2115</v>
      </c>
      <c r="D777" s="91" t="s">
        <v>2108</v>
      </c>
      <c r="E777" s="91"/>
      <c r="F777">
        <v>462</v>
      </c>
      <c r="G777">
        <v>11</v>
      </c>
      <c r="H777" s="89">
        <v>46080</v>
      </c>
      <c r="I777" s="89">
        <v>46087</v>
      </c>
      <c r="J777" s="91" t="s">
        <v>2109</v>
      </c>
      <c r="K777" s="91"/>
      <c r="M777" s="91"/>
      <c r="N777" s="91" t="s">
        <v>2030</v>
      </c>
    </row>
    <row r="778" spans="1:14" x14ac:dyDescent="0.25">
      <c r="A778" s="91" t="s">
        <v>1325</v>
      </c>
      <c r="B778" s="91" t="s">
        <v>1339</v>
      </c>
      <c r="C778" s="91" t="s">
        <v>2115</v>
      </c>
      <c r="D778" s="91" t="s">
        <v>2108</v>
      </c>
      <c r="E778" s="91"/>
      <c r="F778">
        <v>3</v>
      </c>
      <c r="G778" t="s">
        <v>1419</v>
      </c>
      <c r="H778" s="89">
        <v>46080</v>
      </c>
      <c r="I778" s="89">
        <v>46082</v>
      </c>
      <c r="J778" s="91"/>
      <c r="K778" s="91"/>
      <c r="M778" s="91"/>
      <c r="N778" s="91" t="s">
        <v>2030</v>
      </c>
    </row>
    <row r="779" spans="1:14" x14ac:dyDescent="0.25">
      <c r="A779" s="91" t="s">
        <v>1313</v>
      </c>
      <c r="B779" s="91" t="s">
        <v>1327</v>
      </c>
      <c r="C779" s="91" t="s">
        <v>2116</v>
      </c>
      <c r="D779" s="91" t="s">
        <v>129</v>
      </c>
      <c r="E779" s="91"/>
      <c r="F779">
        <v>672</v>
      </c>
      <c r="G779">
        <v>14</v>
      </c>
      <c r="H779" s="89">
        <v>46080</v>
      </c>
      <c r="I779" s="89">
        <v>46084</v>
      </c>
      <c r="J779" s="91" t="s">
        <v>2117</v>
      </c>
      <c r="K779" s="91"/>
      <c r="M779" s="91"/>
      <c r="N779" s="91" t="s">
        <v>2030</v>
      </c>
    </row>
    <row r="780" spans="1:14" x14ac:dyDescent="0.25">
      <c r="A780" s="91" t="s">
        <v>1320</v>
      </c>
      <c r="B780" s="91" t="s">
        <v>1334</v>
      </c>
      <c r="C780" s="91" t="s">
        <v>2118</v>
      </c>
      <c r="D780" s="91" t="s">
        <v>20</v>
      </c>
      <c r="E780" s="91"/>
      <c r="F780">
        <v>960</v>
      </c>
      <c r="G780">
        <v>20</v>
      </c>
      <c r="H780" s="89">
        <v>46080</v>
      </c>
      <c r="I780" s="89">
        <v>46085</v>
      </c>
      <c r="J780" s="91" t="s">
        <v>2119</v>
      </c>
      <c r="K780" s="91"/>
      <c r="M780" s="91"/>
      <c r="N780" s="91" t="s">
        <v>2030</v>
      </c>
    </row>
    <row r="781" spans="1:14" x14ac:dyDescent="0.25">
      <c r="A781" s="91" t="s">
        <v>1315</v>
      </c>
      <c r="B781" s="91" t="s">
        <v>1329</v>
      </c>
      <c r="C781" s="91" t="s">
        <v>2118</v>
      </c>
      <c r="D781" s="91" t="s">
        <v>20</v>
      </c>
      <c r="E781" s="91"/>
      <c r="F781">
        <v>46</v>
      </c>
      <c r="G781" t="s">
        <v>1419</v>
      </c>
      <c r="H781" s="89">
        <v>46080</v>
      </c>
      <c r="I781" s="89">
        <v>46080</v>
      </c>
      <c r="J781" s="91"/>
      <c r="K781" s="91"/>
      <c r="M781" s="91"/>
      <c r="N781" s="91" t="s">
        <v>2030</v>
      </c>
    </row>
    <row r="782" spans="1:14" x14ac:dyDescent="0.25">
      <c r="A782" s="91" t="s">
        <v>1316</v>
      </c>
      <c r="B782" s="91" t="s">
        <v>1330</v>
      </c>
      <c r="C782" s="91" t="s">
        <v>2120</v>
      </c>
      <c r="D782" s="91" t="s">
        <v>20</v>
      </c>
      <c r="E782" s="91"/>
      <c r="F782">
        <v>202</v>
      </c>
      <c r="G782" t="s">
        <v>1419</v>
      </c>
      <c r="H782" s="89">
        <v>46080</v>
      </c>
      <c r="I782" s="89">
        <v>46082</v>
      </c>
      <c r="J782" s="91"/>
      <c r="K782" s="91"/>
      <c r="M782" s="91"/>
      <c r="N782" s="91" t="s">
        <v>2030</v>
      </c>
    </row>
    <row r="783" spans="1:14" x14ac:dyDescent="0.25">
      <c r="A783" s="91" t="s">
        <v>1317</v>
      </c>
      <c r="B783" s="91" t="s">
        <v>1331</v>
      </c>
      <c r="C783" s="91" t="s">
        <v>2121</v>
      </c>
      <c r="D783" s="91" t="s">
        <v>20</v>
      </c>
      <c r="E783" s="91"/>
      <c r="F783">
        <v>20</v>
      </c>
      <c r="G783" t="s">
        <v>1419</v>
      </c>
      <c r="H783" s="89">
        <v>46080</v>
      </c>
      <c r="I783" s="89">
        <v>46082</v>
      </c>
      <c r="J783" s="91"/>
      <c r="K783" s="91"/>
      <c r="M783" s="91"/>
      <c r="N783" s="91" t="s">
        <v>2030</v>
      </c>
    </row>
    <row r="784" spans="1:14" x14ac:dyDescent="0.25">
      <c r="A784" s="91" t="s">
        <v>1318</v>
      </c>
      <c r="B784" s="91" t="s">
        <v>1332</v>
      </c>
      <c r="C784" s="91" t="s">
        <v>2122</v>
      </c>
      <c r="D784" s="91" t="s">
        <v>20</v>
      </c>
      <c r="E784" s="91"/>
      <c r="F784">
        <v>57</v>
      </c>
      <c r="G784" t="s">
        <v>1419</v>
      </c>
      <c r="H784" s="89">
        <v>46080</v>
      </c>
      <c r="I784" s="89">
        <v>46082</v>
      </c>
      <c r="J784" s="91"/>
      <c r="K784" s="91"/>
      <c r="M784" s="91"/>
      <c r="N784" s="91" t="s">
        <v>2030</v>
      </c>
    </row>
    <row r="785" spans="1:14" x14ac:dyDescent="0.25">
      <c r="A785" s="91" t="s">
        <v>1313</v>
      </c>
      <c r="B785" s="91" t="s">
        <v>1327</v>
      </c>
      <c r="C785" s="91" t="s">
        <v>2118</v>
      </c>
      <c r="D785" s="91" t="s">
        <v>20</v>
      </c>
      <c r="E785" s="91"/>
      <c r="F785">
        <v>192</v>
      </c>
      <c r="G785">
        <v>4</v>
      </c>
      <c r="H785" s="89">
        <v>46080</v>
      </c>
      <c r="I785" s="89">
        <v>46082</v>
      </c>
      <c r="J785" s="91"/>
      <c r="K785" s="91"/>
      <c r="M785" s="91"/>
      <c r="N785" s="91" t="s">
        <v>2030</v>
      </c>
    </row>
    <row r="786" spans="1:14" x14ac:dyDescent="0.25">
      <c r="A786" s="91" t="s">
        <v>1324</v>
      </c>
      <c r="B786" s="91" t="s">
        <v>1338</v>
      </c>
      <c r="C786" s="91" t="s">
        <v>2123</v>
      </c>
      <c r="D786" s="91" t="s">
        <v>23</v>
      </c>
      <c r="E786" s="91"/>
      <c r="F786">
        <v>960</v>
      </c>
      <c r="G786">
        <v>20</v>
      </c>
      <c r="H786" s="89">
        <v>46080</v>
      </c>
      <c r="I786" s="89">
        <v>46088</v>
      </c>
      <c r="J786" s="91" t="s">
        <v>2124</v>
      </c>
      <c r="K786" s="91"/>
      <c r="M786" s="91"/>
      <c r="N786" s="91" t="s">
        <v>2030</v>
      </c>
    </row>
    <row r="787" spans="1:14" x14ac:dyDescent="0.25">
      <c r="A787" s="91" t="s">
        <v>1314</v>
      </c>
      <c r="B787" s="91" t="s">
        <v>1328</v>
      </c>
      <c r="C787" s="91" t="s">
        <v>2125</v>
      </c>
      <c r="D787" s="91" t="s">
        <v>21</v>
      </c>
      <c r="E787" s="91"/>
      <c r="F787">
        <v>336</v>
      </c>
      <c r="G787">
        <v>7</v>
      </c>
      <c r="H787" s="89">
        <v>46080</v>
      </c>
      <c r="I787" s="89">
        <v>46085</v>
      </c>
      <c r="J787" s="91" t="s">
        <v>2126</v>
      </c>
      <c r="K787" s="91"/>
      <c r="M787" s="91"/>
      <c r="N787" s="91" t="s">
        <v>2030</v>
      </c>
    </row>
    <row r="788" spans="1:14" x14ac:dyDescent="0.25">
      <c r="A788" s="91" t="s">
        <v>1313</v>
      </c>
      <c r="B788" s="91" t="s">
        <v>1327</v>
      </c>
      <c r="C788" s="91" t="s">
        <v>2125</v>
      </c>
      <c r="D788" s="91" t="s">
        <v>21</v>
      </c>
      <c r="E788" s="91"/>
      <c r="F788">
        <v>816</v>
      </c>
      <c r="G788">
        <v>17</v>
      </c>
      <c r="H788" s="89">
        <v>46080</v>
      </c>
      <c r="I788" s="89">
        <v>46085</v>
      </c>
      <c r="J788" s="91" t="s">
        <v>2127</v>
      </c>
      <c r="K788" s="91"/>
      <c r="M788" s="91"/>
      <c r="N788" s="91" t="s">
        <v>2030</v>
      </c>
    </row>
    <row r="789" spans="1:14" x14ac:dyDescent="0.25">
      <c r="A789" s="91" t="s">
        <v>1313</v>
      </c>
      <c r="B789" s="91" t="s">
        <v>1327</v>
      </c>
      <c r="C789" s="91" t="s">
        <v>2125</v>
      </c>
      <c r="D789" s="91" t="s">
        <v>21</v>
      </c>
      <c r="E789" s="91"/>
      <c r="F789">
        <v>144</v>
      </c>
      <c r="G789">
        <v>3</v>
      </c>
      <c r="H789" s="89">
        <v>46080</v>
      </c>
      <c r="I789" s="89">
        <v>46082</v>
      </c>
      <c r="J789" s="91"/>
      <c r="K789" s="91"/>
      <c r="M789" s="91"/>
      <c r="N789" s="91" t="s">
        <v>2030</v>
      </c>
    </row>
    <row r="790" spans="1:14" x14ac:dyDescent="0.25">
      <c r="A790" s="91" t="s">
        <v>1315</v>
      </c>
      <c r="B790" s="91" t="s">
        <v>1329</v>
      </c>
      <c r="C790" s="91" t="s">
        <v>2125</v>
      </c>
      <c r="D790" s="91" t="s">
        <v>21</v>
      </c>
      <c r="E790" s="91"/>
      <c r="F790">
        <v>40</v>
      </c>
      <c r="G790" t="s">
        <v>1419</v>
      </c>
      <c r="H790" s="89">
        <v>46080</v>
      </c>
      <c r="I790" s="89">
        <v>46080</v>
      </c>
      <c r="J790" s="91"/>
      <c r="K790" s="91"/>
      <c r="M790" s="91"/>
      <c r="N790" s="91" t="s">
        <v>2030</v>
      </c>
    </row>
    <row r="791" spans="1:14" x14ac:dyDescent="0.25">
      <c r="A791" s="91" t="s">
        <v>1316</v>
      </c>
      <c r="B791" s="91" t="s">
        <v>1330</v>
      </c>
      <c r="C791" s="91" t="s">
        <v>2128</v>
      </c>
      <c r="D791" s="91" t="s">
        <v>21</v>
      </c>
      <c r="E791" s="91"/>
      <c r="F791">
        <v>101</v>
      </c>
      <c r="G791" t="s">
        <v>1419</v>
      </c>
      <c r="H791" s="89">
        <v>46080</v>
      </c>
      <c r="I791" s="89">
        <v>46082</v>
      </c>
      <c r="J791" s="91"/>
      <c r="K791" s="91"/>
      <c r="M791" s="91"/>
      <c r="N791" s="91" t="s">
        <v>2030</v>
      </c>
    </row>
    <row r="792" spans="1:14" x14ac:dyDescent="0.25">
      <c r="A792" s="91" t="s">
        <v>1317</v>
      </c>
      <c r="B792" s="91" t="s">
        <v>1331</v>
      </c>
      <c r="C792" s="91" t="s">
        <v>2129</v>
      </c>
      <c r="D792" s="91" t="s">
        <v>21</v>
      </c>
      <c r="E792" s="91"/>
      <c r="F792">
        <v>31</v>
      </c>
      <c r="G792" t="s">
        <v>1419</v>
      </c>
      <c r="H792" s="89">
        <v>46080</v>
      </c>
      <c r="I792" s="89">
        <v>46082</v>
      </c>
      <c r="J792" s="91"/>
      <c r="K792" s="91"/>
      <c r="M792" s="91"/>
      <c r="N792" s="91" t="s">
        <v>2030</v>
      </c>
    </row>
    <row r="793" spans="1:14" x14ac:dyDescent="0.25">
      <c r="A793" s="91" t="s">
        <v>1318</v>
      </c>
      <c r="B793" s="91" t="s">
        <v>1332</v>
      </c>
      <c r="C793" s="91" t="s">
        <v>2130</v>
      </c>
      <c r="D793" s="91" t="s">
        <v>21</v>
      </c>
      <c r="E793" s="91"/>
      <c r="F793">
        <v>56</v>
      </c>
      <c r="G793" t="s">
        <v>1419</v>
      </c>
      <c r="H793" s="89">
        <v>46080</v>
      </c>
      <c r="I793" s="89">
        <v>46082</v>
      </c>
      <c r="J793" s="91"/>
      <c r="K793" s="91"/>
      <c r="M793" s="91"/>
      <c r="N793" s="91" t="s">
        <v>2030</v>
      </c>
    </row>
    <row r="794" spans="1:14" x14ac:dyDescent="0.25">
      <c r="A794" s="91" t="s">
        <v>1324</v>
      </c>
      <c r="B794" s="91" t="s">
        <v>1338</v>
      </c>
      <c r="C794" s="91" t="s">
        <v>2131</v>
      </c>
      <c r="D794" s="91" t="s">
        <v>23</v>
      </c>
      <c r="E794" s="91"/>
      <c r="F794">
        <v>960</v>
      </c>
      <c r="G794">
        <v>20</v>
      </c>
      <c r="H794" s="89">
        <v>46081</v>
      </c>
      <c r="I794" s="89">
        <v>46088</v>
      </c>
      <c r="J794" s="91" t="s">
        <v>2124</v>
      </c>
      <c r="K794" s="91"/>
      <c r="M794" s="91"/>
      <c r="N794" s="91" t="s">
        <v>2030</v>
      </c>
    </row>
    <row r="795" spans="1:14" x14ac:dyDescent="0.25">
      <c r="A795" s="91" t="s">
        <v>1320</v>
      </c>
      <c r="B795" s="91" t="s">
        <v>1334</v>
      </c>
      <c r="C795" s="91" t="s">
        <v>2132</v>
      </c>
      <c r="D795" s="91" t="s">
        <v>88</v>
      </c>
      <c r="E795" s="91"/>
      <c r="F795">
        <v>480</v>
      </c>
      <c r="G795">
        <v>10</v>
      </c>
      <c r="H795" s="89">
        <v>46081</v>
      </c>
      <c r="I795" s="89">
        <v>46086</v>
      </c>
      <c r="J795" s="91" t="s">
        <v>2133</v>
      </c>
      <c r="K795" s="91"/>
      <c r="M795" s="91"/>
      <c r="N795" s="91" t="s">
        <v>2030</v>
      </c>
    </row>
    <row r="796" spans="1:14" x14ac:dyDescent="0.25">
      <c r="A796" s="91" t="s">
        <v>1320</v>
      </c>
      <c r="B796" s="91" t="s">
        <v>1334</v>
      </c>
      <c r="C796" s="91" t="s">
        <v>2134</v>
      </c>
      <c r="D796" s="91" t="s">
        <v>97</v>
      </c>
      <c r="E796" s="91"/>
      <c r="F796">
        <v>480</v>
      </c>
      <c r="G796">
        <v>10</v>
      </c>
      <c r="H796" s="89">
        <v>46081</v>
      </c>
      <c r="I796" s="89">
        <v>46086</v>
      </c>
      <c r="J796" s="91" t="s">
        <v>2133</v>
      </c>
      <c r="K796" s="91"/>
      <c r="M796" s="91"/>
      <c r="N796" s="91" t="s">
        <v>2030</v>
      </c>
    </row>
    <row r="797" spans="1:14" x14ac:dyDescent="0.25">
      <c r="A797" s="91" t="s">
        <v>1320</v>
      </c>
      <c r="B797" s="91" t="s">
        <v>1334</v>
      </c>
      <c r="C797" s="91" t="s">
        <v>2135</v>
      </c>
      <c r="D797" s="91" t="s">
        <v>28</v>
      </c>
      <c r="E797" s="91"/>
      <c r="F797">
        <v>960</v>
      </c>
      <c r="G797">
        <v>20</v>
      </c>
      <c r="H797" s="89">
        <v>46081</v>
      </c>
      <c r="I797" s="89">
        <v>46085</v>
      </c>
      <c r="J797" s="91" t="s">
        <v>2136</v>
      </c>
      <c r="K797" s="91"/>
      <c r="M797" s="91"/>
      <c r="N797" s="91" t="s">
        <v>2030</v>
      </c>
    </row>
    <row r="798" spans="1:14" x14ac:dyDescent="0.25">
      <c r="A798" s="91" t="s">
        <v>1315</v>
      </c>
      <c r="B798" s="91" t="s">
        <v>1329</v>
      </c>
      <c r="C798" s="91" t="s">
        <v>2135</v>
      </c>
      <c r="D798" s="91" t="s">
        <v>28</v>
      </c>
      <c r="E798" s="91"/>
      <c r="F798">
        <v>22</v>
      </c>
      <c r="G798" t="s">
        <v>1419</v>
      </c>
      <c r="H798" s="89">
        <v>46081</v>
      </c>
      <c r="I798" s="89">
        <v>46080</v>
      </c>
      <c r="J798" s="91"/>
      <c r="K798" s="91"/>
      <c r="M798" s="91"/>
      <c r="N798" s="91" t="s">
        <v>2030</v>
      </c>
    </row>
    <row r="799" spans="1:14" x14ac:dyDescent="0.25">
      <c r="A799" s="91" t="s">
        <v>1316</v>
      </c>
      <c r="B799" s="91" t="s">
        <v>1330</v>
      </c>
      <c r="C799" s="91" t="s">
        <v>2137</v>
      </c>
      <c r="D799" s="91" t="s">
        <v>28</v>
      </c>
      <c r="E799" s="91"/>
      <c r="F799">
        <v>99</v>
      </c>
      <c r="G799" t="s">
        <v>1419</v>
      </c>
      <c r="H799" s="89">
        <v>46081</v>
      </c>
      <c r="I799" s="89">
        <v>46083</v>
      </c>
      <c r="J799" s="91"/>
      <c r="K799" s="91"/>
      <c r="M799" s="91"/>
      <c r="N799" s="91" t="s">
        <v>2030</v>
      </c>
    </row>
    <row r="800" spans="1:14" x14ac:dyDescent="0.25">
      <c r="A800" s="91" t="s">
        <v>1317</v>
      </c>
      <c r="B800" s="91" t="s">
        <v>1331</v>
      </c>
      <c r="C800" s="91" t="s">
        <v>2138</v>
      </c>
      <c r="D800" s="91" t="s">
        <v>28</v>
      </c>
      <c r="E800" s="91"/>
      <c r="F800">
        <v>6</v>
      </c>
      <c r="G800" t="s">
        <v>1419</v>
      </c>
      <c r="H800" s="89">
        <v>46081</v>
      </c>
      <c r="I800" s="89">
        <v>46083</v>
      </c>
      <c r="J800" s="91"/>
      <c r="K800" s="91"/>
      <c r="M800" s="91"/>
      <c r="N800" s="91" t="s">
        <v>2030</v>
      </c>
    </row>
    <row r="801" spans="1:14" x14ac:dyDescent="0.25">
      <c r="A801" s="91" t="s">
        <v>1318</v>
      </c>
      <c r="B801" s="91" t="s">
        <v>1332</v>
      </c>
      <c r="C801" s="91" t="s">
        <v>2139</v>
      </c>
      <c r="D801" s="91" t="s">
        <v>28</v>
      </c>
      <c r="E801" s="91"/>
      <c r="F801">
        <v>43</v>
      </c>
      <c r="G801" t="s">
        <v>1419</v>
      </c>
      <c r="H801" s="89">
        <v>46081</v>
      </c>
      <c r="I801" s="89">
        <v>46083</v>
      </c>
      <c r="J801" s="91"/>
      <c r="K801" s="91"/>
      <c r="M801" s="91"/>
      <c r="N801" s="91" t="s">
        <v>2030</v>
      </c>
    </row>
    <row r="802" spans="1:14" x14ac:dyDescent="0.25">
      <c r="A802" s="91" t="s">
        <v>1313</v>
      </c>
      <c r="B802" s="91" t="s">
        <v>1327</v>
      </c>
      <c r="C802" s="91" t="s">
        <v>2140</v>
      </c>
      <c r="D802" s="91" t="s">
        <v>129</v>
      </c>
      <c r="E802" s="91"/>
      <c r="F802">
        <v>480</v>
      </c>
      <c r="G802">
        <v>10</v>
      </c>
      <c r="H802" s="89">
        <v>46081</v>
      </c>
      <c r="I802" s="89">
        <v>46084</v>
      </c>
      <c r="J802" s="91" t="s">
        <v>2117</v>
      </c>
      <c r="K802" s="91"/>
      <c r="M802" s="91"/>
      <c r="N802" s="91" t="s">
        <v>2030</v>
      </c>
    </row>
    <row r="803" spans="1:14" x14ac:dyDescent="0.25">
      <c r="A803" s="91" t="s">
        <v>1320</v>
      </c>
      <c r="B803" s="91" t="s">
        <v>1334</v>
      </c>
      <c r="C803" s="91" t="s">
        <v>2141</v>
      </c>
      <c r="D803" s="91" t="s">
        <v>20</v>
      </c>
      <c r="E803" s="91"/>
      <c r="F803">
        <v>960</v>
      </c>
      <c r="G803">
        <v>20</v>
      </c>
      <c r="H803" s="89">
        <v>46083</v>
      </c>
      <c r="I803" s="89">
        <v>46086</v>
      </c>
      <c r="J803" s="91" t="s">
        <v>2142</v>
      </c>
      <c r="K803" s="91"/>
      <c r="M803" s="91"/>
      <c r="N803" s="91" t="s">
        <v>2143</v>
      </c>
    </row>
    <row r="804" spans="1:14" x14ac:dyDescent="0.25">
      <c r="A804" s="91" t="s">
        <v>1313</v>
      </c>
      <c r="B804" s="91" t="s">
        <v>1327</v>
      </c>
      <c r="C804" s="91" t="s">
        <v>2141</v>
      </c>
      <c r="D804" s="91" t="s">
        <v>20</v>
      </c>
      <c r="E804" s="91"/>
      <c r="F804">
        <v>374</v>
      </c>
      <c r="G804">
        <v>7.791666666666667</v>
      </c>
      <c r="H804" s="89">
        <v>46083</v>
      </c>
      <c r="I804" s="89">
        <v>46086</v>
      </c>
      <c r="J804" s="91"/>
      <c r="K804" s="91"/>
      <c r="M804" s="91"/>
      <c r="N804" s="91" t="s">
        <v>2143</v>
      </c>
    </row>
    <row r="805" spans="1:14" x14ac:dyDescent="0.25">
      <c r="A805" s="91" t="s">
        <v>1317</v>
      </c>
      <c r="B805" s="91" t="s">
        <v>1331</v>
      </c>
      <c r="C805" s="91" t="s">
        <v>2144</v>
      </c>
      <c r="D805" s="91" t="s">
        <v>20</v>
      </c>
      <c r="E805" s="91"/>
      <c r="F805">
        <v>18</v>
      </c>
      <c r="G805" t="s">
        <v>1419</v>
      </c>
      <c r="H805" s="89">
        <v>46083</v>
      </c>
      <c r="I805" s="89">
        <v>46085</v>
      </c>
      <c r="J805" s="91"/>
      <c r="K805" s="91"/>
      <c r="M805" s="91"/>
      <c r="N805" s="91" t="s">
        <v>2143</v>
      </c>
    </row>
    <row r="806" spans="1:14" x14ac:dyDescent="0.25">
      <c r="A806" s="91" t="s">
        <v>1316</v>
      </c>
      <c r="B806" s="91" t="s">
        <v>1330</v>
      </c>
      <c r="C806" s="91" t="s">
        <v>2145</v>
      </c>
      <c r="D806" s="91" t="s">
        <v>20</v>
      </c>
      <c r="E806" s="91"/>
      <c r="F806">
        <v>166</v>
      </c>
      <c r="G806" t="s">
        <v>1419</v>
      </c>
      <c r="H806" s="89">
        <v>46083</v>
      </c>
      <c r="I806" s="89">
        <v>46085</v>
      </c>
      <c r="J806" s="91"/>
      <c r="K806" s="91"/>
      <c r="M806" s="91"/>
      <c r="N806" s="91" t="s">
        <v>2143</v>
      </c>
    </row>
    <row r="807" spans="1:14" x14ac:dyDescent="0.25">
      <c r="A807" s="91" t="s">
        <v>1318</v>
      </c>
      <c r="B807" s="91" t="s">
        <v>1332</v>
      </c>
      <c r="C807" s="91" t="s">
        <v>2146</v>
      </c>
      <c r="D807" s="91" t="s">
        <v>20</v>
      </c>
      <c r="E807" s="91"/>
      <c r="F807">
        <v>53</v>
      </c>
      <c r="G807" t="s">
        <v>1419</v>
      </c>
      <c r="H807" s="89">
        <v>46083</v>
      </c>
      <c r="I807" s="89">
        <v>46085</v>
      </c>
      <c r="J807" s="91"/>
      <c r="K807" s="91"/>
      <c r="M807" s="91"/>
      <c r="N807" s="91" t="s">
        <v>2143</v>
      </c>
    </row>
    <row r="808" spans="1:14" x14ac:dyDescent="0.25">
      <c r="A808" s="91" t="s">
        <v>1320</v>
      </c>
      <c r="B808" s="91" t="s">
        <v>1334</v>
      </c>
      <c r="C808" s="91" t="s">
        <v>2147</v>
      </c>
      <c r="D808" s="91" t="s">
        <v>15</v>
      </c>
      <c r="E808" s="91"/>
      <c r="F808">
        <v>960</v>
      </c>
      <c r="G808">
        <v>20</v>
      </c>
      <c r="H808" s="89">
        <v>46083</v>
      </c>
      <c r="I808" s="89">
        <v>46087</v>
      </c>
      <c r="J808" s="91" t="s">
        <v>2148</v>
      </c>
      <c r="K808" s="91"/>
      <c r="M808" s="91"/>
      <c r="N808" s="91" t="s">
        <v>2143</v>
      </c>
    </row>
    <row r="809" spans="1:14" x14ac:dyDescent="0.25">
      <c r="A809" s="91" t="s">
        <v>1320</v>
      </c>
      <c r="B809" s="91" t="s">
        <v>1334</v>
      </c>
      <c r="C809" s="91" t="s">
        <v>2147</v>
      </c>
      <c r="D809" s="91" t="s">
        <v>15</v>
      </c>
      <c r="E809" s="91"/>
      <c r="F809">
        <v>48</v>
      </c>
      <c r="G809">
        <v>1</v>
      </c>
      <c r="H809" s="89">
        <v>46083</v>
      </c>
      <c r="I809" s="89">
        <v>46088</v>
      </c>
      <c r="J809" s="91" t="s">
        <v>2149</v>
      </c>
      <c r="K809" s="91"/>
      <c r="M809" s="91"/>
      <c r="N809" s="91" t="s">
        <v>2143</v>
      </c>
    </row>
    <row r="810" spans="1:14" x14ac:dyDescent="0.25">
      <c r="A810" s="91" t="s">
        <v>1313</v>
      </c>
      <c r="B810" s="91" t="s">
        <v>1327</v>
      </c>
      <c r="C810" s="91" t="s">
        <v>2147</v>
      </c>
      <c r="D810" s="91" t="s">
        <v>15</v>
      </c>
      <c r="E810" s="91"/>
      <c r="F810">
        <v>96</v>
      </c>
      <c r="G810">
        <v>2</v>
      </c>
      <c r="H810" s="89">
        <v>46083</v>
      </c>
      <c r="I810" s="89">
        <v>46086</v>
      </c>
      <c r="J810" s="91"/>
      <c r="K810" s="91"/>
      <c r="M810" s="91"/>
      <c r="N810" s="91" t="s">
        <v>2143</v>
      </c>
    </row>
    <row r="811" spans="1:14" x14ac:dyDescent="0.25">
      <c r="A811" s="91" t="s">
        <v>1315</v>
      </c>
      <c r="B811" s="91" t="s">
        <v>1329</v>
      </c>
      <c r="C811" s="91" t="s">
        <v>2147</v>
      </c>
      <c r="D811" s="91" t="s">
        <v>15</v>
      </c>
      <c r="E811" s="91"/>
      <c r="F811">
        <v>26</v>
      </c>
      <c r="G811" t="s">
        <v>1419</v>
      </c>
      <c r="H811" s="89">
        <v>46083</v>
      </c>
      <c r="I811" s="89">
        <v>46086</v>
      </c>
      <c r="J811" s="91"/>
      <c r="K811" s="91"/>
      <c r="M811" s="91"/>
      <c r="N811" s="91" t="s">
        <v>2143</v>
      </c>
    </row>
    <row r="812" spans="1:14" x14ac:dyDescent="0.25">
      <c r="A812" s="91" t="s">
        <v>1317</v>
      </c>
      <c r="B812" s="91" t="s">
        <v>1331</v>
      </c>
      <c r="C812" s="91" t="s">
        <v>2150</v>
      </c>
      <c r="D812" s="91" t="s">
        <v>15</v>
      </c>
      <c r="E812" s="91"/>
      <c r="F812">
        <v>18</v>
      </c>
      <c r="G812" t="s">
        <v>1419</v>
      </c>
      <c r="H812" s="89">
        <v>46083</v>
      </c>
      <c r="I812" s="89">
        <v>46085</v>
      </c>
      <c r="J812" s="91"/>
      <c r="K812" s="91"/>
      <c r="M812" s="91"/>
      <c r="N812" s="91" t="s">
        <v>2143</v>
      </c>
    </row>
    <row r="813" spans="1:14" x14ac:dyDescent="0.25">
      <c r="A813" s="91" t="s">
        <v>1316</v>
      </c>
      <c r="B813" s="91" t="s">
        <v>1330</v>
      </c>
      <c r="C813" s="91" t="s">
        <v>2151</v>
      </c>
      <c r="D813" s="91" t="s">
        <v>15</v>
      </c>
      <c r="E813" s="91"/>
      <c r="F813">
        <v>41</v>
      </c>
      <c r="G813" t="s">
        <v>1419</v>
      </c>
      <c r="H813" s="89">
        <v>46083</v>
      </c>
      <c r="I813" s="89">
        <v>46085</v>
      </c>
      <c r="J813" s="91"/>
      <c r="K813" s="91"/>
      <c r="M813" s="91"/>
      <c r="N813" s="91" t="s">
        <v>2143</v>
      </c>
    </row>
    <row r="814" spans="1:14" x14ac:dyDescent="0.25">
      <c r="A814" s="91" t="s">
        <v>1318</v>
      </c>
      <c r="B814" s="91" t="s">
        <v>1332</v>
      </c>
      <c r="C814" s="91" t="s">
        <v>2152</v>
      </c>
      <c r="D814" s="91" t="s">
        <v>15</v>
      </c>
      <c r="E814" s="91"/>
      <c r="F814">
        <v>40</v>
      </c>
      <c r="G814" t="s">
        <v>1419</v>
      </c>
      <c r="H814" s="89">
        <v>46083</v>
      </c>
      <c r="I814" s="89">
        <v>46085</v>
      </c>
      <c r="J814" s="91"/>
      <c r="K814" s="91"/>
      <c r="M814" s="91"/>
      <c r="N814" s="91" t="s">
        <v>2143</v>
      </c>
    </row>
    <row r="815" spans="1:14" x14ac:dyDescent="0.25">
      <c r="A815" s="91" t="s">
        <v>1320</v>
      </c>
      <c r="B815" s="91" t="s">
        <v>1334</v>
      </c>
      <c r="C815" s="91" t="s">
        <v>2153</v>
      </c>
      <c r="D815" s="91" t="s">
        <v>88</v>
      </c>
      <c r="E815" s="91"/>
      <c r="F815">
        <v>960</v>
      </c>
      <c r="G815">
        <v>20</v>
      </c>
      <c r="H815" s="89">
        <v>46083</v>
      </c>
      <c r="I815" s="89">
        <v>46087</v>
      </c>
      <c r="J815" s="91" t="s">
        <v>2154</v>
      </c>
      <c r="K815" s="91"/>
      <c r="M815" s="91"/>
      <c r="N815" s="91" t="s">
        <v>2143</v>
      </c>
    </row>
    <row r="816" spans="1:14" x14ac:dyDescent="0.25">
      <c r="A816" s="91" t="s">
        <v>1313</v>
      </c>
      <c r="B816" s="91" t="s">
        <v>1327</v>
      </c>
      <c r="C816" s="91" t="s">
        <v>2155</v>
      </c>
      <c r="D816" s="91" t="s">
        <v>21</v>
      </c>
      <c r="E816" s="91"/>
      <c r="F816">
        <v>864</v>
      </c>
      <c r="G816">
        <v>18</v>
      </c>
      <c r="H816" s="89">
        <v>46083</v>
      </c>
      <c r="I816" s="89">
        <v>46087</v>
      </c>
      <c r="J816" s="91" t="s">
        <v>2156</v>
      </c>
      <c r="K816" s="91"/>
      <c r="M816" s="91"/>
      <c r="N816" s="91" t="s">
        <v>2143</v>
      </c>
    </row>
    <row r="817" spans="1:14" x14ac:dyDescent="0.25">
      <c r="A817" s="91" t="s">
        <v>1314</v>
      </c>
      <c r="B817" s="91" t="s">
        <v>1328</v>
      </c>
      <c r="C817" s="91" t="s">
        <v>2155</v>
      </c>
      <c r="D817" s="91" t="s">
        <v>21</v>
      </c>
      <c r="E817" s="91"/>
      <c r="F817">
        <v>288</v>
      </c>
      <c r="G817">
        <v>6</v>
      </c>
      <c r="H817" s="89">
        <v>46083</v>
      </c>
      <c r="I817" s="89">
        <v>46087</v>
      </c>
      <c r="J817" s="91" t="s">
        <v>2157</v>
      </c>
      <c r="K817" s="91"/>
      <c r="M817" s="91"/>
      <c r="N817" s="91" t="s">
        <v>2143</v>
      </c>
    </row>
    <row r="818" spans="1:14" x14ac:dyDescent="0.25">
      <c r="A818" s="91" t="s">
        <v>1324</v>
      </c>
      <c r="B818" s="91" t="s">
        <v>1338</v>
      </c>
      <c r="C818" s="91" t="s">
        <v>2155</v>
      </c>
      <c r="D818" s="91" t="s">
        <v>21</v>
      </c>
      <c r="E818" s="91"/>
      <c r="F818">
        <v>432</v>
      </c>
      <c r="G818">
        <v>9</v>
      </c>
      <c r="H818" s="89">
        <v>46083</v>
      </c>
      <c r="I818" s="89">
        <v>46090</v>
      </c>
      <c r="J818" s="91" t="s">
        <v>2158</v>
      </c>
      <c r="K818" s="91"/>
      <c r="M818" s="91"/>
      <c r="N818" s="91" t="s">
        <v>2143</v>
      </c>
    </row>
    <row r="819" spans="1:14" x14ac:dyDescent="0.25">
      <c r="A819" s="91" t="s">
        <v>1313</v>
      </c>
      <c r="B819" s="91" t="s">
        <v>1327</v>
      </c>
      <c r="C819" s="91" t="s">
        <v>2155</v>
      </c>
      <c r="D819" s="91" t="s">
        <v>21</v>
      </c>
      <c r="E819" s="91"/>
      <c r="F819">
        <v>48</v>
      </c>
      <c r="G819">
        <v>1</v>
      </c>
      <c r="H819" s="89">
        <v>46083</v>
      </c>
      <c r="I819" s="89">
        <v>46089</v>
      </c>
      <c r="J819" s="91"/>
      <c r="K819" s="91"/>
      <c r="M819" s="91"/>
      <c r="N819" s="91" t="s">
        <v>2143</v>
      </c>
    </row>
    <row r="820" spans="1:14" x14ac:dyDescent="0.25">
      <c r="A820" s="91" t="s">
        <v>1315</v>
      </c>
      <c r="B820" s="91" t="s">
        <v>1329</v>
      </c>
      <c r="C820" s="91" t="s">
        <v>2155</v>
      </c>
      <c r="D820" s="91" t="s">
        <v>21</v>
      </c>
      <c r="E820" s="91"/>
      <c r="F820">
        <v>14</v>
      </c>
      <c r="G820" t="s">
        <v>1419</v>
      </c>
      <c r="H820" s="89">
        <v>46083</v>
      </c>
      <c r="I820" s="89">
        <v>46086</v>
      </c>
      <c r="J820" s="91"/>
      <c r="K820" s="91"/>
      <c r="M820" s="91"/>
      <c r="N820" s="91" t="s">
        <v>2143</v>
      </c>
    </row>
    <row r="821" spans="1:14" x14ac:dyDescent="0.25">
      <c r="A821" s="91" t="s">
        <v>1317</v>
      </c>
      <c r="B821" s="91" t="s">
        <v>1331</v>
      </c>
      <c r="C821" s="91" t="s">
        <v>2159</v>
      </c>
      <c r="D821" s="91" t="s">
        <v>21</v>
      </c>
      <c r="E821" s="91"/>
      <c r="F821">
        <v>45</v>
      </c>
      <c r="G821" t="s">
        <v>1419</v>
      </c>
      <c r="H821" s="89">
        <v>46083</v>
      </c>
      <c r="I821" s="89">
        <v>46085</v>
      </c>
      <c r="J821" s="91"/>
      <c r="K821" s="91"/>
      <c r="M821" s="91"/>
      <c r="N821" s="91" t="s">
        <v>2143</v>
      </c>
    </row>
    <row r="822" spans="1:14" x14ac:dyDescent="0.25">
      <c r="A822" s="91" t="s">
        <v>1316</v>
      </c>
      <c r="B822" s="91" t="s">
        <v>1330</v>
      </c>
      <c r="C822" s="91" t="s">
        <v>2160</v>
      </c>
      <c r="D822" s="91" t="s">
        <v>21</v>
      </c>
      <c r="E822" s="91"/>
      <c r="F822">
        <v>79</v>
      </c>
      <c r="G822" t="s">
        <v>1419</v>
      </c>
      <c r="H822" s="89">
        <v>46083</v>
      </c>
      <c r="I822" s="89">
        <v>46085</v>
      </c>
      <c r="J822" s="91"/>
      <c r="K822" s="91"/>
      <c r="M822" s="91"/>
      <c r="N822" s="91" t="s">
        <v>2143</v>
      </c>
    </row>
    <row r="823" spans="1:14" x14ac:dyDescent="0.25">
      <c r="A823" s="91" t="s">
        <v>1318</v>
      </c>
      <c r="B823" s="91" t="s">
        <v>1332</v>
      </c>
      <c r="C823" s="91" t="s">
        <v>2161</v>
      </c>
      <c r="D823" s="91" t="s">
        <v>21</v>
      </c>
      <c r="E823" s="91"/>
      <c r="F823">
        <v>27</v>
      </c>
      <c r="G823" t="s">
        <v>1419</v>
      </c>
      <c r="H823" s="89">
        <v>46083</v>
      </c>
      <c r="I823" s="89">
        <v>46085</v>
      </c>
      <c r="J823" s="91"/>
      <c r="K823" s="91"/>
      <c r="M823" s="91"/>
      <c r="N823" s="91" t="s">
        <v>2143</v>
      </c>
    </row>
    <row r="824" spans="1:14" x14ac:dyDescent="0.25">
      <c r="A824" s="91" t="s">
        <v>1320</v>
      </c>
      <c r="B824" s="91" t="s">
        <v>1334</v>
      </c>
      <c r="C824" s="91" t="s">
        <v>2162</v>
      </c>
      <c r="D824" s="91" t="s">
        <v>15</v>
      </c>
      <c r="E824" s="91"/>
      <c r="F824">
        <v>912</v>
      </c>
      <c r="G824">
        <v>19</v>
      </c>
      <c r="H824" s="89">
        <v>46084</v>
      </c>
      <c r="I824" s="89">
        <v>46088</v>
      </c>
      <c r="J824" s="91" t="s">
        <v>2149</v>
      </c>
      <c r="K824" s="91"/>
      <c r="M824" s="91"/>
      <c r="N824" s="91" t="s">
        <v>2143</v>
      </c>
    </row>
    <row r="825" spans="1:14" x14ac:dyDescent="0.25">
      <c r="A825" s="91" t="s">
        <v>1313</v>
      </c>
      <c r="B825" s="91" t="s">
        <v>1327</v>
      </c>
      <c r="C825" s="91" t="s">
        <v>2162</v>
      </c>
      <c r="D825" s="91" t="s">
        <v>15</v>
      </c>
      <c r="E825" s="91"/>
      <c r="F825">
        <v>384</v>
      </c>
      <c r="G825">
        <v>8</v>
      </c>
      <c r="H825" s="89">
        <v>46084</v>
      </c>
      <c r="I825" s="89">
        <v>46086</v>
      </c>
      <c r="J825" s="91"/>
      <c r="K825" s="91"/>
      <c r="M825" s="91"/>
      <c r="N825" s="91" t="s">
        <v>2143</v>
      </c>
    </row>
    <row r="826" spans="1:14" x14ac:dyDescent="0.25">
      <c r="A826" s="91" t="s">
        <v>1315</v>
      </c>
      <c r="B826" s="91" t="s">
        <v>1329</v>
      </c>
      <c r="C826" s="91" t="s">
        <v>2162</v>
      </c>
      <c r="D826" s="91" t="s">
        <v>15</v>
      </c>
      <c r="E826" s="91"/>
      <c r="F826">
        <v>9</v>
      </c>
      <c r="G826" t="s">
        <v>1419</v>
      </c>
      <c r="H826" s="89">
        <v>46084</v>
      </c>
      <c r="I826" s="89">
        <v>46086</v>
      </c>
      <c r="J826" s="91"/>
      <c r="K826" s="91"/>
      <c r="M826" s="91"/>
      <c r="N826" s="91" t="s">
        <v>2143</v>
      </c>
    </row>
    <row r="827" spans="1:14" x14ac:dyDescent="0.25">
      <c r="A827" s="91" t="s">
        <v>1317</v>
      </c>
      <c r="B827" s="91" t="s">
        <v>1331</v>
      </c>
      <c r="C827" s="91" t="s">
        <v>2163</v>
      </c>
      <c r="D827" s="91" t="s">
        <v>15</v>
      </c>
      <c r="E827" s="91"/>
      <c r="F827">
        <v>24</v>
      </c>
      <c r="G827" t="s">
        <v>1419</v>
      </c>
      <c r="H827" s="89">
        <v>46084</v>
      </c>
      <c r="I827" s="89">
        <v>46086</v>
      </c>
      <c r="J827" s="91"/>
      <c r="K827" s="91"/>
      <c r="M827" s="91"/>
      <c r="N827" s="91" t="s">
        <v>2143</v>
      </c>
    </row>
    <row r="828" spans="1:14" x14ac:dyDescent="0.25">
      <c r="A828" s="91" t="s">
        <v>1316</v>
      </c>
      <c r="B828" s="91" t="s">
        <v>1330</v>
      </c>
      <c r="C828" s="91" t="s">
        <v>2164</v>
      </c>
      <c r="D828" s="91" t="s">
        <v>15</v>
      </c>
      <c r="E828" s="91"/>
      <c r="F828">
        <v>42</v>
      </c>
      <c r="G828" t="s">
        <v>1419</v>
      </c>
      <c r="H828" s="89">
        <v>46084</v>
      </c>
      <c r="I828" s="89">
        <v>46086</v>
      </c>
      <c r="J828" s="91"/>
      <c r="K828" s="91"/>
      <c r="M828" s="91"/>
      <c r="N828" s="91" t="s">
        <v>2143</v>
      </c>
    </row>
    <row r="829" spans="1:14" x14ac:dyDescent="0.25">
      <c r="A829" s="91" t="s">
        <v>1318</v>
      </c>
      <c r="B829" s="91" t="s">
        <v>1332</v>
      </c>
      <c r="C829" s="91" t="s">
        <v>2165</v>
      </c>
      <c r="D829" s="91" t="s">
        <v>15</v>
      </c>
      <c r="E829" s="91"/>
      <c r="F829">
        <v>43</v>
      </c>
      <c r="G829" t="s">
        <v>1419</v>
      </c>
      <c r="H829" s="89">
        <v>46084</v>
      </c>
      <c r="I829" s="89">
        <v>46086</v>
      </c>
      <c r="J829" s="91"/>
      <c r="K829" s="91"/>
      <c r="M829" s="91"/>
      <c r="N829" s="91" t="s">
        <v>2143</v>
      </c>
    </row>
    <row r="830" spans="1:14" x14ac:dyDescent="0.25">
      <c r="A830" s="91" t="s">
        <v>1320</v>
      </c>
      <c r="B830" s="91" t="s">
        <v>1334</v>
      </c>
      <c r="C830" s="91" t="s">
        <v>2166</v>
      </c>
      <c r="D830" s="91" t="s">
        <v>23</v>
      </c>
      <c r="E830" s="91"/>
      <c r="F830">
        <v>960</v>
      </c>
      <c r="G830">
        <v>20</v>
      </c>
      <c r="H830" s="89">
        <v>46084</v>
      </c>
      <c r="I830" s="89">
        <v>46088</v>
      </c>
      <c r="J830" s="91" t="s">
        <v>2167</v>
      </c>
      <c r="K830" s="91"/>
      <c r="M830" s="91"/>
      <c r="N830" s="91" t="s">
        <v>2143</v>
      </c>
    </row>
    <row r="831" spans="1:14" x14ac:dyDescent="0.25">
      <c r="A831" s="91" t="s">
        <v>1321</v>
      </c>
      <c r="B831" s="91" t="s">
        <v>1335</v>
      </c>
      <c r="C831" s="91" t="s">
        <v>2168</v>
      </c>
      <c r="D831" s="91" t="s">
        <v>32</v>
      </c>
      <c r="E831" s="91"/>
      <c r="F831">
        <v>144</v>
      </c>
      <c r="G831">
        <v>3</v>
      </c>
      <c r="H831" s="89">
        <v>46084</v>
      </c>
      <c r="I831" s="89">
        <v>46090</v>
      </c>
      <c r="J831" s="91" t="s">
        <v>2158</v>
      </c>
      <c r="K831" s="91"/>
      <c r="M831" s="91"/>
      <c r="N831" s="91" t="s">
        <v>2143</v>
      </c>
    </row>
    <row r="832" spans="1:14" x14ac:dyDescent="0.25">
      <c r="A832" s="91" t="s">
        <v>1324</v>
      </c>
      <c r="B832" s="91" t="s">
        <v>1338</v>
      </c>
      <c r="C832" s="91" t="s">
        <v>2169</v>
      </c>
      <c r="D832" s="91" t="s">
        <v>13</v>
      </c>
      <c r="E832" s="91"/>
      <c r="F832">
        <v>96</v>
      </c>
      <c r="G832">
        <v>2</v>
      </c>
      <c r="H832" s="89">
        <v>46084</v>
      </c>
      <c r="I832" s="89">
        <v>46090</v>
      </c>
      <c r="J832" s="91" t="s">
        <v>2158</v>
      </c>
      <c r="K832" s="91"/>
      <c r="M832" s="91"/>
      <c r="N832" s="91" t="s">
        <v>2143</v>
      </c>
    </row>
    <row r="833" spans="1:14" x14ac:dyDescent="0.25">
      <c r="A833" s="91" t="s">
        <v>1324</v>
      </c>
      <c r="B833" s="91" t="s">
        <v>1338</v>
      </c>
      <c r="C833" s="91" t="s">
        <v>2169</v>
      </c>
      <c r="D833" s="91" t="s">
        <v>13</v>
      </c>
      <c r="E833" s="91"/>
      <c r="F833">
        <v>864</v>
      </c>
      <c r="G833">
        <v>18</v>
      </c>
      <c r="H833" s="89">
        <v>46084</v>
      </c>
      <c r="I833" s="89">
        <v>46090</v>
      </c>
      <c r="J833" s="91" t="s">
        <v>2170</v>
      </c>
      <c r="K833" s="91"/>
      <c r="M833" s="91"/>
      <c r="N833" s="91" t="s">
        <v>2143</v>
      </c>
    </row>
    <row r="834" spans="1:14" x14ac:dyDescent="0.25">
      <c r="A834" s="91" t="s">
        <v>1324</v>
      </c>
      <c r="B834" s="91" t="s">
        <v>1338</v>
      </c>
      <c r="C834" s="91" t="s">
        <v>2171</v>
      </c>
      <c r="D834" s="91" t="s">
        <v>21</v>
      </c>
      <c r="E834" s="91"/>
      <c r="F834">
        <v>384</v>
      </c>
      <c r="G834">
        <v>8</v>
      </c>
      <c r="H834" s="89">
        <v>46084</v>
      </c>
      <c r="I834" s="89">
        <v>46090</v>
      </c>
      <c r="J834" s="91" t="s">
        <v>2158</v>
      </c>
      <c r="K834" s="91"/>
      <c r="M834" s="91"/>
      <c r="N834" s="91" t="s">
        <v>2143</v>
      </c>
    </row>
    <row r="835" spans="1:14" x14ac:dyDescent="0.25">
      <c r="A835" s="91" t="s">
        <v>1313</v>
      </c>
      <c r="B835" s="91" t="s">
        <v>1327</v>
      </c>
      <c r="C835" s="91" t="s">
        <v>2171</v>
      </c>
      <c r="D835" s="91" t="s">
        <v>21</v>
      </c>
      <c r="E835" s="91"/>
      <c r="F835">
        <v>336</v>
      </c>
      <c r="G835">
        <v>7</v>
      </c>
      <c r="H835" s="89">
        <v>46084</v>
      </c>
      <c r="I835" s="89">
        <v>46089</v>
      </c>
      <c r="J835" s="91" t="s">
        <v>2172</v>
      </c>
      <c r="K835" s="91"/>
      <c r="M835" s="91"/>
      <c r="N835" s="91" t="s">
        <v>2143</v>
      </c>
    </row>
    <row r="836" spans="1:14" x14ac:dyDescent="0.25">
      <c r="A836" s="91" t="s">
        <v>1315</v>
      </c>
      <c r="B836" s="91" t="s">
        <v>1329</v>
      </c>
      <c r="C836" s="91" t="s">
        <v>2171</v>
      </c>
      <c r="D836" s="91" t="s">
        <v>21</v>
      </c>
      <c r="E836" s="91"/>
      <c r="F836">
        <v>102</v>
      </c>
      <c r="G836" t="s">
        <v>1419</v>
      </c>
      <c r="H836" s="89">
        <v>46084</v>
      </c>
      <c r="I836" s="89">
        <v>46086</v>
      </c>
      <c r="J836" s="91"/>
      <c r="K836" s="91"/>
      <c r="M836" s="91"/>
      <c r="N836" s="91" t="s">
        <v>2143</v>
      </c>
    </row>
    <row r="837" spans="1:14" x14ac:dyDescent="0.25">
      <c r="A837" s="91" t="s">
        <v>1317</v>
      </c>
      <c r="B837" s="91" t="s">
        <v>1331</v>
      </c>
      <c r="C837" s="91" t="s">
        <v>2173</v>
      </c>
      <c r="D837" s="91" t="s">
        <v>21</v>
      </c>
      <c r="E837" s="91"/>
      <c r="F837">
        <v>33</v>
      </c>
      <c r="G837" t="s">
        <v>1419</v>
      </c>
      <c r="H837" s="89">
        <v>46084</v>
      </c>
      <c r="I837" s="89">
        <v>46086</v>
      </c>
      <c r="J837" s="91"/>
      <c r="K837" s="91"/>
      <c r="M837" s="91"/>
      <c r="N837" s="91" t="s">
        <v>2143</v>
      </c>
    </row>
    <row r="838" spans="1:14" x14ac:dyDescent="0.25">
      <c r="A838" s="91" t="s">
        <v>1316</v>
      </c>
      <c r="B838" s="91" t="s">
        <v>1330</v>
      </c>
      <c r="C838" s="91" t="s">
        <v>2174</v>
      </c>
      <c r="D838" s="91" t="s">
        <v>21</v>
      </c>
      <c r="E838" s="91"/>
      <c r="F838">
        <v>98</v>
      </c>
      <c r="G838" t="s">
        <v>1419</v>
      </c>
      <c r="H838" s="89">
        <v>46084</v>
      </c>
      <c r="I838" s="89">
        <v>46086</v>
      </c>
      <c r="J838" s="91"/>
      <c r="K838" s="91"/>
      <c r="M838" s="91"/>
      <c r="N838" s="91" t="s">
        <v>2143</v>
      </c>
    </row>
    <row r="839" spans="1:14" x14ac:dyDescent="0.25">
      <c r="A839" s="91" t="s">
        <v>1318</v>
      </c>
      <c r="B839" s="91" t="s">
        <v>1332</v>
      </c>
      <c r="C839" s="91" t="s">
        <v>2175</v>
      </c>
      <c r="D839" s="91" t="s">
        <v>21</v>
      </c>
      <c r="E839" s="91"/>
      <c r="F839">
        <v>55</v>
      </c>
      <c r="G839" t="s">
        <v>1419</v>
      </c>
      <c r="H839" s="89">
        <v>46084</v>
      </c>
      <c r="I839" s="89">
        <v>46086</v>
      </c>
      <c r="J839" s="91"/>
      <c r="K839" s="91"/>
      <c r="M839" s="91"/>
      <c r="N839" s="91" t="s">
        <v>2143</v>
      </c>
    </row>
    <row r="840" spans="1:14" x14ac:dyDescent="0.25">
      <c r="A840" s="91" t="s">
        <v>1321</v>
      </c>
      <c r="B840" s="91" t="s">
        <v>1335</v>
      </c>
      <c r="C840" s="91" t="s">
        <v>2168</v>
      </c>
      <c r="D840" s="91" t="s">
        <v>32</v>
      </c>
      <c r="E840" s="91"/>
      <c r="F840">
        <v>96</v>
      </c>
      <c r="G840">
        <v>2</v>
      </c>
      <c r="H840" s="89">
        <v>46084</v>
      </c>
      <c r="I840" s="89">
        <v>46090</v>
      </c>
      <c r="J840" s="91" t="s">
        <v>2170</v>
      </c>
      <c r="K840" s="91"/>
      <c r="M840" s="91"/>
      <c r="N840" s="91" t="s">
        <v>2143</v>
      </c>
    </row>
    <row r="841" spans="1:14" x14ac:dyDescent="0.25">
      <c r="A841" s="91" t="s">
        <v>1324</v>
      </c>
      <c r="B841" s="91" t="s">
        <v>1338</v>
      </c>
      <c r="C841" s="91" t="s">
        <v>2176</v>
      </c>
      <c r="D841" s="91" t="s">
        <v>118</v>
      </c>
      <c r="E841" s="91"/>
      <c r="F841">
        <v>960</v>
      </c>
      <c r="G841">
        <v>20</v>
      </c>
      <c r="H841" s="89">
        <v>46084</v>
      </c>
      <c r="I841" s="89">
        <v>46090</v>
      </c>
      <c r="J841" s="91" t="s">
        <v>2170</v>
      </c>
      <c r="K841" s="91"/>
      <c r="M841" s="91"/>
      <c r="N841" s="91" t="s">
        <v>2143</v>
      </c>
    </row>
    <row r="842" spans="1:14" x14ac:dyDescent="0.25">
      <c r="A842" s="91" t="s">
        <v>1323</v>
      </c>
      <c r="B842" s="91" t="s">
        <v>1337</v>
      </c>
      <c r="C842" s="91" t="s">
        <v>2177</v>
      </c>
      <c r="D842" s="91" t="s">
        <v>20</v>
      </c>
      <c r="E842" s="91"/>
      <c r="F842">
        <v>918</v>
      </c>
      <c r="G842">
        <v>17</v>
      </c>
      <c r="H842" s="89">
        <v>46084</v>
      </c>
      <c r="I842" s="89">
        <v>46087</v>
      </c>
      <c r="J842" s="91" t="s">
        <v>2178</v>
      </c>
      <c r="K842" s="91"/>
      <c r="M842" s="91"/>
      <c r="N842" s="91" t="s">
        <v>2143</v>
      </c>
    </row>
    <row r="843" spans="1:14" x14ac:dyDescent="0.25">
      <c r="A843" s="91" t="s">
        <v>1322</v>
      </c>
      <c r="B843" s="91" t="s">
        <v>1336</v>
      </c>
      <c r="C843" s="91" t="s">
        <v>2177</v>
      </c>
      <c r="D843" s="91" t="s">
        <v>20</v>
      </c>
      <c r="E843" s="91"/>
      <c r="F843">
        <v>162</v>
      </c>
      <c r="G843">
        <v>3</v>
      </c>
      <c r="H843" s="89">
        <v>46084</v>
      </c>
      <c r="I843" s="89">
        <v>46087</v>
      </c>
      <c r="J843" s="91" t="s">
        <v>2178</v>
      </c>
      <c r="K843" s="91"/>
      <c r="M843" s="91"/>
      <c r="N843" s="91" t="s">
        <v>2143</v>
      </c>
    </row>
    <row r="844" spans="1:14" x14ac:dyDescent="0.25">
      <c r="A844" s="91" t="s">
        <v>1313</v>
      </c>
      <c r="B844" s="91" t="s">
        <v>1327</v>
      </c>
      <c r="C844" s="91" t="s">
        <v>2177</v>
      </c>
      <c r="D844" s="91" t="s">
        <v>20</v>
      </c>
      <c r="E844" s="91"/>
      <c r="F844">
        <v>154</v>
      </c>
      <c r="G844">
        <v>3.2083333333333335</v>
      </c>
      <c r="H844" s="89">
        <v>46084</v>
      </c>
      <c r="I844" s="89">
        <v>46086</v>
      </c>
      <c r="J844" s="91"/>
      <c r="K844" s="91"/>
      <c r="M844" s="91"/>
      <c r="N844" s="91" t="s">
        <v>2143</v>
      </c>
    </row>
    <row r="845" spans="1:14" x14ac:dyDescent="0.25">
      <c r="A845" s="91" t="s">
        <v>1315</v>
      </c>
      <c r="B845" s="91" t="s">
        <v>1329</v>
      </c>
      <c r="C845" s="91" t="s">
        <v>2177</v>
      </c>
      <c r="D845" s="91" t="s">
        <v>20</v>
      </c>
      <c r="E845" s="91"/>
      <c r="F845">
        <v>7</v>
      </c>
      <c r="G845" t="s">
        <v>1419</v>
      </c>
      <c r="H845" s="89">
        <v>46084</v>
      </c>
      <c r="I845" s="89">
        <v>46086</v>
      </c>
      <c r="J845" s="91"/>
      <c r="K845" s="91"/>
      <c r="M845" s="91"/>
      <c r="N845" s="91" t="s">
        <v>2143</v>
      </c>
    </row>
    <row r="846" spans="1:14" x14ac:dyDescent="0.25">
      <c r="A846" s="91" t="s">
        <v>1317</v>
      </c>
      <c r="B846" s="91" t="s">
        <v>1331</v>
      </c>
      <c r="C846" s="91" t="s">
        <v>2179</v>
      </c>
      <c r="D846" s="91" t="s">
        <v>20</v>
      </c>
      <c r="E846" s="91"/>
      <c r="F846">
        <v>24</v>
      </c>
      <c r="G846" t="s">
        <v>1419</v>
      </c>
      <c r="H846" s="89">
        <v>46084</v>
      </c>
      <c r="I846" s="89">
        <v>46086</v>
      </c>
      <c r="J846" s="91"/>
      <c r="K846" s="91"/>
      <c r="M846" s="91"/>
      <c r="N846" s="91" t="s">
        <v>2143</v>
      </c>
    </row>
    <row r="847" spans="1:14" x14ac:dyDescent="0.25">
      <c r="A847" s="91" t="s">
        <v>1316</v>
      </c>
      <c r="B847" s="91" t="s">
        <v>1330</v>
      </c>
      <c r="C847" s="91" t="s">
        <v>2180</v>
      </c>
      <c r="D847" s="91" t="s">
        <v>20</v>
      </c>
      <c r="E847" s="91"/>
      <c r="F847">
        <v>111</v>
      </c>
      <c r="G847" t="s">
        <v>1419</v>
      </c>
      <c r="H847" s="89">
        <v>46084</v>
      </c>
      <c r="I847" s="89">
        <v>46086</v>
      </c>
      <c r="J847" s="91"/>
      <c r="K847" s="91"/>
      <c r="M847" s="91"/>
      <c r="N847" s="91" t="s">
        <v>2143</v>
      </c>
    </row>
    <row r="848" spans="1:14" x14ac:dyDescent="0.25">
      <c r="A848" s="91" t="s">
        <v>1318</v>
      </c>
      <c r="B848" s="91" t="s">
        <v>1332</v>
      </c>
      <c r="C848" s="91" t="s">
        <v>2181</v>
      </c>
      <c r="D848" s="91" t="s">
        <v>20</v>
      </c>
      <c r="E848" s="91"/>
      <c r="F848">
        <v>39</v>
      </c>
      <c r="G848" t="s">
        <v>1419</v>
      </c>
      <c r="H848" s="89">
        <v>46084</v>
      </c>
      <c r="I848" s="89">
        <v>46086</v>
      </c>
      <c r="J848" s="91"/>
      <c r="K848" s="91"/>
      <c r="M848" s="91"/>
      <c r="N848" s="91" t="s">
        <v>2143</v>
      </c>
    </row>
    <row r="849" spans="1:14" x14ac:dyDescent="0.25">
      <c r="A849" s="91" t="s">
        <v>1325</v>
      </c>
      <c r="B849" s="91" t="s">
        <v>1339</v>
      </c>
      <c r="C849" s="91" t="s">
        <v>2168</v>
      </c>
      <c r="D849" s="91" t="s">
        <v>32</v>
      </c>
      <c r="E849" s="91"/>
      <c r="F849">
        <v>336</v>
      </c>
      <c r="G849">
        <v>7</v>
      </c>
      <c r="H849" s="89">
        <v>46084</v>
      </c>
      <c r="I849" s="89">
        <v>46086</v>
      </c>
      <c r="J849" s="91"/>
      <c r="K849" s="91"/>
      <c r="M849" s="91"/>
      <c r="N849" s="91" t="s">
        <v>2143</v>
      </c>
    </row>
    <row r="850" spans="1:14" x14ac:dyDescent="0.25">
      <c r="A850" s="91" t="s">
        <v>1320</v>
      </c>
      <c r="B850" s="91" t="s">
        <v>1334</v>
      </c>
      <c r="C850" s="91" t="s">
        <v>2182</v>
      </c>
      <c r="D850" s="91" t="s">
        <v>88</v>
      </c>
      <c r="E850" s="91"/>
      <c r="F850">
        <v>960</v>
      </c>
      <c r="G850">
        <v>20</v>
      </c>
      <c r="H850" s="89">
        <v>46085</v>
      </c>
      <c r="I850" s="89">
        <v>46090</v>
      </c>
      <c r="J850" s="91" t="s">
        <v>2183</v>
      </c>
      <c r="K850" s="91"/>
      <c r="M850" s="91"/>
      <c r="N850" s="91" t="s">
        <v>2143</v>
      </c>
    </row>
    <row r="851" spans="1:14" x14ac:dyDescent="0.25">
      <c r="A851" s="91" t="s">
        <v>1313</v>
      </c>
      <c r="B851" s="91" t="s">
        <v>1327</v>
      </c>
      <c r="C851" s="91" t="s">
        <v>2184</v>
      </c>
      <c r="D851" s="91" t="s">
        <v>21</v>
      </c>
      <c r="E851" s="91"/>
      <c r="F851">
        <v>811</v>
      </c>
      <c r="G851">
        <v>16.895833333333332</v>
      </c>
      <c r="H851" s="89">
        <v>46085</v>
      </c>
      <c r="I851" s="89">
        <v>46089</v>
      </c>
      <c r="J851" s="91" t="s">
        <v>2172</v>
      </c>
      <c r="K851" s="91"/>
      <c r="M851" s="91"/>
      <c r="N851" s="91" t="s">
        <v>2143</v>
      </c>
    </row>
    <row r="852" spans="1:14" x14ac:dyDescent="0.25">
      <c r="A852" s="91" t="s">
        <v>1566</v>
      </c>
      <c r="B852" s="91" t="s">
        <v>1567</v>
      </c>
      <c r="C852" s="91" t="s">
        <v>2184</v>
      </c>
      <c r="D852" s="91" t="s">
        <v>21</v>
      </c>
      <c r="E852" s="91"/>
      <c r="F852">
        <v>5</v>
      </c>
      <c r="G852">
        <v>0.10416666666666669</v>
      </c>
      <c r="H852" s="89">
        <v>46085</v>
      </c>
      <c r="I852" s="89">
        <v>46089</v>
      </c>
      <c r="J852" s="91" t="s">
        <v>2185</v>
      </c>
      <c r="K852" s="91"/>
      <c r="M852" s="91"/>
      <c r="N852" s="91" t="s">
        <v>2143</v>
      </c>
    </row>
    <row r="853" spans="1:14" x14ac:dyDescent="0.25">
      <c r="A853" s="91" t="s">
        <v>1314</v>
      </c>
      <c r="B853" s="91" t="s">
        <v>1328</v>
      </c>
      <c r="C853" s="91" t="s">
        <v>2184</v>
      </c>
      <c r="D853" s="91" t="s">
        <v>21</v>
      </c>
      <c r="E853" s="91"/>
      <c r="F853">
        <v>336</v>
      </c>
      <c r="G853">
        <v>7</v>
      </c>
      <c r="H853" s="89">
        <v>46085</v>
      </c>
      <c r="I853" s="89">
        <v>46090</v>
      </c>
      <c r="J853" s="91" t="s">
        <v>2186</v>
      </c>
      <c r="K853" s="91"/>
      <c r="M853" s="91"/>
      <c r="N853" s="91" t="s">
        <v>2143</v>
      </c>
    </row>
    <row r="854" spans="1:14" x14ac:dyDescent="0.25">
      <c r="A854" s="91" t="s">
        <v>1313</v>
      </c>
      <c r="B854" s="91" t="s">
        <v>1327</v>
      </c>
      <c r="C854" s="91" t="s">
        <v>2184</v>
      </c>
      <c r="D854" s="91" t="s">
        <v>21</v>
      </c>
      <c r="E854" s="91"/>
      <c r="F854">
        <v>384</v>
      </c>
      <c r="G854">
        <v>8</v>
      </c>
      <c r="H854" s="89">
        <v>46085</v>
      </c>
      <c r="I854" s="89">
        <v>46090</v>
      </c>
      <c r="J854" s="91" t="s">
        <v>2187</v>
      </c>
      <c r="K854" s="91"/>
      <c r="M854" s="91"/>
      <c r="N854" s="91" t="s">
        <v>2143</v>
      </c>
    </row>
    <row r="855" spans="1:14" x14ac:dyDescent="0.25">
      <c r="A855" s="91" t="s">
        <v>1315</v>
      </c>
      <c r="B855" s="91" t="s">
        <v>1329</v>
      </c>
      <c r="C855" s="91" t="s">
        <v>2184</v>
      </c>
      <c r="D855" s="91" t="s">
        <v>21</v>
      </c>
      <c r="E855" s="91"/>
      <c r="F855">
        <v>54</v>
      </c>
      <c r="G855" t="s">
        <v>1419</v>
      </c>
      <c r="H855" s="89">
        <v>46085</v>
      </c>
      <c r="I855" s="89">
        <v>46086</v>
      </c>
      <c r="J855" s="91"/>
      <c r="K855" s="91"/>
      <c r="M855" s="91"/>
      <c r="N855" s="91" t="s">
        <v>2143</v>
      </c>
    </row>
    <row r="856" spans="1:14" x14ac:dyDescent="0.25">
      <c r="A856" s="91" t="s">
        <v>1317</v>
      </c>
      <c r="B856" s="91" t="s">
        <v>1331</v>
      </c>
      <c r="C856" s="91" t="s">
        <v>2188</v>
      </c>
      <c r="D856" s="91" t="s">
        <v>21</v>
      </c>
      <c r="E856" s="91"/>
      <c r="F856">
        <v>31</v>
      </c>
      <c r="G856" t="s">
        <v>1419</v>
      </c>
      <c r="H856" s="89">
        <v>46085</v>
      </c>
      <c r="I856" s="89">
        <v>46087</v>
      </c>
      <c r="J856" s="91"/>
      <c r="K856" s="91"/>
      <c r="M856" s="91"/>
      <c r="N856" s="91" t="s">
        <v>2143</v>
      </c>
    </row>
    <row r="857" spans="1:14" x14ac:dyDescent="0.25">
      <c r="A857" s="91" t="s">
        <v>1316</v>
      </c>
      <c r="B857" s="91" t="s">
        <v>1330</v>
      </c>
      <c r="C857" s="91" t="s">
        <v>2189</v>
      </c>
      <c r="D857" s="91" t="s">
        <v>21</v>
      </c>
      <c r="E857" s="91"/>
      <c r="F857">
        <v>71</v>
      </c>
      <c r="G857" t="s">
        <v>1419</v>
      </c>
      <c r="H857" s="89">
        <v>46085</v>
      </c>
      <c r="I857" s="89">
        <v>46087</v>
      </c>
      <c r="J857" s="91"/>
      <c r="K857" s="91"/>
      <c r="M857" s="91"/>
      <c r="N857" s="91" t="s">
        <v>2143</v>
      </c>
    </row>
    <row r="858" spans="1:14" x14ac:dyDescent="0.25">
      <c r="A858" s="91" t="s">
        <v>1318</v>
      </c>
      <c r="B858" s="91" t="s">
        <v>1332</v>
      </c>
      <c r="C858" s="91" t="s">
        <v>2190</v>
      </c>
      <c r="D858" s="91" t="s">
        <v>21</v>
      </c>
      <c r="E858" s="91"/>
      <c r="F858">
        <v>63</v>
      </c>
      <c r="G858" t="s">
        <v>1419</v>
      </c>
      <c r="H858" s="89">
        <v>46085</v>
      </c>
      <c r="I858" s="89">
        <v>46087</v>
      </c>
      <c r="J858" s="91"/>
      <c r="K858" s="91"/>
      <c r="M858" s="91"/>
      <c r="N858" s="91" t="s">
        <v>2143</v>
      </c>
    </row>
    <row r="859" spans="1:14" x14ac:dyDescent="0.25">
      <c r="A859" s="91" t="s">
        <v>1313</v>
      </c>
      <c r="B859" s="91" t="s">
        <v>1327</v>
      </c>
      <c r="C859" s="91" t="s">
        <v>2191</v>
      </c>
      <c r="D859" s="91" t="s">
        <v>15</v>
      </c>
      <c r="E859" s="91"/>
      <c r="F859">
        <v>1152</v>
      </c>
      <c r="G859">
        <v>24</v>
      </c>
      <c r="H859" s="89">
        <v>46085</v>
      </c>
      <c r="I859" s="89">
        <v>46089</v>
      </c>
      <c r="J859" s="91" t="s">
        <v>2192</v>
      </c>
      <c r="K859" s="91"/>
      <c r="M859" s="91"/>
      <c r="N859" s="91" t="s">
        <v>2143</v>
      </c>
    </row>
    <row r="860" spans="1:14" x14ac:dyDescent="0.25">
      <c r="A860" s="91" t="s">
        <v>1315</v>
      </c>
      <c r="B860" s="91" t="s">
        <v>1329</v>
      </c>
      <c r="C860" s="91" t="s">
        <v>2191</v>
      </c>
      <c r="D860" s="91" t="s">
        <v>15</v>
      </c>
      <c r="E860" s="91"/>
      <c r="F860">
        <v>41</v>
      </c>
      <c r="G860" t="s">
        <v>1419</v>
      </c>
      <c r="H860" s="89">
        <v>46085</v>
      </c>
      <c r="I860" s="89">
        <v>46086</v>
      </c>
      <c r="J860" s="91"/>
      <c r="K860" s="91"/>
      <c r="M860" s="91"/>
      <c r="N860" s="91" t="s">
        <v>2143</v>
      </c>
    </row>
    <row r="861" spans="1:14" x14ac:dyDescent="0.25">
      <c r="A861" s="91" t="s">
        <v>1317</v>
      </c>
      <c r="B861" s="91" t="s">
        <v>1331</v>
      </c>
      <c r="C861" s="91" t="s">
        <v>2193</v>
      </c>
      <c r="D861" s="91" t="s">
        <v>15</v>
      </c>
      <c r="E861" s="91"/>
      <c r="F861">
        <v>7</v>
      </c>
      <c r="G861" t="s">
        <v>1419</v>
      </c>
      <c r="H861" s="89">
        <v>46085</v>
      </c>
      <c r="I861" s="89">
        <v>46087</v>
      </c>
      <c r="J861" s="91"/>
      <c r="K861" s="91"/>
      <c r="M861" s="91"/>
      <c r="N861" s="91" t="s">
        <v>2143</v>
      </c>
    </row>
    <row r="862" spans="1:14" x14ac:dyDescent="0.25">
      <c r="A862" s="91" t="s">
        <v>1316</v>
      </c>
      <c r="B862" s="91" t="s">
        <v>1330</v>
      </c>
      <c r="C862" s="91" t="s">
        <v>2194</v>
      </c>
      <c r="D862" s="91" t="s">
        <v>15</v>
      </c>
      <c r="E862" s="91"/>
      <c r="F862">
        <v>44</v>
      </c>
      <c r="G862" t="s">
        <v>1419</v>
      </c>
      <c r="H862" s="89">
        <v>46085</v>
      </c>
      <c r="I862" s="89">
        <v>46087</v>
      </c>
      <c r="J862" s="91"/>
      <c r="K862" s="91"/>
      <c r="M862" s="91"/>
      <c r="N862" s="91" t="s">
        <v>2143</v>
      </c>
    </row>
    <row r="863" spans="1:14" x14ac:dyDescent="0.25">
      <c r="A863" s="91" t="s">
        <v>1318</v>
      </c>
      <c r="B863" s="91" t="s">
        <v>1332</v>
      </c>
      <c r="C863" s="91" t="s">
        <v>2195</v>
      </c>
      <c r="D863" s="91" t="s">
        <v>15</v>
      </c>
      <c r="E863" s="91"/>
      <c r="F863">
        <v>31</v>
      </c>
      <c r="G863" t="s">
        <v>1419</v>
      </c>
      <c r="H863" s="89">
        <v>46085</v>
      </c>
      <c r="I863" s="89">
        <v>46087</v>
      </c>
      <c r="J863" s="91"/>
      <c r="K863" s="91"/>
      <c r="M863" s="91"/>
      <c r="N863" s="91" t="s">
        <v>2143</v>
      </c>
    </row>
    <row r="864" spans="1:14" x14ac:dyDescent="0.25">
      <c r="A864" s="91" t="s">
        <v>1320</v>
      </c>
      <c r="B864" s="91" t="s">
        <v>1334</v>
      </c>
      <c r="C864" s="91" t="s">
        <v>2196</v>
      </c>
      <c r="D864" s="91" t="s">
        <v>20</v>
      </c>
      <c r="E864" s="91"/>
      <c r="F864">
        <v>960</v>
      </c>
      <c r="G864">
        <v>20</v>
      </c>
      <c r="H864" s="89">
        <v>46085</v>
      </c>
      <c r="I864" s="89">
        <v>46090</v>
      </c>
      <c r="J864" s="91" t="s">
        <v>2197</v>
      </c>
      <c r="K864" s="91"/>
      <c r="M864" s="91"/>
      <c r="N864" s="91" t="s">
        <v>2143</v>
      </c>
    </row>
    <row r="865" spans="1:14" x14ac:dyDescent="0.25">
      <c r="A865" s="91" t="s">
        <v>1313</v>
      </c>
      <c r="B865" s="91" t="s">
        <v>1327</v>
      </c>
      <c r="C865" s="91" t="s">
        <v>2196</v>
      </c>
      <c r="D865" s="91" t="s">
        <v>20</v>
      </c>
      <c r="E865" s="91"/>
      <c r="F865">
        <v>384</v>
      </c>
      <c r="G865">
        <v>8</v>
      </c>
      <c r="H865" s="89">
        <v>46085</v>
      </c>
      <c r="I865" s="89">
        <v>46088</v>
      </c>
      <c r="J865" s="91"/>
      <c r="K865" s="91"/>
      <c r="M865" s="91"/>
      <c r="N865" s="91" t="s">
        <v>2143</v>
      </c>
    </row>
    <row r="866" spans="1:14" x14ac:dyDescent="0.25">
      <c r="A866" s="91" t="s">
        <v>1317</v>
      </c>
      <c r="B866" s="91" t="s">
        <v>1331</v>
      </c>
      <c r="C866" s="91" t="s">
        <v>2198</v>
      </c>
      <c r="D866" s="91" t="s">
        <v>20</v>
      </c>
      <c r="E866" s="91"/>
      <c r="F866">
        <v>12</v>
      </c>
      <c r="G866" t="s">
        <v>1419</v>
      </c>
      <c r="H866" s="89">
        <v>46085</v>
      </c>
      <c r="I866" s="89">
        <v>46087</v>
      </c>
      <c r="J866" s="91"/>
      <c r="K866" s="91"/>
      <c r="M866" s="91"/>
      <c r="N866" s="91" t="s">
        <v>2143</v>
      </c>
    </row>
    <row r="867" spans="1:14" x14ac:dyDescent="0.25">
      <c r="A867" s="91" t="s">
        <v>1316</v>
      </c>
      <c r="B867" s="91" t="s">
        <v>1330</v>
      </c>
      <c r="C867" s="91" t="s">
        <v>2199</v>
      </c>
      <c r="D867" s="91" t="s">
        <v>20</v>
      </c>
      <c r="E867" s="91"/>
      <c r="F867">
        <v>265</v>
      </c>
      <c r="G867" t="s">
        <v>1419</v>
      </c>
      <c r="H867" s="89">
        <v>46085</v>
      </c>
      <c r="I867" s="89">
        <v>46087</v>
      </c>
      <c r="J867" s="91"/>
      <c r="K867" s="91"/>
      <c r="M867" s="91"/>
      <c r="N867" s="91" t="s">
        <v>2143</v>
      </c>
    </row>
    <row r="868" spans="1:14" x14ac:dyDescent="0.25">
      <c r="A868" s="91" t="s">
        <v>1318</v>
      </c>
      <c r="B868" s="91" t="s">
        <v>1332</v>
      </c>
      <c r="C868" s="91" t="s">
        <v>2200</v>
      </c>
      <c r="D868" s="91" t="s">
        <v>20</v>
      </c>
      <c r="E868" s="91"/>
      <c r="F868">
        <v>64</v>
      </c>
      <c r="G868" t="s">
        <v>1419</v>
      </c>
      <c r="H868" s="89">
        <v>46085</v>
      </c>
      <c r="I868" s="89">
        <v>46087</v>
      </c>
      <c r="J868" s="91"/>
      <c r="K868" s="91"/>
      <c r="M868" s="91"/>
      <c r="N868" s="91" t="s">
        <v>2143</v>
      </c>
    </row>
    <row r="869" spans="1:14" x14ac:dyDescent="0.25">
      <c r="A869" s="91" t="s">
        <v>1313</v>
      </c>
      <c r="B869" s="91" t="s">
        <v>1327</v>
      </c>
      <c r="C869" s="91" t="s">
        <v>2201</v>
      </c>
      <c r="D869" s="91" t="s">
        <v>20</v>
      </c>
      <c r="E869" s="91"/>
      <c r="F869">
        <v>528</v>
      </c>
      <c r="G869">
        <v>11</v>
      </c>
      <c r="H869" s="89">
        <v>46086</v>
      </c>
      <c r="I869" s="89">
        <v>46090</v>
      </c>
      <c r="J869" s="91" t="s">
        <v>2202</v>
      </c>
      <c r="K869" s="91"/>
      <c r="M869" s="91"/>
      <c r="N869" s="91" t="s">
        <v>2143</v>
      </c>
    </row>
    <row r="870" spans="1:14" x14ac:dyDescent="0.25">
      <c r="A870" s="91" t="s">
        <v>1313</v>
      </c>
      <c r="B870" s="91" t="s">
        <v>1327</v>
      </c>
      <c r="C870" s="91" t="s">
        <v>2201</v>
      </c>
      <c r="D870" s="91" t="s">
        <v>20</v>
      </c>
      <c r="E870" s="91"/>
      <c r="F870">
        <v>432</v>
      </c>
      <c r="G870">
        <v>9</v>
      </c>
      <c r="H870" s="89">
        <v>46086</v>
      </c>
      <c r="I870" s="89">
        <v>46090</v>
      </c>
      <c r="J870" s="91" t="s">
        <v>2187</v>
      </c>
      <c r="K870" s="91"/>
      <c r="M870" s="91"/>
      <c r="N870" s="91" t="s">
        <v>2143</v>
      </c>
    </row>
    <row r="871" spans="1:14" x14ac:dyDescent="0.25">
      <c r="A871" s="91" t="s">
        <v>1313</v>
      </c>
      <c r="B871" s="91" t="s">
        <v>1327</v>
      </c>
      <c r="C871" s="91" t="s">
        <v>2201</v>
      </c>
      <c r="D871" s="91" t="s">
        <v>20</v>
      </c>
      <c r="E871" s="91"/>
      <c r="F871">
        <v>288</v>
      </c>
      <c r="G871">
        <v>6</v>
      </c>
      <c r="H871" s="89">
        <v>46086</v>
      </c>
      <c r="I871" s="89">
        <v>46088</v>
      </c>
      <c r="J871" s="91"/>
      <c r="K871" s="91"/>
      <c r="M871" s="91"/>
      <c r="N871" s="91" t="s">
        <v>2143</v>
      </c>
    </row>
    <row r="872" spans="1:14" x14ac:dyDescent="0.25">
      <c r="A872" s="91" t="s">
        <v>1315</v>
      </c>
      <c r="B872" s="91" t="s">
        <v>1329</v>
      </c>
      <c r="C872" s="91" t="s">
        <v>2201</v>
      </c>
      <c r="D872" s="91" t="s">
        <v>20</v>
      </c>
      <c r="E872" s="91"/>
      <c r="F872">
        <v>70</v>
      </c>
      <c r="G872" t="s">
        <v>1419</v>
      </c>
      <c r="H872" s="89">
        <v>46086</v>
      </c>
      <c r="I872" s="89">
        <v>46086</v>
      </c>
      <c r="J872" s="91"/>
      <c r="K872" s="91"/>
      <c r="M872" s="91"/>
      <c r="N872" s="91" t="s">
        <v>2143</v>
      </c>
    </row>
    <row r="873" spans="1:14" x14ac:dyDescent="0.25">
      <c r="A873" s="91" t="s">
        <v>1317</v>
      </c>
      <c r="B873" s="91" t="s">
        <v>1331</v>
      </c>
      <c r="C873" s="91" t="s">
        <v>2203</v>
      </c>
      <c r="D873" s="91" t="s">
        <v>20</v>
      </c>
      <c r="E873" s="91"/>
      <c r="F873">
        <v>21</v>
      </c>
      <c r="G873" t="s">
        <v>1419</v>
      </c>
      <c r="H873" s="89">
        <v>46086</v>
      </c>
      <c r="I873" s="89">
        <v>46088</v>
      </c>
      <c r="J873" s="91"/>
      <c r="K873" s="91"/>
      <c r="M873" s="91"/>
      <c r="N873" s="91" t="s">
        <v>2143</v>
      </c>
    </row>
    <row r="874" spans="1:14" x14ac:dyDescent="0.25">
      <c r="A874" s="91" t="s">
        <v>1316</v>
      </c>
      <c r="B874" s="91" t="s">
        <v>1330</v>
      </c>
      <c r="C874" s="91" t="s">
        <v>2204</v>
      </c>
      <c r="D874" s="91" t="s">
        <v>20</v>
      </c>
      <c r="E874" s="91"/>
      <c r="F874">
        <v>193</v>
      </c>
      <c r="G874" t="s">
        <v>1419</v>
      </c>
      <c r="H874" s="89">
        <v>46086</v>
      </c>
      <c r="I874" s="89">
        <v>46088</v>
      </c>
      <c r="J874" s="91"/>
      <c r="K874" s="91"/>
      <c r="M874" s="91"/>
      <c r="N874" s="91" t="s">
        <v>2143</v>
      </c>
    </row>
    <row r="875" spans="1:14" x14ac:dyDescent="0.25">
      <c r="A875" s="91" t="s">
        <v>1318</v>
      </c>
      <c r="B875" s="91" t="s">
        <v>1332</v>
      </c>
      <c r="C875" s="91" t="s">
        <v>2205</v>
      </c>
      <c r="D875" s="91" t="s">
        <v>20</v>
      </c>
      <c r="E875" s="91"/>
      <c r="F875">
        <v>65</v>
      </c>
      <c r="G875" t="s">
        <v>1419</v>
      </c>
      <c r="H875" s="89">
        <v>46086</v>
      </c>
      <c r="I875" s="89">
        <v>46088</v>
      </c>
      <c r="J875" s="91"/>
      <c r="K875" s="91"/>
      <c r="M875" s="91"/>
      <c r="N875" s="91" t="s">
        <v>2143</v>
      </c>
    </row>
    <row r="876" spans="1:14" x14ac:dyDescent="0.25">
      <c r="A876" s="91" t="s">
        <v>1320</v>
      </c>
      <c r="B876" s="91" t="s">
        <v>1334</v>
      </c>
      <c r="C876" s="91" t="s">
        <v>2206</v>
      </c>
      <c r="D876" s="91" t="s">
        <v>23</v>
      </c>
      <c r="E876" s="91"/>
      <c r="F876">
        <v>960</v>
      </c>
      <c r="G876">
        <v>20</v>
      </c>
      <c r="H876" s="89">
        <v>46086</v>
      </c>
      <c r="I876" s="89">
        <v>46091</v>
      </c>
      <c r="J876" s="91" t="s">
        <v>2207</v>
      </c>
      <c r="K876" s="91"/>
      <c r="M876" s="91"/>
      <c r="N876" s="91" t="s">
        <v>2143</v>
      </c>
    </row>
    <row r="877" spans="1:14" x14ac:dyDescent="0.25">
      <c r="A877" s="91" t="s">
        <v>1326</v>
      </c>
      <c r="B877" s="91" t="s">
        <v>1340</v>
      </c>
      <c r="C877" s="91" t="s">
        <v>2208</v>
      </c>
      <c r="D877" s="91" t="s">
        <v>155</v>
      </c>
      <c r="E877" s="91"/>
      <c r="F877">
        <v>420</v>
      </c>
      <c r="G877">
        <v>10</v>
      </c>
      <c r="H877" s="89">
        <v>46086</v>
      </c>
      <c r="I877" s="89">
        <v>46094</v>
      </c>
      <c r="J877" s="91" t="s">
        <v>2209</v>
      </c>
      <c r="K877" s="91"/>
      <c r="M877" s="91"/>
      <c r="N877" s="91" t="s">
        <v>2143</v>
      </c>
    </row>
    <row r="878" spans="1:14" x14ac:dyDescent="0.25">
      <c r="A878" s="91" t="s">
        <v>1320</v>
      </c>
      <c r="B878" s="91" t="s">
        <v>1334</v>
      </c>
      <c r="C878" s="91" t="s">
        <v>2210</v>
      </c>
      <c r="D878" s="91" t="s">
        <v>15</v>
      </c>
      <c r="E878" s="91"/>
      <c r="F878">
        <v>960</v>
      </c>
      <c r="G878">
        <v>20</v>
      </c>
      <c r="H878" s="89">
        <v>46086</v>
      </c>
      <c r="I878" s="89">
        <v>46091</v>
      </c>
      <c r="J878" s="91" t="s">
        <v>2211</v>
      </c>
      <c r="K878" s="91"/>
      <c r="M878" s="91"/>
      <c r="N878" s="91" t="s">
        <v>2143</v>
      </c>
    </row>
    <row r="879" spans="1:14" x14ac:dyDescent="0.25">
      <c r="A879" s="91" t="s">
        <v>1313</v>
      </c>
      <c r="B879" s="91" t="s">
        <v>1327</v>
      </c>
      <c r="C879" s="91" t="s">
        <v>2210</v>
      </c>
      <c r="D879" s="91" t="s">
        <v>15</v>
      </c>
      <c r="E879" s="91"/>
      <c r="F879">
        <v>92</v>
      </c>
      <c r="G879">
        <v>1.9166666666666667</v>
      </c>
      <c r="H879" s="89">
        <v>46086</v>
      </c>
      <c r="I879" s="89">
        <v>46088</v>
      </c>
      <c r="J879" s="91"/>
      <c r="K879" s="91"/>
      <c r="M879" s="91"/>
      <c r="N879" s="91" t="s">
        <v>2143</v>
      </c>
    </row>
    <row r="880" spans="1:14" x14ac:dyDescent="0.25">
      <c r="A880" s="91" t="s">
        <v>1317</v>
      </c>
      <c r="B880" s="91" t="s">
        <v>1331</v>
      </c>
      <c r="C880" s="91" t="s">
        <v>2212</v>
      </c>
      <c r="D880" s="91" t="s">
        <v>15</v>
      </c>
      <c r="E880" s="91"/>
      <c r="F880">
        <v>17</v>
      </c>
      <c r="G880" t="s">
        <v>1419</v>
      </c>
      <c r="H880" s="89">
        <v>46086</v>
      </c>
      <c r="I880" s="89">
        <v>46088</v>
      </c>
      <c r="J880" s="91"/>
      <c r="K880" s="91"/>
      <c r="M880" s="91"/>
      <c r="N880" s="91" t="s">
        <v>2143</v>
      </c>
    </row>
    <row r="881" spans="1:14" x14ac:dyDescent="0.25">
      <c r="A881" s="91" t="s">
        <v>1316</v>
      </c>
      <c r="B881" s="91" t="s">
        <v>1330</v>
      </c>
      <c r="C881" s="91" t="s">
        <v>2213</v>
      </c>
      <c r="D881" s="91" t="s">
        <v>15</v>
      </c>
      <c r="E881" s="91"/>
      <c r="F881">
        <v>30</v>
      </c>
      <c r="G881" t="s">
        <v>1419</v>
      </c>
      <c r="H881" s="89">
        <v>46086</v>
      </c>
      <c r="I881" s="89">
        <v>46088</v>
      </c>
      <c r="J881" s="91"/>
      <c r="K881" s="91"/>
      <c r="M881" s="91"/>
      <c r="N881" s="91" t="s">
        <v>2143</v>
      </c>
    </row>
    <row r="882" spans="1:14" x14ac:dyDescent="0.25">
      <c r="A882" s="91" t="s">
        <v>1318</v>
      </c>
      <c r="B882" s="91" t="s">
        <v>1332</v>
      </c>
      <c r="C882" s="91" t="s">
        <v>2214</v>
      </c>
      <c r="D882" s="91" t="s">
        <v>15</v>
      </c>
      <c r="E882" s="91"/>
      <c r="F882">
        <v>28</v>
      </c>
      <c r="G882" t="s">
        <v>1419</v>
      </c>
      <c r="H882" s="89">
        <v>46086</v>
      </c>
      <c r="I882" s="89">
        <v>46088</v>
      </c>
      <c r="J882" s="91"/>
      <c r="K882" s="91"/>
      <c r="M882" s="91"/>
      <c r="N882" s="91" t="s">
        <v>2143</v>
      </c>
    </row>
    <row r="883" spans="1:14" x14ac:dyDescent="0.25">
      <c r="A883" s="91" t="s">
        <v>1313</v>
      </c>
      <c r="B883" s="91" t="s">
        <v>1327</v>
      </c>
      <c r="C883" s="91" t="s">
        <v>2215</v>
      </c>
      <c r="D883" s="91" t="s">
        <v>21</v>
      </c>
      <c r="E883" s="91"/>
      <c r="F883">
        <v>624</v>
      </c>
      <c r="G883">
        <v>13</v>
      </c>
      <c r="H883" s="89">
        <v>46086</v>
      </c>
      <c r="I883" s="89">
        <v>46090</v>
      </c>
      <c r="J883" s="91" t="s">
        <v>2202</v>
      </c>
      <c r="K883" s="91"/>
      <c r="M883" s="91"/>
      <c r="N883" s="91" t="s">
        <v>2143</v>
      </c>
    </row>
    <row r="884" spans="1:14" x14ac:dyDescent="0.25">
      <c r="A884" s="91" t="s">
        <v>1313</v>
      </c>
      <c r="B884" s="91" t="s">
        <v>1327</v>
      </c>
      <c r="C884" s="91" t="s">
        <v>2215</v>
      </c>
      <c r="D884" s="91" t="s">
        <v>21</v>
      </c>
      <c r="E884" s="91"/>
      <c r="F884">
        <v>768</v>
      </c>
      <c r="G884">
        <v>16</v>
      </c>
      <c r="H884" s="89">
        <v>46086</v>
      </c>
      <c r="I884" s="89">
        <v>46091</v>
      </c>
      <c r="J884" s="91" t="s">
        <v>2216</v>
      </c>
      <c r="K884" s="91"/>
      <c r="M884" s="91"/>
      <c r="N884" s="91" t="s">
        <v>2143</v>
      </c>
    </row>
    <row r="885" spans="1:14" x14ac:dyDescent="0.25">
      <c r="A885" s="91" t="s">
        <v>1313</v>
      </c>
      <c r="B885" s="91" t="s">
        <v>1327</v>
      </c>
      <c r="C885" s="91" t="s">
        <v>2215</v>
      </c>
      <c r="D885" s="91" t="s">
        <v>21</v>
      </c>
      <c r="E885" s="91"/>
      <c r="F885">
        <v>192</v>
      </c>
      <c r="G885">
        <v>4</v>
      </c>
      <c r="H885" s="89">
        <v>46086</v>
      </c>
      <c r="I885" s="89">
        <v>46088</v>
      </c>
      <c r="J885" s="91"/>
      <c r="K885" s="91"/>
      <c r="M885" s="91"/>
      <c r="N885" s="91" t="s">
        <v>2143</v>
      </c>
    </row>
    <row r="886" spans="1:14" x14ac:dyDescent="0.25">
      <c r="A886" s="91" t="s">
        <v>1315</v>
      </c>
      <c r="B886" s="91" t="s">
        <v>1329</v>
      </c>
      <c r="C886" s="91" t="s">
        <v>2215</v>
      </c>
      <c r="D886" s="91" t="s">
        <v>21</v>
      </c>
      <c r="E886" s="91"/>
      <c r="F886">
        <v>30</v>
      </c>
      <c r="G886" t="s">
        <v>1419</v>
      </c>
      <c r="H886" s="89">
        <v>46086</v>
      </c>
      <c r="I886" s="89">
        <v>46086</v>
      </c>
      <c r="J886" s="91"/>
      <c r="K886" s="91"/>
      <c r="M886" s="91"/>
      <c r="N886" s="91" t="s">
        <v>2143</v>
      </c>
    </row>
    <row r="887" spans="1:14" x14ac:dyDescent="0.25">
      <c r="A887" s="91" t="s">
        <v>1317</v>
      </c>
      <c r="B887" s="91" t="s">
        <v>1331</v>
      </c>
      <c r="C887" s="91" t="s">
        <v>2217</v>
      </c>
      <c r="D887" s="91" t="s">
        <v>21</v>
      </c>
      <c r="E887" s="91"/>
      <c r="F887">
        <v>17</v>
      </c>
      <c r="G887" t="s">
        <v>1419</v>
      </c>
      <c r="H887" s="89">
        <v>46086</v>
      </c>
      <c r="I887" s="89">
        <v>46088</v>
      </c>
      <c r="J887" s="91"/>
      <c r="K887" s="91"/>
      <c r="M887" s="91"/>
      <c r="N887" s="91" t="s">
        <v>2143</v>
      </c>
    </row>
    <row r="888" spans="1:14" x14ac:dyDescent="0.25">
      <c r="A888" s="91" t="s">
        <v>1316</v>
      </c>
      <c r="B888" s="91" t="s">
        <v>1330</v>
      </c>
      <c r="C888" s="91" t="s">
        <v>2218</v>
      </c>
      <c r="D888" s="91" t="s">
        <v>21</v>
      </c>
      <c r="E888" s="91"/>
      <c r="F888">
        <v>35</v>
      </c>
      <c r="G888" t="s">
        <v>1419</v>
      </c>
      <c r="H888" s="89">
        <v>46086</v>
      </c>
      <c r="I888" s="89">
        <v>46088</v>
      </c>
      <c r="J888" s="91"/>
      <c r="K888" s="91"/>
      <c r="M888" s="91"/>
      <c r="N888" s="91" t="s">
        <v>2143</v>
      </c>
    </row>
    <row r="889" spans="1:14" x14ac:dyDescent="0.25">
      <c r="A889" s="91" t="s">
        <v>1318</v>
      </c>
      <c r="B889" s="91" t="s">
        <v>1332</v>
      </c>
      <c r="C889" s="91" t="s">
        <v>2219</v>
      </c>
      <c r="D889" s="91" t="s">
        <v>21</v>
      </c>
      <c r="E889" s="91"/>
      <c r="F889">
        <v>51</v>
      </c>
      <c r="G889" t="s">
        <v>1419</v>
      </c>
      <c r="H889" s="89">
        <v>46086</v>
      </c>
      <c r="I889" s="89">
        <v>46088</v>
      </c>
      <c r="J889" s="91"/>
      <c r="K889" s="91"/>
      <c r="M889" s="91"/>
      <c r="N889" s="91" t="s">
        <v>2143</v>
      </c>
    </row>
    <row r="890" spans="1:14" x14ac:dyDescent="0.25">
      <c r="A890" s="91" t="s">
        <v>1325</v>
      </c>
      <c r="B890" s="91" t="s">
        <v>1339</v>
      </c>
      <c r="C890" s="91" t="s">
        <v>2220</v>
      </c>
      <c r="D890" s="91" t="s">
        <v>32</v>
      </c>
      <c r="E890" s="91"/>
      <c r="F890">
        <v>336</v>
      </c>
      <c r="G890">
        <v>7</v>
      </c>
      <c r="H890" s="89">
        <v>46086</v>
      </c>
      <c r="I890" s="89">
        <v>46088</v>
      </c>
      <c r="J890" s="91"/>
      <c r="K890" s="91"/>
      <c r="M890" s="91"/>
      <c r="N890" s="91" t="s">
        <v>2143</v>
      </c>
    </row>
    <row r="891" spans="1:14" x14ac:dyDescent="0.25">
      <c r="A891" s="91" t="s">
        <v>1320</v>
      </c>
      <c r="B891" s="91" t="s">
        <v>1334</v>
      </c>
      <c r="C891" s="91" t="s">
        <v>2221</v>
      </c>
      <c r="D891" s="91" t="s">
        <v>15</v>
      </c>
      <c r="E891" s="91"/>
      <c r="F891">
        <v>960</v>
      </c>
      <c r="G891">
        <v>20</v>
      </c>
      <c r="H891" s="89">
        <v>46087</v>
      </c>
      <c r="I891" s="89">
        <v>46092</v>
      </c>
      <c r="J891" s="91" t="s">
        <v>2222</v>
      </c>
      <c r="K891" s="91"/>
      <c r="M891" s="91"/>
      <c r="N891" s="91" t="s">
        <v>2143</v>
      </c>
    </row>
    <row r="892" spans="1:14" x14ac:dyDescent="0.25">
      <c r="A892" s="91" t="s">
        <v>1313</v>
      </c>
      <c r="B892" s="91" t="s">
        <v>1327</v>
      </c>
      <c r="C892" s="91" t="s">
        <v>2221</v>
      </c>
      <c r="D892" s="91" t="s">
        <v>15</v>
      </c>
      <c r="E892" s="91"/>
      <c r="F892">
        <v>100</v>
      </c>
      <c r="G892">
        <v>2</v>
      </c>
      <c r="H892" s="89">
        <v>46087</v>
      </c>
      <c r="I892" s="89">
        <v>46088</v>
      </c>
      <c r="J892" s="91"/>
      <c r="K892" s="91"/>
      <c r="M892" s="91"/>
      <c r="N892" s="91" t="s">
        <v>2143</v>
      </c>
    </row>
    <row r="893" spans="1:14" x14ac:dyDescent="0.25">
      <c r="A893" s="91" t="s">
        <v>1315</v>
      </c>
      <c r="B893" s="91" t="s">
        <v>1329</v>
      </c>
      <c r="C893" s="91" t="s">
        <v>2221</v>
      </c>
      <c r="D893" s="91" t="s">
        <v>15</v>
      </c>
      <c r="E893" s="91"/>
      <c r="F893">
        <v>23</v>
      </c>
      <c r="G893" t="s">
        <v>1419</v>
      </c>
      <c r="H893" s="89">
        <v>46087</v>
      </c>
      <c r="I893" s="89">
        <v>46089</v>
      </c>
      <c r="J893" s="91"/>
      <c r="K893" s="91"/>
      <c r="M893" s="91"/>
      <c r="N893" s="91" t="s">
        <v>2143</v>
      </c>
    </row>
    <row r="894" spans="1:14" x14ac:dyDescent="0.25">
      <c r="A894" s="91" t="s">
        <v>1317</v>
      </c>
      <c r="B894" s="91" t="s">
        <v>1331</v>
      </c>
      <c r="C894" s="91" t="s">
        <v>2223</v>
      </c>
      <c r="D894" s="91" t="s">
        <v>15</v>
      </c>
      <c r="E894" s="91"/>
      <c r="F894">
        <v>24</v>
      </c>
      <c r="G894" t="s">
        <v>1419</v>
      </c>
      <c r="H894" s="89">
        <v>46087</v>
      </c>
      <c r="I894" s="89">
        <v>46089</v>
      </c>
      <c r="J894" s="91"/>
      <c r="K894" s="91"/>
      <c r="M894" s="91"/>
      <c r="N894" s="91" t="s">
        <v>2143</v>
      </c>
    </row>
    <row r="895" spans="1:14" x14ac:dyDescent="0.25">
      <c r="A895" s="91" t="s">
        <v>1316</v>
      </c>
      <c r="B895" s="91" t="s">
        <v>1330</v>
      </c>
      <c r="C895" s="91" t="s">
        <v>2224</v>
      </c>
      <c r="D895" s="91" t="s">
        <v>15</v>
      </c>
      <c r="E895" s="91"/>
      <c r="F895">
        <v>33</v>
      </c>
      <c r="G895" t="s">
        <v>1419</v>
      </c>
      <c r="H895" s="89">
        <v>46087</v>
      </c>
      <c r="I895" s="89">
        <v>46089</v>
      </c>
      <c r="J895" s="91"/>
      <c r="K895" s="91"/>
      <c r="M895" s="91"/>
      <c r="N895" s="91" t="s">
        <v>2143</v>
      </c>
    </row>
    <row r="896" spans="1:14" x14ac:dyDescent="0.25">
      <c r="A896" s="91" t="s">
        <v>1318</v>
      </c>
      <c r="B896" s="91" t="s">
        <v>1332</v>
      </c>
      <c r="C896" s="91" t="s">
        <v>2225</v>
      </c>
      <c r="D896" s="91" t="s">
        <v>15</v>
      </c>
      <c r="E896" s="91"/>
      <c r="F896">
        <v>26</v>
      </c>
      <c r="G896" t="s">
        <v>1419</v>
      </c>
      <c r="H896" s="89">
        <v>46087</v>
      </c>
      <c r="I896" s="89">
        <v>46089</v>
      </c>
      <c r="J896" s="91"/>
      <c r="K896" s="91"/>
      <c r="M896" s="91"/>
      <c r="N896" s="91" t="s">
        <v>2143</v>
      </c>
    </row>
    <row r="897" spans="1:14" x14ac:dyDescent="0.25">
      <c r="A897" s="91" t="s">
        <v>1313</v>
      </c>
      <c r="B897" s="91" t="s">
        <v>1327</v>
      </c>
      <c r="C897" s="91" t="s">
        <v>2226</v>
      </c>
      <c r="D897" s="91" t="s">
        <v>20</v>
      </c>
      <c r="E897" s="91"/>
      <c r="F897">
        <v>576</v>
      </c>
      <c r="G897">
        <v>12</v>
      </c>
      <c r="H897" s="89">
        <v>46087</v>
      </c>
      <c r="I897" s="89">
        <v>46092</v>
      </c>
      <c r="J897" s="91" t="s">
        <v>2227</v>
      </c>
      <c r="K897" s="91"/>
      <c r="M897" s="91"/>
      <c r="N897" s="91" t="s">
        <v>2143</v>
      </c>
    </row>
    <row r="898" spans="1:14" x14ac:dyDescent="0.25">
      <c r="A898" s="91" t="s">
        <v>1324</v>
      </c>
      <c r="B898" s="91" t="s">
        <v>1338</v>
      </c>
      <c r="C898" s="91" t="s">
        <v>2226</v>
      </c>
      <c r="D898" s="91" t="s">
        <v>20</v>
      </c>
      <c r="E898" s="91"/>
      <c r="F898">
        <v>144</v>
      </c>
      <c r="G898">
        <v>3</v>
      </c>
      <c r="H898" s="89">
        <v>46087</v>
      </c>
      <c r="I898" s="89">
        <v>46089</v>
      </c>
      <c r="J898" s="91"/>
      <c r="K898" s="91"/>
      <c r="M898" s="91"/>
      <c r="N898" s="91" t="s">
        <v>2143</v>
      </c>
    </row>
    <row r="899" spans="1:14" x14ac:dyDescent="0.25">
      <c r="A899" s="91" t="s">
        <v>1313</v>
      </c>
      <c r="B899" s="91" t="s">
        <v>1327</v>
      </c>
      <c r="C899" s="91" t="s">
        <v>2226</v>
      </c>
      <c r="D899" s="91" t="s">
        <v>20</v>
      </c>
      <c r="E899" s="91"/>
      <c r="F899">
        <v>384</v>
      </c>
      <c r="G899">
        <v>8</v>
      </c>
      <c r="H899" s="89">
        <v>46087</v>
      </c>
      <c r="I899" s="89">
        <v>46091</v>
      </c>
      <c r="J899" s="91" t="s">
        <v>2216</v>
      </c>
      <c r="K899" s="91"/>
      <c r="M899" s="91"/>
      <c r="N899" s="91" t="s">
        <v>2143</v>
      </c>
    </row>
    <row r="900" spans="1:14" x14ac:dyDescent="0.25">
      <c r="A900" s="91" t="s">
        <v>1315</v>
      </c>
      <c r="B900" s="91" t="s">
        <v>1329</v>
      </c>
      <c r="C900" s="91" t="s">
        <v>2226</v>
      </c>
      <c r="D900" s="91" t="s">
        <v>20</v>
      </c>
      <c r="E900" s="91"/>
      <c r="F900">
        <v>1</v>
      </c>
      <c r="G900" t="s">
        <v>1419</v>
      </c>
      <c r="H900" s="89">
        <v>46087</v>
      </c>
      <c r="I900" s="89">
        <v>46089</v>
      </c>
      <c r="J900" s="91"/>
      <c r="K900" s="91"/>
      <c r="M900" s="91"/>
      <c r="N900" s="91" t="s">
        <v>2143</v>
      </c>
    </row>
    <row r="901" spans="1:14" x14ac:dyDescent="0.25">
      <c r="A901" s="91" t="s">
        <v>1317</v>
      </c>
      <c r="B901" s="91" t="s">
        <v>1331</v>
      </c>
      <c r="C901" s="91" t="s">
        <v>2228</v>
      </c>
      <c r="D901" s="91" t="s">
        <v>20</v>
      </c>
      <c r="E901" s="91"/>
      <c r="F901">
        <v>18</v>
      </c>
      <c r="G901" t="s">
        <v>1419</v>
      </c>
      <c r="H901" s="89">
        <v>46087</v>
      </c>
      <c r="I901" s="89">
        <v>46089</v>
      </c>
      <c r="J901" s="91"/>
      <c r="K901" s="91"/>
      <c r="M901" s="91"/>
      <c r="N901" s="91" t="s">
        <v>2143</v>
      </c>
    </row>
    <row r="902" spans="1:14" x14ac:dyDescent="0.25">
      <c r="A902" s="91" t="s">
        <v>1316</v>
      </c>
      <c r="B902" s="91" t="s">
        <v>1330</v>
      </c>
      <c r="C902" s="91" t="s">
        <v>2229</v>
      </c>
      <c r="D902" s="91" t="s">
        <v>20</v>
      </c>
      <c r="E902" s="91"/>
      <c r="F902">
        <v>125</v>
      </c>
      <c r="G902" t="s">
        <v>1419</v>
      </c>
      <c r="H902" s="89">
        <v>46087</v>
      </c>
      <c r="I902" s="89">
        <v>46089</v>
      </c>
      <c r="J902" s="91"/>
      <c r="K902" s="91"/>
      <c r="M902" s="91"/>
      <c r="N902" s="91" t="s">
        <v>2143</v>
      </c>
    </row>
    <row r="903" spans="1:14" x14ac:dyDescent="0.25">
      <c r="A903" s="91" t="s">
        <v>1318</v>
      </c>
      <c r="B903" s="91" t="s">
        <v>1332</v>
      </c>
      <c r="C903" s="91" t="s">
        <v>2230</v>
      </c>
      <c r="D903" s="91" t="s">
        <v>20</v>
      </c>
      <c r="E903" s="91"/>
      <c r="F903">
        <v>47</v>
      </c>
      <c r="G903" t="s">
        <v>1419</v>
      </c>
      <c r="H903" s="89">
        <v>46087</v>
      </c>
      <c r="I903" s="89">
        <v>46089</v>
      </c>
      <c r="J903" s="91"/>
      <c r="K903" s="91"/>
      <c r="M903" s="91"/>
      <c r="N903" s="91" t="s">
        <v>2143</v>
      </c>
    </row>
    <row r="904" spans="1:14" x14ac:dyDescent="0.25">
      <c r="A904" s="91" t="s">
        <v>1324</v>
      </c>
      <c r="B904" s="91" t="s">
        <v>1338</v>
      </c>
      <c r="C904" s="91" t="s">
        <v>2231</v>
      </c>
      <c r="D904" s="91" t="s">
        <v>28</v>
      </c>
      <c r="E904" s="91"/>
      <c r="F904">
        <v>960</v>
      </c>
      <c r="G904">
        <v>20</v>
      </c>
      <c r="H904" s="89">
        <v>46087</v>
      </c>
      <c r="I904" s="89">
        <v>46094</v>
      </c>
      <c r="J904" s="91" t="s">
        <v>2232</v>
      </c>
      <c r="K904" s="91"/>
      <c r="M904" s="91"/>
      <c r="N904" s="91" t="s">
        <v>2143</v>
      </c>
    </row>
    <row r="905" spans="1:14" x14ac:dyDescent="0.25">
      <c r="A905" s="91" t="s">
        <v>1324</v>
      </c>
      <c r="B905" s="91" t="s">
        <v>1338</v>
      </c>
      <c r="C905" s="91" t="s">
        <v>2231</v>
      </c>
      <c r="D905" s="91" t="s">
        <v>28</v>
      </c>
      <c r="E905" s="91"/>
      <c r="F905">
        <v>672</v>
      </c>
      <c r="G905">
        <v>14</v>
      </c>
      <c r="H905" s="89">
        <v>46087</v>
      </c>
      <c r="I905" s="89">
        <v>46089</v>
      </c>
      <c r="J905" s="91"/>
      <c r="K905" s="91"/>
      <c r="M905" s="91"/>
      <c r="N905" s="91" t="s">
        <v>2143</v>
      </c>
    </row>
    <row r="906" spans="1:14" x14ac:dyDescent="0.25">
      <c r="A906" s="91" t="s">
        <v>1315</v>
      </c>
      <c r="B906" s="91" t="s">
        <v>1329</v>
      </c>
      <c r="C906" s="91" t="s">
        <v>2231</v>
      </c>
      <c r="D906" s="91" t="s">
        <v>28</v>
      </c>
      <c r="E906" s="91"/>
      <c r="F906">
        <v>18</v>
      </c>
      <c r="G906" t="s">
        <v>1419</v>
      </c>
      <c r="H906" s="89">
        <v>46087</v>
      </c>
      <c r="I906" s="89">
        <v>46089</v>
      </c>
      <c r="J906" s="91"/>
      <c r="K906" s="91"/>
      <c r="M906" s="91"/>
      <c r="N906" s="91" t="s">
        <v>2143</v>
      </c>
    </row>
    <row r="907" spans="1:14" x14ac:dyDescent="0.25">
      <c r="A907" s="91" t="s">
        <v>1317</v>
      </c>
      <c r="B907" s="91" t="s">
        <v>1331</v>
      </c>
      <c r="C907" s="91" t="s">
        <v>2233</v>
      </c>
      <c r="D907" s="91" t="s">
        <v>28</v>
      </c>
      <c r="E907" s="91"/>
      <c r="F907">
        <v>4</v>
      </c>
      <c r="G907" t="s">
        <v>1419</v>
      </c>
      <c r="H907" s="89">
        <v>46087</v>
      </c>
      <c r="I907" s="89">
        <v>46089</v>
      </c>
      <c r="J907" s="91"/>
      <c r="K907" s="91"/>
      <c r="M907" s="91"/>
      <c r="N907" s="91" t="s">
        <v>2143</v>
      </c>
    </row>
    <row r="908" spans="1:14" x14ac:dyDescent="0.25">
      <c r="A908" s="91" t="s">
        <v>1318</v>
      </c>
      <c r="B908" s="91" t="s">
        <v>1332</v>
      </c>
      <c r="C908" s="91" t="s">
        <v>2234</v>
      </c>
      <c r="D908" s="91" t="s">
        <v>28</v>
      </c>
      <c r="E908" s="91"/>
      <c r="F908">
        <v>52</v>
      </c>
      <c r="G908" t="s">
        <v>1419</v>
      </c>
      <c r="H908" s="89">
        <v>46087</v>
      </c>
      <c r="I908" s="89">
        <v>46089</v>
      </c>
      <c r="J908" s="91"/>
      <c r="K908" s="91"/>
      <c r="M908" s="91"/>
      <c r="N908" s="91" t="s">
        <v>2143</v>
      </c>
    </row>
    <row r="909" spans="1:14" x14ac:dyDescent="0.25">
      <c r="A909" s="91" t="s">
        <v>1316</v>
      </c>
      <c r="B909" s="91" t="s">
        <v>1330</v>
      </c>
      <c r="C909" s="91" t="s">
        <v>2235</v>
      </c>
      <c r="D909" s="91" t="s">
        <v>28</v>
      </c>
      <c r="E909" s="91"/>
      <c r="F909">
        <v>94</v>
      </c>
      <c r="G909" t="s">
        <v>1419</v>
      </c>
      <c r="H909" s="89">
        <v>46087</v>
      </c>
      <c r="I909" s="89">
        <v>46089</v>
      </c>
      <c r="J909" s="91"/>
      <c r="K909" s="91"/>
      <c r="M909" s="91"/>
      <c r="N909" s="91" t="s">
        <v>2143</v>
      </c>
    </row>
    <row r="910" spans="1:14" x14ac:dyDescent="0.25">
      <c r="A910" s="91" t="s">
        <v>1326</v>
      </c>
      <c r="B910" s="91" t="s">
        <v>1340</v>
      </c>
      <c r="C910" s="91" t="s">
        <v>2236</v>
      </c>
      <c r="D910" s="91" t="s">
        <v>155</v>
      </c>
      <c r="E910" s="91"/>
      <c r="F910">
        <v>588</v>
      </c>
      <c r="G910">
        <v>14</v>
      </c>
      <c r="H910" s="89">
        <v>46087</v>
      </c>
      <c r="I910" s="89">
        <v>46094</v>
      </c>
      <c r="J910" s="91" t="s">
        <v>2209</v>
      </c>
      <c r="K910" s="91"/>
      <c r="M910" s="91"/>
      <c r="N910" s="91" t="s">
        <v>2143</v>
      </c>
    </row>
    <row r="911" spans="1:14" x14ac:dyDescent="0.25">
      <c r="A911" s="91" t="s">
        <v>1324</v>
      </c>
      <c r="B911" s="91" t="s">
        <v>1338</v>
      </c>
      <c r="C911" s="91" t="s">
        <v>2237</v>
      </c>
      <c r="D911" s="91" t="s">
        <v>23</v>
      </c>
      <c r="E911" s="91"/>
      <c r="F911">
        <v>960</v>
      </c>
      <c r="G911">
        <v>20</v>
      </c>
      <c r="H911" s="89">
        <v>46087</v>
      </c>
      <c r="I911" s="89">
        <v>46094</v>
      </c>
      <c r="J911" s="91" t="s">
        <v>2232</v>
      </c>
      <c r="K911" s="91"/>
      <c r="M911" s="91"/>
      <c r="N911" s="91" t="s">
        <v>2143</v>
      </c>
    </row>
    <row r="912" spans="1:14" x14ac:dyDescent="0.25">
      <c r="A912" s="91" t="s">
        <v>1320</v>
      </c>
      <c r="B912" s="91" t="s">
        <v>1334</v>
      </c>
      <c r="C912" s="91" t="s">
        <v>2238</v>
      </c>
      <c r="D912" s="91" t="s">
        <v>88</v>
      </c>
      <c r="E912" s="91"/>
      <c r="F912">
        <v>480</v>
      </c>
      <c r="G912">
        <v>10</v>
      </c>
      <c r="H912" s="89">
        <v>46088</v>
      </c>
      <c r="I912" s="89">
        <v>46092</v>
      </c>
      <c r="J912" s="91" t="s">
        <v>2239</v>
      </c>
      <c r="K912" s="91"/>
      <c r="M912" s="91"/>
      <c r="N912" s="91" t="s">
        <v>2143</v>
      </c>
    </row>
    <row r="913" spans="1:14" x14ac:dyDescent="0.25">
      <c r="A913" s="91" t="s">
        <v>1320</v>
      </c>
      <c r="B913" s="91" t="s">
        <v>1334</v>
      </c>
      <c r="C913" s="91" t="s">
        <v>2240</v>
      </c>
      <c r="D913" s="91" t="s">
        <v>97</v>
      </c>
      <c r="E913" s="91"/>
      <c r="F913">
        <v>480</v>
      </c>
      <c r="G913">
        <v>10</v>
      </c>
      <c r="H913" s="89">
        <v>46088</v>
      </c>
      <c r="I913" s="89">
        <v>46092</v>
      </c>
      <c r="J913" s="91" t="s">
        <v>2239</v>
      </c>
      <c r="K913" s="91"/>
      <c r="M913" s="91"/>
      <c r="N913" s="91" t="s">
        <v>2143</v>
      </c>
    </row>
    <row r="914" spans="1:14" x14ac:dyDescent="0.25">
      <c r="A914" s="91" t="s">
        <v>1324</v>
      </c>
      <c r="B914" s="91" t="s">
        <v>1338</v>
      </c>
      <c r="C914" s="91" t="s">
        <v>2241</v>
      </c>
      <c r="D914" s="91" t="s">
        <v>23</v>
      </c>
      <c r="E914" s="91"/>
      <c r="F914">
        <v>480</v>
      </c>
      <c r="G914">
        <v>10</v>
      </c>
      <c r="H914" s="89">
        <v>46088</v>
      </c>
      <c r="I914" s="89">
        <v>46089</v>
      </c>
      <c r="J914" s="91"/>
      <c r="K914" s="91"/>
      <c r="M914" s="91"/>
      <c r="N914" s="91" t="s">
        <v>2143</v>
      </c>
    </row>
    <row r="915" spans="1:14" x14ac:dyDescent="0.25">
      <c r="A915" s="91" t="s">
        <v>1314</v>
      </c>
      <c r="B915" s="91" t="s">
        <v>1328</v>
      </c>
      <c r="C915" s="91" t="s">
        <v>2242</v>
      </c>
      <c r="D915" s="91" t="s">
        <v>15</v>
      </c>
      <c r="E915" s="91"/>
      <c r="F915">
        <v>336</v>
      </c>
      <c r="G915">
        <v>7</v>
      </c>
      <c r="H915" s="89">
        <v>46104</v>
      </c>
      <c r="I915" s="89">
        <v>46107</v>
      </c>
      <c r="J915" s="91" t="s">
        <v>2243</v>
      </c>
      <c r="K915" s="91"/>
      <c r="M915" s="91"/>
      <c r="N915" s="91" t="s">
        <v>2244</v>
      </c>
    </row>
    <row r="916" spans="1:14" x14ac:dyDescent="0.25">
      <c r="A916" s="91" t="s">
        <v>1313</v>
      </c>
      <c r="B916" s="91" t="s">
        <v>1327</v>
      </c>
      <c r="C916" s="91" t="s">
        <v>2242</v>
      </c>
      <c r="D916" s="91" t="s">
        <v>15</v>
      </c>
      <c r="E916" s="91"/>
      <c r="F916">
        <v>432</v>
      </c>
      <c r="G916">
        <v>9</v>
      </c>
      <c r="H916" s="89">
        <v>46104</v>
      </c>
      <c r="I916" s="89">
        <v>46107</v>
      </c>
      <c r="J916" s="91" t="s">
        <v>2245</v>
      </c>
      <c r="K916" s="91"/>
      <c r="M916" s="91"/>
      <c r="N916" s="91" t="s">
        <v>2244</v>
      </c>
    </row>
    <row r="917" spans="1:14" x14ac:dyDescent="0.25">
      <c r="A917" s="91" t="s">
        <v>1324</v>
      </c>
      <c r="B917" s="91" t="s">
        <v>1338</v>
      </c>
      <c r="C917" s="91" t="s">
        <v>2246</v>
      </c>
      <c r="D917" s="91" t="s">
        <v>13</v>
      </c>
      <c r="E917" s="91"/>
      <c r="F917">
        <v>960</v>
      </c>
      <c r="G917">
        <v>20</v>
      </c>
      <c r="H917" s="89">
        <v>46104</v>
      </c>
      <c r="I917" s="89">
        <v>46111</v>
      </c>
      <c r="J917" s="91" t="s">
        <v>2247</v>
      </c>
      <c r="K917" s="91"/>
      <c r="M917" s="91"/>
      <c r="N917" s="91" t="s">
        <v>2244</v>
      </c>
    </row>
    <row r="918" spans="1:14" x14ac:dyDescent="0.25">
      <c r="A918" s="91" t="s">
        <v>1324</v>
      </c>
      <c r="B918" s="91" t="s">
        <v>1338</v>
      </c>
      <c r="C918" s="91" t="s">
        <v>2248</v>
      </c>
      <c r="D918" s="91" t="s">
        <v>23</v>
      </c>
      <c r="E918" s="91"/>
      <c r="F918">
        <v>528</v>
      </c>
      <c r="G918">
        <v>11</v>
      </c>
      <c r="H918" s="89">
        <v>46104</v>
      </c>
      <c r="I918" s="89">
        <v>46111</v>
      </c>
      <c r="J918" s="91" t="s">
        <v>2247</v>
      </c>
      <c r="K918" s="91"/>
      <c r="M918" s="91"/>
      <c r="N918" s="91" t="s">
        <v>2244</v>
      </c>
    </row>
    <row r="919" spans="1:14" x14ac:dyDescent="0.25">
      <c r="A919" s="91" t="s">
        <v>1313</v>
      </c>
      <c r="B919" s="91" t="s">
        <v>1327</v>
      </c>
      <c r="C919" s="91" t="s">
        <v>2249</v>
      </c>
      <c r="D919" s="91" t="s">
        <v>28</v>
      </c>
      <c r="E919" s="91"/>
      <c r="F919">
        <v>1152</v>
      </c>
      <c r="G919">
        <v>24</v>
      </c>
      <c r="H919" s="89">
        <v>46104</v>
      </c>
      <c r="I919" s="89">
        <v>46108</v>
      </c>
      <c r="J919" s="91" t="s">
        <v>2250</v>
      </c>
      <c r="K919" s="91"/>
      <c r="M919" s="91"/>
      <c r="N919" s="91" t="s">
        <v>2244</v>
      </c>
    </row>
    <row r="920" spans="1:14" x14ac:dyDescent="0.25">
      <c r="A920" s="91" t="s">
        <v>1315</v>
      </c>
      <c r="B920" s="91" t="s">
        <v>1329</v>
      </c>
      <c r="C920" s="91" t="s">
        <v>2242</v>
      </c>
      <c r="D920" s="91" t="s">
        <v>15</v>
      </c>
      <c r="E920" s="91"/>
      <c r="F920">
        <v>52</v>
      </c>
      <c r="G920" t="s">
        <v>1419</v>
      </c>
      <c r="H920" s="89">
        <v>46104</v>
      </c>
      <c r="I920" s="89">
        <v>46110</v>
      </c>
      <c r="J920" s="91"/>
      <c r="K920" s="91"/>
      <c r="M920" s="91"/>
      <c r="N920" s="91" t="s">
        <v>2244</v>
      </c>
    </row>
    <row r="921" spans="1:14" x14ac:dyDescent="0.25">
      <c r="A921" s="91" t="s">
        <v>1316</v>
      </c>
      <c r="B921" s="91" t="s">
        <v>1330</v>
      </c>
      <c r="C921" s="91" t="s">
        <v>2251</v>
      </c>
      <c r="D921" s="91" t="s">
        <v>15</v>
      </c>
      <c r="E921" s="91"/>
      <c r="F921">
        <v>58</v>
      </c>
      <c r="G921" t="s">
        <v>1419</v>
      </c>
      <c r="H921" s="89">
        <v>46104</v>
      </c>
      <c r="I921" s="89">
        <v>46110</v>
      </c>
      <c r="J921" s="91"/>
      <c r="K921" s="91"/>
      <c r="M921" s="91"/>
      <c r="N921" s="91" t="s">
        <v>2244</v>
      </c>
    </row>
    <row r="922" spans="1:14" x14ac:dyDescent="0.25">
      <c r="A922" s="91" t="s">
        <v>1317</v>
      </c>
      <c r="B922" s="91" t="s">
        <v>1331</v>
      </c>
      <c r="C922" s="91" t="s">
        <v>2252</v>
      </c>
      <c r="D922" s="91" t="s">
        <v>15</v>
      </c>
      <c r="E922" s="91"/>
      <c r="F922">
        <v>41</v>
      </c>
      <c r="G922" t="s">
        <v>1419</v>
      </c>
      <c r="H922" s="89">
        <v>46104</v>
      </c>
      <c r="I922" s="89">
        <v>46110</v>
      </c>
      <c r="J922" s="91"/>
      <c r="K922" s="91"/>
      <c r="M922" s="91"/>
      <c r="N922" s="91" t="s">
        <v>2244</v>
      </c>
    </row>
    <row r="923" spans="1:14" x14ac:dyDescent="0.25">
      <c r="A923" s="91" t="s">
        <v>1318</v>
      </c>
      <c r="B923" s="91" t="s">
        <v>1332</v>
      </c>
      <c r="C923" s="91" t="s">
        <v>2253</v>
      </c>
      <c r="D923" s="91" t="s">
        <v>15</v>
      </c>
      <c r="E923" s="91"/>
      <c r="F923">
        <v>29</v>
      </c>
      <c r="G923" t="s">
        <v>1419</v>
      </c>
      <c r="H923" s="89">
        <v>46104</v>
      </c>
      <c r="I923" s="89">
        <v>46110</v>
      </c>
      <c r="J923" s="91"/>
      <c r="K923" s="91"/>
      <c r="M923" s="91"/>
      <c r="N923" s="91" t="s">
        <v>2244</v>
      </c>
    </row>
    <row r="924" spans="1:14" x14ac:dyDescent="0.25">
      <c r="A924" s="91" t="s">
        <v>1316</v>
      </c>
      <c r="B924" s="91" t="s">
        <v>1330</v>
      </c>
      <c r="C924" s="91" t="s">
        <v>2254</v>
      </c>
      <c r="D924" s="91" t="s">
        <v>20</v>
      </c>
      <c r="E924" s="91"/>
      <c r="F924">
        <v>200</v>
      </c>
      <c r="G924" t="s">
        <v>1419</v>
      </c>
      <c r="H924" s="89">
        <v>46104</v>
      </c>
      <c r="I924" s="89">
        <v>46110</v>
      </c>
      <c r="J924" s="91"/>
      <c r="K924" s="91"/>
      <c r="M924" s="91"/>
      <c r="N924" s="91" t="s">
        <v>2244</v>
      </c>
    </row>
    <row r="925" spans="1:14" x14ac:dyDescent="0.25">
      <c r="A925" s="91" t="s">
        <v>1317</v>
      </c>
      <c r="B925" s="91" t="s">
        <v>1331</v>
      </c>
      <c r="C925" s="91" t="s">
        <v>2255</v>
      </c>
      <c r="D925" s="91" t="s">
        <v>20</v>
      </c>
      <c r="E925" s="91"/>
      <c r="F925">
        <v>12</v>
      </c>
      <c r="G925" t="s">
        <v>1419</v>
      </c>
      <c r="H925" s="89">
        <v>46104</v>
      </c>
      <c r="I925" s="89">
        <v>46110</v>
      </c>
      <c r="J925" s="91"/>
      <c r="K925" s="91"/>
      <c r="M925" s="91"/>
      <c r="N925" s="91" t="s">
        <v>2244</v>
      </c>
    </row>
    <row r="926" spans="1:14" x14ac:dyDescent="0.25">
      <c r="A926" s="91" t="s">
        <v>1318</v>
      </c>
      <c r="B926" s="91" t="s">
        <v>1332</v>
      </c>
      <c r="C926" s="91" t="s">
        <v>2256</v>
      </c>
      <c r="D926" s="91" t="s">
        <v>20</v>
      </c>
      <c r="E926" s="91"/>
      <c r="F926">
        <v>63</v>
      </c>
      <c r="G926" t="s">
        <v>1419</v>
      </c>
      <c r="H926" s="89">
        <v>46104</v>
      </c>
      <c r="I926" s="89">
        <v>46110</v>
      </c>
      <c r="J926" s="91"/>
      <c r="K926" s="91"/>
      <c r="M926" s="91"/>
      <c r="N926" s="91" t="s">
        <v>2244</v>
      </c>
    </row>
    <row r="927" spans="1:14" x14ac:dyDescent="0.25">
      <c r="A927" s="91" t="s">
        <v>1315</v>
      </c>
      <c r="B927" s="91" t="s">
        <v>1329</v>
      </c>
      <c r="C927" s="91" t="s">
        <v>2249</v>
      </c>
      <c r="D927" s="91" t="s">
        <v>28</v>
      </c>
      <c r="E927" s="91"/>
      <c r="F927">
        <v>35</v>
      </c>
      <c r="G927" t="s">
        <v>1419</v>
      </c>
      <c r="H927" s="89">
        <v>46104</v>
      </c>
      <c r="I927" s="89">
        <v>46110</v>
      </c>
      <c r="J927" s="91"/>
      <c r="K927" s="91"/>
      <c r="M927" s="91"/>
      <c r="N927" s="91" t="s">
        <v>2244</v>
      </c>
    </row>
    <row r="928" spans="1:14" x14ac:dyDescent="0.25">
      <c r="A928" s="91" t="s">
        <v>1316</v>
      </c>
      <c r="B928" s="91" t="s">
        <v>1330</v>
      </c>
      <c r="C928" s="91" t="s">
        <v>2257</v>
      </c>
      <c r="D928" s="91" t="s">
        <v>28</v>
      </c>
      <c r="E928" s="91"/>
      <c r="F928">
        <v>174</v>
      </c>
      <c r="G928" t="s">
        <v>1419</v>
      </c>
      <c r="H928" s="89">
        <v>46104</v>
      </c>
      <c r="I928" s="89">
        <v>46110</v>
      </c>
      <c r="J928" s="91"/>
      <c r="K928" s="91"/>
      <c r="M928" s="91"/>
      <c r="N928" s="91" t="s">
        <v>2244</v>
      </c>
    </row>
    <row r="929" spans="1:14" x14ac:dyDescent="0.25">
      <c r="A929" s="91" t="s">
        <v>1317</v>
      </c>
      <c r="B929" s="91" t="s">
        <v>1331</v>
      </c>
      <c r="C929" s="91" t="s">
        <v>2258</v>
      </c>
      <c r="D929" s="91" t="s">
        <v>28</v>
      </c>
      <c r="E929" s="91"/>
      <c r="F929">
        <v>28</v>
      </c>
      <c r="G929" t="s">
        <v>1419</v>
      </c>
      <c r="H929" s="89">
        <v>46104</v>
      </c>
      <c r="I929" s="89">
        <v>46110</v>
      </c>
      <c r="J929" s="91"/>
      <c r="K929" s="91"/>
      <c r="M929" s="91"/>
      <c r="N929" s="91" t="s">
        <v>2244</v>
      </c>
    </row>
    <row r="930" spans="1:14" x14ac:dyDescent="0.25">
      <c r="A930" s="91" t="s">
        <v>1318</v>
      </c>
      <c r="B930" s="91" t="s">
        <v>1332</v>
      </c>
      <c r="C930" s="91" t="s">
        <v>2259</v>
      </c>
      <c r="D930" s="91" t="s">
        <v>28</v>
      </c>
      <c r="E930" s="91"/>
      <c r="F930">
        <v>113</v>
      </c>
      <c r="G930" t="s">
        <v>1419</v>
      </c>
      <c r="H930" s="89">
        <v>46104</v>
      </c>
      <c r="I930" s="89">
        <v>46110</v>
      </c>
      <c r="J930" s="91"/>
      <c r="K930" s="91"/>
      <c r="M930" s="91"/>
      <c r="N930" s="91" t="s">
        <v>2244</v>
      </c>
    </row>
    <row r="931" spans="1:14" x14ac:dyDescent="0.25">
      <c r="A931" s="91" t="s">
        <v>1313</v>
      </c>
      <c r="B931" s="91" t="s">
        <v>1327</v>
      </c>
      <c r="C931" s="91" t="s">
        <v>2242</v>
      </c>
      <c r="D931" s="91" t="s">
        <v>15</v>
      </c>
      <c r="E931" s="91"/>
      <c r="F931">
        <v>480</v>
      </c>
      <c r="G931">
        <v>10</v>
      </c>
      <c r="H931" s="89">
        <v>46104</v>
      </c>
      <c r="I931" s="89">
        <v>46107</v>
      </c>
      <c r="J931" s="91"/>
      <c r="K931" s="91"/>
      <c r="M931" s="91"/>
      <c r="N931" s="91" t="s">
        <v>2244</v>
      </c>
    </row>
    <row r="932" spans="1:14" x14ac:dyDescent="0.25">
      <c r="A932" s="91" t="s">
        <v>1313</v>
      </c>
      <c r="B932" s="91" t="s">
        <v>1327</v>
      </c>
      <c r="C932" s="91" t="s">
        <v>2260</v>
      </c>
      <c r="D932" s="91" t="s">
        <v>20</v>
      </c>
      <c r="E932" s="91"/>
      <c r="F932">
        <v>144</v>
      </c>
      <c r="G932">
        <v>3</v>
      </c>
      <c r="H932" s="89">
        <v>46104</v>
      </c>
      <c r="I932" s="89">
        <v>46106</v>
      </c>
      <c r="J932" s="91"/>
      <c r="K932" s="91"/>
      <c r="M932" s="91"/>
      <c r="N932" s="91" t="s">
        <v>2244</v>
      </c>
    </row>
    <row r="933" spans="1:14" x14ac:dyDescent="0.25">
      <c r="A933" s="91" t="s">
        <v>1313</v>
      </c>
      <c r="B933" s="91" t="s">
        <v>1327</v>
      </c>
      <c r="C933" s="91" t="s">
        <v>2249</v>
      </c>
      <c r="D933" s="91" t="s">
        <v>28</v>
      </c>
      <c r="E933" s="91"/>
      <c r="F933">
        <v>624</v>
      </c>
      <c r="G933">
        <v>13</v>
      </c>
      <c r="H933" s="89">
        <v>46104</v>
      </c>
      <c r="I933" s="89">
        <v>46107</v>
      </c>
      <c r="J933" s="91"/>
      <c r="K933" s="91"/>
      <c r="M933" s="91"/>
      <c r="N933" s="91" t="s">
        <v>2244</v>
      </c>
    </row>
    <row r="934" spans="1:14" x14ac:dyDescent="0.25">
      <c r="A934" s="91" t="s">
        <v>1313</v>
      </c>
      <c r="B934" s="91" t="s">
        <v>1327</v>
      </c>
      <c r="C934" s="91" t="s">
        <v>2261</v>
      </c>
      <c r="D934" s="91" t="s">
        <v>21</v>
      </c>
      <c r="E934" s="91"/>
      <c r="F934">
        <v>1152</v>
      </c>
      <c r="G934">
        <v>24</v>
      </c>
      <c r="H934" s="89">
        <v>46105</v>
      </c>
      <c r="I934" s="89">
        <v>46110</v>
      </c>
      <c r="J934" s="91" t="s">
        <v>2262</v>
      </c>
      <c r="K934" s="91"/>
      <c r="M934" s="91"/>
      <c r="N934" s="91" t="s">
        <v>2244</v>
      </c>
    </row>
    <row r="935" spans="1:14" x14ac:dyDescent="0.25">
      <c r="A935" s="91" t="s">
        <v>1313</v>
      </c>
      <c r="B935" s="91" t="s">
        <v>1327</v>
      </c>
      <c r="C935" s="91" t="s">
        <v>2261</v>
      </c>
      <c r="D935" s="91" t="s">
        <v>21</v>
      </c>
      <c r="E935" s="91"/>
      <c r="F935">
        <v>816</v>
      </c>
      <c r="G935">
        <v>17</v>
      </c>
      <c r="H935" s="89">
        <v>46105</v>
      </c>
      <c r="I935" s="89">
        <v>46110</v>
      </c>
      <c r="J935" s="91" t="s">
        <v>2263</v>
      </c>
      <c r="K935" s="91"/>
      <c r="M935" s="91"/>
      <c r="N935" s="91" t="s">
        <v>2244</v>
      </c>
    </row>
    <row r="936" spans="1:14" x14ac:dyDescent="0.25">
      <c r="A936" s="91" t="s">
        <v>1313</v>
      </c>
      <c r="B936" s="91" t="s">
        <v>1327</v>
      </c>
      <c r="C936" s="91" t="s">
        <v>2261</v>
      </c>
      <c r="D936" s="91" t="s">
        <v>21</v>
      </c>
      <c r="E936" s="91"/>
      <c r="F936">
        <v>48</v>
      </c>
      <c r="G936">
        <v>1</v>
      </c>
      <c r="H936" s="89">
        <v>46105</v>
      </c>
      <c r="I936" s="89">
        <v>46110</v>
      </c>
      <c r="J936" s="91"/>
      <c r="K936" s="91"/>
      <c r="M936" s="91"/>
      <c r="N936" s="91" t="s">
        <v>2244</v>
      </c>
    </row>
    <row r="937" spans="1:14" x14ac:dyDescent="0.25">
      <c r="A937" s="91" t="s">
        <v>1315</v>
      </c>
      <c r="B937" s="91" t="s">
        <v>1329</v>
      </c>
      <c r="C937" s="91" t="s">
        <v>2261</v>
      </c>
      <c r="D937" s="91" t="s">
        <v>21</v>
      </c>
      <c r="E937" s="91"/>
      <c r="F937">
        <v>101</v>
      </c>
      <c r="G937" t="s">
        <v>1419</v>
      </c>
      <c r="H937" s="89">
        <v>46105</v>
      </c>
      <c r="I937" s="89">
        <v>46110</v>
      </c>
      <c r="J937" s="91"/>
      <c r="K937" s="91"/>
      <c r="M937" s="91"/>
      <c r="N937" s="91" t="s">
        <v>2244</v>
      </c>
    </row>
    <row r="938" spans="1:14" x14ac:dyDescent="0.25">
      <c r="A938" s="91" t="s">
        <v>1316</v>
      </c>
      <c r="B938" s="91" t="s">
        <v>1330</v>
      </c>
      <c r="C938" s="91" t="s">
        <v>2264</v>
      </c>
      <c r="D938" s="91" t="s">
        <v>21</v>
      </c>
      <c r="E938" s="91"/>
      <c r="F938">
        <v>129</v>
      </c>
      <c r="G938" t="s">
        <v>1419</v>
      </c>
      <c r="H938" s="89">
        <v>46105</v>
      </c>
      <c r="I938" s="89">
        <v>46110</v>
      </c>
      <c r="J938" s="91"/>
      <c r="K938" s="91"/>
      <c r="M938" s="91"/>
      <c r="N938" s="91" t="s">
        <v>2244</v>
      </c>
    </row>
    <row r="939" spans="1:14" x14ac:dyDescent="0.25">
      <c r="A939" s="91" t="s">
        <v>1317</v>
      </c>
      <c r="B939" s="91" t="s">
        <v>1331</v>
      </c>
      <c r="C939" s="91" t="s">
        <v>2265</v>
      </c>
      <c r="D939" s="91" t="s">
        <v>21</v>
      </c>
      <c r="E939" s="91"/>
      <c r="F939">
        <v>55</v>
      </c>
      <c r="G939" t="s">
        <v>1419</v>
      </c>
      <c r="H939" s="89">
        <v>46105</v>
      </c>
      <c r="I939" s="89">
        <v>46110</v>
      </c>
      <c r="J939" s="91"/>
      <c r="K939" s="91"/>
      <c r="M939" s="91"/>
      <c r="N939" s="91" t="s">
        <v>2244</v>
      </c>
    </row>
    <row r="940" spans="1:14" x14ac:dyDescent="0.25">
      <c r="A940" s="91" t="s">
        <v>1318</v>
      </c>
      <c r="B940" s="91" t="s">
        <v>1332</v>
      </c>
      <c r="C940" s="91" t="s">
        <v>2266</v>
      </c>
      <c r="D940" s="91" t="s">
        <v>21</v>
      </c>
      <c r="E940" s="91"/>
      <c r="F940">
        <v>116</v>
      </c>
      <c r="G940" t="s">
        <v>1419</v>
      </c>
      <c r="H940" s="89">
        <v>46105</v>
      </c>
      <c r="I940" s="89">
        <v>46110</v>
      </c>
      <c r="J940" s="91"/>
      <c r="K940" s="91"/>
      <c r="M940" s="91"/>
      <c r="N940" s="91" t="s">
        <v>2244</v>
      </c>
    </row>
    <row r="941" spans="1:14" x14ac:dyDescent="0.25">
      <c r="A941" s="91" t="s">
        <v>1324</v>
      </c>
      <c r="B941" s="91" t="s">
        <v>1338</v>
      </c>
      <c r="C941" s="91" t="s">
        <v>2267</v>
      </c>
      <c r="D941" s="91" t="s">
        <v>23</v>
      </c>
      <c r="E941" s="91"/>
      <c r="F941">
        <v>288</v>
      </c>
      <c r="G941">
        <v>6</v>
      </c>
      <c r="H941" s="89">
        <v>46105</v>
      </c>
      <c r="I941" s="89">
        <v>46111</v>
      </c>
      <c r="J941" s="91" t="s">
        <v>2247</v>
      </c>
      <c r="K941" s="91"/>
      <c r="M941" s="91"/>
      <c r="N941" s="91" t="s">
        <v>2244</v>
      </c>
    </row>
    <row r="942" spans="1:14" x14ac:dyDescent="0.25">
      <c r="A942" s="91" t="s">
        <v>1321</v>
      </c>
      <c r="B942" s="91" t="s">
        <v>1335</v>
      </c>
      <c r="C942" s="91" t="s">
        <v>2268</v>
      </c>
      <c r="D942" s="91" t="s">
        <v>138</v>
      </c>
      <c r="E942" s="91"/>
      <c r="F942">
        <v>144</v>
      </c>
      <c r="G942">
        <v>3</v>
      </c>
      <c r="H942" s="89">
        <v>46105</v>
      </c>
      <c r="I942" s="89">
        <v>46111</v>
      </c>
      <c r="J942" s="91" t="s">
        <v>2247</v>
      </c>
      <c r="K942" s="91"/>
      <c r="M942" s="91"/>
      <c r="N942" s="91" t="s">
        <v>2244</v>
      </c>
    </row>
    <row r="943" spans="1:14" x14ac:dyDescent="0.25">
      <c r="A943" s="91" t="s">
        <v>1324</v>
      </c>
      <c r="B943" s="91" t="s">
        <v>1338</v>
      </c>
      <c r="C943" s="91" t="s">
        <v>2267</v>
      </c>
      <c r="D943" s="91" t="s">
        <v>23</v>
      </c>
      <c r="E943" s="91"/>
      <c r="F943">
        <v>672</v>
      </c>
      <c r="G943">
        <v>14</v>
      </c>
      <c r="H943" s="89">
        <v>46105</v>
      </c>
      <c r="I943" s="89">
        <v>46111</v>
      </c>
      <c r="J943" s="91" t="s">
        <v>2269</v>
      </c>
      <c r="K943" s="91"/>
      <c r="M943" s="91"/>
      <c r="N943" s="91" t="s">
        <v>2244</v>
      </c>
    </row>
    <row r="944" spans="1:14" x14ac:dyDescent="0.25">
      <c r="A944" s="91" t="s">
        <v>1321</v>
      </c>
      <c r="B944" s="91" t="s">
        <v>1335</v>
      </c>
      <c r="C944" s="91" t="s">
        <v>2268</v>
      </c>
      <c r="D944" s="91" t="s">
        <v>138</v>
      </c>
      <c r="E944" s="91"/>
      <c r="F944">
        <v>96</v>
      </c>
      <c r="G944">
        <v>2</v>
      </c>
      <c r="H944" s="89">
        <v>46105</v>
      </c>
      <c r="I944" s="89">
        <v>46111</v>
      </c>
      <c r="J944" s="91" t="s">
        <v>2269</v>
      </c>
      <c r="K944" s="91"/>
      <c r="M944" s="91"/>
      <c r="N944" s="91" t="s">
        <v>2244</v>
      </c>
    </row>
    <row r="945" spans="1:14" x14ac:dyDescent="0.25">
      <c r="A945" s="91" t="s">
        <v>1323</v>
      </c>
      <c r="B945" s="91" t="s">
        <v>1337</v>
      </c>
      <c r="C945" s="91" t="s">
        <v>2270</v>
      </c>
      <c r="D945" s="91" t="s">
        <v>20</v>
      </c>
      <c r="E945" s="91"/>
      <c r="F945">
        <v>756</v>
      </c>
      <c r="G945">
        <v>14</v>
      </c>
      <c r="H945" s="89">
        <v>46105</v>
      </c>
      <c r="I945" s="89">
        <v>46108</v>
      </c>
      <c r="J945" s="91" t="s">
        <v>2271</v>
      </c>
      <c r="K945" s="91"/>
      <c r="M945" s="91"/>
      <c r="N945" s="91" t="s">
        <v>2244</v>
      </c>
    </row>
    <row r="946" spans="1:14" x14ac:dyDescent="0.25">
      <c r="A946" s="91" t="s">
        <v>1322</v>
      </c>
      <c r="B946" s="91" t="s">
        <v>1336</v>
      </c>
      <c r="C946" s="91" t="s">
        <v>2270</v>
      </c>
      <c r="D946" s="91" t="s">
        <v>20</v>
      </c>
      <c r="E946" s="91"/>
      <c r="F946">
        <v>324</v>
      </c>
      <c r="G946">
        <v>6</v>
      </c>
      <c r="H946" s="89">
        <v>46105</v>
      </c>
      <c r="I946" s="89">
        <v>46108</v>
      </c>
      <c r="J946" s="91" t="s">
        <v>2271</v>
      </c>
      <c r="K946" s="91"/>
      <c r="M946" s="91"/>
      <c r="N946" s="91" t="s">
        <v>2244</v>
      </c>
    </row>
    <row r="947" spans="1:14" x14ac:dyDescent="0.25">
      <c r="A947" s="91" t="s">
        <v>1313</v>
      </c>
      <c r="B947" s="91" t="s">
        <v>1327</v>
      </c>
      <c r="C947" s="91" t="s">
        <v>2270</v>
      </c>
      <c r="D947" s="91" t="s">
        <v>20</v>
      </c>
      <c r="E947" s="91"/>
      <c r="F947">
        <v>192</v>
      </c>
      <c r="G947">
        <v>4</v>
      </c>
      <c r="H947" s="89">
        <v>46105</v>
      </c>
      <c r="I947" s="89">
        <v>46108</v>
      </c>
      <c r="J947" s="91"/>
      <c r="K947" s="91"/>
      <c r="M947" s="91"/>
      <c r="N947" s="91" t="s">
        <v>2244</v>
      </c>
    </row>
    <row r="948" spans="1:14" x14ac:dyDescent="0.25">
      <c r="A948" s="91" t="s">
        <v>1315</v>
      </c>
      <c r="B948" s="91" t="s">
        <v>1329</v>
      </c>
      <c r="C948" s="91" t="s">
        <v>2270</v>
      </c>
      <c r="D948" s="91" t="s">
        <v>20</v>
      </c>
      <c r="E948" s="91"/>
      <c r="F948">
        <v>13</v>
      </c>
      <c r="G948" t="s">
        <v>1419</v>
      </c>
      <c r="H948" s="89">
        <v>46105</v>
      </c>
      <c r="I948" s="89">
        <v>46110</v>
      </c>
      <c r="J948" s="91"/>
      <c r="K948" s="91"/>
      <c r="M948" s="91"/>
      <c r="N948" s="91" t="s">
        <v>2244</v>
      </c>
    </row>
    <row r="949" spans="1:14" x14ac:dyDescent="0.25">
      <c r="A949" s="91" t="s">
        <v>1316</v>
      </c>
      <c r="B949" s="91" t="s">
        <v>1330</v>
      </c>
      <c r="C949" s="91" t="s">
        <v>2272</v>
      </c>
      <c r="D949" s="91" t="s">
        <v>20</v>
      </c>
      <c r="E949" s="91"/>
      <c r="F949">
        <v>98</v>
      </c>
      <c r="G949" t="s">
        <v>1419</v>
      </c>
      <c r="H949" s="89">
        <v>46105</v>
      </c>
      <c r="I949" s="89">
        <v>46110</v>
      </c>
      <c r="J949" s="91"/>
      <c r="K949" s="91"/>
      <c r="M949" s="91"/>
      <c r="N949" s="91" t="s">
        <v>2244</v>
      </c>
    </row>
    <row r="950" spans="1:14" x14ac:dyDescent="0.25">
      <c r="A950" s="91" t="s">
        <v>1317</v>
      </c>
      <c r="B950" s="91" t="s">
        <v>1331</v>
      </c>
      <c r="C950" s="91" t="s">
        <v>2273</v>
      </c>
      <c r="D950" s="91" t="s">
        <v>20</v>
      </c>
      <c r="E950" s="91"/>
      <c r="F950">
        <v>6</v>
      </c>
      <c r="G950" t="s">
        <v>1419</v>
      </c>
      <c r="H950" s="89">
        <v>46105</v>
      </c>
      <c r="I950" s="89">
        <v>46110</v>
      </c>
      <c r="J950" s="91"/>
      <c r="K950" s="91"/>
      <c r="M950" s="91"/>
      <c r="N950" s="91" t="s">
        <v>2244</v>
      </c>
    </row>
    <row r="951" spans="1:14" x14ac:dyDescent="0.25">
      <c r="A951" s="91" t="s">
        <v>1318</v>
      </c>
      <c r="B951" s="91" t="s">
        <v>1332</v>
      </c>
      <c r="C951" s="91" t="s">
        <v>2274</v>
      </c>
      <c r="D951" s="91" t="s">
        <v>20</v>
      </c>
      <c r="E951" s="91"/>
      <c r="F951">
        <v>48</v>
      </c>
      <c r="G951" t="s">
        <v>1419</v>
      </c>
      <c r="H951" s="89">
        <v>46105</v>
      </c>
      <c r="I951" s="89">
        <v>46110</v>
      </c>
      <c r="J951" s="91"/>
      <c r="K951" s="91"/>
      <c r="M951" s="91"/>
      <c r="N951" s="91" t="s">
        <v>2244</v>
      </c>
    </row>
    <row r="952" spans="1:14" x14ac:dyDescent="0.25">
      <c r="A952" s="91" t="s">
        <v>1313</v>
      </c>
      <c r="B952" s="91" t="s">
        <v>1327</v>
      </c>
      <c r="C952" s="91" t="s">
        <v>2275</v>
      </c>
      <c r="D952" s="91" t="s">
        <v>15</v>
      </c>
      <c r="E952" s="91"/>
      <c r="F952">
        <v>1147</v>
      </c>
      <c r="G952">
        <v>23.895833333333332</v>
      </c>
      <c r="H952" s="89">
        <v>46105</v>
      </c>
      <c r="I952" s="89">
        <v>46110</v>
      </c>
      <c r="J952" s="91" t="s">
        <v>2276</v>
      </c>
      <c r="K952" s="91"/>
      <c r="M952" s="91"/>
      <c r="N952" s="91" t="s">
        <v>2244</v>
      </c>
    </row>
    <row r="953" spans="1:14" x14ac:dyDescent="0.25">
      <c r="A953" s="91" t="s">
        <v>1566</v>
      </c>
      <c r="B953" s="91" t="s">
        <v>1567</v>
      </c>
      <c r="C953" s="91" t="s">
        <v>2275</v>
      </c>
      <c r="D953" s="91" t="s">
        <v>15</v>
      </c>
      <c r="E953" s="91"/>
      <c r="F953">
        <v>5</v>
      </c>
      <c r="G953">
        <v>0.10416666666666669</v>
      </c>
      <c r="H953" s="89">
        <v>46105</v>
      </c>
      <c r="I953" s="89">
        <v>46110</v>
      </c>
      <c r="J953" s="91" t="s">
        <v>2277</v>
      </c>
      <c r="K953" s="91"/>
      <c r="M953" s="91"/>
      <c r="N953" s="91" t="s">
        <v>2244</v>
      </c>
    </row>
    <row r="954" spans="1:14" x14ac:dyDescent="0.25">
      <c r="A954" s="91" t="s">
        <v>1313</v>
      </c>
      <c r="B954" s="91" t="s">
        <v>1327</v>
      </c>
      <c r="C954" s="91" t="s">
        <v>2275</v>
      </c>
      <c r="D954" s="91" t="s">
        <v>15</v>
      </c>
      <c r="E954" s="91"/>
      <c r="F954">
        <v>48</v>
      </c>
      <c r="G954">
        <v>1</v>
      </c>
      <c r="H954" s="89">
        <v>46105</v>
      </c>
      <c r="I954" s="89">
        <v>46107</v>
      </c>
      <c r="J954" s="91"/>
      <c r="K954" s="91"/>
      <c r="M954" s="91"/>
      <c r="N954" s="91" t="s">
        <v>2244</v>
      </c>
    </row>
    <row r="955" spans="1:14" x14ac:dyDescent="0.25">
      <c r="A955" s="91" t="s">
        <v>1315</v>
      </c>
      <c r="B955" s="91" t="s">
        <v>1329</v>
      </c>
      <c r="C955" s="91" t="s">
        <v>2275</v>
      </c>
      <c r="D955" s="91" t="s">
        <v>15</v>
      </c>
      <c r="E955" s="91"/>
      <c r="F955">
        <v>84</v>
      </c>
      <c r="G955" t="s">
        <v>1419</v>
      </c>
      <c r="H955" s="89">
        <v>46105</v>
      </c>
      <c r="I955" s="89">
        <v>46110</v>
      </c>
      <c r="J955" s="91"/>
      <c r="K955" s="91"/>
      <c r="M955" s="91"/>
      <c r="N955" s="91" t="s">
        <v>2244</v>
      </c>
    </row>
    <row r="956" spans="1:14" x14ac:dyDescent="0.25">
      <c r="A956" s="91" t="s">
        <v>1316</v>
      </c>
      <c r="B956" s="91" t="s">
        <v>1330</v>
      </c>
      <c r="C956" s="91" t="s">
        <v>2278</v>
      </c>
      <c r="D956" s="91" t="s">
        <v>15</v>
      </c>
      <c r="E956" s="91"/>
      <c r="F956">
        <v>89</v>
      </c>
      <c r="G956" t="s">
        <v>1419</v>
      </c>
      <c r="H956" s="89">
        <v>46105</v>
      </c>
      <c r="I956" s="89">
        <v>46110</v>
      </c>
      <c r="J956" s="91"/>
      <c r="K956" s="91"/>
      <c r="M956" s="91"/>
      <c r="N956" s="91" t="s">
        <v>2244</v>
      </c>
    </row>
    <row r="957" spans="1:14" x14ac:dyDescent="0.25">
      <c r="A957" s="91" t="s">
        <v>1317</v>
      </c>
      <c r="B957" s="91" t="s">
        <v>1331</v>
      </c>
      <c r="C957" s="91" t="s">
        <v>2279</v>
      </c>
      <c r="D957" s="91" t="s">
        <v>15</v>
      </c>
      <c r="E957" s="91"/>
      <c r="F957">
        <v>44</v>
      </c>
      <c r="G957" t="s">
        <v>1419</v>
      </c>
      <c r="H957" s="89">
        <v>46105</v>
      </c>
      <c r="I957" s="89">
        <v>46110</v>
      </c>
      <c r="J957" s="91"/>
      <c r="K957" s="91"/>
      <c r="M957" s="91"/>
      <c r="N957" s="91" t="s">
        <v>2244</v>
      </c>
    </row>
    <row r="958" spans="1:14" x14ac:dyDescent="0.25">
      <c r="A958" s="91" t="s">
        <v>1318</v>
      </c>
      <c r="B958" s="91" t="s">
        <v>1332</v>
      </c>
      <c r="C958" s="91" t="s">
        <v>2280</v>
      </c>
      <c r="D958" s="91" t="s">
        <v>15</v>
      </c>
      <c r="E958" s="91"/>
      <c r="F958">
        <v>27</v>
      </c>
      <c r="G958" t="s">
        <v>1419</v>
      </c>
      <c r="H958" s="89">
        <v>46105</v>
      </c>
      <c r="I958" s="89">
        <v>46110</v>
      </c>
      <c r="J958" s="91"/>
      <c r="K958" s="91"/>
      <c r="M958" s="91"/>
      <c r="N958" s="91" t="s">
        <v>2244</v>
      </c>
    </row>
    <row r="959" spans="1:14" x14ac:dyDescent="0.25">
      <c r="A959" s="91" t="s">
        <v>1313</v>
      </c>
      <c r="B959" s="91" t="s">
        <v>1327</v>
      </c>
      <c r="C959" s="91" t="s">
        <v>2267</v>
      </c>
      <c r="D959" s="91" t="s">
        <v>23</v>
      </c>
      <c r="E959" s="91"/>
      <c r="H959" s="89">
        <v>46105</v>
      </c>
      <c r="I959" s="89">
        <v>46107</v>
      </c>
      <c r="J959" s="91"/>
      <c r="K959" s="91"/>
      <c r="M959" s="91"/>
      <c r="N959" s="91" t="s">
        <v>2244</v>
      </c>
    </row>
    <row r="960" spans="1:14" x14ac:dyDescent="0.25">
      <c r="A960" s="91" t="s">
        <v>1325</v>
      </c>
      <c r="B960" s="91" t="s">
        <v>1339</v>
      </c>
      <c r="C960" s="91" t="s">
        <v>2268</v>
      </c>
      <c r="D960" s="91" t="s">
        <v>138</v>
      </c>
      <c r="E960" s="91"/>
      <c r="F960">
        <v>336</v>
      </c>
      <c r="G960">
        <v>7</v>
      </c>
      <c r="H960" s="89">
        <v>46105</v>
      </c>
      <c r="I960" s="89">
        <v>46107</v>
      </c>
      <c r="J960" s="91"/>
      <c r="K960" s="91"/>
      <c r="M960" s="91"/>
      <c r="N960" s="91" t="s">
        <v>2244</v>
      </c>
    </row>
    <row r="961" spans="1:14" x14ac:dyDescent="0.25">
      <c r="A961" s="91" t="s">
        <v>1313</v>
      </c>
      <c r="B961" s="91" t="s">
        <v>1327</v>
      </c>
      <c r="C961" s="91" t="s">
        <v>2281</v>
      </c>
      <c r="D961" s="91" t="s">
        <v>21</v>
      </c>
      <c r="E961" s="91"/>
      <c r="F961">
        <v>720</v>
      </c>
      <c r="G961">
        <v>15</v>
      </c>
      <c r="H961" s="89">
        <v>46106</v>
      </c>
      <c r="I961" s="89">
        <v>46112</v>
      </c>
      <c r="J961" s="91" t="s">
        <v>2282</v>
      </c>
      <c r="K961" s="91"/>
      <c r="M961" s="91"/>
      <c r="N961" s="91" t="s">
        <v>2244</v>
      </c>
    </row>
    <row r="962" spans="1:14" x14ac:dyDescent="0.25">
      <c r="A962" s="91" t="s">
        <v>1313</v>
      </c>
      <c r="B962" s="91" t="s">
        <v>1327</v>
      </c>
      <c r="C962" s="91" t="s">
        <v>2281</v>
      </c>
      <c r="D962" s="91" t="s">
        <v>21</v>
      </c>
      <c r="E962" s="91"/>
      <c r="F962">
        <v>48</v>
      </c>
      <c r="G962">
        <v>1</v>
      </c>
      <c r="H962" s="89">
        <v>46106</v>
      </c>
      <c r="I962" s="89">
        <v>46110</v>
      </c>
      <c r="J962" s="91" t="s">
        <v>2263</v>
      </c>
      <c r="K962" s="91"/>
      <c r="M962" s="91"/>
      <c r="N962" s="91" t="s">
        <v>2244</v>
      </c>
    </row>
    <row r="963" spans="1:14" x14ac:dyDescent="0.25">
      <c r="A963" s="91" t="s">
        <v>1314</v>
      </c>
      <c r="B963" s="91" t="s">
        <v>1328</v>
      </c>
      <c r="C963" s="91" t="s">
        <v>2281</v>
      </c>
      <c r="D963" s="91" t="s">
        <v>21</v>
      </c>
      <c r="E963" s="91"/>
      <c r="F963">
        <v>288</v>
      </c>
      <c r="G963">
        <v>6</v>
      </c>
      <c r="H963" s="89">
        <v>46106</v>
      </c>
      <c r="I963" s="89">
        <v>46110</v>
      </c>
      <c r="J963" s="91" t="s">
        <v>2283</v>
      </c>
      <c r="K963" s="91"/>
      <c r="M963" s="91"/>
      <c r="N963" s="91" t="s">
        <v>2244</v>
      </c>
    </row>
    <row r="964" spans="1:14" x14ac:dyDescent="0.25">
      <c r="A964" s="91" t="s">
        <v>1324</v>
      </c>
      <c r="B964" s="91" t="s">
        <v>1338</v>
      </c>
      <c r="C964" s="91" t="s">
        <v>2281</v>
      </c>
      <c r="D964" s="91" t="s">
        <v>21</v>
      </c>
      <c r="E964" s="91"/>
      <c r="F964">
        <v>288</v>
      </c>
      <c r="G964">
        <v>6</v>
      </c>
      <c r="H964" s="89">
        <v>46106</v>
      </c>
      <c r="I964" s="89">
        <v>46111</v>
      </c>
      <c r="J964" s="91" t="s">
        <v>2284</v>
      </c>
      <c r="K964" s="91"/>
      <c r="M964" s="91"/>
      <c r="N964" s="91" t="s">
        <v>2244</v>
      </c>
    </row>
    <row r="965" spans="1:14" x14ac:dyDescent="0.25">
      <c r="A965" s="91" t="s">
        <v>1315</v>
      </c>
      <c r="B965" s="91" t="s">
        <v>1329</v>
      </c>
      <c r="C965" s="91" t="s">
        <v>2281</v>
      </c>
      <c r="D965" s="91" t="s">
        <v>21</v>
      </c>
      <c r="E965" s="91"/>
      <c r="F965">
        <v>96</v>
      </c>
      <c r="G965" t="s">
        <v>1419</v>
      </c>
      <c r="H965" s="89">
        <v>46106</v>
      </c>
      <c r="I965" s="89">
        <v>46110</v>
      </c>
      <c r="J965" s="91"/>
      <c r="K965" s="91"/>
      <c r="M965" s="91"/>
      <c r="N965" s="91" t="s">
        <v>2244</v>
      </c>
    </row>
    <row r="966" spans="1:14" x14ac:dyDescent="0.25">
      <c r="A966" s="91" t="s">
        <v>1316</v>
      </c>
      <c r="B966" s="91" t="s">
        <v>1330</v>
      </c>
      <c r="C966" s="91" t="s">
        <v>2285</v>
      </c>
      <c r="D966" s="91" t="s">
        <v>21</v>
      </c>
      <c r="E966" s="91"/>
      <c r="F966">
        <v>33</v>
      </c>
      <c r="G966" t="s">
        <v>1419</v>
      </c>
      <c r="H966" s="89">
        <v>46106</v>
      </c>
      <c r="I966" s="89">
        <v>46110</v>
      </c>
      <c r="J966" s="91"/>
      <c r="K966" s="91"/>
      <c r="M966" s="91"/>
      <c r="N966" s="91" t="s">
        <v>2244</v>
      </c>
    </row>
    <row r="967" spans="1:14" x14ac:dyDescent="0.25">
      <c r="A967" s="91" t="s">
        <v>1317</v>
      </c>
      <c r="B967" s="91" t="s">
        <v>1331</v>
      </c>
      <c r="C967" s="91" t="s">
        <v>2286</v>
      </c>
      <c r="D967" s="91" t="s">
        <v>21</v>
      </c>
      <c r="E967" s="91"/>
      <c r="F967">
        <v>26</v>
      </c>
      <c r="G967" t="s">
        <v>1419</v>
      </c>
      <c r="H967" s="89">
        <v>46106</v>
      </c>
      <c r="I967" s="89">
        <v>46110</v>
      </c>
      <c r="J967" s="91"/>
      <c r="K967" s="91"/>
      <c r="M967" s="91"/>
      <c r="N967" s="91" t="s">
        <v>2244</v>
      </c>
    </row>
    <row r="968" spans="1:14" x14ac:dyDescent="0.25">
      <c r="A968" s="91" t="s">
        <v>1318</v>
      </c>
      <c r="B968" s="91" t="s">
        <v>1332</v>
      </c>
      <c r="C968" s="91" t="s">
        <v>2287</v>
      </c>
      <c r="D968" s="91" t="s">
        <v>21</v>
      </c>
      <c r="E968" s="91"/>
      <c r="F968">
        <v>61</v>
      </c>
      <c r="G968" t="s">
        <v>1419</v>
      </c>
      <c r="H968" s="89">
        <v>46106</v>
      </c>
      <c r="I968" s="89">
        <v>46110</v>
      </c>
      <c r="J968" s="91"/>
      <c r="K968" s="91"/>
      <c r="M968" s="91"/>
      <c r="N968" s="91" t="s">
        <v>2244</v>
      </c>
    </row>
    <row r="969" spans="1:14" x14ac:dyDescent="0.25">
      <c r="A969" s="91" t="s">
        <v>1324</v>
      </c>
      <c r="B969" s="91" t="s">
        <v>1338</v>
      </c>
      <c r="C969" s="91" t="s">
        <v>2288</v>
      </c>
      <c r="D969" s="91" t="s">
        <v>118</v>
      </c>
      <c r="E969" s="91"/>
      <c r="F969">
        <v>720</v>
      </c>
      <c r="G969">
        <v>15</v>
      </c>
      <c r="H969" s="89">
        <v>46106</v>
      </c>
      <c r="I969" s="89">
        <v>46111</v>
      </c>
      <c r="J969" s="91" t="s">
        <v>2269</v>
      </c>
      <c r="K969" s="91"/>
      <c r="M969" s="91"/>
      <c r="N969" s="91" t="s">
        <v>2244</v>
      </c>
    </row>
    <row r="970" spans="1:14" x14ac:dyDescent="0.25">
      <c r="A970" s="91" t="s">
        <v>1324</v>
      </c>
      <c r="B970" s="91" t="s">
        <v>1338</v>
      </c>
      <c r="C970" s="91" t="s">
        <v>2289</v>
      </c>
      <c r="D970" s="91" t="s">
        <v>13</v>
      </c>
      <c r="E970" s="91"/>
      <c r="F970">
        <v>240</v>
      </c>
      <c r="G970">
        <v>5</v>
      </c>
      <c r="H970" s="89">
        <v>46106</v>
      </c>
      <c r="I970" s="89">
        <v>46111</v>
      </c>
      <c r="J970" s="91" t="s">
        <v>2269</v>
      </c>
      <c r="K970" s="91"/>
      <c r="M970" s="91"/>
      <c r="N970" s="91" t="s">
        <v>2244</v>
      </c>
    </row>
    <row r="971" spans="1:14" x14ac:dyDescent="0.25">
      <c r="A971" s="91" t="s">
        <v>1324</v>
      </c>
      <c r="B971" s="91" t="s">
        <v>1338</v>
      </c>
      <c r="C971" s="91" t="s">
        <v>2290</v>
      </c>
      <c r="D971" s="91" t="s">
        <v>23</v>
      </c>
      <c r="E971" s="91"/>
      <c r="F971">
        <v>192</v>
      </c>
      <c r="G971">
        <v>4</v>
      </c>
      <c r="H971" s="89">
        <v>46106</v>
      </c>
      <c r="I971" s="89">
        <v>46111</v>
      </c>
      <c r="J971" s="91" t="s">
        <v>2269</v>
      </c>
      <c r="K971" s="91"/>
      <c r="M971" s="91"/>
      <c r="N971" s="91" t="s">
        <v>2244</v>
      </c>
    </row>
    <row r="972" spans="1:14" x14ac:dyDescent="0.25">
      <c r="A972" s="91" t="s">
        <v>1320</v>
      </c>
      <c r="B972" s="91" t="s">
        <v>1334</v>
      </c>
      <c r="C972" s="91" t="s">
        <v>2290</v>
      </c>
      <c r="D972" s="91" t="s">
        <v>23</v>
      </c>
      <c r="E972" s="91"/>
      <c r="F972">
        <v>768</v>
      </c>
      <c r="G972">
        <v>16</v>
      </c>
      <c r="H972" s="89">
        <v>46106</v>
      </c>
      <c r="I972" s="89">
        <v>46112</v>
      </c>
      <c r="J972" s="91" t="s">
        <v>2291</v>
      </c>
      <c r="K972" s="91"/>
      <c r="M972" s="91"/>
      <c r="N972" s="91" t="s">
        <v>2244</v>
      </c>
    </row>
    <row r="973" spans="1:14" x14ac:dyDescent="0.25">
      <c r="A973" s="91" t="s">
        <v>1313</v>
      </c>
      <c r="B973" s="91" t="s">
        <v>1327</v>
      </c>
      <c r="C973" s="91" t="s">
        <v>2292</v>
      </c>
      <c r="D973" s="91" t="s">
        <v>20</v>
      </c>
      <c r="E973" s="91"/>
      <c r="F973">
        <v>1104</v>
      </c>
      <c r="G973">
        <v>23</v>
      </c>
      <c r="H973" s="89">
        <v>46106</v>
      </c>
      <c r="I973" s="89">
        <v>46108</v>
      </c>
      <c r="J973" s="91"/>
      <c r="K973" s="91"/>
      <c r="M973" s="91"/>
      <c r="N973" s="91" t="s">
        <v>2244</v>
      </c>
    </row>
    <row r="974" spans="1:14" x14ac:dyDescent="0.25">
      <c r="A974" s="91" t="s">
        <v>1315</v>
      </c>
      <c r="B974" s="91" t="s">
        <v>1329</v>
      </c>
      <c r="C974" s="91" t="s">
        <v>2292</v>
      </c>
      <c r="D974" s="91" t="s">
        <v>20</v>
      </c>
      <c r="E974" s="91"/>
      <c r="F974">
        <v>77</v>
      </c>
      <c r="G974" t="s">
        <v>1419</v>
      </c>
      <c r="H974" s="89">
        <v>46106</v>
      </c>
      <c r="I974" s="89">
        <v>46110</v>
      </c>
      <c r="J974" s="91"/>
      <c r="K974" s="91"/>
      <c r="M974" s="91"/>
      <c r="N974" s="91" t="s">
        <v>2244</v>
      </c>
    </row>
    <row r="975" spans="1:14" x14ac:dyDescent="0.25">
      <c r="A975" s="91" t="s">
        <v>1316</v>
      </c>
      <c r="B975" s="91" t="s">
        <v>1330</v>
      </c>
      <c r="C975" s="91" t="s">
        <v>2293</v>
      </c>
      <c r="D975" s="91" t="s">
        <v>20</v>
      </c>
      <c r="E975" s="91"/>
      <c r="F975">
        <v>167</v>
      </c>
      <c r="G975" t="s">
        <v>1419</v>
      </c>
      <c r="H975" s="89">
        <v>46106</v>
      </c>
      <c r="I975" s="89">
        <v>46110</v>
      </c>
      <c r="J975" s="91"/>
      <c r="K975" s="91"/>
      <c r="M975" s="91"/>
      <c r="N975" s="91" t="s">
        <v>2244</v>
      </c>
    </row>
    <row r="976" spans="1:14" x14ac:dyDescent="0.25">
      <c r="A976" s="91" t="s">
        <v>1317</v>
      </c>
      <c r="B976" s="91" t="s">
        <v>1331</v>
      </c>
      <c r="C976" s="91" t="s">
        <v>2294</v>
      </c>
      <c r="D976" s="91" t="s">
        <v>20</v>
      </c>
      <c r="E976" s="91"/>
      <c r="F976">
        <v>7</v>
      </c>
      <c r="G976" t="s">
        <v>1419</v>
      </c>
      <c r="H976" s="89">
        <v>46106</v>
      </c>
      <c r="I976" s="89">
        <v>46110</v>
      </c>
      <c r="J976" s="91"/>
      <c r="K976" s="91"/>
      <c r="M976" s="91"/>
      <c r="N976" s="91" t="s">
        <v>2244</v>
      </c>
    </row>
    <row r="977" spans="1:14" x14ac:dyDescent="0.25">
      <c r="A977" s="91" t="s">
        <v>1318</v>
      </c>
      <c r="B977" s="91" t="s">
        <v>1332</v>
      </c>
      <c r="C977" s="91" t="s">
        <v>2295</v>
      </c>
      <c r="D977" s="91" t="s">
        <v>20</v>
      </c>
      <c r="E977" s="91"/>
      <c r="F977">
        <v>58</v>
      </c>
      <c r="G977" t="s">
        <v>1419</v>
      </c>
      <c r="H977" s="89">
        <v>46106</v>
      </c>
      <c r="I977" s="89">
        <v>46110</v>
      </c>
      <c r="J977" s="91"/>
      <c r="K977" s="91"/>
      <c r="M977" s="91"/>
      <c r="N977" s="91" t="s">
        <v>2244</v>
      </c>
    </row>
    <row r="978" spans="1:14" x14ac:dyDescent="0.25">
      <c r="A978" s="91" t="s">
        <v>1320</v>
      </c>
      <c r="B978" s="91" t="s">
        <v>1334</v>
      </c>
      <c r="C978" s="91" t="s">
        <v>2296</v>
      </c>
      <c r="D978" s="91" t="s">
        <v>15</v>
      </c>
      <c r="E978" s="91"/>
      <c r="F978">
        <v>960</v>
      </c>
      <c r="G978">
        <v>20</v>
      </c>
      <c r="H978" s="89">
        <v>46106</v>
      </c>
      <c r="I978" s="89">
        <v>46111</v>
      </c>
      <c r="J978" s="91" t="s">
        <v>2297</v>
      </c>
      <c r="K978" s="91"/>
      <c r="M978" s="91"/>
      <c r="N978" s="91" t="s">
        <v>2244</v>
      </c>
    </row>
    <row r="979" spans="1:14" x14ac:dyDescent="0.25">
      <c r="A979" s="91" t="s">
        <v>1313</v>
      </c>
      <c r="B979" s="91" t="s">
        <v>1327</v>
      </c>
      <c r="C979" s="91" t="s">
        <v>2296</v>
      </c>
      <c r="D979" s="91" t="s">
        <v>15</v>
      </c>
      <c r="E979" s="91"/>
      <c r="F979">
        <v>432</v>
      </c>
      <c r="G979">
        <v>9</v>
      </c>
      <c r="H979" s="89">
        <v>46106</v>
      </c>
      <c r="I979" s="89">
        <v>46112</v>
      </c>
      <c r="J979" s="91" t="s">
        <v>2282</v>
      </c>
      <c r="K979" s="91"/>
      <c r="M979" s="91"/>
      <c r="N979" s="91" t="s">
        <v>2244</v>
      </c>
    </row>
    <row r="980" spans="1:14" x14ac:dyDescent="0.25">
      <c r="A980" s="91" t="s">
        <v>1315</v>
      </c>
      <c r="B980" s="91" t="s">
        <v>1329</v>
      </c>
      <c r="C980" s="91" t="s">
        <v>2296</v>
      </c>
      <c r="D980" s="91" t="s">
        <v>15</v>
      </c>
      <c r="E980" s="91"/>
      <c r="F980">
        <v>41</v>
      </c>
      <c r="G980" t="s">
        <v>1419</v>
      </c>
      <c r="H980" s="89">
        <v>46106</v>
      </c>
      <c r="I980" s="89">
        <v>46110</v>
      </c>
      <c r="J980" s="91"/>
      <c r="K980" s="91"/>
      <c r="M980" s="91"/>
      <c r="N980" s="91" t="s">
        <v>2244</v>
      </c>
    </row>
    <row r="981" spans="1:14" x14ac:dyDescent="0.25">
      <c r="A981" s="91" t="s">
        <v>1316</v>
      </c>
      <c r="B981" s="91" t="s">
        <v>1330</v>
      </c>
      <c r="C981" s="91" t="s">
        <v>2298</v>
      </c>
      <c r="D981" s="91" t="s">
        <v>15</v>
      </c>
      <c r="E981" s="91"/>
      <c r="F981">
        <v>110</v>
      </c>
      <c r="G981" t="s">
        <v>1419</v>
      </c>
      <c r="H981" s="89">
        <v>46106</v>
      </c>
      <c r="I981" s="89">
        <v>46110</v>
      </c>
      <c r="J981" s="91"/>
      <c r="K981" s="91"/>
      <c r="M981" s="91"/>
      <c r="N981" s="91" t="s">
        <v>2244</v>
      </c>
    </row>
    <row r="982" spans="1:14" x14ac:dyDescent="0.25">
      <c r="A982" s="91" t="s">
        <v>1317</v>
      </c>
      <c r="B982" s="91" t="s">
        <v>1331</v>
      </c>
      <c r="C982" s="91" t="s">
        <v>2299</v>
      </c>
      <c r="D982" s="91" t="s">
        <v>15</v>
      </c>
      <c r="E982" s="91"/>
      <c r="F982">
        <v>29</v>
      </c>
      <c r="G982" t="s">
        <v>1419</v>
      </c>
      <c r="H982" s="89">
        <v>46106</v>
      </c>
      <c r="I982" s="89">
        <v>46110</v>
      </c>
      <c r="J982" s="91"/>
      <c r="K982" s="91"/>
      <c r="M982" s="91"/>
      <c r="N982" s="91" t="s">
        <v>2244</v>
      </c>
    </row>
    <row r="983" spans="1:14" x14ac:dyDescent="0.25">
      <c r="A983" s="91" t="s">
        <v>1318</v>
      </c>
      <c r="B983" s="91" t="s">
        <v>1332</v>
      </c>
      <c r="C983" s="91" t="s">
        <v>2300</v>
      </c>
      <c r="D983" s="91" t="s">
        <v>15</v>
      </c>
      <c r="E983" s="91"/>
      <c r="F983">
        <v>40</v>
      </c>
      <c r="G983" t="s">
        <v>1419</v>
      </c>
      <c r="H983" s="89">
        <v>46106</v>
      </c>
      <c r="I983" s="89">
        <v>46110</v>
      </c>
      <c r="J983" s="91"/>
      <c r="K983" s="91"/>
      <c r="M983" s="91"/>
      <c r="N983" s="91" t="s">
        <v>2244</v>
      </c>
    </row>
    <row r="984" spans="1:14" x14ac:dyDescent="0.25">
      <c r="A984" s="91" t="s">
        <v>1313</v>
      </c>
      <c r="B984" s="91" t="s">
        <v>1327</v>
      </c>
      <c r="C984" s="91" t="s">
        <v>2301</v>
      </c>
      <c r="D984" s="91" t="s">
        <v>20</v>
      </c>
      <c r="E984" s="91"/>
      <c r="F984">
        <v>1152</v>
      </c>
      <c r="G984">
        <v>24</v>
      </c>
      <c r="H984" s="89">
        <v>46107</v>
      </c>
      <c r="I984" s="89">
        <v>46113</v>
      </c>
      <c r="J984" s="91" t="s">
        <v>2302</v>
      </c>
      <c r="K984" s="91"/>
      <c r="M984" s="91"/>
      <c r="N984" s="91" t="s">
        <v>2244</v>
      </c>
    </row>
    <row r="985" spans="1:14" x14ac:dyDescent="0.25">
      <c r="A985" s="91" t="s">
        <v>1313</v>
      </c>
      <c r="B985" s="91" t="s">
        <v>1327</v>
      </c>
      <c r="C985" s="91" t="s">
        <v>2301</v>
      </c>
      <c r="D985" s="91" t="s">
        <v>20</v>
      </c>
      <c r="E985" s="91"/>
      <c r="F985">
        <v>432</v>
      </c>
      <c r="G985">
        <v>9</v>
      </c>
      <c r="H985" s="89">
        <v>46107</v>
      </c>
      <c r="I985" s="89">
        <v>46112</v>
      </c>
      <c r="J985" s="91" t="s">
        <v>2303</v>
      </c>
      <c r="K985" s="91"/>
      <c r="M985" s="91"/>
      <c r="N985" s="91" t="s">
        <v>2244</v>
      </c>
    </row>
    <row r="986" spans="1:14" x14ac:dyDescent="0.25">
      <c r="A986" s="91" t="s">
        <v>1315</v>
      </c>
      <c r="B986" s="91" t="s">
        <v>1329</v>
      </c>
      <c r="C986" s="91" t="s">
        <v>2301</v>
      </c>
      <c r="D986" s="91" t="s">
        <v>20</v>
      </c>
      <c r="E986" s="91"/>
      <c r="F986">
        <v>25</v>
      </c>
      <c r="G986" t="s">
        <v>1419</v>
      </c>
      <c r="H986" s="89">
        <v>46107</v>
      </c>
      <c r="I986" s="89">
        <v>46110</v>
      </c>
      <c r="J986" s="91"/>
      <c r="K986" s="91"/>
      <c r="M986" s="91"/>
      <c r="N986" s="91" t="s">
        <v>2244</v>
      </c>
    </row>
    <row r="987" spans="1:14" x14ac:dyDescent="0.25">
      <c r="A987" s="91" t="s">
        <v>1316</v>
      </c>
      <c r="B987" s="91" t="s">
        <v>1330</v>
      </c>
      <c r="C987" s="91" t="s">
        <v>2304</v>
      </c>
      <c r="D987" s="91" t="s">
        <v>20</v>
      </c>
      <c r="E987" s="91"/>
      <c r="F987">
        <v>269</v>
      </c>
      <c r="G987" t="s">
        <v>1419</v>
      </c>
      <c r="H987" s="89">
        <v>46107</v>
      </c>
      <c r="I987" s="89">
        <v>46110</v>
      </c>
      <c r="J987" s="91"/>
      <c r="K987" s="91"/>
      <c r="M987" s="91"/>
      <c r="N987" s="91" t="s">
        <v>2244</v>
      </c>
    </row>
    <row r="988" spans="1:14" x14ac:dyDescent="0.25">
      <c r="A988" s="91" t="s">
        <v>1317</v>
      </c>
      <c r="B988" s="91" t="s">
        <v>1331</v>
      </c>
      <c r="C988" s="91" t="s">
        <v>2305</v>
      </c>
      <c r="D988" s="91" t="s">
        <v>20</v>
      </c>
      <c r="E988" s="91"/>
      <c r="F988">
        <v>9</v>
      </c>
      <c r="G988" t="s">
        <v>1419</v>
      </c>
      <c r="H988" s="89">
        <v>46107</v>
      </c>
      <c r="I988" s="89">
        <v>46110</v>
      </c>
      <c r="J988" s="91"/>
      <c r="K988" s="91"/>
      <c r="M988" s="91"/>
      <c r="N988" s="91" t="s">
        <v>2244</v>
      </c>
    </row>
    <row r="989" spans="1:14" x14ac:dyDescent="0.25">
      <c r="A989" s="91" t="s">
        <v>1318</v>
      </c>
      <c r="B989" s="91" t="s">
        <v>1332</v>
      </c>
      <c r="C989" s="91" t="s">
        <v>2306</v>
      </c>
      <c r="D989" s="91" t="s">
        <v>20</v>
      </c>
      <c r="E989" s="91"/>
      <c r="F989">
        <v>85</v>
      </c>
      <c r="G989" t="s">
        <v>1419</v>
      </c>
      <c r="H989" s="89">
        <v>46107</v>
      </c>
      <c r="I989" s="89">
        <v>46110</v>
      </c>
      <c r="J989" s="91"/>
      <c r="K989" s="91"/>
      <c r="M989" s="91"/>
      <c r="N989" s="91" t="s">
        <v>2244</v>
      </c>
    </row>
    <row r="990" spans="1:14" x14ac:dyDescent="0.25">
      <c r="A990" s="91" t="s">
        <v>1324</v>
      </c>
      <c r="B990" s="91" t="s">
        <v>1338</v>
      </c>
      <c r="C990" s="91" t="s">
        <v>2307</v>
      </c>
      <c r="D990" s="91" t="s">
        <v>28</v>
      </c>
      <c r="E990" s="91"/>
      <c r="F990">
        <v>336</v>
      </c>
      <c r="G990">
        <v>7</v>
      </c>
      <c r="H990" s="89">
        <v>46107</v>
      </c>
      <c r="I990" s="89">
        <v>46111</v>
      </c>
      <c r="J990" s="91" t="s">
        <v>2284</v>
      </c>
      <c r="K990" s="91"/>
      <c r="M990" s="91"/>
      <c r="N990" s="91" t="s">
        <v>2244</v>
      </c>
    </row>
    <row r="991" spans="1:14" x14ac:dyDescent="0.25">
      <c r="A991" s="91" t="s">
        <v>1320</v>
      </c>
      <c r="B991" s="91" t="s">
        <v>1334</v>
      </c>
      <c r="C991" s="91" t="s">
        <v>2307</v>
      </c>
      <c r="D991" s="91" t="s">
        <v>28</v>
      </c>
      <c r="E991" s="91"/>
      <c r="F991">
        <v>960</v>
      </c>
      <c r="G991">
        <v>20</v>
      </c>
      <c r="H991" s="89">
        <v>46107</v>
      </c>
      <c r="I991" s="89">
        <v>46111</v>
      </c>
      <c r="J991" s="91" t="s">
        <v>2308</v>
      </c>
      <c r="K991" s="91"/>
      <c r="M991" s="91"/>
      <c r="N991" s="91" t="s">
        <v>2244</v>
      </c>
    </row>
    <row r="992" spans="1:14" x14ac:dyDescent="0.25">
      <c r="A992" s="91" t="s">
        <v>1314</v>
      </c>
      <c r="B992" s="91" t="s">
        <v>1328</v>
      </c>
      <c r="C992" s="91" t="s">
        <v>2307</v>
      </c>
      <c r="D992" s="91" t="s">
        <v>28</v>
      </c>
      <c r="E992" s="91"/>
      <c r="F992">
        <v>0</v>
      </c>
      <c r="G992">
        <v>0</v>
      </c>
      <c r="H992" s="89">
        <v>46107</v>
      </c>
      <c r="I992" s="89">
        <v>46112</v>
      </c>
      <c r="J992" s="91"/>
      <c r="K992" s="91"/>
      <c r="M992" s="91"/>
      <c r="N992" s="91" t="s">
        <v>2244</v>
      </c>
    </row>
    <row r="993" spans="1:14" x14ac:dyDescent="0.25">
      <c r="A993" s="91" t="s">
        <v>1315</v>
      </c>
      <c r="B993" s="91" t="s">
        <v>1329</v>
      </c>
      <c r="C993" s="91" t="s">
        <v>2307</v>
      </c>
      <c r="D993" s="91" t="s">
        <v>28</v>
      </c>
      <c r="E993" s="91"/>
      <c r="F993">
        <v>52</v>
      </c>
      <c r="G993" t="s">
        <v>1419</v>
      </c>
      <c r="H993" s="89">
        <v>46107</v>
      </c>
      <c r="I993" s="89">
        <v>46110</v>
      </c>
      <c r="J993" s="91"/>
      <c r="K993" s="91"/>
      <c r="M993" s="91"/>
      <c r="N993" s="91" t="s">
        <v>2244</v>
      </c>
    </row>
    <row r="994" spans="1:14" x14ac:dyDescent="0.25">
      <c r="A994" s="91" t="s">
        <v>1313</v>
      </c>
      <c r="B994" s="91" t="s">
        <v>1327</v>
      </c>
      <c r="C994" s="91" t="s">
        <v>2307</v>
      </c>
      <c r="D994" s="91" t="s">
        <v>28</v>
      </c>
      <c r="E994" s="91"/>
      <c r="F994">
        <v>384</v>
      </c>
      <c r="G994">
        <v>8</v>
      </c>
      <c r="H994" s="89">
        <v>46107</v>
      </c>
      <c r="I994" s="89">
        <v>46110</v>
      </c>
      <c r="J994" s="91"/>
      <c r="K994" s="91"/>
      <c r="M994" s="91"/>
      <c r="N994" s="91" t="s">
        <v>2244</v>
      </c>
    </row>
    <row r="995" spans="1:14" x14ac:dyDescent="0.25">
      <c r="A995" s="91" t="s">
        <v>1316</v>
      </c>
      <c r="B995" s="91" t="s">
        <v>1330</v>
      </c>
      <c r="C995" s="91" t="s">
        <v>2309</v>
      </c>
      <c r="D995" s="91" t="s">
        <v>28</v>
      </c>
      <c r="E995" s="91"/>
      <c r="F995">
        <v>134</v>
      </c>
      <c r="G995" t="s">
        <v>1419</v>
      </c>
      <c r="H995" s="89">
        <v>46107</v>
      </c>
      <c r="I995" s="89">
        <v>46110</v>
      </c>
      <c r="J995" s="91"/>
      <c r="K995" s="91"/>
      <c r="M995" s="91"/>
      <c r="N995" s="91" t="s">
        <v>2244</v>
      </c>
    </row>
    <row r="996" spans="1:14" x14ac:dyDescent="0.25">
      <c r="A996" s="91" t="s">
        <v>1317</v>
      </c>
      <c r="B996" s="91" t="s">
        <v>1331</v>
      </c>
      <c r="C996" s="91" t="s">
        <v>2310</v>
      </c>
      <c r="D996" s="91" t="s">
        <v>28</v>
      </c>
      <c r="E996" s="91"/>
      <c r="F996">
        <v>31</v>
      </c>
      <c r="G996" t="s">
        <v>1419</v>
      </c>
      <c r="H996" s="89">
        <v>46107</v>
      </c>
      <c r="I996" s="89">
        <v>46110</v>
      </c>
      <c r="J996" s="91"/>
      <c r="K996" s="91"/>
      <c r="M996" s="91"/>
      <c r="N996" s="91" t="s">
        <v>2244</v>
      </c>
    </row>
    <row r="997" spans="1:14" x14ac:dyDescent="0.25">
      <c r="A997" s="91" t="s">
        <v>1318</v>
      </c>
      <c r="B997" s="91" t="s">
        <v>1332</v>
      </c>
      <c r="C997" s="91" t="s">
        <v>2311</v>
      </c>
      <c r="D997" s="91" t="s">
        <v>28</v>
      </c>
      <c r="E997" s="91"/>
      <c r="F997">
        <v>107</v>
      </c>
      <c r="G997" t="s">
        <v>1419</v>
      </c>
      <c r="H997" s="89">
        <v>46107</v>
      </c>
      <c r="I997" s="89">
        <v>46110</v>
      </c>
      <c r="J997" s="91"/>
      <c r="K997" s="91"/>
      <c r="M997" s="91"/>
      <c r="N997" s="91" t="s">
        <v>2244</v>
      </c>
    </row>
    <row r="998" spans="1:14" x14ac:dyDescent="0.25">
      <c r="A998" s="91" t="s">
        <v>1326</v>
      </c>
      <c r="B998" s="91" t="s">
        <v>1340</v>
      </c>
      <c r="C998" s="91" t="s">
        <v>2312</v>
      </c>
      <c r="D998" s="91" t="s">
        <v>2108</v>
      </c>
      <c r="E998" s="91"/>
      <c r="F998">
        <v>462</v>
      </c>
      <c r="G998">
        <v>11</v>
      </c>
      <c r="H998" s="89">
        <v>46107</v>
      </c>
      <c r="I998" s="89">
        <v>46115</v>
      </c>
      <c r="J998" s="91" t="s">
        <v>2313</v>
      </c>
      <c r="K998" s="91"/>
      <c r="M998" s="91"/>
      <c r="N998" s="91" t="s">
        <v>2244</v>
      </c>
    </row>
    <row r="999" spans="1:14" x14ac:dyDescent="0.25">
      <c r="A999" s="91" t="s">
        <v>1320</v>
      </c>
      <c r="B999" s="91" t="s">
        <v>1334</v>
      </c>
      <c r="C999" s="91" t="s">
        <v>2314</v>
      </c>
      <c r="D999" s="91" t="s">
        <v>23</v>
      </c>
      <c r="E999" s="91"/>
      <c r="F999">
        <v>192</v>
      </c>
      <c r="G999">
        <v>4</v>
      </c>
      <c r="H999" s="89">
        <v>46107</v>
      </c>
      <c r="I999" s="89">
        <v>46112</v>
      </c>
      <c r="J999" s="91" t="s">
        <v>2291</v>
      </c>
      <c r="K999" s="91"/>
      <c r="M999" s="91"/>
      <c r="N999" s="91" t="s">
        <v>2244</v>
      </c>
    </row>
    <row r="1000" spans="1:14" x14ac:dyDescent="0.25">
      <c r="A1000" s="91" t="s">
        <v>1320</v>
      </c>
      <c r="B1000" s="91" t="s">
        <v>1334</v>
      </c>
      <c r="C1000" s="91" t="s">
        <v>2314</v>
      </c>
      <c r="D1000" s="91" t="s">
        <v>23</v>
      </c>
      <c r="E1000" s="91"/>
      <c r="F1000">
        <v>768</v>
      </c>
      <c r="G1000">
        <v>16</v>
      </c>
      <c r="H1000" s="89">
        <v>46107</v>
      </c>
      <c r="I1000" s="89">
        <v>46113</v>
      </c>
      <c r="J1000" s="91" t="s">
        <v>2315</v>
      </c>
      <c r="K1000" s="91"/>
      <c r="M1000" s="91"/>
      <c r="N1000" s="91" t="s">
        <v>2244</v>
      </c>
    </row>
    <row r="1001" spans="1:14" x14ac:dyDescent="0.25">
      <c r="A1001" s="91" t="s">
        <v>1320</v>
      </c>
      <c r="B1001" s="91" t="s">
        <v>1334</v>
      </c>
      <c r="C1001" s="91" t="s">
        <v>2316</v>
      </c>
      <c r="D1001" s="91" t="s">
        <v>15</v>
      </c>
      <c r="E1001" s="91"/>
      <c r="F1001">
        <v>960</v>
      </c>
      <c r="G1001">
        <v>20</v>
      </c>
      <c r="H1001" s="89">
        <v>46107</v>
      </c>
      <c r="I1001" s="89">
        <v>46112</v>
      </c>
      <c r="J1001" s="91" t="s">
        <v>2317</v>
      </c>
      <c r="K1001" s="91"/>
      <c r="M1001" s="91"/>
      <c r="N1001" s="91" t="s">
        <v>2244</v>
      </c>
    </row>
    <row r="1002" spans="1:14" x14ac:dyDescent="0.25">
      <c r="A1002" s="91" t="s">
        <v>1313</v>
      </c>
      <c r="B1002" s="91" t="s">
        <v>1327</v>
      </c>
      <c r="C1002" s="91" t="s">
        <v>2316</v>
      </c>
      <c r="D1002" s="91" t="s">
        <v>15</v>
      </c>
      <c r="E1002" s="91"/>
      <c r="F1002">
        <v>480</v>
      </c>
      <c r="G1002">
        <v>10</v>
      </c>
      <c r="H1002" s="89">
        <v>46107</v>
      </c>
      <c r="I1002" s="89">
        <v>46110</v>
      </c>
      <c r="J1002" s="91"/>
      <c r="K1002" s="91"/>
      <c r="M1002" s="91"/>
      <c r="N1002" s="91" t="s">
        <v>2244</v>
      </c>
    </row>
    <row r="1003" spans="1:14" x14ac:dyDescent="0.25">
      <c r="A1003" s="91" t="s">
        <v>1315</v>
      </c>
      <c r="B1003" s="91" t="s">
        <v>1329</v>
      </c>
      <c r="C1003" s="91" t="s">
        <v>2316</v>
      </c>
      <c r="D1003" s="91" t="s">
        <v>15</v>
      </c>
      <c r="E1003" s="91"/>
      <c r="F1003">
        <v>56</v>
      </c>
      <c r="G1003" t="s">
        <v>1419</v>
      </c>
      <c r="H1003" s="89">
        <v>46107</v>
      </c>
      <c r="I1003" s="89">
        <v>46110</v>
      </c>
      <c r="J1003" s="91"/>
      <c r="K1003" s="91"/>
      <c r="M1003" s="91"/>
      <c r="N1003" s="91" t="s">
        <v>2244</v>
      </c>
    </row>
    <row r="1004" spans="1:14" x14ac:dyDescent="0.25">
      <c r="A1004" s="91" t="s">
        <v>1316</v>
      </c>
      <c r="B1004" s="91" t="s">
        <v>1330</v>
      </c>
      <c r="C1004" s="91" t="s">
        <v>2318</v>
      </c>
      <c r="D1004" s="91" t="s">
        <v>15</v>
      </c>
      <c r="E1004" s="91"/>
      <c r="F1004">
        <v>102</v>
      </c>
      <c r="G1004" t="s">
        <v>1419</v>
      </c>
      <c r="H1004" s="89">
        <v>46107</v>
      </c>
      <c r="I1004" s="89">
        <v>46110</v>
      </c>
      <c r="J1004" s="91"/>
      <c r="K1004" s="91"/>
      <c r="M1004" s="91"/>
      <c r="N1004" s="91" t="s">
        <v>2244</v>
      </c>
    </row>
    <row r="1005" spans="1:14" x14ac:dyDescent="0.25">
      <c r="A1005" s="91" t="s">
        <v>1317</v>
      </c>
      <c r="B1005" s="91" t="s">
        <v>1331</v>
      </c>
      <c r="C1005" s="91" t="s">
        <v>2319</v>
      </c>
      <c r="D1005" s="91" t="s">
        <v>15</v>
      </c>
      <c r="E1005" s="91"/>
      <c r="F1005">
        <v>36</v>
      </c>
      <c r="G1005" t="s">
        <v>1419</v>
      </c>
      <c r="H1005" s="89">
        <v>46107</v>
      </c>
      <c r="I1005" s="89">
        <v>46110</v>
      </c>
      <c r="J1005" s="91"/>
      <c r="K1005" s="91"/>
      <c r="M1005" s="91"/>
      <c r="N1005" s="91" t="s">
        <v>2244</v>
      </c>
    </row>
    <row r="1006" spans="1:14" x14ac:dyDescent="0.25">
      <c r="A1006" s="91" t="s">
        <v>1318</v>
      </c>
      <c r="B1006" s="91" t="s">
        <v>1332</v>
      </c>
      <c r="C1006" s="91" t="s">
        <v>2320</v>
      </c>
      <c r="D1006" s="91" t="s">
        <v>15</v>
      </c>
      <c r="E1006" s="91"/>
      <c r="F1006">
        <v>44</v>
      </c>
      <c r="G1006" t="s">
        <v>1419</v>
      </c>
      <c r="H1006" s="89">
        <v>46107</v>
      </c>
      <c r="I1006" s="89">
        <v>46110</v>
      </c>
      <c r="J1006" s="91"/>
      <c r="K1006" s="91"/>
      <c r="M1006" s="91"/>
      <c r="N1006" s="91" t="s">
        <v>2244</v>
      </c>
    </row>
    <row r="1007" spans="1:14" x14ac:dyDescent="0.25">
      <c r="A1007" s="91" t="s">
        <v>1324</v>
      </c>
      <c r="B1007" s="91" t="s">
        <v>1338</v>
      </c>
      <c r="C1007" s="91" t="s">
        <v>2321</v>
      </c>
      <c r="D1007" s="91" t="s">
        <v>105</v>
      </c>
      <c r="E1007" s="91"/>
      <c r="F1007">
        <v>960</v>
      </c>
      <c r="G1007">
        <v>20</v>
      </c>
      <c r="H1007" s="89">
        <v>46108</v>
      </c>
      <c r="I1007" s="89">
        <v>46114</v>
      </c>
      <c r="J1007" s="91" t="s">
        <v>2322</v>
      </c>
      <c r="K1007" s="91"/>
      <c r="M1007" s="91"/>
      <c r="N1007" s="91" t="s">
        <v>2244</v>
      </c>
    </row>
    <row r="1008" spans="1:14" x14ac:dyDescent="0.25">
      <c r="A1008" s="91" t="s">
        <v>1324</v>
      </c>
      <c r="B1008" s="91" t="s">
        <v>1338</v>
      </c>
      <c r="C1008" s="91" t="s">
        <v>2323</v>
      </c>
      <c r="D1008" s="91" t="s">
        <v>88</v>
      </c>
      <c r="E1008" s="91"/>
      <c r="F1008">
        <v>960</v>
      </c>
      <c r="G1008">
        <v>20</v>
      </c>
      <c r="H1008" s="89">
        <v>46108</v>
      </c>
      <c r="I1008" s="89">
        <v>46114</v>
      </c>
      <c r="J1008" s="91" t="s">
        <v>2324</v>
      </c>
      <c r="K1008" s="91"/>
      <c r="M1008" s="91"/>
      <c r="N1008" s="91" t="s">
        <v>2244</v>
      </c>
    </row>
    <row r="1009" spans="1:14" x14ac:dyDescent="0.25">
      <c r="A1009" s="91" t="s">
        <v>1314</v>
      </c>
      <c r="B1009" s="91" t="s">
        <v>1328</v>
      </c>
      <c r="C1009" s="91" t="s">
        <v>2325</v>
      </c>
      <c r="D1009" s="91" t="s">
        <v>21</v>
      </c>
      <c r="E1009" s="91"/>
      <c r="F1009">
        <v>336</v>
      </c>
      <c r="G1009">
        <v>7</v>
      </c>
      <c r="H1009" s="89">
        <v>46108</v>
      </c>
      <c r="I1009" s="89">
        <v>46112</v>
      </c>
      <c r="J1009" s="91" t="s">
        <v>2326</v>
      </c>
      <c r="K1009" s="91"/>
      <c r="M1009" s="91"/>
      <c r="N1009" s="91" t="s">
        <v>2244</v>
      </c>
    </row>
    <row r="1010" spans="1:14" x14ac:dyDescent="0.25">
      <c r="A1010" s="91" t="s">
        <v>1320</v>
      </c>
      <c r="B1010" s="91" t="s">
        <v>1334</v>
      </c>
      <c r="C1010" s="91" t="s">
        <v>2325</v>
      </c>
      <c r="D1010" s="91" t="s">
        <v>21</v>
      </c>
      <c r="E1010" s="91"/>
      <c r="F1010">
        <v>960</v>
      </c>
      <c r="G1010">
        <v>20</v>
      </c>
      <c r="H1010" s="89">
        <v>46108</v>
      </c>
      <c r="I1010" s="89">
        <v>46113</v>
      </c>
      <c r="J1010" s="91" t="s">
        <v>2327</v>
      </c>
      <c r="K1010" s="91"/>
      <c r="M1010" s="91"/>
      <c r="N1010" s="91" t="s">
        <v>2244</v>
      </c>
    </row>
    <row r="1011" spans="1:14" x14ac:dyDescent="0.25">
      <c r="A1011" s="91" t="s">
        <v>1313</v>
      </c>
      <c r="B1011" s="91" t="s">
        <v>1327</v>
      </c>
      <c r="C1011" s="91" t="s">
        <v>2325</v>
      </c>
      <c r="D1011" s="91" t="s">
        <v>21</v>
      </c>
      <c r="E1011" s="91"/>
      <c r="F1011">
        <v>288</v>
      </c>
      <c r="G1011">
        <v>6</v>
      </c>
      <c r="H1011" s="89">
        <v>46108</v>
      </c>
      <c r="I1011" s="89">
        <v>46110</v>
      </c>
      <c r="J1011" s="91"/>
      <c r="K1011" s="91"/>
      <c r="M1011" s="91"/>
      <c r="N1011" s="91" t="s">
        <v>2244</v>
      </c>
    </row>
    <row r="1012" spans="1:14" x14ac:dyDescent="0.25">
      <c r="A1012" s="91" t="s">
        <v>1315</v>
      </c>
      <c r="B1012" s="91" t="s">
        <v>1329</v>
      </c>
      <c r="C1012" s="91" t="s">
        <v>2325</v>
      </c>
      <c r="D1012" s="91" t="s">
        <v>21</v>
      </c>
      <c r="E1012" s="91"/>
      <c r="F1012">
        <v>105</v>
      </c>
      <c r="G1012" t="s">
        <v>1419</v>
      </c>
      <c r="H1012" s="89">
        <v>46108</v>
      </c>
      <c r="I1012" s="89">
        <v>46110</v>
      </c>
      <c r="J1012" s="91"/>
      <c r="K1012" s="91"/>
      <c r="M1012" s="91"/>
      <c r="N1012" s="91" t="s">
        <v>2244</v>
      </c>
    </row>
    <row r="1013" spans="1:14" x14ac:dyDescent="0.25">
      <c r="A1013" s="91" t="s">
        <v>1316</v>
      </c>
      <c r="B1013" s="91" t="s">
        <v>1330</v>
      </c>
      <c r="C1013" s="91" t="s">
        <v>2328</v>
      </c>
      <c r="D1013" s="91" t="s">
        <v>21</v>
      </c>
      <c r="E1013" s="91"/>
      <c r="F1013">
        <v>115</v>
      </c>
      <c r="G1013" t="s">
        <v>1419</v>
      </c>
      <c r="H1013" s="89">
        <v>46108</v>
      </c>
      <c r="I1013" s="89">
        <v>46110</v>
      </c>
      <c r="J1013" s="91"/>
      <c r="K1013" s="91"/>
      <c r="M1013" s="91"/>
      <c r="N1013" s="91" t="s">
        <v>2244</v>
      </c>
    </row>
    <row r="1014" spans="1:14" x14ac:dyDescent="0.25">
      <c r="A1014" s="91" t="s">
        <v>1317</v>
      </c>
      <c r="B1014" s="91" t="s">
        <v>1331</v>
      </c>
      <c r="C1014" s="91" t="s">
        <v>2329</v>
      </c>
      <c r="D1014" s="91" t="s">
        <v>21</v>
      </c>
      <c r="E1014" s="91"/>
      <c r="F1014">
        <v>11</v>
      </c>
      <c r="G1014" t="s">
        <v>1419</v>
      </c>
      <c r="H1014" s="89">
        <v>46108</v>
      </c>
      <c r="I1014" s="89">
        <v>46110</v>
      </c>
      <c r="J1014" s="91"/>
      <c r="K1014" s="91"/>
      <c r="M1014" s="91"/>
      <c r="N1014" s="91" t="s">
        <v>2244</v>
      </c>
    </row>
    <row r="1015" spans="1:14" x14ac:dyDescent="0.25">
      <c r="A1015" s="91" t="s">
        <v>1318</v>
      </c>
      <c r="B1015" s="91" t="s">
        <v>1332</v>
      </c>
      <c r="C1015" s="91" t="s">
        <v>2330</v>
      </c>
      <c r="D1015" s="91" t="s">
        <v>21</v>
      </c>
      <c r="E1015" s="91"/>
      <c r="F1015">
        <v>108</v>
      </c>
      <c r="G1015" t="s">
        <v>1419</v>
      </c>
      <c r="H1015" s="89">
        <v>46108</v>
      </c>
      <c r="I1015" s="89">
        <v>46110</v>
      </c>
      <c r="J1015" s="91"/>
      <c r="K1015" s="91"/>
      <c r="M1015" s="91"/>
      <c r="N1015" s="91" t="s">
        <v>2244</v>
      </c>
    </row>
    <row r="1016" spans="1:14" x14ac:dyDescent="0.25">
      <c r="A1016" s="91" t="s">
        <v>1323</v>
      </c>
      <c r="B1016" s="91" t="s">
        <v>1337</v>
      </c>
      <c r="C1016" s="91" t="s">
        <v>2331</v>
      </c>
      <c r="D1016" s="91" t="s">
        <v>20</v>
      </c>
      <c r="E1016" s="91"/>
      <c r="F1016">
        <v>918</v>
      </c>
      <c r="G1016">
        <v>17</v>
      </c>
      <c r="H1016" s="89">
        <v>46108</v>
      </c>
      <c r="I1016" s="89">
        <v>46111</v>
      </c>
      <c r="J1016" s="91" t="s">
        <v>2332</v>
      </c>
      <c r="K1016" s="91"/>
      <c r="M1016" s="91"/>
      <c r="N1016" s="91" t="s">
        <v>2244</v>
      </c>
    </row>
    <row r="1017" spans="1:14" x14ac:dyDescent="0.25">
      <c r="A1017" s="91" t="s">
        <v>1322</v>
      </c>
      <c r="B1017" s="91" t="s">
        <v>1336</v>
      </c>
      <c r="C1017" s="91" t="s">
        <v>2331</v>
      </c>
      <c r="D1017" s="91" t="s">
        <v>20</v>
      </c>
      <c r="E1017" s="91"/>
      <c r="F1017">
        <v>162</v>
      </c>
      <c r="G1017">
        <v>3</v>
      </c>
      <c r="H1017" s="89">
        <v>46108</v>
      </c>
      <c r="I1017" s="89">
        <v>46111</v>
      </c>
      <c r="J1017" s="91" t="s">
        <v>2332</v>
      </c>
      <c r="K1017" s="91"/>
      <c r="M1017" s="91"/>
      <c r="N1017" s="91" t="s">
        <v>2244</v>
      </c>
    </row>
    <row r="1018" spans="1:14" x14ac:dyDescent="0.25">
      <c r="A1018" s="91" t="s">
        <v>1313</v>
      </c>
      <c r="B1018" s="91" t="s">
        <v>1327</v>
      </c>
      <c r="C1018" s="91" t="s">
        <v>2331</v>
      </c>
      <c r="D1018" s="91" t="s">
        <v>20</v>
      </c>
      <c r="E1018" s="91"/>
      <c r="F1018">
        <v>384</v>
      </c>
      <c r="G1018">
        <v>8</v>
      </c>
      <c r="H1018" s="89">
        <v>46108</v>
      </c>
      <c r="I1018" s="89">
        <v>46112</v>
      </c>
      <c r="J1018" s="91" t="s">
        <v>2303</v>
      </c>
      <c r="K1018" s="91"/>
      <c r="M1018" s="91"/>
      <c r="N1018" s="91" t="s">
        <v>2244</v>
      </c>
    </row>
    <row r="1019" spans="1:14" x14ac:dyDescent="0.25">
      <c r="A1019" s="91" t="s">
        <v>1315</v>
      </c>
      <c r="B1019" s="91" t="s">
        <v>1329</v>
      </c>
      <c r="C1019" s="91" t="s">
        <v>2331</v>
      </c>
      <c r="D1019" s="91" t="s">
        <v>20</v>
      </c>
      <c r="E1019" s="91"/>
      <c r="F1019">
        <v>5</v>
      </c>
      <c r="G1019" t="s">
        <v>1419</v>
      </c>
      <c r="H1019" s="89">
        <v>46108</v>
      </c>
      <c r="I1019" s="89">
        <v>46110</v>
      </c>
      <c r="J1019" s="91"/>
      <c r="K1019" s="91"/>
      <c r="M1019" s="91"/>
      <c r="N1019" s="91" t="s">
        <v>2244</v>
      </c>
    </row>
    <row r="1020" spans="1:14" x14ac:dyDescent="0.25">
      <c r="A1020" s="91" t="s">
        <v>1316</v>
      </c>
      <c r="B1020" s="91" t="s">
        <v>1330</v>
      </c>
      <c r="C1020" s="91" t="s">
        <v>2333</v>
      </c>
      <c r="D1020" s="91" t="s">
        <v>20</v>
      </c>
      <c r="E1020" s="91"/>
      <c r="F1020">
        <v>128</v>
      </c>
      <c r="G1020" t="s">
        <v>1419</v>
      </c>
      <c r="H1020" s="89">
        <v>46108</v>
      </c>
      <c r="I1020" s="89">
        <v>46110</v>
      </c>
      <c r="J1020" s="91"/>
      <c r="K1020" s="91"/>
      <c r="M1020" s="91"/>
      <c r="N1020" s="91" t="s">
        <v>2244</v>
      </c>
    </row>
    <row r="1021" spans="1:14" x14ac:dyDescent="0.25">
      <c r="A1021" s="91" t="s">
        <v>1317</v>
      </c>
      <c r="B1021" s="91" t="s">
        <v>1331</v>
      </c>
      <c r="C1021" s="91" t="s">
        <v>2334</v>
      </c>
      <c r="D1021" s="91" t="s">
        <v>20</v>
      </c>
      <c r="E1021" s="91"/>
      <c r="F1021">
        <v>11</v>
      </c>
      <c r="G1021" t="s">
        <v>1419</v>
      </c>
      <c r="H1021" s="89">
        <v>46108</v>
      </c>
      <c r="I1021" s="89">
        <v>46110</v>
      </c>
      <c r="J1021" s="91"/>
      <c r="K1021" s="91"/>
      <c r="M1021" s="91"/>
      <c r="N1021" s="91" t="s">
        <v>2244</v>
      </c>
    </row>
    <row r="1022" spans="1:14" x14ac:dyDescent="0.25">
      <c r="A1022" s="91" t="s">
        <v>1318</v>
      </c>
      <c r="B1022" s="91" t="s">
        <v>1332</v>
      </c>
      <c r="C1022" s="91" t="s">
        <v>2335</v>
      </c>
      <c r="D1022" s="91" t="s">
        <v>20</v>
      </c>
      <c r="E1022" s="91"/>
      <c r="F1022">
        <v>60</v>
      </c>
      <c r="G1022" t="s">
        <v>1419</v>
      </c>
      <c r="H1022" s="89">
        <v>46108</v>
      </c>
      <c r="I1022" s="89">
        <v>46110</v>
      </c>
      <c r="J1022" s="91"/>
      <c r="K1022" s="91"/>
      <c r="M1022" s="91"/>
      <c r="N1022" s="91" t="s">
        <v>2244</v>
      </c>
    </row>
    <row r="1023" spans="1:14" x14ac:dyDescent="0.25">
      <c r="A1023" s="91" t="s">
        <v>1326</v>
      </c>
      <c r="B1023" s="91" t="s">
        <v>1340</v>
      </c>
      <c r="C1023" s="91" t="s">
        <v>2336</v>
      </c>
      <c r="D1023" s="91" t="s">
        <v>2108</v>
      </c>
      <c r="E1023" s="91"/>
      <c r="F1023">
        <v>252</v>
      </c>
      <c r="G1023">
        <v>6</v>
      </c>
      <c r="H1023" s="89">
        <v>46108</v>
      </c>
      <c r="I1023" s="89">
        <v>46115</v>
      </c>
      <c r="J1023" s="91" t="s">
        <v>2313</v>
      </c>
      <c r="K1023" s="91"/>
      <c r="M1023" s="91"/>
      <c r="N1023" s="91" t="s">
        <v>2244</v>
      </c>
    </row>
    <row r="1024" spans="1:14" x14ac:dyDescent="0.25">
      <c r="A1024" s="91" t="s">
        <v>1320</v>
      </c>
      <c r="B1024" s="91" t="s">
        <v>1334</v>
      </c>
      <c r="C1024" s="91" t="s">
        <v>2337</v>
      </c>
      <c r="D1024" s="91" t="s">
        <v>23</v>
      </c>
      <c r="E1024" s="91"/>
      <c r="F1024">
        <v>192</v>
      </c>
      <c r="G1024">
        <v>4</v>
      </c>
      <c r="H1024" s="89">
        <v>46108</v>
      </c>
      <c r="I1024" s="89">
        <v>46113</v>
      </c>
      <c r="J1024" s="91" t="s">
        <v>2315</v>
      </c>
      <c r="K1024" s="91"/>
      <c r="M1024" s="91"/>
      <c r="N1024" s="91" t="s">
        <v>2244</v>
      </c>
    </row>
    <row r="1025" spans="1:14" x14ac:dyDescent="0.25">
      <c r="A1025" s="91" t="s">
        <v>1320</v>
      </c>
      <c r="B1025" s="91" t="s">
        <v>1334</v>
      </c>
      <c r="C1025" s="91" t="s">
        <v>2337</v>
      </c>
      <c r="D1025" s="91" t="s">
        <v>23</v>
      </c>
      <c r="E1025" s="91"/>
      <c r="F1025">
        <v>144</v>
      </c>
      <c r="G1025">
        <v>3</v>
      </c>
      <c r="H1025" s="89">
        <v>46108</v>
      </c>
      <c r="I1025" s="89">
        <v>46114</v>
      </c>
      <c r="J1025" s="91" t="s">
        <v>2338</v>
      </c>
      <c r="K1025" s="91"/>
      <c r="M1025" s="91"/>
      <c r="N1025" s="91" t="s">
        <v>2244</v>
      </c>
    </row>
    <row r="1026" spans="1:14" x14ac:dyDescent="0.25">
      <c r="A1026" s="91" t="s">
        <v>1320</v>
      </c>
      <c r="B1026" s="91" t="s">
        <v>1334</v>
      </c>
      <c r="C1026" s="91" t="s">
        <v>2337</v>
      </c>
      <c r="D1026" s="91" t="s">
        <v>23</v>
      </c>
      <c r="E1026" s="91"/>
      <c r="F1026">
        <v>144</v>
      </c>
      <c r="G1026">
        <v>3</v>
      </c>
      <c r="H1026" s="89">
        <v>46108</v>
      </c>
      <c r="I1026" s="89">
        <v>46114</v>
      </c>
      <c r="J1026" s="91" t="s">
        <v>2339</v>
      </c>
      <c r="K1026" s="91"/>
      <c r="M1026" s="91"/>
      <c r="N1026" s="91" t="s">
        <v>2244</v>
      </c>
    </row>
    <row r="1027" spans="1:14" x14ac:dyDescent="0.25">
      <c r="A1027" s="91" t="s">
        <v>1324</v>
      </c>
      <c r="B1027" s="91" t="s">
        <v>1338</v>
      </c>
      <c r="C1027" s="91" t="s">
        <v>2340</v>
      </c>
      <c r="D1027" s="91" t="s">
        <v>15</v>
      </c>
      <c r="E1027" s="91"/>
      <c r="F1027">
        <v>960</v>
      </c>
      <c r="G1027">
        <v>20</v>
      </c>
      <c r="H1027" s="89">
        <v>46108</v>
      </c>
      <c r="I1027" s="89">
        <v>46114</v>
      </c>
      <c r="J1027" s="91" t="s">
        <v>2322</v>
      </c>
      <c r="K1027" s="91"/>
      <c r="M1027" s="91"/>
      <c r="N1027" s="91" t="s">
        <v>2244</v>
      </c>
    </row>
    <row r="1028" spans="1:14" x14ac:dyDescent="0.25">
      <c r="A1028" s="91" t="s">
        <v>1313</v>
      </c>
      <c r="B1028" s="91" t="s">
        <v>1327</v>
      </c>
      <c r="C1028" s="91" t="s">
        <v>2340</v>
      </c>
      <c r="D1028" s="91" t="s">
        <v>15</v>
      </c>
      <c r="E1028" s="91"/>
      <c r="F1028">
        <v>192</v>
      </c>
      <c r="G1028">
        <v>4</v>
      </c>
      <c r="H1028" s="89">
        <v>46108</v>
      </c>
      <c r="I1028" s="89">
        <v>46114</v>
      </c>
      <c r="J1028" s="91" t="s">
        <v>2341</v>
      </c>
      <c r="K1028" s="91"/>
      <c r="M1028" s="91"/>
      <c r="N1028" s="91" t="s">
        <v>2244</v>
      </c>
    </row>
    <row r="1029" spans="1:14" x14ac:dyDescent="0.25">
      <c r="A1029" s="91" t="s">
        <v>1313</v>
      </c>
      <c r="B1029" s="91" t="s">
        <v>1327</v>
      </c>
      <c r="C1029" s="91" t="s">
        <v>2340</v>
      </c>
      <c r="D1029" s="91" t="s">
        <v>15</v>
      </c>
      <c r="E1029" s="91"/>
      <c r="F1029">
        <v>141</v>
      </c>
      <c r="G1029">
        <v>2.9375</v>
      </c>
      <c r="H1029" s="89">
        <v>46108</v>
      </c>
      <c r="I1029" s="89">
        <v>46110</v>
      </c>
      <c r="J1029" s="91"/>
      <c r="K1029" s="91"/>
      <c r="M1029" s="91"/>
      <c r="N1029" s="91" t="s">
        <v>2244</v>
      </c>
    </row>
    <row r="1030" spans="1:14" x14ac:dyDescent="0.25">
      <c r="A1030" s="91" t="s">
        <v>1314</v>
      </c>
      <c r="B1030" s="91" t="s">
        <v>1328</v>
      </c>
      <c r="C1030" s="91" t="s">
        <v>2340</v>
      </c>
      <c r="D1030" s="91" t="s">
        <v>15</v>
      </c>
      <c r="E1030" s="91"/>
      <c r="F1030">
        <v>192</v>
      </c>
      <c r="G1030">
        <v>4</v>
      </c>
      <c r="H1030" s="89">
        <v>46108</v>
      </c>
      <c r="I1030" s="89">
        <v>46114</v>
      </c>
      <c r="J1030" s="91" t="s">
        <v>2342</v>
      </c>
      <c r="K1030" s="91"/>
      <c r="M1030" s="91"/>
      <c r="N1030" s="91" t="s">
        <v>2244</v>
      </c>
    </row>
    <row r="1031" spans="1:14" x14ac:dyDescent="0.25">
      <c r="A1031" s="91" t="s">
        <v>1315</v>
      </c>
      <c r="B1031" s="91" t="s">
        <v>1329</v>
      </c>
      <c r="C1031" s="91" t="s">
        <v>2340</v>
      </c>
      <c r="D1031" s="91" t="s">
        <v>15</v>
      </c>
      <c r="E1031" s="91"/>
      <c r="F1031">
        <v>0</v>
      </c>
      <c r="G1031" t="s">
        <v>1419</v>
      </c>
      <c r="H1031" s="89">
        <v>46108</v>
      </c>
      <c r="I1031" s="89">
        <v>46110</v>
      </c>
      <c r="J1031" s="91"/>
      <c r="K1031" s="91"/>
      <c r="M1031" s="91"/>
      <c r="N1031" s="91" t="s">
        <v>2244</v>
      </c>
    </row>
    <row r="1032" spans="1:14" x14ac:dyDescent="0.25">
      <c r="A1032" s="91" t="s">
        <v>1316</v>
      </c>
      <c r="B1032" s="91" t="s">
        <v>1330</v>
      </c>
      <c r="C1032" s="91" t="s">
        <v>2343</v>
      </c>
      <c r="D1032" s="91" t="s">
        <v>15</v>
      </c>
      <c r="E1032" s="91"/>
      <c r="F1032">
        <v>37</v>
      </c>
      <c r="G1032" t="s">
        <v>1419</v>
      </c>
      <c r="H1032" s="89">
        <v>46108</v>
      </c>
      <c r="I1032" s="89">
        <v>46110</v>
      </c>
      <c r="J1032" s="91"/>
      <c r="K1032" s="91"/>
      <c r="M1032" s="91"/>
      <c r="N1032" s="91" t="s">
        <v>2244</v>
      </c>
    </row>
    <row r="1033" spans="1:14" x14ac:dyDescent="0.25">
      <c r="A1033" s="91" t="s">
        <v>1317</v>
      </c>
      <c r="B1033" s="91" t="s">
        <v>1331</v>
      </c>
      <c r="C1033" s="91" t="s">
        <v>2344</v>
      </c>
      <c r="D1033" s="91" t="s">
        <v>15</v>
      </c>
      <c r="E1033" s="91"/>
      <c r="F1033">
        <v>43</v>
      </c>
      <c r="G1033" t="s">
        <v>1419</v>
      </c>
      <c r="H1033" s="89">
        <v>46108</v>
      </c>
      <c r="I1033" s="89">
        <v>46110</v>
      </c>
      <c r="J1033" s="91"/>
      <c r="K1033" s="91"/>
      <c r="M1033" s="91"/>
      <c r="N1033" s="91" t="s">
        <v>2244</v>
      </c>
    </row>
    <row r="1034" spans="1:14" x14ac:dyDescent="0.25">
      <c r="A1034" s="91" t="s">
        <v>1318</v>
      </c>
      <c r="B1034" s="91" t="s">
        <v>1332</v>
      </c>
      <c r="C1034" s="91" t="s">
        <v>2345</v>
      </c>
      <c r="D1034" s="91" t="s">
        <v>15</v>
      </c>
      <c r="E1034" s="91"/>
      <c r="F1034">
        <v>36</v>
      </c>
      <c r="G1034" t="s">
        <v>1419</v>
      </c>
      <c r="H1034" s="89">
        <v>46108</v>
      </c>
      <c r="I1034" s="89">
        <v>46110</v>
      </c>
      <c r="J1034" s="91"/>
      <c r="K1034" s="91"/>
      <c r="M1034" s="91"/>
      <c r="N1034" s="91" t="s">
        <v>2244</v>
      </c>
    </row>
    <row r="1035" spans="1:14" x14ac:dyDescent="0.25">
      <c r="A1035" s="91" t="s">
        <v>1325</v>
      </c>
      <c r="B1035" s="91" t="s">
        <v>1339</v>
      </c>
      <c r="C1035" s="91" t="s">
        <v>2346</v>
      </c>
      <c r="D1035" s="91" t="s">
        <v>138</v>
      </c>
      <c r="E1035" s="91"/>
      <c r="F1035">
        <v>336</v>
      </c>
      <c r="G1035">
        <v>7</v>
      </c>
      <c r="H1035" s="89">
        <v>46108</v>
      </c>
      <c r="I1035" s="89">
        <v>46110</v>
      </c>
      <c r="J1035" s="91"/>
      <c r="K1035" s="91"/>
      <c r="M1035" s="91"/>
      <c r="N1035" s="91" t="s">
        <v>2244</v>
      </c>
    </row>
    <row r="1036" spans="1:14" x14ac:dyDescent="0.25">
      <c r="A1036" s="91" t="s">
        <v>1320</v>
      </c>
      <c r="B1036" s="91" t="s">
        <v>1334</v>
      </c>
      <c r="C1036" s="91" t="s">
        <v>2347</v>
      </c>
      <c r="D1036" s="91" t="s">
        <v>21</v>
      </c>
      <c r="E1036" s="91"/>
      <c r="F1036">
        <v>960</v>
      </c>
      <c r="G1036">
        <v>20</v>
      </c>
      <c r="H1036" s="89">
        <v>46109</v>
      </c>
      <c r="I1036" s="89">
        <v>46115</v>
      </c>
      <c r="J1036" s="91" t="s">
        <v>2348</v>
      </c>
      <c r="K1036" s="91"/>
      <c r="M1036" s="91"/>
      <c r="N1036" s="91" t="s">
        <v>2244</v>
      </c>
    </row>
    <row r="1037" spans="1:14" x14ac:dyDescent="0.25">
      <c r="A1037" s="91" t="s">
        <v>1313</v>
      </c>
      <c r="B1037" s="91" t="s">
        <v>1327</v>
      </c>
      <c r="C1037" s="91" t="s">
        <v>2347</v>
      </c>
      <c r="D1037" s="91" t="s">
        <v>21</v>
      </c>
      <c r="E1037" s="91"/>
      <c r="F1037">
        <v>624</v>
      </c>
      <c r="G1037">
        <v>13</v>
      </c>
      <c r="H1037" s="89">
        <v>46109</v>
      </c>
      <c r="I1037" s="89">
        <v>46114</v>
      </c>
      <c r="J1037" s="91" t="s">
        <v>2341</v>
      </c>
      <c r="K1037" s="91"/>
      <c r="M1037" s="91"/>
      <c r="N1037" s="91" t="s">
        <v>2244</v>
      </c>
    </row>
    <row r="1038" spans="1:14" x14ac:dyDescent="0.25">
      <c r="A1038" s="91" t="s">
        <v>1315</v>
      </c>
      <c r="B1038" s="91" t="s">
        <v>1329</v>
      </c>
      <c r="C1038" s="91" t="s">
        <v>2347</v>
      </c>
      <c r="D1038" s="91" t="s">
        <v>21</v>
      </c>
      <c r="E1038" s="91"/>
      <c r="F1038">
        <v>122</v>
      </c>
      <c r="G1038" t="s">
        <v>1419</v>
      </c>
      <c r="H1038" s="89">
        <v>46109</v>
      </c>
      <c r="I1038" s="89">
        <v>46110</v>
      </c>
      <c r="J1038" s="91"/>
      <c r="K1038" s="91"/>
      <c r="M1038" s="91"/>
      <c r="N1038" s="91" t="s">
        <v>2244</v>
      </c>
    </row>
    <row r="1039" spans="1:14" x14ac:dyDescent="0.25">
      <c r="A1039" s="91" t="s">
        <v>1316</v>
      </c>
      <c r="B1039" s="91" t="s">
        <v>1330</v>
      </c>
      <c r="C1039" s="91" t="s">
        <v>2349</v>
      </c>
      <c r="D1039" s="91" t="s">
        <v>21</v>
      </c>
      <c r="E1039" s="91"/>
      <c r="F1039">
        <v>73</v>
      </c>
      <c r="G1039" t="s">
        <v>1419</v>
      </c>
      <c r="H1039" s="89">
        <v>46109</v>
      </c>
      <c r="I1039" s="89">
        <v>46110</v>
      </c>
      <c r="J1039" s="91"/>
      <c r="K1039" s="91"/>
      <c r="M1039" s="91"/>
      <c r="N1039" s="91" t="s">
        <v>2244</v>
      </c>
    </row>
    <row r="1040" spans="1:14" x14ac:dyDescent="0.25">
      <c r="A1040" s="91" t="s">
        <v>1317</v>
      </c>
      <c r="B1040" s="91" t="s">
        <v>1331</v>
      </c>
      <c r="C1040" s="91" t="s">
        <v>2350</v>
      </c>
      <c r="D1040" s="91" t="s">
        <v>21</v>
      </c>
      <c r="E1040" s="91"/>
      <c r="F1040">
        <v>17</v>
      </c>
      <c r="G1040" t="s">
        <v>1419</v>
      </c>
      <c r="H1040" s="89">
        <v>46109</v>
      </c>
      <c r="I1040" s="89">
        <v>46110</v>
      </c>
      <c r="J1040" s="91"/>
      <c r="K1040" s="91"/>
      <c r="M1040" s="91"/>
      <c r="N1040" s="91" t="s">
        <v>2244</v>
      </c>
    </row>
    <row r="1041" spans="1:14" x14ac:dyDescent="0.25">
      <c r="A1041" s="91" t="s">
        <v>1318</v>
      </c>
      <c r="B1041" s="91" t="s">
        <v>1332</v>
      </c>
      <c r="C1041" s="91" t="s">
        <v>2351</v>
      </c>
      <c r="D1041" s="91" t="s">
        <v>21</v>
      </c>
      <c r="E1041" s="91"/>
      <c r="F1041">
        <v>106</v>
      </c>
      <c r="G1041" t="s">
        <v>1419</v>
      </c>
      <c r="H1041" s="89">
        <v>46109</v>
      </c>
      <c r="I1041" s="89">
        <v>46110</v>
      </c>
      <c r="J1041" s="91"/>
      <c r="K1041" s="91"/>
      <c r="M1041" s="91"/>
      <c r="N1041" s="91" t="s">
        <v>2244</v>
      </c>
    </row>
    <row r="1042" spans="1:14" x14ac:dyDescent="0.25">
      <c r="A1042" s="91" t="s">
        <v>1324</v>
      </c>
      <c r="B1042" s="91" t="s">
        <v>1338</v>
      </c>
      <c r="C1042" s="91" t="s">
        <v>2352</v>
      </c>
      <c r="D1042" s="91" t="s">
        <v>104</v>
      </c>
      <c r="E1042" s="91"/>
      <c r="F1042">
        <v>960</v>
      </c>
      <c r="G1042">
        <v>20</v>
      </c>
      <c r="H1042" s="89">
        <v>46109</v>
      </c>
      <c r="I1042" s="89">
        <v>46114</v>
      </c>
      <c r="J1042" s="91" t="s">
        <v>2324</v>
      </c>
      <c r="K1042" s="91"/>
      <c r="M1042" s="91"/>
      <c r="N1042" s="91" t="s">
        <v>2244</v>
      </c>
    </row>
    <row r="1043" spans="1:14" x14ac:dyDescent="0.25">
      <c r="A1043" s="91" t="s">
        <v>1324</v>
      </c>
      <c r="B1043" s="91" t="s">
        <v>1338</v>
      </c>
      <c r="C1043" s="91" t="s">
        <v>2353</v>
      </c>
      <c r="D1043" s="91" t="s">
        <v>13</v>
      </c>
      <c r="E1043" s="91"/>
      <c r="F1043">
        <v>816</v>
      </c>
      <c r="G1043">
        <v>17</v>
      </c>
      <c r="H1043" s="89">
        <v>46109</v>
      </c>
      <c r="I1043" s="89">
        <v>46116</v>
      </c>
      <c r="J1043" s="91" t="s">
        <v>2354</v>
      </c>
      <c r="K1043" s="91"/>
      <c r="M1043" s="91"/>
      <c r="N1043" s="91" t="s">
        <v>2244</v>
      </c>
    </row>
    <row r="1044" spans="1:14" x14ac:dyDescent="0.25">
      <c r="A1044" s="91" t="s">
        <v>1324</v>
      </c>
      <c r="B1044" s="91" t="s">
        <v>1338</v>
      </c>
      <c r="C1044" s="91" t="s">
        <v>2355</v>
      </c>
      <c r="D1044" s="91" t="s">
        <v>147</v>
      </c>
      <c r="E1044" s="91"/>
      <c r="F1044">
        <v>144</v>
      </c>
      <c r="G1044">
        <v>3</v>
      </c>
      <c r="H1044" s="89">
        <v>46109</v>
      </c>
      <c r="I1044" s="89">
        <v>46116</v>
      </c>
      <c r="J1044" s="91" t="s">
        <v>2354</v>
      </c>
      <c r="K1044" s="91"/>
      <c r="M1044" s="91"/>
      <c r="N1044" s="91" t="s">
        <v>2244</v>
      </c>
    </row>
    <row r="1045" spans="1:14" x14ac:dyDescent="0.25">
      <c r="A1045" s="91" t="s">
        <v>1324</v>
      </c>
      <c r="B1045" s="91" t="s">
        <v>1338</v>
      </c>
      <c r="C1045" s="91" t="s">
        <v>2356</v>
      </c>
      <c r="D1045" s="91" t="s">
        <v>97</v>
      </c>
      <c r="E1045" s="91"/>
      <c r="F1045">
        <v>960</v>
      </c>
      <c r="G1045">
        <v>20</v>
      </c>
      <c r="H1045" s="89">
        <v>46109</v>
      </c>
      <c r="I1045" s="89">
        <v>46116</v>
      </c>
      <c r="J1045" s="91" t="s">
        <v>2354</v>
      </c>
      <c r="K1045" s="91"/>
      <c r="M1045" s="91"/>
      <c r="N1045" s="91" t="s">
        <v>2244</v>
      </c>
    </row>
    <row r="1046" spans="1:14" x14ac:dyDescent="0.25">
      <c r="A1046" s="91" t="s">
        <v>1320</v>
      </c>
      <c r="B1046" s="91" t="s">
        <v>1334</v>
      </c>
      <c r="C1046" s="91" t="s">
        <v>2357</v>
      </c>
      <c r="D1046" s="91" t="s">
        <v>23</v>
      </c>
      <c r="E1046" s="91"/>
      <c r="F1046">
        <v>672</v>
      </c>
      <c r="G1046">
        <v>14</v>
      </c>
      <c r="H1046" s="89">
        <v>46109</v>
      </c>
      <c r="I1046" s="89">
        <v>46114</v>
      </c>
      <c r="J1046" s="91" t="s">
        <v>2339</v>
      </c>
      <c r="K1046" s="91"/>
      <c r="M1046" s="91"/>
      <c r="N1046" s="91" t="s">
        <v>2244</v>
      </c>
    </row>
    <row r="1047" spans="1:14" x14ac:dyDescent="0.25">
      <c r="A1047" s="91" t="s">
        <v>1320</v>
      </c>
      <c r="B1047" s="91" t="s">
        <v>1334</v>
      </c>
      <c r="C1047" s="91" t="s">
        <v>2358</v>
      </c>
      <c r="D1047" s="91" t="s">
        <v>20</v>
      </c>
      <c r="E1047" s="91"/>
      <c r="F1047">
        <v>960</v>
      </c>
      <c r="G1047">
        <v>20</v>
      </c>
      <c r="H1047" s="89">
        <v>46109</v>
      </c>
      <c r="I1047" s="89">
        <v>46114</v>
      </c>
      <c r="J1047" s="91" t="s">
        <v>2359</v>
      </c>
      <c r="K1047" s="91"/>
      <c r="M1047" s="91"/>
      <c r="N1047" s="91" t="s">
        <v>2244</v>
      </c>
    </row>
    <row r="1048" spans="1:14" x14ac:dyDescent="0.25">
      <c r="A1048" s="91" t="s">
        <v>1320</v>
      </c>
      <c r="B1048" s="91" t="s">
        <v>1334</v>
      </c>
      <c r="C1048" s="91" t="s">
        <v>2358</v>
      </c>
      <c r="D1048" s="91" t="s">
        <v>20</v>
      </c>
      <c r="E1048" s="91"/>
      <c r="F1048">
        <v>144</v>
      </c>
      <c r="G1048">
        <v>3</v>
      </c>
      <c r="H1048" s="89">
        <v>46109</v>
      </c>
      <c r="I1048" s="89">
        <v>46114</v>
      </c>
      <c r="J1048" s="91" t="s">
        <v>2339</v>
      </c>
      <c r="K1048" s="91"/>
      <c r="M1048" s="91"/>
      <c r="N1048" s="91" t="s">
        <v>2244</v>
      </c>
    </row>
    <row r="1049" spans="1:14" x14ac:dyDescent="0.25">
      <c r="A1049" s="91" t="s">
        <v>1324</v>
      </c>
      <c r="B1049" s="91" t="s">
        <v>1338</v>
      </c>
      <c r="C1049" s="91" t="s">
        <v>2358</v>
      </c>
      <c r="D1049" s="91" t="s">
        <v>20</v>
      </c>
      <c r="E1049" s="91"/>
      <c r="F1049">
        <v>48</v>
      </c>
      <c r="G1049">
        <v>1</v>
      </c>
      <c r="H1049" s="89">
        <v>46109</v>
      </c>
      <c r="I1049" s="89">
        <v>46114</v>
      </c>
      <c r="J1049" s="91"/>
      <c r="K1049" s="91"/>
      <c r="M1049" s="91"/>
      <c r="N1049" s="91" t="s">
        <v>2244</v>
      </c>
    </row>
    <row r="1050" spans="1:14" x14ac:dyDescent="0.25">
      <c r="A1050" s="91" t="s">
        <v>1315</v>
      </c>
      <c r="B1050" s="91" t="s">
        <v>1329</v>
      </c>
      <c r="C1050" s="91" t="s">
        <v>2358</v>
      </c>
      <c r="D1050" s="91" t="s">
        <v>20</v>
      </c>
      <c r="E1050" s="91"/>
      <c r="F1050">
        <v>91</v>
      </c>
      <c r="G1050" t="s">
        <v>1419</v>
      </c>
      <c r="H1050" s="89">
        <v>46109</v>
      </c>
      <c r="I1050" s="89">
        <v>46110</v>
      </c>
      <c r="J1050" s="91"/>
      <c r="K1050" s="91"/>
      <c r="M1050" s="91"/>
      <c r="N1050" s="91" t="s">
        <v>2244</v>
      </c>
    </row>
    <row r="1051" spans="1:14" x14ac:dyDescent="0.25">
      <c r="A1051" s="91" t="s">
        <v>1316</v>
      </c>
      <c r="B1051" s="91" t="s">
        <v>1330</v>
      </c>
      <c r="C1051" s="91" t="s">
        <v>2360</v>
      </c>
      <c r="D1051" s="91" t="s">
        <v>20</v>
      </c>
      <c r="E1051" s="91"/>
      <c r="F1051">
        <v>228</v>
      </c>
      <c r="G1051" t="s">
        <v>1419</v>
      </c>
      <c r="H1051" s="89">
        <v>46109</v>
      </c>
      <c r="I1051" s="89">
        <v>46110</v>
      </c>
      <c r="J1051" s="91"/>
      <c r="K1051" s="91"/>
      <c r="M1051" s="91"/>
      <c r="N1051" s="91" t="s">
        <v>2244</v>
      </c>
    </row>
    <row r="1052" spans="1:14" x14ac:dyDescent="0.25">
      <c r="A1052" s="91" t="s">
        <v>1317</v>
      </c>
      <c r="B1052" s="91" t="s">
        <v>1331</v>
      </c>
      <c r="C1052" s="91" t="s">
        <v>2361</v>
      </c>
      <c r="D1052" s="91" t="s">
        <v>20</v>
      </c>
      <c r="E1052" s="91"/>
      <c r="F1052">
        <v>28</v>
      </c>
      <c r="G1052" t="s">
        <v>1419</v>
      </c>
      <c r="H1052" s="89">
        <v>46109</v>
      </c>
      <c r="I1052" s="89">
        <v>46110</v>
      </c>
      <c r="J1052" s="91"/>
      <c r="K1052" s="91"/>
      <c r="M1052" s="91"/>
      <c r="N1052" s="91" t="s">
        <v>2244</v>
      </c>
    </row>
    <row r="1053" spans="1:14" x14ac:dyDescent="0.25">
      <c r="A1053" s="91" t="s">
        <v>1318</v>
      </c>
      <c r="B1053" s="91" t="s">
        <v>1332</v>
      </c>
      <c r="C1053" s="91" t="s">
        <v>2362</v>
      </c>
      <c r="D1053" s="91" t="s">
        <v>20</v>
      </c>
      <c r="E1053" s="91"/>
      <c r="F1053">
        <v>73</v>
      </c>
      <c r="G1053" t="s">
        <v>1419</v>
      </c>
      <c r="H1053" s="89">
        <v>46109</v>
      </c>
      <c r="I1053" s="89">
        <v>46110</v>
      </c>
      <c r="J1053" s="91"/>
      <c r="K1053" s="91"/>
      <c r="M1053" s="91"/>
      <c r="N1053" s="91" t="s">
        <v>2244</v>
      </c>
    </row>
    <row r="1054" spans="1:14" x14ac:dyDescent="0.25">
      <c r="A1054" s="91" t="s">
        <v>1320</v>
      </c>
      <c r="B1054" s="91" t="s">
        <v>1334</v>
      </c>
      <c r="C1054" s="91" t="s">
        <v>2363</v>
      </c>
      <c r="D1054" s="91" t="s">
        <v>15</v>
      </c>
      <c r="E1054" s="91"/>
      <c r="F1054">
        <v>960</v>
      </c>
      <c r="G1054">
        <v>20</v>
      </c>
      <c r="H1054" s="89">
        <v>46109</v>
      </c>
      <c r="I1054" s="89">
        <v>46115</v>
      </c>
      <c r="J1054" s="91" t="s">
        <v>2364</v>
      </c>
      <c r="K1054" s="91"/>
      <c r="M1054" s="91"/>
      <c r="N1054" s="91" t="s">
        <v>2244</v>
      </c>
    </row>
    <row r="1055" spans="1:14" x14ac:dyDescent="0.25">
      <c r="A1055" s="91" t="s">
        <v>1314</v>
      </c>
      <c r="B1055" s="91" t="s">
        <v>1328</v>
      </c>
      <c r="C1055" s="91" t="s">
        <v>2363</v>
      </c>
      <c r="D1055" s="91" t="s">
        <v>15</v>
      </c>
      <c r="E1055" s="91"/>
      <c r="F1055">
        <v>144</v>
      </c>
      <c r="G1055">
        <v>3</v>
      </c>
      <c r="H1055" s="89">
        <v>46109</v>
      </c>
      <c r="I1055" s="89">
        <v>46114</v>
      </c>
      <c r="J1055" s="91" t="s">
        <v>2342</v>
      </c>
      <c r="K1055" s="91"/>
      <c r="M1055" s="91"/>
      <c r="N1055" s="91" t="s">
        <v>2244</v>
      </c>
    </row>
    <row r="1056" spans="1:14" x14ac:dyDescent="0.25">
      <c r="A1056" s="91" t="s">
        <v>1313</v>
      </c>
      <c r="B1056" s="91" t="s">
        <v>1327</v>
      </c>
      <c r="C1056" s="91" t="s">
        <v>2363</v>
      </c>
      <c r="D1056" s="91" t="s">
        <v>15</v>
      </c>
      <c r="E1056" s="91"/>
      <c r="F1056">
        <v>51</v>
      </c>
      <c r="G1056">
        <v>1.0625</v>
      </c>
      <c r="H1056" s="89">
        <v>46109</v>
      </c>
      <c r="I1056" s="89">
        <v>46110</v>
      </c>
      <c r="J1056" s="91"/>
      <c r="K1056" s="91"/>
      <c r="M1056" s="91"/>
      <c r="N1056" s="91" t="s">
        <v>2244</v>
      </c>
    </row>
    <row r="1057" spans="1:14" x14ac:dyDescent="0.25">
      <c r="A1057" s="91" t="s">
        <v>1315</v>
      </c>
      <c r="B1057" s="91" t="s">
        <v>1329</v>
      </c>
      <c r="C1057" s="91" t="s">
        <v>2363</v>
      </c>
      <c r="D1057" s="91" t="s">
        <v>15</v>
      </c>
      <c r="E1057" s="91"/>
      <c r="F1057">
        <v>103</v>
      </c>
      <c r="G1057" t="s">
        <v>1419</v>
      </c>
      <c r="H1057" s="89">
        <v>46109</v>
      </c>
      <c r="I1057" s="89">
        <v>46110</v>
      </c>
      <c r="J1057" s="91"/>
      <c r="K1057" s="91"/>
      <c r="M1057" s="91"/>
      <c r="N1057" s="91" t="s">
        <v>2244</v>
      </c>
    </row>
    <row r="1058" spans="1:14" x14ac:dyDescent="0.25">
      <c r="A1058" s="91" t="s">
        <v>1316</v>
      </c>
      <c r="B1058" s="91" t="s">
        <v>1330</v>
      </c>
      <c r="C1058" s="91" t="s">
        <v>2365</v>
      </c>
      <c r="D1058" s="91" t="s">
        <v>15</v>
      </c>
      <c r="E1058" s="91"/>
      <c r="F1058">
        <v>77</v>
      </c>
      <c r="G1058" t="s">
        <v>1419</v>
      </c>
      <c r="H1058" s="89">
        <v>46109</v>
      </c>
      <c r="I1058" s="89">
        <v>46110</v>
      </c>
      <c r="J1058" s="91"/>
      <c r="K1058" s="91"/>
      <c r="M1058" s="91"/>
      <c r="N1058" s="91" t="s">
        <v>2244</v>
      </c>
    </row>
    <row r="1059" spans="1:14" x14ac:dyDescent="0.25">
      <c r="A1059" s="91" t="s">
        <v>1317</v>
      </c>
      <c r="B1059" s="91" t="s">
        <v>1331</v>
      </c>
      <c r="C1059" s="91" t="s">
        <v>2366</v>
      </c>
      <c r="D1059" s="91" t="s">
        <v>15</v>
      </c>
      <c r="E1059" s="91"/>
      <c r="F1059">
        <v>13</v>
      </c>
      <c r="G1059" t="s">
        <v>1419</v>
      </c>
      <c r="H1059" s="89">
        <v>46109</v>
      </c>
      <c r="I1059" s="89">
        <v>46110</v>
      </c>
      <c r="J1059" s="91"/>
      <c r="K1059" s="91"/>
      <c r="M1059" s="91"/>
      <c r="N1059" s="91" t="s">
        <v>2244</v>
      </c>
    </row>
    <row r="1060" spans="1:14" x14ac:dyDescent="0.25">
      <c r="A1060" s="91" t="s">
        <v>1318</v>
      </c>
      <c r="B1060" s="91" t="s">
        <v>1332</v>
      </c>
      <c r="C1060" s="91" t="s">
        <v>2367</v>
      </c>
      <c r="D1060" s="91" t="s">
        <v>15</v>
      </c>
      <c r="E1060" s="91"/>
      <c r="F1060">
        <v>32</v>
      </c>
      <c r="G1060" t="s">
        <v>1419</v>
      </c>
      <c r="H1060" s="89">
        <v>46109</v>
      </c>
      <c r="I1060" s="89">
        <v>46110</v>
      </c>
      <c r="J1060" s="91"/>
      <c r="K1060" s="91"/>
      <c r="M1060" s="91"/>
      <c r="N1060" s="91" t="s">
        <v>2244</v>
      </c>
    </row>
    <row r="1061" spans="1:14" x14ac:dyDescent="0.25">
      <c r="A1061" s="91" t="s">
        <v>1320</v>
      </c>
      <c r="B1061" s="91" t="s">
        <v>1334</v>
      </c>
      <c r="C1061" s="91" t="s">
        <v>2368</v>
      </c>
      <c r="D1061" s="91" t="s">
        <v>152</v>
      </c>
      <c r="E1061" s="91"/>
      <c r="F1061">
        <v>960</v>
      </c>
      <c r="G1061">
        <v>20</v>
      </c>
      <c r="H1061" s="89">
        <v>46097</v>
      </c>
      <c r="I1061" s="89">
        <v>46101</v>
      </c>
      <c r="J1061" s="91" t="s">
        <v>2369</v>
      </c>
      <c r="K1061" s="91"/>
      <c r="M1061" s="91"/>
      <c r="N1061" s="91" t="s">
        <v>2370</v>
      </c>
    </row>
    <row r="1062" spans="1:14" x14ac:dyDescent="0.25">
      <c r="A1062" s="91" t="s">
        <v>1324</v>
      </c>
      <c r="B1062" s="91" t="s">
        <v>1338</v>
      </c>
      <c r="C1062" s="91" t="s">
        <v>2371</v>
      </c>
      <c r="D1062" s="91" t="s">
        <v>13</v>
      </c>
      <c r="E1062" s="91"/>
      <c r="F1062">
        <v>96</v>
      </c>
      <c r="G1062">
        <v>2</v>
      </c>
      <c r="H1062" s="89">
        <v>46097</v>
      </c>
      <c r="I1062" s="89">
        <v>46104</v>
      </c>
      <c r="J1062" s="91" t="s">
        <v>2372</v>
      </c>
      <c r="K1062" s="91"/>
      <c r="M1062" s="91"/>
      <c r="N1062" s="91" t="s">
        <v>2370</v>
      </c>
    </row>
    <row r="1063" spans="1:14" x14ac:dyDescent="0.25">
      <c r="A1063" s="91" t="s">
        <v>1324</v>
      </c>
      <c r="B1063" s="91" t="s">
        <v>1338</v>
      </c>
      <c r="C1063" s="91" t="s">
        <v>2373</v>
      </c>
      <c r="D1063" s="91" t="s">
        <v>23</v>
      </c>
      <c r="E1063" s="91"/>
      <c r="F1063">
        <v>144</v>
      </c>
      <c r="G1063">
        <v>3</v>
      </c>
      <c r="H1063" s="89">
        <v>46097</v>
      </c>
      <c r="I1063" s="89">
        <v>46104</v>
      </c>
      <c r="J1063" s="91" t="s">
        <v>2372</v>
      </c>
      <c r="K1063" s="91"/>
      <c r="M1063" s="91"/>
      <c r="N1063" s="91" t="s">
        <v>2370</v>
      </c>
    </row>
    <row r="1064" spans="1:14" x14ac:dyDescent="0.25">
      <c r="A1064" s="91" t="s">
        <v>1320</v>
      </c>
      <c r="B1064" s="91" t="s">
        <v>1334</v>
      </c>
      <c r="C1064" s="91" t="s">
        <v>2373</v>
      </c>
      <c r="D1064" s="91" t="s">
        <v>23</v>
      </c>
      <c r="E1064" s="91"/>
      <c r="F1064">
        <v>480</v>
      </c>
      <c r="G1064">
        <v>10</v>
      </c>
      <c r="H1064" s="89">
        <v>46097</v>
      </c>
      <c r="I1064" s="89">
        <v>46101</v>
      </c>
      <c r="J1064" s="91" t="s">
        <v>2374</v>
      </c>
      <c r="K1064" s="91"/>
      <c r="M1064" s="91"/>
      <c r="N1064" s="91" t="s">
        <v>2370</v>
      </c>
    </row>
    <row r="1065" spans="1:14" x14ac:dyDescent="0.25">
      <c r="A1065" s="91" t="s">
        <v>1320</v>
      </c>
      <c r="B1065" s="91" t="s">
        <v>1334</v>
      </c>
      <c r="C1065" s="91" t="s">
        <v>2371</v>
      </c>
      <c r="D1065" s="91" t="s">
        <v>13</v>
      </c>
      <c r="E1065" s="91"/>
      <c r="F1065">
        <v>480</v>
      </c>
      <c r="G1065">
        <v>10</v>
      </c>
      <c r="H1065" s="89">
        <v>46097</v>
      </c>
      <c r="I1065" s="89">
        <v>46101</v>
      </c>
      <c r="J1065" s="91" t="s">
        <v>2374</v>
      </c>
      <c r="K1065" s="91"/>
      <c r="M1065" s="91"/>
      <c r="N1065" s="91" t="s">
        <v>2370</v>
      </c>
    </row>
    <row r="1066" spans="1:14" x14ac:dyDescent="0.25">
      <c r="A1066" s="91" t="s">
        <v>1314</v>
      </c>
      <c r="B1066" s="91" t="s">
        <v>1328</v>
      </c>
      <c r="C1066" s="91" t="s">
        <v>2375</v>
      </c>
      <c r="D1066" s="91" t="s">
        <v>15</v>
      </c>
      <c r="E1066" s="91"/>
      <c r="F1066">
        <v>96</v>
      </c>
      <c r="G1066">
        <v>2</v>
      </c>
      <c r="H1066" s="89">
        <v>46098</v>
      </c>
      <c r="I1066" s="89">
        <v>46101</v>
      </c>
      <c r="J1066" s="91" t="s">
        <v>2376</v>
      </c>
      <c r="K1066" s="91"/>
      <c r="M1066" s="91"/>
      <c r="N1066" s="91" t="s">
        <v>2370</v>
      </c>
    </row>
    <row r="1067" spans="1:14" x14ac:dyDescent="0.25">
      <c r="A1067" s="91" t="s">
        <v>1324</v>
      </c>
      <c r="B1067" s="91" t="s">
        <v>1338</v>
      </c>
      <c r="C1067" s="91" t="s">
        <v>2375</v>
      </c>
      <c r="D1067" s="91" t="s">
        <v>15</v>
      </c>
      <c r="E1067" s="91"/>
      <c r="F1067">
        <v>768</v>
      </c>
      <c r="G1067">
        <v>16</v>
      </c>
      <c r="H1067" s="89">
        <v>46098</v>
      </c>
      <c r="I1067" s="89">
        <v>46104</v>
      </c>
      <c r="J1067" s="91" t="s">
        <v>2377</v>
      </c>
      <c r="K1067" s="91"/>
      <c r="M1067" s="91"/>
      <c r="N1067" s="91" t="s">
        <v>2370</v>
      </c>
    </row>
    <row r="1068" spans="1:14" x14ac:dyDescent="0.25">
      <c r="A1068" s="91" t="s">
        <v>1324</v>
      </c>
      <c r="B1068" s="91" t="s">
        <v>1338</v>
      </c>
      <c r="C1068" s="91" t="s">
        <v>2375</v>
      </c>
      <c r="D1068" s="91" t="s">
        <v>15</v>
      </c>
      <c r="E1068" s="91"/>
      <c r="F1068">
        <v>288</v>
      </c>
      <c r="G1068">
        <v>6</v>
      </c>
      <c r="H1068" s="89">
        <v>46098</v>
      </c>
      <c r="I1068" s="89">
        <v>46104</v>
      </c>
      <c r="J1068" s="91" t="s">
        <v>2372</v>
      </c>
      <c r="K1068" s="91"/>
      <c r="M1068" s="91"/>
      <c r="N1068" s="91" t="s">
        <v>2370</v>
      </c>
    </row>
    <row r="1069" spans="1:14" x14ac:dyDescent="0.25">
      <c r="A1069" s="91" t="s">
        <v>1313</v>
      </c>
      <c r="B1069" s="91" t="s">
        <v>1327</v>
      </c>
      <c r="C1069" s="91" t="s">
        <v>2375</v>
      </c>
      <c r="D1069" s="91" t="s">
        <v>15</v>
      </c>
      <c r="E1069" s="91"/>
      <c r="F1069">
        <v>48</v>
      </c>
      <c r="G1069">
        <v>1</v>
      </c>
      <c r="H1069" s="89">
        <v>46098</v>
      </c>
      <c r="I1069" s="89">
        <v>46100</v>
      </c>
      <c r="J1069" s="91"/>
      <c r="K1069" s="91"/>
      <c r="M1069" s="91"/>
      <c r="N1069" s="91" t="s">
        <v>2370</v>
      </c>
    </row>
    <row r="1070" spans="1:14" x14ac:dyDescent="0.25">
      <c r="A1070" s="91" t="s">
        <v>1315</v>
      </c>
      <c r="B1070" s="91" t="s">
        <v>1329</v>
      </c>
      <c r="C1070" s="91" t="s">
        <v>2375</v>
      </c>
      <c r="D1070" s="91" t="s">
        <v>15</v>
      </c>
      <c r="E1070" s="91"/>
      <c r="F1070">
        <v>26</v>
      </c>
      <c r="G1070" t="s">
        <v>1419</v>
      </c>
      <c r="H1070" s="89">
        <v>46098</v>
      </c>
      <c r="I1070" s="89">
        <v>46100</v>
      </c>
      <c r="J1070" s="91"/>
      <c r="K1070" s="91"/>
      <c r="M1070" s="91"/>
      <c r="N1070" s="91" t="s">
        <v>2370</v>
      </c>
    </row>
    <row r="1071" spans="1:14" x14ac:dyDescent="0.25">
      <c r="A1071" s="91" t="s">
        <v>1316</v>
      </c>
      <c r="B1071" s="91" t="s">
        <v>1330</v>
      </c>
      <c r="C1071" s="91" t="s">
        <v>2378</v>
      </c>
      <c r="D1071" s="91" t="s">
        <v>15</v>
      </c>
      <c r="E1071" s="91"/>
      <c r="F1071">
        <v>67</v>
      </c>
      <c r="G1071" t="s">
        <v>1419</v>
      </c>
      <c r="H1071" s="89">
        <v>46098</v>
      </c>
      <c r="I1071" s="89">
        <v>46100</v>
      </c>
      <c r="J1071" s="91"/>
      <c r="K1071" s="91"/>
      <c r="M1071" s="91"/>
      <c r="N1071" s="91" t="s">
        <v>2370</v>
      </c>
    </row>
    <row r="1072" spans="1:14" x14ac:dyDescent="0.25">
      <c r="A1072" s="91" t="s">
        <v>1317</v>
      </c>
      <c r="B1072" s="91" t="s">
        <v>1331</v>
      </c>
      <c r="C1072" s="91" t="s">
        <v>2379</v>
      </c>
      <c r="D1072" s="91" t="s">
        <v>15</v>
      </c>
      <c r="E1072" s="91"/>
      <c r="F1072">
        <v>37</v>
      </c>
      <c r="G1072" t="s">
        <v>1419</v>
      </c>
      <c r="H1072" s="89">
        <v>46098</v>
      </c>
      <c r="I1072" s="89">
        <v>46100</v>
      </c>
      <c r="J1072" s="91"/>
      <c r="K1072" s="91"/>
      <c r="M1072" s="91"/>
      <c r="N1072" s="91" t="s">
        <v>2370</v>
      </c>
    </row>
    <row r="1073" spans="1:14" x14ac:dyDescent="0.25">
      <c r="A1073" s="91" t="s">
        <v>1318</v>
      </c>
      <c r="B1073" s="91" t="s">
        <v>1332</v>
      </c>
      <c r="C1073" s="91" t="s">
        <v>2380</v>
      </c>
      <c r="D1073" s="91" t="s">
        <v>15</v>
      </c>
      <c r="E1073" s="91"/>
      <c r="F1073">
        <v>41</v>
      </c>
      <c r="G1073" t="s">
        <v>1419</v>
      </c>
      <c r="H1073" s="89">
        <v>46098</v>
      </c>
      <c r="I1073" s="89">
        <v>46100</v>
      </c>
      <c r="J1073" s="91"/>
      <c r="K1073" s="91"/>
      <c r="M1073" s="91"/>
      <c r="N1073" s="91" t="s">
        <v>2370</v>
      </c>
    </row>
    <row r="1074" spans="1:14" x14ac:dyDescent="0.25">
      <c r="A1074" s="91" t="s">
        <v>1321</v>
      </c>
      <c r="B1074" s="91" t="s">
        <v>1335</v>
      </c>
      <c r="C1074" s="91" t="s">
        <v>2381</v>
      </c>
      <c r="D1074" s="91" t="s">
        <v>138</v>
      </c>
      <c r="E1074" s="91"/>
      <c r="F1074">
        <v>144</v>
      </c>
      <c r="G1074">
        <v>3</v>
      </c>
      <c r="H1074" s="89">
        <v>46098</v>
      </c>
      <c r="I1074" s="89">
        <v>46104</v>
      </c>
      <c r="J1074" s="91" t="s">
        <v>2372</v>
      </c>
      <c r="K1074" s="91"/>
      <c r="M1074" s="91"/>
      <c r="N1074" s="91" t="s">
        <v>2370</v>
      </c>
    </row>
    <row r="1075" spans="1:14" x14ac:dyDescent="0.25">
      <c r="A1075" s="91" t="s">
        <v>1324</v>
      </c>
      <c r="B1075" s="91" t="s">
        <v>1338</v>
      </c>
      <c r="C1075" s="91" t="s">
        <v>2382</v>
      </c>
      <c r="D1075" s="91" t="s">
        <v>13</v>
      </c>
      <c r="E1075" s="91"/>
      <c r="F1075">
        <v>384</v>
      </c>
      <c r="G1075">
        <v>8</v>
      </c>
      <c r="H1075" s="89">
        <v>46098</v>
      </c>
      <c r="I1075" s="89">
        <v>46104</v>
      </c>
      <c r="J1075" s="91" t="s">
        <v>2372</v>
      </c>
      <c r="K1075" s="91"/>
      <c r="M1075" s="91"/>
      <c r="N1075" s="91" t="s">
        <v>2370</v>
      </c>
    </row>
    <row r="1076" spans="1:14" x14ac:dyDescent="0.25">
      <c r="A1076" s="91" t="s">
        <v>1324</v>
      </c>
      <c r="B1076" s="91" t="s">
        <v>1338</v>
      </c>
      <c r="C1076" s="91" t="s">
        <v>2383</v>
      </c>
      <c r="D1076" s="91" t="s">
        <v>23</v>
      </c>
      <c r="E1076" s="91"/>
      <c r="F1076">
        <v>864</v>
      </c>
      <c r="G1076">
        <v>18</v>
      </c>
      <c r="H1076" s="89">
        <v>46098</v>
      </c>
      <c r="I1076" s="89">
        <v>46104</v>
      </c>
      <c r="J1076" s="91" t="s">
        <v>2372</v>
      </c>
      <c r="K1076" s="91"/>
      <c r="M1076" s="91"/>
      <c r="N1076" s="91" t="s">
        <v>2370</v>
      </c>
    </row>
    <row r="1077" spans="1:14" x14ac:dyDescent="0.25">
      <c r="A1077" s="91" t="s">
        <v>1321</v>
      </c>
      <c r="B1077" s="91" t="s">
        <v>1335</v>
      </c>
      <c r="C1077" s="91" t="s">
        <v>2381</v>
      </c>
      <c r="D1077" s="91" t="s">
        <v>138</v>
      </c>
      <c r="E1077" s="91"/>
      <c r="F1077">
        <v>96</v>
      </c>
      <c r="G1077">
        <v>2</v>
      </c>
      <c r="H1077" s="89">
        <v>46098</v>
      </c>
      <c r="I1077" s="89">
        <v>46104</v>
      </c>
      <c r="J1077" s="91" t="s">
        <v>2377</v>
      </c>
      <c r="K1077" s="91"/>
      <c r="M1077" s="91"/>
      <c r="N1077" s="91" t="s">
        <v>2370</v>
      </c>
    </row>
    <row r="1078" spans="1:14" x14ac:dyDescent="0.25">
      <c r="A1078" s="91" t="s">
        <v>1313</v>
      </c>
      <c r="B1078" s="91" t="s">
        <v>1327</v>
      </c>
      <c r="C1078" s="91" t="s">
        <v>2384</v>
      </c>
      <c r="D1078" s="91" t="s">
        <v>21</v>
      </c>
      <c r="E1078" s="91"/>
      <c r="F1078">
        <v>1296</v>
      </c>
      <c r="G1078">
        <v>27</v>
      </c>
      <c r="H1078" s="89">
        <v>46098</v>
      </c>
      <c r="I1078" s="89">
        <v>46101</v>
      </c>
      <c r="J1078" s="91"/>
      <c r="K1078" s="91"/>
      <c r="M1078" s="91"/>
      <c r="N1078" s="91" t="s">
        <v>2370</v>
      </c>
    </row>
    <row r="1079" spans="1:14" x14ac:dyDescent="0.25">
      <c r="A1079" s="91" t="s">
        <v>1315</v>
      </c>
      <c r="B1079" s="91" t="s">
        <v>1329</v>
      </c>
      <c r="C1079" s="91" t="s">
        <v>2384</v>
      </c>
      <c r="D1079" s="91" t="s">
        <v>21</v>
      </c>
      <c r="E1079" s="91"/>
      <c r="F1079">
        <v>27</v>
      </c>
      <c r="G1079" t="s">
        <v>1419</v>
      </c>
      <c r="H1079" s="89">
        <v>46098</v>
      </c>
      <c r="I1079" s="89">
        <v>46100</v>
      </c>
      <c r="J1079" s="91"/>
      <c r="K1079" s="91"/>
      <c r="M1079" s="91"/>
      <c r="N1079" s="91" t="s">
        <v>2370</v>
      </c>
    </row>
    <row r="1080" spans="1:14" x14ac:dyDescent="0.25">
      <c r="A1080" s="91" t="s">
        <v>1316</v>
      </c>
      <c r="B1080" s="91" t="s">
        <v>1330</v>
      </c>
      <c r="C1080" s="91" t="s">
        <v>2385</v>
      </c>
      <c r="D1080" s="91" t="s">
        <v>21</v>
      </c>
      <c r="E1080" s="91"/>
      <c r="F1080">
        <v>36</v>
      </c>
      <c r="G1080" t="s">
        <v>1419</v>
      </c>
      <c r="H1080" s="89">
        <v>46098</v>
      </c>
      <c r="I1080" s="89">
        <v>46100</v>
      </c>
      <c r="J1080" s="91"/>
      <c r="K1080" s="91"/>
      <c r="M1080" s="91"/>
      <c r="N1080" s="91" t="s">
        <v>2370</v>
      </c>
    </row>
    <row r="1081" spans="1:14" x14ac:dyDescent="0.25">
      <c r="A1081" s="91" t="s">
        <v>1317</v>
      </c>
      <c r="B1081" s="91" t="s">
        <v>1331</v>
      </c>
      <c r="C1081" s="91" t="s">
        <v>2386</v>
      </c>
      <c r="D1081" s="91" t="s">
        <v>21</v>
      </c>
      <c r="E1081" s="91"/>
      <c r="F1081">
        <v>24</v>
      </c>
      <c r="G1081" t="s">
        <v>1419</v>
      </c>
      <c r="H1081" s="89">
        <v>46098</v>
      </c>
      <c r="I1081" s="89">
        <v>46100</v>
      </c>
      <c r="J1081" s="91"/>
      <c r="K1081" s="91"/>
      <c r="M1081" s="91"/>
      <c r="N1081" s="91" t="s">
        <v>2370</v>
      </c>
    </row>
    <row r="1082" spans="1:14" x14ac:dyDescent="0.25">
      <c r="A1082" s="91" t="s">
        <v>1318</v>
      </c>
      <c r="B1082" s="91" t="s">
        <v>1332</v>
      </c>
      <c r="C1082" s="91" t="s">
        <v>2387</v>
      </c>
      <c r="D1082" s="91" t="s">
        <v>21</v>
      </c>
      <c r="E1082" s="91"/>
      <c r="F1082">
        <v>45</v>
      </c>
      <c r="G1082" t="s">
        <v>1419</v>
      </c>
      <c r="H1082" s="89">
        <v>46098</v>
      </c>
      <c r="I1082" s="89">
        <v>46100</v>
      </c>
      <c r="J1082" s="91"/>
      <c r="K1082" s="91"/>
      <c r="M1082" s="91"/>
      <c r="N1082" s="91" t="s">
        <v>2370</v>
      </c>
    </row>
    <row r="1083" spans="1:14" x14ac:dyDescent="0.25">
      <c r="A1083" s="91" t="s">
        <v>1313</v>
      </c>
      <c r="B1083" s="91" t="s">
        <v>1327</v>
      </c>
      <c r="C1083" s="91" t="s">
        <v>2388</v>
      </c>
      <c r="D1083" s="91" t="s">
        <v>20</v>
      </c>
      <c r="E1083" s="91"/>
      <c r="F1083">
        <v>1152</v>
      </c>
      <c r="G1083">
        <v>24</v>
      </c>
      <c r="H1083" s="89">
        <v>46098</v>
      </c>
      <c r="I1083" s="89">
        <v>46100</v>
      </c>
      <c r="J1083" s="91"/>
      <c r="K1083" s="91"/>
      <c r="M1083" s="91"/>
      <c r="N1083" s="91" t="s">
        <v>2370</v>
      </c>
    </row>
    <row r="1084" spans="1:14" x14ac:dyDescent="0.25">
      <c r="A1084" s="91" t="s">
        <v>1315</v>
      </c>
      <c r="B1084" s="91" t="s">
        <v>1329</v>
      </c>
      <c r="C1084" s="91" t="s">
        <v>2388</v>
      </c>
      <c r="D1084" s="91" t="s">
        <v>20</v>
      </c>
      <c r="E1084" s="91"/>
      <c r="F1084">
        <v>26</v>
      </c>
      <c r="G1084" t="s">
        <v>1419</v>
      </c>
      <c r="H1084" s="89">
        <v>46098</v>
      </c>
      <c r="I1084" s="89">
        <v>46100</v>
      </c>
      <c r="J1084" s="91"/>
      <c r="K1084" s="91"/>
      <c r="M1084" s="91"/>
      <c r="N1084" s="91" t="s">
        <v>2370</v>
      </c>
    </row>
    <row r="1085" spans="1:14" x14ac:dyDescent="0.25">
      <c r="A1085" s="91" t="s">
        <v>1316</v>
      </c>
      <c r="B1085" s="91" t="s">
        <v>1330</v>
      </c>
      <c r="C1085" s="91" t="s">
        <v>2389</v>
      </c>
      <c r="D1085" s="91" t="s">
        <v>20</v>
      </c>
      <c r="E1085" s="91"/>
      <c r="F1085">
        <v>118</v>
      </c>
      <c r="G1085" t="s">
        <v>1419</v>
      </c>
      <c r="H1085" s="89">
        <v>46098</v>
      </c>
      <c r="I1085" s="89">
        <v>46100</v>
      </c>
      <c r="J1085" s="91"/>
      <c r="K1085" s="91"/>
      <c r="M1085" s="91"/>
      <c r="N1085" s="91" t="s">
        <v>2370</v>
      </c>
    </row>
    <row r="1086" spans="1:14" x14ac:dyDescent="0.25">
      <c r="A1086" s="91" t="s">
        <v>1317</v>
      </c>
      <c r="B1086" s="91" t="s">
        <v>1331</v>
      </c>
      <c r="C1086" s="91" t="s">
        <v>2390</v>
      </c>
      <c r="D1086" s="91" t="s">
        <v>20</v>
      </c>
      <c r="E1086" s="91"/>
      <c r="F1086">
        <v>14</v>
      </c>
      <c r="G1086" t="s">
        <v>1419</v>
      </c>
      <c r="H1086" s="89">
        <v>46098</v>
      </c>
      <c r="I1086" s="89">
        <v>46100</v>
      </c>
      <c r="J1086" s="91"/>
      <c r="K1086" s="91"/>
      <c r="M1086" s="91"/>
      <c r="N1086" s="91" t="s">
        <v>2370</v>
      </c>
    </row>
    <row r="1087" spans="1:14" x14ac:dyDescent="0.25">
      <c r="A1087" s="91" t="s">
        <v>1318</v>
      </c>
      <c r="B1087" s="91" t="s">
        <v>1332</v>
      </c>
      <c r="C1087" s="91" t="s">
        <v>2391</v>
      </c>
      <c r="D1087" s="91" t="s">
        <v>20</v>
      </c>
      <c r="E1087" s="91"/>
      <c r="F1087">
        <v>51</v>
      </c>
      <c r="G1087" t="s">
        <v>1419</v>
      </c>
      <c r="H1087" s="89">
        <v>46098</v>
      </c>
      <c r="I1087" s="89">
        <v>46100</v>
      </c>
      <c r="J1087" s="91"/>
      <c r="K1087" s="91"/>
      <c r="M1087" s="91"/>
      <c r="N1087" s="91" t="s">
        <v>2370</v>
      </c>
    </row>
    <row r="1088" spans="1:14" x14ac:dyDescent="0.25">
      <c r="A1088" s="91" t="s">
        <v>1325</v>
      </c>
      <c r="B1088" s="91" t="s">
        <v>1339</v>
      </c>
      <c r="C1088" s="91" t="s">
        <v>2381</v>
      </c>
      <c r="D1088" s="91" t="s">
        <v>138</v>
      </c>
      <c r="E1088" s="91"/>
      <c r="F1088">
        <v>288</v>
      </c>
      <c r="G1088">
        <v>6</v>
      </c>
      <c r="H1088" s="89">
        <v>46098</v>
      </c>
      <c r="I1088" s="89">
        <v>46100</v>
      </c>
      <c r="J1088" s="91"/>
      <c r="K1088" s="91"/>
      <c r="M1088" s="91"/>
      <c r="N1088" s="91" t="s">
        <v>2370</v>
      </c>
    </row>
    <row r="1089" spans="1:14" x14ac:dyDescent="0.25">
      <c r="A1089" s="91" t="s">
        <v>1314</v>
      </c>
      <c r="B1089" s="91" t="s">
        <v>1328</v>
      </c>
      <c r="C1089" s="91" t="s">
        <v>2392</v>
      </c>
      <c r="D1089" s="91" t="s">
        <v>21</v>
      </c>
      <c r="E1089" s="91"/>
      <c r="F1089">
        <v>288</v>
      </c>
      <c r="G1089">
        <v>6</v>
      </c>
      <c r="H1089" s="89">
        <v>46099</v>
      </c>
      <c r="I1089" s="89">
        <v>46103</v>
      </c>
      <c r="J1089" s="91" t="s">
        <v>2393</v>
      </c>
      <c r="K1089" s="91"/>
      <c r="M1089" s="91"/>
      <c r="N1089" s="91" t="s">
        <v>2370</v>
      </c>
    </row>
    <row r="1090" spans="1:14" x14ac:dyDescent="0.25">
      <c r="A1090" s="91" t="s">
        <v>1320</v>
      </c>
      <c r="B1090" s="91" t="s">
        <v>1334</v>
      </c>
      <c r="C1090" s="91" t="s">
        <v>2392</v>
      </c>
      <c r="D1090" s="91" t="s">
        <v>21</v>
      </c>
      <c r="E1090" s="91"/>
      <c r="F1090">
        <v>960</v>
      </c>
      <c r="G1090">
        <v>20</v>
      </c>
      <c r="H1090" s="89">
        <v>46099</v>
      </c>
      <c r="I1090" s="89">
        <v>46105</v>
      </c>
      <c r="J1090" s="91" t="s">
        <v>2394</v>
      </c>
      <c r="K1090" s="91"/>
      <c r="M1090" s="91"/>
      <c r="N1090" s="91" t="s">
        <v>2370</v>
      </c>
    </row>
    <row r="1091" spans="1:14" x14ac:dyDescent="0.25">
      <c r="A1091" s="91" t="s">
        <v>1315</v>
      </c>
      <c r="B1091" s="91" t="s">
        <v>1329</v>
      </c>
      <c r="C1091" s="91" t="s">
        <v>2392</v>
      </c>
      <c r="D1091" s="91" t="s">
        <v>21</v>
      </c>
      <c r="E1091" s="91"/>
      <c r="F1091">
        <v>100</v>
      </c>
      <c r="G1091" t="s">
        <v>1419</v>
      </c>
      <c r="H1091" s="89">
        <v>46099</v>
      </c>
      <c r="I1091" s="89">
        <v>46100</v>
      </c>
      <c r="J1091" s="91"/>
      <c r="K1091" s="91"/>
      <c r="M1091" s="91"/>
      <c r="N1091" s="91" t="s">
        <v>2370</v>
      </c>
    </row>
    <row r="1092" spans="1:14" x14ac:dyDescent="0.25">
      <c r="A1092" s="91" t="s">
        <v>1316</v>
      </c>
      <c r="B1092" s="91" t="s">
        <v>1330</v>
      </c>
      <c r="C1092" s="91" t="s">
        <v>2395</v>
      </c>
      <c r="D1092" s="91" t="s">
        <v>21</v>
      </c>
      <c r="E1092" s="91"/>
      <c r="F1092">
        <v>13</v>
      </c>
      <c r="G1092" t="s">
        <v>1419</v>
      </c>
      <c r="H1092" s="89">
        <v>46099</v>
      </c>
      <c r="I1092" s="89">
        <v>46101</v>
      </c>
      <c r="J1092" s="91"/>
      <c r="K1092" s="91"/>
      <c r="M1092" s="91"/>
      <c r="N1092" s="91" t="s">
        <v>2370</v>
      </c>
    </row>
    <row r="1093" spans="1:14" x14ac:dyDescent="0.25">
      <c r="A1093" s="91" t="s">
        <v>1317</v>
      </c>
      <c r="B1093" s="91" t="s">
        <v>1331</v>
      </c>
      <c r="C1093" s="91" t="s">
        <v>2396</v>
      </c>
      <c r="D1093" s="91" t="s">
        <v>21</v>
      </c>
      <c r="E1093" s="91"/>
      <c r="F1093">
        <v>31</v>
      </c>
      <c r="G1093" t="s">
        <v>1419</v>
      </c>
      <c r="H1093" s="89">
        <v>46099</v>
      </c>
      <c r="I1093" s="89">
        <v>46101</v>
      </c>
      <c r="J1093" s="91"/>
      <c r="K1093" s="91"/>
      <c r="M1093" s="91"/>
      <c r="N1093" s="91" t="s">
        <v>2370</v>
      </c>
    </row>
    <row r="1094" spans="1:14" x14ac:dyDescent="0.25">
      <c r="A1094" s="91" t="s">
        <v>1318</v>
      </c>
      <c r="B1094" s="91" t="s">
        <v>1332</v>
      </c>
      <c r="C1094" s="91" t="s">
        <v>2397</v>
      </c>
      <c r="D1094" s="91" t="s">
        <v>21</v>
      </c>
      <c r="E1094" s="91"/>
      <c r="F1094">
        <v>57</v>
      </c>
      <c r="G1094" t="s">
        <v>1419</v>
      </c>
      <c r="H1094" s="89">
        <v>46099</v>
      </c>
      <c r="I1094" s="89">
        <v>46101</v>
      </c>
      <c r="J1094" s="91"/>
      <c r="K1094" s="91"/>
      <c r="M1094" s="91"/>
      <c r="N1094" s="91" t="s">
        <v>2370</v>
      </c>
    </row>
    <row r="1095" spans="1:14" x14ac:dyDescent="0.25">
      <c r="A1095" s="91" t="s">
        <v>1324</v>
      </c>
      <c r="B1095" s="91" t="s">
        <v>1338</v>
      </c>
      <c r="C1095" s="91" t="s">
        <v>2398</v>
      </c>
      <c r="D1095" s="91" t="s">
        <v>23</v>
      </c>
      <c r="E1095" s="91"/>
      <c r="F1095">
        <v>960</v>
      </c>
      <c r="G1095">
        <v>20</v>
      </c>
      <c r="H1095" s="89">
        <v>46099</v>
      </c>
      <c r="I1095" s="89">
        <v>46104</v>
      </c>
      <c r="J1095" s="91" t="s">
        <v>2377</v>
      </c>
      <c r="K1095" s="91"/>
      <c r="M1095" s="91"/>
      <c r="N1095" s="91" t="s">
        <v>2370</v>
      </c>
    </row>
    <row r="1096" spans="1:14" x14ac:dyDescent="0.25">
      <c r="A1096" s="91" t="s">
        <v>1313</v>
      </c>
      <c r="B1096" s="91" t="s">
        <v>1327</v>
      </c>
      <c r="C1096" s="91" t="s">
        <v>2399</v>
      </c>
      <c r="D1096" s="91" t="s">
        <v>20</v>
      </c>
      <c r="E1096" s="91"/>
      <c r="F1096">
        <v>864</v>
      </c>
      <c r="G1096">
        <v>18</v>
      </c>
      <c r="H1096" s="89">
        <v>46099</v>
      </c>
      <c r="I1096" s="89">
        <v>46103</v>
      </c>
      <c r="J1096" s="91" t="s">
        <v>2400</v>
      </c>
      <c r="K1096" s="91"/>
      <c r="M1096" s="91"/>
      <c r="N1096" s="91" t="s">
        <v>2370</v>
      </c>
    </row>
    <row r="1097" spans="1:14" x14ac:dyDescent="0.25">
      <c r="A1097" s="91" t="s">
        <v>1313</v>
      </c>
      <c r="B1097" s="91" t="s">
        <v>1327</v>
      </c>
      <c r="C1097" s="91" t="s">
        <v>2399</v>
      </c>
      <c r="D1097" s="91" t="s">
        <v>20</v>
      </c>
      <c r="E1097" s="91"/>
      <c r="F1097">
        <v>288</v>
      </c>
      <c r="G1097">
        <v>6</v>
      </c>
      <c r="H1097" s="89">
        <v>46099</v>
      </c>
      <c r="I1097" s="89">
        <v>46104</v>
      </c>
      <c r="J1097" s="91" t="s">
        <v>2401</v>
      </c>
      <c r="K1097" s="91"/>
      <c r="M1097" s="91"/>
      <c r="N1097" s="91" t="s">
        <v>2370</v>
      </c>
    </row>
    <row r="1098" spans="1:14" x14ac:dyDescent="0.25">
      <c r="A1098" s="91" t="s">
        <v>1315</v>
      </c>
      <c r="B1098" s="91" t="s">
        <v>1329</v>
      </c>
      <c r="C1098" s="91" t="s">
        <v>2399</v>
      </c>
      <c r="D1098" s="91" t="s">
        <v>20</v>
      </c>
      <c r="E1098" s="91"/>
      <c r="F1098">
        <v>69</v>
      </c>
      <c r="G1098" t="s">
        <v>1419</v>
      </c>
      <c r="H1098" s="89">
        <v>46099</v>
      </c>
      <c r="I1098" s="89">
        <v>46101</v>
      </c>
      <c r="J1098" s="91"/>
      <c r="K1098" s="91"/>
      <c r="M1098" s="91"/>
      <c r="N1098" s="91" t="s">
        <v>2370</v>
      </c>
    </row>
    <row r="1099" spans="1:14" x14ac:dyDescent="0.25">
      <c r="A1099" s="91" t="s">
        <v>1316</v>
      </c>
      <c r="B1099" s="91" t="s">
        <v>1330</v>
      </c>
      <c r="C1099" s="91" t="s">
        <v>2402</v>
      </c>
      <c r="D1099" s="91" t="s">
        <v>20</v>
      </c>
      <c r="E1099" s="91"/>
      <c r="F1099">
        <v>97</v>
      </c>
      <c r="G1099" t="s">
        <v>1419</v>
      </c>
      <c r="H1099" s="89">
        <v>46099</v>
      </c>
      <c r="I1099" s="89">
        <v>46101</v>
      </c>
      <c r="J1099" s="91"/>
      <c r="K1099" s="91"/>
      <c r="M1099" s="91"/>
      <c r="N1099" s="91" t="s">
        <v>2370</v>
      </c>
    </row>
    <row r="1100" spans="1:14" x14ac:dyDescent="0.25">
      <c r="A1100" s="91" t="s">
        <v>1317</v>
      </c>
      <c r="B1100" s="91" t="s">
        <v>1331</v>
      </c>
      <c r="C1100" s="91" t="s">
        <v>2403</v>
      </c>
      <c r="D1100" s="91" t="s">
        <v>20</v>
      </c>
      <c r="E1100" s="91"/>
      <c r="F1100">
        <v>7</v>
      </c>
      <c r="G1100" t="s">
        <v>1419</v>
      </c>
      <c r="H1100" s="89">
        <v>46099</v>
      </c>
      <c r="I1100" s="89">
        <v>46101</v>
      </c>
      <c r="J1100" s="91"/>
      <c r="K1100" s="91"/>
      <c r="M1100" s="91"/>
      <c r="N1100" s="91" t="s">
        <v>2370</v>
      </c>
    </row>
    <row r="1101" spans="1:14" x14ac:dyDescent="0.25">
      <c r="A1101" s="91" t="s">
        <v>1318</v>
      </c>
      <c r="B1101" s="91" t="s">
        <v>1332</v>
      </c>
      <c r="C1101" s="91" t="s">
        <v>2404</v>
      </c>
      <c r="D1101" s="91" t="s">
        <v>20</v>
      </c>
      <c r="E1101" s="91"/>
      <c r="F1101">
        <v>55</v>
      </c>
      <c r="G1101" t="s">
        <v>1419</v>
      </c>
      <c r="H1101" s="89">
        <v>46099</v>
      </c>
      <c r="I1101" s="89">
        <v>46101</v>
      </c>
      <c r="J1101" s="91"/>
      <c r="K1101" s="91"/>
      <c r="M1101" s="91"/>
      <c r="N1101" s="91" t="s">
        <v>2370</v>
      </c>
    </row>
    <row r="1102" spans="1:14" x14ac:dyDescent="0.25">
      <c r="A1102" s="91" t="s">
        <v>1324</v>
      </c>
      <c r="B1102" s="91" t="s">
        <v>1338</v>
      </c>
      <c r="C1102" s="91" t="s">
        <v>2405</v>
      </c>
      <c r="D1102" s="91" t="s">
        <v>15</v>
      </c>
      <c r="E1102" s="91"/>
      <c r="F1102">
        <v>96</v>
      </c>
      <c r="G1102">
        <v>2</v>
      </c>
      <c r="H1102" s="89">
        <v>46099</v>
      </c>
      <c r="I1102" s="89">
        <v>46104</v>
      </c>
      <c r="J1102" s="91" t="s">
        <v>2377</v>
      </c>
      <c r="K1102" s="91"/>
      <c r="M1102" s="91"/>
      <c r="N1102" s="91" t="s">
        <v>2370</v>
      </c>
    </row>
    <row r="1103" spans="1:14" x14ac:dyDescent="0.25">
      <c r="A1103" s="91" t="s">
        <v>1320</v>
      </c>
      <c r="B1103" s="91" t="s">
        <v>1334</v>
      </c>
      <c r="C1103" s="91" t="s">
        <v>2405</v>
      </c>
      <c r="D1103" s="91" t="s">
        <v>15</v>
      </c>
      <c r="E1103" s="91"/>
      <c r="F1103">
        <v>960</v>
      </c>
      <c r="G1103">
        <v>20</v>
      </c>
      <c r="H1103" s="89">
        <v>46099</v>
      </c>
      <c r="I1103" s="89">
        <v>46105</v>
      </c>
      <c r="J1103" s="91" t="s">
        <v>2406</v>
      </c>
      <c r="K1103" s="91"/>
      <c r="M1103" s="91"/>
      <c r="N1103" s="91" t="s">
        <v>2370</v>
      </c>
    </row>
    <row r="1104" spans="1:14" x14ac:dyDescent="0.25">
      <c r="A1104" s="91" t="s">
        <v>1313</v>
      </c>
      <c r="B1104" s="91" t="s">
        <v>1327</v>
      </c>
      <c r="C1104" s="91" t="s">
        <v>2405</v>
      </c>
      <c r="D1104" s="91" t="s">
        <v>15</v>
      </c>
      <c r="E1104" s="91"/>
      <c r="F1104">
        <v>288</v>
      </c>
      <c r="G1104">
        <v>6</v>
      </c>
      <c r="H1104" s="89">
        <v>46099</v>
      </c>
      <c r="I1104" s="89">
        <v>46105</v>
      </c>
      <c r="J1104" s="91"/>
      <c r="K1104" s="91"/>
      <c r="M1104" s="91"/>
      <c r="N1104" s="91" t="s">
        <v>2370</v>
      </c>
    </row>
    <row r="1105" spans="1:14" x14ac:dyDescent="0.25">
      <c r="A1105" s="91" t="s">
        <v>1315</v>
      </c>
      <c r="B1105" s="91" t="s">
        <v>1329</v>
      </c>
      <c r="C1105" s="91" t="s">
        <v>2405</v>
      </c>
      <c r="D1105" s="91" t="s">
        <v>15</v>
      </c>
      <c r="E1105" s="91"/>
      <c r="F1105">
        <v>3</v>
      </c>
      <c r="G1105" t="s">
        <v>1419</v>
      </c>
      <c r="H1105" s="89">
        <v>46099</v>
      </c>
      <c r="I1105" s="89">
        <v>46100</v>
      </c>
      <c r="J1105" s="91"/>
      <c r="K1105" s="91"/>
      <c r="M1105" s="91"/>
      <c r="N1105" s="91" t="s">
        <v>2370</v>
      </c>
    </row>
    <row r="1106" spans="1:14" x14ac:dyDescent="0.25">
      <c r="A1106" s="91" t="s">
        <v>1316</v>
      </c>
      <c r="B1106" s="91" t="s">
        <v>1330</v>
      </c>
      <c r="C1106" s="91" t="s">
        <v>2407</v>
      </c>
      <c r="D1106" s="91" t="s">
        <v>15</v>
      </c>
      <c r="E1106" s="91"/>
      <c r="F1106">
        <v>82</v>
      </c>
      <c r="G1106" t="s">
        <v>1419</v>
      </c>
      <c r="H1106" s="89">
        <v>46099</v>
      </c>
      <c r="I1106" s="89">
        <v>46101</v>
      </c>
      <c r="J1106" s="91"/>
      <c r="K1106" s="91"/>
      <c r="M1106" s="91"/>
      <c r="N1106" s="91" t="s">
        <v>2370</v>
      </c>
    </row>
    <row r="1107" spans="1:14" x14ac:dyDescent="0.25">
      <c r="A1107" s="91" t="s">
        <v>1317</v>
      </c>
      <c r="B1107" s="91" t="s">
        <v>1331</v>
      </c>
      <c r="C1107" s="91" t="s">
        <v>2408</v>
      </c>
      <c r="D1107" s="91" t="s">
        <v>15</v>
      </c>
      <c r="E1107" s="91"/>
      <c r="F1107">
        <v>32</v>
      </c>
      <c r="G1107" t="s">
        <v>1419</v>
      </c>
      <c r="H1107" s="89">
        <v>46099</v>
      </c>
      <c r="I1107" s="89">
        <v>46101</v>
      </c>
      <c r="J1107" s="91"/>
      <c r="K1107" s="91"/>
      <c r="M1107" s="91"/>
      <c r="N1107" s="91" t="s">
        <v>2370</v>
      </c>
    </row>
    <row r="1108" spans="1:14" x14ac:dyDescent="0.25">
      <c r="A1108" s="91" t="s">
        <v>1318</v>
      </c>
      <c r="B1108" s="91" t="s">
        <v>1332</v>
      </c>
      <c r="C1108" s="91" t="s">
        <v>2409</v>
      </c>
      <c r="D1108" s="91" t="s">
        <v>15</v>
      </c>
      <c r="E1108" s="91"/>
      <c r="F1108">
        <v>42</v>
      </c>
      <c r="G1108" t="s">
        <v>1419</v>
      </c>
      <c r="H1108" s="89">
        <v>46099</v>
      </c>
      <c r="I1108" s="89">
        <v>46101</v>
      </c>
      <c r="J1108" s="91"/>
      <c r="K1108" s="91"/>
      <c r="M1108" s="91"/>
      <c r="N1108" s="91" t="s">
        <v>2370</v>
      </c>
    </row>
    <row r="1109" spans="1:14" x14ac:dyDescent="0.25">
      <c r="A1109" s="91" t="s">
        <v>1326</v>
      </c>
      <c r="B1109" s="91" t="s">
        <v>1340</v>
      </c>
      <c r="C1109" s="91" t="s">
        <v>2410</v>
      </c>
      <c r="D1109" s="91" t="s">
        <v>2108</v>
      </c>
      <c r="E1109" s="91"/>
      <c r="F1109">
        <v>504</v>
      </c>
      <c r="G1109">
        <v>12</v>
      </c>
      <c r="H1109" s="89">
        <v>46100</v>
      </c>
      <c r="I1109" s="89">
        <v>46108</v>
      </c>
      <c r="J1109" s="91" t="s">
        <v>2411</v>
      </c>
      <c r="K1109" s="91"/>
      <c r="M1109" s="91"/>
      <c r="N1109" s="91" t="s">
        <v>2370</v>
      </c>
    </row>
    <row r="1110" spans="1:14" x14ac:dyDescent="0.25">
      <c r="A1110" s="91" t="s">
        <v>1325</v>
      </c>
      <c r="B1110" s="91" t="s">
        <v>1339</v>
      </c>
      <c r="C1110" s="91" t="s">
        <v>2410</v>
      </c>
      <c r="D1110" s="91" t="s">
        <v>2108</v>
      </c>
      <c r="E1110" s="91"/>
      <c r="F1110">
        <v>1</v>
      </c>
      <c r="G1110" t="s">
        <v>1419</v>
      </c>
      <c r="H1110" s="89">
        <v>46100</v>
      </c>
      <c r="I1110" s="89">
        <v>46102</v>
      </c>
      <c r="J1110" s="91"/>
      <c r="K1110" s="91"/>
      <c r="M1110" s="91"/>
      <c r="N1110" s="91" t="s">
        <v>2370</v>
      </c>
    </row>
    <row r="1111" spans="1:14" x14ac:dyDescent="0.25">
      <c r="A1111" s="91" t="s">
        <v>1324</v>
      </c>
      <c r="B1111" s="91" t="s">
        <v>1338</v>
      </c>
      <c r="C1111" s="91" t="s">
        <v>2412</v>
      </c>
      <c r="D1111" s="91" t="s">
        <v>21</v>
      </c>
      <c r="E1111" s="91"/>
      <c r="F1111">
        <v>1152</v>
      </c>
      <c r="G1111">
        <v>24</v>
      </c>
      <c r="H1111" s="89">
        <v>46100</v>
      </c>
      <c r="I1111" s="89">
        <v>46104</v>
      </c>
      <c r="J1111" s="91"/>
      <c r="K1111" s="91"/>
      <c r="M1111" s="91"/>
      <c r="N1111" s="91" t="s">
        <v>2370</v>
      </c>
    </row>
    <row r="1112" spans="1:14" x14ac:dyDescent="0.25">
      <c r="A1112" s="91" t="s">
        <v>1315</v>
      </c>
      <c r="B1112" s="91" t="s">
        <v>1329</v>
      </c>
      <c r="C1112" s="91" t="s">
        <v>2412</v>
      </c>
      <c r="D1112" s="91" t="s">
        <v>21</v>
      </c>
      <c r="E1112" s="91"/>
      <c r="F1112">
        <v>117</v>
      </c>
      <c r="G1112" t="s">
        <v>1419</v>
      </c>
      <c r="H1112" s="89">
        <v>46100</v>
      </c>
      <c r="I1112" s="89">
        <v>46102</v>
      </c>
      <c r="J1112" s="91"/>
      <c r="K1112" s="91"/>
      <c r="M1112" s="91"/>
      <c r="N1112" s="91" t="s">
        <v>2370</v>
      </c>
    </row>
    <row r="1113" spans="1:14" x14ac:dyDescent="0.25">
      <c r="A1113" s="91" t="s">
        <v>1316</v>
      </c>
      <c r="B1113" s="91" t="s">
        <v>1330</v>
      </c>
      <c r="C1113" s="91" t="s">
        <v>2413</v>
      </c>
      <c r="D1113" s="91" t="s">
        <v>21</v>
      </c>
      <c r="E1113" s="91"/>
      <c r="F1113">
        <v>13</v>
      </c>
      <c r="G1113" t="s">
        <v>1419</v>
      </c>
      <c r="H1113" s="89">
        <v>46100</v>
      </c>
      <c r="I1113" s="89">
        <v>46102</v>
      </c>
      <c r="J1113" s="91"/>
      <c r="K1113" s="91"/>
      <c r="M1113" s="91"/>
      <c r="N1113" s="91" t="s">
        <v>2370</v>
      </c>
    </row>
    <row r="1114" spans="1:14" x14ac:dyDescent="0.25">
      <c r="A1114" s="91" t="s">
        <v>1317</v>
      </c>
      <c r="B1114" s="91" t="s">
        <v>1331</v>
      </c>
      <c r="C1114" s="91" t="s">
        <v>2414</v>
      </c>
      <c r="D1114" s="91" t="s">
        <v>21</v>
      </c>
      <c r="E1114" s="91"/>
      <c r="F1114">
        <v>25</v>
      </c>
      <c r="G1114" t="s">
        <v>1419</v>
      </c>
      <c r="H1114" s="89">
        <v>46100</v>
      </c>
      <c r="I1114" s="89">
        <v>46102</v>
      </c>
      <c r="J1114" s="91"/>
      <c r="K1114" s="91"/>
      <c r="M1114" s="91"/>
      <c r="N1114" s="91" t="s">
        <v>2370</v>
      </c>
    </row>
    <row r="1115" spans="1:14" x14ac:dyDescent="0.25">
      <c r="A1115" s="91" t="s">
        <v>1318</v>
      </c>
      <c r="B1115" s="91" t="s">
        <v>1332</v>
      </c>
      <c r="C1115" s="91" t="s">
        <v>2415</v>
      </c>
      <c r="D1115" s="91" t="s">
        <v>21</v>
      </c>
      <c r="E1115" s="91"/>
      <c r="F1115">
        <v>39</v>
      </c>
      <c r="G1115" t="s">
        <v>1419</v>
      </c>
      <c r="H1115" s="89">
        <v>46100</v>
      </c>
      <c r="I1115" s="89">
        <v>46102</v>
      </c>
      <c r="J1115" s="91"/>
      <c r="K1115" s="91"/>
      <c r="M1115" s="91"/>
      <c r="N1115" s="91" t="s">
        <v>2370</v>
      </c>
    </row>
    <row r="1116" spans="1:14" x14ac:dyDescent="0.25">
      <c r="A1116" s="91" t="s">
        <v>1320</v>
      </c>
      <c r="B1116" s="91" t="s">
        <v>1334</v>
      </c>
      <c r="C1116" s="91" t="s">
        <v>2416</v>
      </c>
      <c r="D1116" s="91" t="s">
        <v>15</v>
      </c>
      <c r="E1116" s="91"/>
      <c r="F1116">
        <v>960</v>
      </c>
      <c r="G1116">
        <v>20</v>
      </c>
      <c r="H1116" s="89">
        <v>46100</v>
      </c>
      <c r="I1116" s="89">
        <v>46107</v>
      </c>
      <c r="J1116" s="91" t="s">
        <v>2417</v>
      </c>
      <c r="K1116" s="91"/>
      <c r="M1116" s="91"/>
      <c r="N1116" s="91" t="s">
        <v>2370</v>
      </c>
    </row>
    <row r="1117" spans="1:14" x14ac:dyDescent="0.25">
      <c r="A1117" s="91" t="s">
        <v>1313</v>
      </c>
      <c r="B1117" s="91" t="s">
        <v>1327</v>
      </c>
      <c r="C1117" s="91" t="s">
        <v>2416</v>
      </c>
      <c r="D1117" s="91" t="s">
        <v>15</v>
      </c>
      <c r="E1117" s="91"/>
      <c r="F1117">
        <v>144</v>
      </c>
      <c r="G1117">
        <v>3</v>
      </c>
      <c r="H1117" s="89">
        <v>46100</v>
      </c>
      <c r="I1117" s="89">
        <v>46104</v>
      </c>
      <c r="J1117" s="91"/>
      <c r="K1117" s="91"/>
      <c r="M1117" s="91"/>
      <c r="N1117" s="91" t="s">
        <v>2370</v>
      </c>
    </row>
    <row r="1118" spans="1:14" x14ac:dyDescent="0.25">
      <c r="A1118" s="91" t="s">
        <v>1313</v>
      </c>
      <c r="B1118" s="91" t="s">
        <v>1327</v>
      </c>
      <c r="C1118" s="91" t="s">
        <v>2416</v>
      </c>
      <c r="D1118" s="91" t="s">
        <v>15</v>
      </c>
      <c r="E1118" s="91"/>
      <c r="F1118">
        <v>336</v>
      </c>
      <c r="G1118">
        <v>7</v>
      </c>
      <c r="H1118" s="89">
        <v>46100</v>
      </c>
      <c r="I1118" s="89">
        <v>46105</v>
      </c>
      <c r="J1118" s="91" t="s">
        <v>2418</v>
      </c>
      <c r="K1118" s="91"/>
      <c r="M1118" s="91"/>
      <c r="N1118" s="91" t="s">
        <v>2370</v>
      </c>
    </row>
    <row r="1119" spans="1:14" x14ac:dyDescent="0.25">
      <c r="A1119" s="91" t="s">
        <v>1315</v>
      </c>
      <c r="B1119" s="91" t="s">
        <v>1329</v>
      </c>
      <c r="C1119" s="91" t="s">
        <v>2416</v>
      </c>
      <c r="D1119" s="91" t="s">
        <v>15</v>
      </c>
      <c r="E1119" s="91"/>
      <c r="F1119">
        <v>24</v>
      </c>
      <c r="G1119" t="s">
        <v>1419</v>
      </c>
      <c r="H1119" s="89">
        <v>46100</v>
      </c>
      <c r="I1119" s="89">
        <v>46102</v>
      </c>
      <c r="J1119" s="91"/>
      <c r="K1119" s="91"/>
      <c r="M1119" s="91"/>
      <c r="N1119" s="91" t="s">
        <v>2370</v>
      </c>
    </row>
    <row r="1120" spans="1:14" x14ac:dyDescent="0.25">
      <c r="A1120" s="91" t="s">
        <v>1316</v>
      </c>
      <c r="B1120" s="91" t="s">
        <v>1330</v>
      </c>
      <c r="C1120" s="91" t="s">
        <v>2419</v>
      </c>
      <c r="D1120" s="91" t="s">
        <v>15</v>
      </c>
      <c r="E1120" s="91"/>
      <c r="F1120">
        <v>95</v>
      </c>
      <c r="G1120" t="s">
        <v>1419</v>
      </c>
      <c r="H1120" s="89">
        <v>46100</v>
      </c>
      <c r="I1120" s="89">
        <v>46102</v>
      </c>
      <c r="J1120" s="91"/>
      <c r="K1120" s="91"/>
      <c r="M1120" s="91"/>
      <c r="N1120" s="91" t="s">
        <v>2370</v>
      </c>
    </row>
    <row r="1121" spans="1:14" x14ac:dyDescent="0.25">
      <c r="A1121" s="91" t="s">
        <v>1317</v>
      </c>
      <c r="B1121" s="91" t="s">
        <v>1331</v>
      </c>
      <c r="C1121" s="91" t="s">
        <v>2420</v>
      </c>
      <c r="D1121" s="91" t="s">
        <v>15</v>
      </c>
      <c r="E1121" s="91"/>
      <c r="F1121">
        <v>27</v>
      </c>
      <c r="G1121" t="s">
        <v>1419</v>
      </c>
      <c r="H1121" s="89">
        <v>46100</v>
      </c>
      <c r="I1121" s="89">
        <v>46102</v>
      </c>
      <c r="J1121" s="91"/>
      <c r="K1121" s="91"/>
      <c r="M1121" s="91"/>
      <c r="N1121" s="91" t="s">
        <v>2370</v>
      </c>
    </row>
    <row r="1122" spans="1:14" x14ac:dyDescent="0.25">
      <c r="A1122" s="91" t="s">
        <v>1318</v>
      </c>
      <c r="B1122" s="91" t="s">
        <v>1332</v>
      </c>
      <c r="C1122" s="91" t="s">
        <v>2421</v>
      </c>
      <c r="D1122" s="91" t="s">
        <v>15</v>
      </c>
      <c r="E1122" s="91"/>
      <c r="F1122">
        <v>49</v>
      </c>
      <c r="G1122" t="s">
        <v>1419</v>
      </c>
      <c r="H1122" s="89">
        <v>46100</v>
      </c>
      <c r="I1122" s="89">
        <v>46102</v>
      </c>
      <c r="J1122" s="91"/>
      <c r="K1122" s="91"/>
      <c r="M1122" s="91"/>
      <c r="N1122" s="91" t="s">
        <v>2370</v>
      </c>
    </row>
    <row r="1123" spans="1:14" x14ac:dyDescent="0.25">
      <c r="A1123" s="91" t="s">
        <v>1313</v>
      </c>
      <c r="B1123" s="91" t="s">
        <v>1327</v>
      </c>
      <c r="C1123" s="91" t="s">
        <v>2422</v>
      </c>
      <c r="D1123" s="91" t="s">
        <v>23</v>
      </c>
      <c r="E1123" s="91"/>
      <c r="F1123">
        <v>864</v>
      </c>
      <c r="G1123">
        <v>18</v>
      </c>
      <c r="H1123" s="89">
        <v>46100</v>
      </c>
      <c r="I1123" s="89">
        <v>46102</v>
      </c>
      <c r="J1123" s="91"/>
      <c r="K1123" s="91"/>
      <c r="M1123" s="91"/>
      <c r="N1123" s="91" t="s">
        <v>2370</v>
      </c>
    </row>
    <row r="1124" spans="1:14" x14ac:dyDescent="0.25">
      <c r="A1124" s="91" t="s">
        <v>1325</v>
      </c>
      <c r="B1124" s="91" t="s">
        <v>1339</v>
      </c>
      <c r="C1124" s="91" t="s">
        <v>2423</v>
      </c>
      <c r="D1124" s="91" t="s">
        <v>138</v>
      </c>
      <c r="E1124" s="91"/>
      <c r="F1124">
        <v>384</v>
      </c>
      <c r="G1124">
        <v>8</v>
      </c>
      <c r="H1124" s="89">
        <v>46100</v>
      </c>
      <c r="I1124" s="89">
        <v>46102</v>
      </c>
      <c r="J1124" s="91"/>
      <c r="K1124" s="91"/>
      <c r="M1124" s="91"/>
      <c r="N1124" s="91" t="s">
        <v>2370</v>
      </c>
    </row>
    <row r="1125" spans="1:14" x14ac:dyDescent="0.25">
      <c r="A1125" s="91" t="s">
        <v>1313</v>
      </c>
      <c r="B1125" s="91" t="s">
        <v>1327</v>
      </c>
      <c r="C1125" s="91" t="s">
        <v>2424</v>
      </c>
      <c r="D1125" s="91" t="s">
        <v>20</v>
      </c>
      <c r="E1125" s="91"/>
      <c r="F1125">
        <v>864</v>
      </c>
      <c r="G1125">
        <v>18</v>
      </c>
      <c r="H1125" s="89">
        <v>46100</v>
      </c>
      <c r="I1125" s="89">
        <v>46104</v>
      </c>
      <c r="J1125" s="91" t="s">
        <v>2401</v>
      </c>
      <c r="K1125" s="91"/>
      <c r="M1125" s="91"/>
      <c r="N1125" s="91" t="s">
        <v>2370</v>
      </c>
    </row>
    <row r="1126" spans="1:14" x14ac:dyDescent="0.25">
      <c r="A1126" s="91" t="s">
        <v>1313</v>
      </c>
      <c r="B1126" s="91" t="s">
        <v>1327</v>
      </c>
      <c r="C1126" s="91" t="s">
        <v>2424</v>
      </c>
      <c r="D1126" s="91" t="s">
        <v>20</v>
      </c>
      <c r="E1126" s="91"/>
      <c r="F1126">
        <v>432</v>
      </c>
      <c r="G1126">
        <v>12</v>
      </c>
      <c r="H1126" s="89">
        <v>46100</v>
      </c>
      <c r="I1126" s="89">
        <v>46105</v>
      </c>
      <c r="J1126" s="91"/>
      <c r="K1126" s="91"/>
      <c r="M1126" s="91"/>
      <c r="N1126" s="91" t="s">
        <v>2370</v>
      </c>
    </row>
    <row r="1127" spans="1:14" x14ac:dyDescent="0.25">
      <c r="A1127" s="91" t="s">
        <v>1315</v>
      </c>
      <c r="B1127" s="91" t="s">
        <v>1329</v>
      </c>
      <c r="C1127" s="91" t="s">
        <v>2424</v>
      </c>
      <c r="D1127" s="91" t="s">
        <v>20</v>
      </c>
      <c r="E1127" s="91"/>
      <c r="F1127">
        <v>56</v>
      </c>
      <c r="G1127" t="s">
        <v>1419</v>
      </c>
      <c r="H1127" s="89">
        <v>46100</v>
      </c>
      <c r="I1127" s="89">
        <v>46102</v>
      </c>
      <c r="J1127" s="91"/>
      <c r="K1127" s="91"/>
      <c r="M1127" s="91"/>
      <c r="N1127" s="91" t="s">
        <v>2370</v>
      </c>
    </row>
    <row r="1128" spans="1:14" x14ac:dyDescent="0.25">
      <c r="A1128" s="91" t="s">
        <v>1316</v>
      </c>
      <c r="B1128" s="91" t="s">
        <v>1330</v>
      </c>
      <c r="C1128" s="91" t="s">
        <v>2425</v>
      </c>
      <c r="D1128" s="91" t="s">
        <v>20</v>
      </c>
      <c r="E1128" s="91"/>
      <c r="F1128">
        <v>176</v>
      </c>
      <c r="G1128" t="s">
        <v>1419</v>
      </c>
      <c r="H1128" s="89">
        <v>46100</v>
      </c>
      <c r="I1128" s="89">
        <v>46102</v>
      </c>
      <c r="J1128" s="91"/>
      <c r="K1128" s="91"/>
      <c r="M1128" s="91"/>
      <c r="N1128" s="91" t="s">
        <v>2370</v>
      </c>
    </row>
    <row r="1129" spans="1:14" x14ac:dyDescent="0.25">
      <c r="A1129" s="91" t="s">
        <v>1317</v>
      </c>
      <c r="B1129" s="91" t="s">
        <v>1331</v>
      </c>
      <c r="C1129" s="91" t="s">
        <v>2426</v>
      </c>
      <c r="D1129" s="91" t="s">
        <v>20</v>
      </c>
      <c r="E1129" s="91"/>
      <c r="F1129">
        <v>5</v>
      </c>
      <c r="G1129" t="s">
        <v>1419</v>
      </c>
      <c r="H1129" s="89">
        <v>46100</v>
      </c>
      <c r="I1129" s="89">
        <v>46102</v>
      </c>
      <c r="J1129" s="91"/>
      <c r="K1129" s="91"/>
      <c r="M1129" s="91"/>
      <c r="N1129" s="91" t="s">
        <v>2370</v>
      </c>
    </row>
    <row r="1130" spans="1:14" x14ac:dyDescent="0.25">
      <c r="A1130" s="91" t="s">
        <v>1318</v>
      </c>
      <c r="B1130" s="91" t="s">
        <v>1332</v>
      </c>
      <c r="C1130" s="91" t="s">
        <v>2427</v>
      </c>
      <c r="D1130" s="91" t="s">
        <v>20</v>
      </c>
      <c r="E1130" s="91"/>
      <c r="F1130">
        <v>78</v>
      </c>
      <c r="G1130" t="s">
        <v>1419</v>
      </c>
      <c r="H1130" s="89">
        <v>46100</v>
      </c>
      <c r="I1130" s="89">
        <v>46102</v>
      </c>
      <c r="J1130" s="91"/>
      <c r="K1130" s="91"/>
      <c r="M1130" s="91"/>
      <c r="N1130" s="91" t="s">
        <v>2370</v>
      </c>
    </row>
    <row r="1131" spans="1:14" x14ac:dyDescent="0.25">
      <c r="A1131" s="91" t="s">
        <v>1326</v>
      </c>
      <c r="B1131" s="91" t="s">
        <v>1340</v>
      </c>
      <c r="C1131" s="91" t="s">
        <v>2428</v>
      </c>
      <c r="D1131" s="91" t="s">
        <v>2108</v>
      </c>
      <c r="E1131" s="91"/>
      <c r="F1131">
        <v>504</v>
      </c>
      <c r="G1131">
        <v>12</v>
      </c>
      <c r="H1131" s="89">
        <v>46101</v>
      </c>
      <c r="I1131" s="89">
        <v>46108</v>
      </c>
      <c r="J1131" s="91" t="s">
        <v>2411</v>
      </c>
      <c r="K1131" s="91"/>
      <c r="M1131" s="91"/>
      <c r="N1131" s="91" t="s">
        <v>2370</v>
      </c>
    </row>
    <row r="1132" spans="1:14" x14ac:dyDescent="0.25">
      <c r="A1132" s="91" t="s">
        <v>1314</v>
      </c>
      <c r="B1132" s="91" t="s">
        <v>1328</v>
      </c>
      <c r="C1132" s="91" t="s">
        <v>2429</v>
      </c>
      <c r="D1132" s="91" t="s">
        <v>21</v>
      </c>
      <c r="E1132" s="91"/>
      <c r="F1132">
        <v>336</v>
      </c>
      <c r="G1132">
        <v>7</v>
      </c>
      <c r="H1132" s="89">
        <v>46101</v>
      </c>
      <c r="I1132" s="89">
        <v>46105</v>
      </c>
      <c r="J1132" s="91" t="s">
        <v>2430</v>
      </c>
      <c r="K1132" s="91"/>
      <c r="M1132" s="91"/>
      <c r="N1132" s="91" t="s">
        <v>2370</v>
      </c>
    </row>
    <row r="1133" spans="1:14" x14ac:dyDescent="0.25">
      <c r="A1133" s="91" t="s">
        <v>1313</v>
      </c>
      <c r="B1133" s="91" t="s">
        <v>1327</v>
      </c>
      <c r="C1133" s="91" t="s">
        <v>2429</v>
      </c>
      <c r="D1133" s="91" t="s">
        <v>21</v>
      </c>
      <c r="E1133" s="91"/>
      <c r="F1133">
        <v>816</v>
      </c>
      <c r="G1133">
        <v>17</v>
      </c>
      <c r="H1133" s="89">
        <v>46101</v>
      </c>
      <c r="I1133" s="89">
        <v>46105</v>
      </c>
      <c r="J1133" s="91" t="s">
        <v>2431</v>
      </c>
      <c r="K1133" s="91"/>
      <c r="M1133" s="91"/>
      <c r="N1133" s="91" t="s">
        <v>2370</v>
      </c>
    </row>
    <row r="1134" spans="1:14" x14ac:dyDescent="0.25">
      <c r="A1134" s="91" t="s">
        <v>1315</v>
      </c>
      <c r="B1134" s="91" t="s">
        <v>1329</v>
      </c>
      <c r="C1134" s="91" t="s">
        <v>2429</v>
      </c>
      <c r="D1134" s="91" t="s">
        <v>21</v>
      </c>
      <c r="E1134" s="91"/>
      <c r="F1134">
        <v>102</v>
      </c>
      <c r="G1134" t="s">
        <v>1419</v>
      </c>
      <c r="H1134" s="89">
        <v>46101</v>
      </c>
      <c r="I1134" s="89">
        <v>46102</v>
      </c>
      <c r="J1134" s="91"/>
      <c r="K1134" s="91"/>
      <c r="M1134" s="91"/>
      <c r="N1134" s="91" t="s">
        <v>2370</v>
      </c>
    </row>
    <row r="1135" spans="1:14" x14ac:dyDescent="0.25">
      <c r="A1135" s="91" t="s">
        <v>1316</v>
      </c>
      <c r="B1135" s="91" t="s">
        <v>1330</v>
      </c>
      <c r="C1135" s="91" t="s">
        <v>2432</v>
      </c>
      <c r="D1135" s="91" t="s">
        <v>21</v>
      </c>
      <c r="E1135" s="91"/>
      <c r="F1135">
        <v>54</v>
      </c>
      <c r="G1135" t="s">
        <v>1419</v>
      </c>
      <c r="H1135" s="89">
        <v>46101</v>
      </c>
      <c r="I1135" s="89">
        <v>46103</v>
      </c>
      <c r="J1135" s="91"/>
      <c r="K1135" s="91"/>
      <c r="M1135" s="91"/>
      <c r="N1135" s="91" t="s">
        <v>2370</v>
      </c>
    </row>
    <row r="1136" spans="1:14" x14ac:dyDescent="0.25">
      <c r="A1136" s="91" t="s">
        <v>1317</v>
      </c>
      <c r="B1136" s="91" t="s">
        <v>1331</v>
      </c>
      <c r="C1136" s="91" t="s">
        <v>2433</v>
      </c>
      <c r="D1136" s="91" t="s">
        <v>21</v>
      </c>
      <c r="E1136" s="91"/>
      <c r="F1136">
        <v>23</v>
      </c>
      <c r="G1136" t="s">
        <v>1419</v>
      </c>
      <c r="H1136" s="89">
        <v>46101</v>
      </c>
      <c r="I1136" s="89">
        <v>46103</v>
      </c>
      <c r="J1136" s="91"/>
      <c r="K1136" s="91"/>
      <c r="M1136" s="91"/>
      <c r="N1136" s="91" t="s">
        <v>2370</v>
      </c>
    </row>
    <row r="1137" spans="1:14" x14ac:dyDescent="0.25">
      <c r="A1137" s="91" t="s">
        <v>1318</v>
      </c>
      <c r="B1137" s="91" t="s">
        <v>1332</v>
      </c>
      <c r="C1137" s="91" t="s">
        <v>2434</v>
      </c>
      <c r="D1137" s="91" t="s">
        <v>21</v>
      </c>
      <c r="E1137" s="91"/>
      <c r="F1137">
        <v>52</v>
      </c>
      <c r="G1137" t="s">
        <v>1419</v>
      </c>
      <c r="H1137" s="89">
        <v>46101</v>
      </c>
      <c r="I1137" s="89">
        <v>46103</v>
      </c>
      <c r="J1137" s="91"/>
      <c r="K1137" s="91"/>
      <c r="M1137" s="91"/>
      <c r="N1137" s="91" t="s">
        <v>2370</v>
      </c>
    </row>
    <row r="1138" spans="1:14" x14ac:dyDescent="0.25">
      <c r="A1138" s="91" t="s">
        <v>1313</v>
      </c>
      <c r="B1138" s="91" t="s">
        <v>1327</v>
      </c>
      <c r="C1138" s="91" t="s">
        <v>2435</v>
      </c>
      <c r="D1138" s="91" t="s">
        <v>23</v>
      </c>
      <c r="E1138" s="91"/>
      <c r="F1138">
        <v>912</v>
      </c>
      <c r="G1138">
        <v>19</v>
      </c>
      <c r="H1138" s="89">
        <v>46101</v>
      </c>
      <c r="I1138" s="89">
        <v>46106</v>
      </c>
      <c r="J1138" s="91" t="s">
        <v>2436</v>
      </c>
      <c r="K1138" s="91"/>
      <c r="M1138" s="91"/>
      <c r="N1138" s="91" t="s">
        <v>2370</v>
      </c>
    </row>
    <row r="1139" spans="1:14" x14ac:dyDescent="0.25">
      <c r="A1139" s="91" t="s">
        <v>1313</v>
      </c>
      <c r="B1139" s="91" t="s">
        <v>1327</v>
      </c>
      <c r="C1139" s="91" t="s">
        <v>2437</v>
      </c>
      <c r="D1139" s="91" t="s">
        <v>20</v>
      </c>
      <c r="E1139" s="91"/>
      <c r="F1139">
        <v>96</v>
      </c>
      <c r="G1139">
        <v>18</v>
      </c>
      <c r="H1139" s="89">
        <v>46101</v>
      </c>
      <c r="I1139" s="89">
        <v>46105</v>
      </c>
      <c r="J1139" s="91"/>
      <c r="K1139" s="91"/>
      <c r="M1139" s="91"/>
      <c r="N1139" s="91" t="s">
        <v>2370</v>
      </c>
    </row>
    <row r="1140" spans="1:14" x14ac:dyDescent="0.25">
      <c r="A1140" s="91" t="s">
        <v>1313</v>
      </c>
      <c r="B1140" s="91" t="s">
        <v>1327</v>
      </c>
      <c r="C1140" s="91" t="s">
        <v>2437</v>
      </c>
      <c r="D1140" s="91" t="s">
        <v>20</v>
      </c>
      <c r="E1140" s="91"/>
      <c r="F1140">
        <v>240</v>
      </c>
      <c r="G1140">
        <v>5</v>
      </c>
      <c r="H1140" s="89">
        <v>46101</v>
      </c>
      <c r="I1140" s="89">
        <v>46106</v>
      </c>
      <c r="J1140" s="91" t="s">
        <v>2436</v>
      </c>
      <c r="K1140" s="91"/>
      <c r="M1140" s="91"/>
      <c r="N1140" s="91" t="s">
        <v>2370</v>
      </c>
    </row>
    <row r="1141" spans="1:14" x14ac:dyDescent="0.25">
      <c r="A1141" s="91" t="s">
        <v>1313</v>
      </c>
      <c r="B1141" s="91" t="s">
        <v>1327</v>
      </c>
      <c r="C1141" s="91" t="s">
        <v>2437</v>
      </c>
      <c r="D1141" s="91" t="s">
        <v>20</v>
      </c>
      <c r="E1141" s="91"/>
      <c r="F1141">
        <v>240</v>
      </c>
      <c r="G1141">
        <v>5</v>
      </c>
      <c r="H1141" s="89">
        <v>46101</v>
      </c>
      <c r="I1141" s="89">
        <v>46106</v>
      </c>
      <c r="J1141" s="91" t="s">
        <v>2438</v>
      </c>
      <c r="K1141" s="91"/>
      <c r="M1141" s="91"/>
      <c r="N1141" s="91" t="s">
        <v>2370</v>
      </c>
    </row>
    <row r="1142" spans="1:14" x14ac:dyDescent="0.25">
      <c r="A1142" s="91" t="s">
        <v>1315</v>
      </c>
      <c r="B1142" s="91" t="s">
        <v>1329</v>
      </c>
      <c r="C1142" s="91" t="s">
        <v>2424</v>
      </c>
      <c r="D1142" s="91" t="s">
        <v>20</v>
      </c>
      <c r="E1142" s="91"/>
      <c r="F1142">
        <v>26</v>
      </c>
      <c r="G1142" t="s">
        <v>1419</v>
      </c>
      <c r="H1142" s="89">
        <v>46101</v>
      </c>
      <c r="I1142" s="89">
        <v>46102</v>
      </c>
      <c r="J1142" s="91"/>
      <c r="K1142" s="91"/>
      <c r="M1142" s="91"/>
      <c r="N1142" s="91" t="s">
        <v>2370</v>
      </c>
    </row>
    <row r="1143" spans="1:14" x14ac:dyDescent="0.25">
      <c r="A1143" s="91" t="s">
        <v>1316</v>
      </c>
      <c r="B1143" s="91" t="s">
        <v>1330</v>
      </c>
      <c r="C1143" s="91" t="s">
        <v>2439</v>
      </c>
      <c r="D1143" s="91" t="s">
        <v>20</v>
      </c>
      <c r="E1143" s="91"/>
      <c r="F1143">
        <v>223</v>
      </c>
      <c r="G1143" t="s">
        <v>1419</v>
      </c>
      <c r="H1143" s="89">
        <v>46101</v>
      </c>
      <c r="I1143" s="89">
        <v>46103</v>
      </c>
      <c r="J1143" s="91"/>
      <c r="K1143" s="91"/>
      <c r="M1143" s="91"/>
      <c r="N1143" s="91" t="s">
        <v>2370</v>
      </c>
    </row>
    <row r="1144" spans="1:14" x14ac:dyDescent="0.25">
      <c r="A1144" s="91" t="s">
        <v>1317</v>
      </c>
      <c r="B1144" s="91" t="s">
        <v>1331</v>
      </c>
      <c r="C1144" s="91" t="s">
        <v>2440</v>
      </c>
      <c r="D1144" s="91" t="s">
        <v>20</v>
      </c>
      <c r="E1144" s="91"/>
      <c r="F1144">
        <v>15</v>
      </c>
      <c r="G1144" t="s">
        <v>1419</v>
      </c>
      <c r="H1144" s="89">
        <v>46101</v>
      </c>
      <c r="I1144" s="89">
        <v>46103</v>
      </c>
      <c r="J1144" s="91"/>
      <c r="K1144" s="91"/>
      <c r="M1144" s="91"/>
      <c r="N1144" s="91" t="s">
        <v>2370</v>
      </c>
    </row>
    <row r="1145" spans="1:14" x14ac:dyDescent="0.25">
      <c r="A1145" s="91" t="s">
        <v>1318</v>
      </c>
      <c r="B1145" s="91" t="s">
        <v>1332</v>
      </c>
      <c r="C1145" s="91" t="s">
        <v>2441</v>
      </c>
      <c r="D1145" s="91" t="s">
        <v>20</v>
      </c>
      <c r="E1145" s="91"/>
      <c r="F1145">
        <v>65</v>
      </c>
      <c r="G1145" t="s">
        <v>1419</v>
      </c>
      <c r="H1145" s="89">
        <v>46101</v>
      </c>
      <c r="I1145" s="89">
        <v>46103</v>
      </c>
      <c r="J1145" s="91"/>
      <c r="K1145" s="91"/>
      <c r="M1145" s="91"/>
      <c r="N1145" s="91" t="s">
        <v>2370</v>
      </c>
    </row>
    <row r="1146" spans="1:14" x14ac:dyDescent="0.25">
      <c r="A1146" s="91" t="s">
        <v>1313</v>
      </c>
      <c r="B1146" s="91" t="s">
        <v>1327</v>
      </c>
      <c r="C1146" s="91" t="s">
        <v>2442</v>
      </c>
      <c r="D1146" s="91" t="s">
        <v>15</v>
      </c>
      <c r="E1146" s="91"/>
      <c r="F1146">
        <v>816</v>
      </c>
      <c r="G1146">
        <v>17</v>
      </c>
      <c r="H1146" s="89">
        <v>46101</v>
      </c>
      <c r="I1146" s="89">
        <v>46105</v>
      </c>
      <c r="J1146" s="91" t="s">
        <v>2418</v>
      </c>
      <c r="K1146" s="91"/>
      <c r="M1146" s="91"/>
      <c r="N1146" s="91" t="s">
        <v>2370</v>
      </c>
    </row>
    <row r="1147" spans="1:14" x14ac:dyDescent="0.25">
      <c r="A1147" s="91" t="s">
        <v>1314</v>
      </c>
      <c r="B1147" s="91" t="s">
        <v>1328</v>
      </c>
      <c r="C1147" s="91" t="s">
        <v>2442</v>
      </c>
      <c r="D1147" s="91" t="s">
        <v>15</v>
      </c>
      <c r="E1147" s="91"/>
      <c r="F1147">
        <v>144</v>
      </c>
      <c r="G1147">
        <v>3</v>
      </c>
      <c r="H1147" s="89">
        <v>46101</v>
      </c>
      <c r="I1147" s="89">
        <v>46106</v>
      </c>
      <c r="J1147" s="91" t="s">
        <v>2443</v>
      </c>
      <c r="K1147" s="91"/>
      <c r="M1147" s="91"/>
      <c r="N1147" s="91" t="s">
        <v>2370</v>
      </c>
    </row>
    <row r="1148" spans="1:14" x14ac:dyDescent="0.25">
      <c r="A1148" s="91" t="s">
        <v>1313</v>
      </c>
      <c r="B1148" s="91" t="s">
        <v>1327</v>
      </c>
      <c r="C1148" s="91" t="s">
        <v>2442</v>
      </c>
      <c r="D1148" s="91" t="s">
        <v>15</v>
      </c>
      <c r="E1148" s="91"/>
      <c r="F1148">
        <v>480</v>
      </c>
      <c r="G1148">
        <v>10</v>
      </c>
      <c r="H1148" s="89">
        <v>46101</v>
      </c>
      <c r="I1148" s="89">
        <v>46106</v>
      </c>
      <c r="J1148" s="91" t="s">
        <v>2444</v>
      </c>
      <c r="K1148" s="91"/>
      <c r="M1148" s="91"/>
      <c r="N1148" s="91" t="s">
        <v>2370</v>
      </c>
    </row>
    <row r="1149" spans="1:14" x14ac:dyDescent="0.25">
      <c r="A1149" s="91" t="s">
        <v>1315</v>
      </c>
      <c r="B1149" s="91" t="s">
        <v>1329</v>
      </c>
      <c r="C1149" s="91" t="s">
        <v>2416</v>
      </c>
      <c r="D1149" s="91" t="s">
        <v>15</v>
      </c>
      <c r="E1149" s="91"/>
      <c r="F1149">
        <v>26</v>
      </c>
      <c r="G1149" t="s">
        <v>1419</v>
      </c>
      <c r="H1149" s="89">
        <v>46101</v>
      </c>
      <c r="I1149" s="89">
        <v>46102</v>
      </c>
      <c r="J1149" s="91"/>
      <c r="K1149" s="91"/>
      <c r="M1149" s="91"/>
      <c r="N1149" s="91" t="s">
        <v>2370</v>
      </c>
    </row>
    <row r="1150" spans="1:14" x14ac:dyDescent="0.25">
      <c r="A1150" s="91" t="s">
        <v>1316</v>
      </c>
      <c r="B1150" s="91" t="s">
        <v>1330</v>
      </c>
      <c r="C1150" s="91" t="s">
        <v>2445</v>
      </c>
      <c r="D1150" s="91" t="s">
        <v>15</v>
      </c>
      <c r="E1150" s="91"/>
      <c r="F1150">
        <v>104</v>
      </c>
      <c r="G1150" t="s">
        <v>1419</v>
      </c>
      <c r="H1150" s="89">
        <v>46101</v>
      </c>
      <c r="I1150" s="89">
        <v>46103</v>
      </c>
      <c r="J1150" s="91"/>
      <c r="K1150" s="91"/>
      <c r="M1150" s="91"/>
      <c r="N1150" s="91" t="s">
        <v>2370</v>
      </c>
    </row>
    <row r="1151" spans="1:14" x14ac:dyDescent="0.25">
      <c r="A1151" s="91" t="s">
        <v>1317</v>
      </c>
      <c r="B1151" s="91" t="s">
        <v>1331</v>
      </c>
      <c r="C1151" s="91" t="s">
        <v>2446</v>
      </c>
      <c r="D1151" s="91" t="s">
        <v>15</v>
      </c>
      <c r="E1151" s="91"/>
      <c r="F1151">
        <v>39</v>
      </c>
      <c r="G1151" t="s">
        <v>1419</v>
      </c>
      <c r="H1151" s="89">
        <v>46101</v>
      </c>
      <c r="I1151" s="89">
        <v>46103</v>
      </c>
      <c r="J1151" s="91"/>
      <c r="K1151" s="91"/>
      <c r="M1151" s="91"/>
      <c r="N1151" s="91" t="s">
        <v>2370</v>
      </c>
    </row>
    <row r="1152" spans="1:14" x14ac:dyDescent="0.25">
      <c r="A1152" s="91" t="s">
        <v>1318</v>
      </c>
      <c r="B1152" s="91" t="s">
        <v>1332</v>
      </c>
      <c r="C1152" s="91" t="s">
        <v>2447</v>
      </c>
      <c r="D1152" s="91" t="s">
        <v>15</v>
      </c>
      <c r="E1152" s="91"/>
      <c r="F1152">
        <v>42</v>
      </c>
      <c r="G1152" t="s">
        <v>1419</v>
      </c>
      <c r="H1152" s="89">
        <v>46101</v>
      </c>
      <c r="I1152" s="89">
        <v>46103</v>
      </c>
      <c r="J1152" s="91"/>
      <c r="K1152" s="91"/>
      <c r="M1152" s="91"/>
      <c r="N1152" s="91" t="s">
        <v>2370</v>
      </c>
    </row>
    <row r="1153" spans="1:14" x14ac:dyDescent="0.25">
      <c r="A1153" s="91" t="s">
        <v>1320</v>
      </c>
      <c r="B1153" s="91" t="s">
        <v>1334</v>
      </c>
      <c r="C1153" s="91" t="s">
        <v>2448</v>
      </c>
      <c r="D1153" s="91" t="s">
        <v>28</v>
      </c>
      <c r="E1153" s="91"/>
      <c r="F1153">
        <v>960</v>
      </c>
      <c r="G1153">
        <v>20</v>
      </c>
      <c r="H1153" s="89">
        <v>46102</v>
      </c>
      <c r="I1153" s="89">
        <v>46107</v>
      </c>
      <c r="J1153" s="91" t="s">
        <v>2449</v>
      </c>
      <c r="K1153" s="91"/>
      <c r="M1153" s="91"/>
      <c r="N1153" s="91" t="s">
        <v>2370</v>
      </c>
    </row>
    <row r="1154" spans="1:14" x14ac:dyDescent="0.25">
      <c r="A1154" s="91" t="s">
        <v>1316</v>
      </c>
      <c r="B1154" s="91" t="s">
        <v>1330</v>
      </c>
      <c r="C1154" s="91" t="s">
        <v>2450</v>
      </c>
      <c r="D1154" s="91" t="s">
        <v>28</v>
      </c>
      <c r="E1154" s="91"/>
      <c r="F1154">
        <v>209</v>
      </c>
      <c r="G1154" t="s">
        <v>1419</v>
      </c>
      <c r="H1154" s="89">
        <v>46102</v>
      </c>
      <c r="I1154" s="89">
        <v>46104</v>
      </c>
      <c r="J1154" s="91"/>
      <c r="K1154" s="91"/>
      <c r="M1154" s="91"/>
      <c r="N1154" s="91" t="s">
        <v>2370</v>
      </c>
    </row>
    <row r="1155" spans="1:14" x14ac:dyDescent="0.25">
      <c r="A1155" s="91" t="s">
        <v>1317</v>
      </c>
      <c r="B1155" s="91" t="s">
        <v>1331</v>
      </c>
      <c r="C1155" s="91" t="s">
        <v>2451</v>
      </c>
      <c r="D1155" s="91" t="s">
        <v>28</v>
      </c>
      <c r="E1155" s="91"/>
      <c r="F1155">
        <v>3</v>
      </c>
      <c r="G1155" t="s">
        <v>1419</v>
      </c>
      <c r="H1155" s="89">
        <v>46102</v>
      </c>
      <c r="I1155" s="89">
        <v>46104</v>
      </c>
      <c r="J1155" s="91"/>
      <c r="K1155" s="91"/>
      <c r="M1155" s="91"/>
      <c r="N1155" s="91" t="s">
        <v>2370</v>
      </c>
    </row>
    <row r="1156" spans="1:14" x14ac:dyDescent="0.25">
      <c r="A1156" s="91" t="s">
        <v>1318</v>
      </c>
      <c r="B1156" s="91" t="s">
        <v>1332</v>
      </c>
      <c r="C1156" s="91" t="s">
        <v>2452</v>
      </c>
      <c r="D1156" s="91" t="s">
        <v>28</v>
      </c>
      <c r="E1156" s="91"/>
      <c r="F1156">
        <v>67</v>
      </c>
      <c r="G1156" t="s">
        <v>1419</v>
      </c>
      <c r="H1156" s="89">
        <v>46102</v>
      </c>
      <c r="I1156" s="89">
        <v>46104</v>
      </c>
      <c r="J1156" s="91"/>
      <c r="K1156" s="91"/>
      <c r="M1156" s="91"/>
      <c r="N1156" s="91" t="s">
        <v>2370</v>
      </c>
    </row>
    <row r="1157" spans="1:14" x14ac:dyDescent="0.25">
      <c r="A1157" s="91" t="s">
        <v>1324</v>
      </c>
      <c r="B1157" s="91" t="s">
        <v>1338</v>
      </c>
      <c r="C1157" s="91" t="s">
        <v>2453</v>
      </c>
      <c r="D1157" s="91" t="s">
        <v>97</v>
      </c>
      <c r="E1157" s="91"/>
      <c r="F1157">
        <v>576</v>
      </c>
      <c r="G1157">
        <v>12</v>
      </c>
      <c r="H1157" s="89">
        <v>46102</v>
      </c>
      <c r="I1157" s="89">
        <v>46109</v>
      </c>
      <c r="J1157" s="91" t="s">
        <v>2454</v>
      </c>
      <c r="K1157" s="91"/>
      <c r="M1157" s="91"/>
      <c r="N1157" s="91" t="s">
        <v>2370</v>
      </c>
    </row>
    <row r="1158" spans="1:14" x14ac:dyDescent="0.25">
      <c r="A1158" s="91" t="s">
        <v>1324</v>
      </c>
      <c r="B1158" s="91" t="s">
        <v>1338</v>
      </c>
      <c r="C1158" s="91" t="s">
        <v>2455</v>
      </c>
      <c r="D1158" s="91" t="s">
        <v>88</v>
      </c>
      <c r="E1158" s="91"/>
      <c r="F1158">
        <v>576</v>
      </c>
      <c r="G1158">
        <v>12</v>
      </c>
      <c r="H1158" s="89">
        <v>46102</v>
      </c>
      <c r="I1158" s="89">
        <v>46109</v>
      </c>
      <c r="J1158" s="91" t="s">
        <v>2454</v>
      </c>
      <c r="K1158" s="91"/>
      <c r="M1158" s="91"/>
      <c r="N1158" s="91" t="s">
        <v>2370</v>
      </c>
    </row>
    <row r="1159" spans="1:14" x14ac:dyDescent="0.25">
      <c r="A1159" s="91" t="s">
        <v>1320</v>
      </c>
      <c r="B1159" s="91" t="s">
        <v>1334</v>
      </c>
      <c r="C1159" s="91" t="s">
        <v>2456</v>
      </c>
      <c r="D1159" s="91" t="s">
        <v>15</v>
      </c>
      <c r="E1159" s="91"/>
      <c r="F1159">
        <v>960</v>
      </c>
      <c r="G1159">
        <v>20</v>
      </c>
      <c r="H1159" s="89">
        <v>46102</v>
      </c>
      <c r="I1159" s="89">
        <v>46109</v>
      </c>
      <c r="J1159" s="91" t="s">
        <v>2457</v>
      </c>
      <c r="K1159" s="91"/>
      <c r="M1159" s="91"/>
      <c r="N1159" s="91" t="s">
        <v>2370</v>
      </c>
    </row>
    <row r="1160" spans="1:14" x14ac:dyDescent="0.25">
      <c r="A1160" s="91" t="s">
        <v>1313</v>
      </c>
      <c r="B1160" s="91" t="s">
        <v>1327</v>
      </c>
      <c r="C1160" s="91" t="s">
        <v>2456</v>
      </c>
      <c r="D1160" s="91" t="s">
        <v>15</v>
      </c>
      <c r="E1160" s="91"/>
      <c r="F1160">
        <v>528</v>
      </c>
      <c r="G1160">
        <v>11</v>
      </c>
      <c r="H1160" s="89">
        <v>46102</v>
      </c>
      <c r="I1160" s="89">
        <v>46106</v>
      </c>
      <c r="J1160" s="91" t="s">
        <v>2444</v>
      </c>
      <c r="K1160" s="91"/>
      <c r="M1160" s="91"/>
      <c r="N1160" s="91" t="s">
        <v>2370</v>
      </c>
    </row>
    <row r="1161" spans="1:14" x14ac:dyDescent="0.25">
      <c r="A1161" s="91" t="s">
        <v>1315</v>
      </c>
      <c r="B1161" s="91" t="s">
        <v>1329</v>
      </c>
      <c r="C1161" s="91" t="s">
        <v>2416</v>
      </c>
      <c r="D1161" s="91" t="s">
        <v>15</v>
      </c>
      <c r="E1161" s="91"/>
      <c r="F1161">
        <v>5</v>
      </c>
      <c r="G1161" t="s">
        <v>1419</v>
      </c>
      <c r="H1161" s="89">
        <v>46102</v>
      </c>
      <c r="I1161" s="89">
        <v>46102</v>
      </c>
      <c r="J1161" s="91"/>
      <c r="K1161" s="91"/>
      <c r="M1161" s="91"/>
      <c r="N1161" s="91" t="s">
        <v>2370</v>
      </c>
    </row>
    <row r="1162" spans="1:14" x14ac:dyDescent="0.25">
      <c r="A1162" s="91" t="s">
        <v>1316</v>
      </c>
      <c r="B1162" s="91" t="s">
        <v>1330</v>
      </c>
      <c r="C1162" s="91" t="s">
        <v>2458</v>
      </c>
      <c r="D1162" s="91" t="s">
        <v>15</v>
      </c>
      <c r="E1162" s="91"/>
      <c r="F1162">
        <v>101</v>
      </c>
      <c r="G1162" t="s">
        <v>1419</v>
      </c>
      <c r="H1162" s="89">
        <v>46102</v>
      </c>
      <c r="I1162" s="89">
        <v>46104</v>
      </c>
      <c r="J1162" s="91"/>
      <c r="K1162" s="91"/>
      <c r="M1162" s="91"/>
      <c r="N1162" s="91" t="s">
        <v>2370</v>
      </c>
    </row>
    <row r="1163" spans="1:14" x14ac:dyDescent="0.25">
      <c r="A1163" s="91" t="s">
        <v>1317</v>
      </c>
      <c r="B1163" s="91" t="s">
        <v>1331</v>
      </c>
      <c r="C1163" s="91" t="s">
        <v>2459</v>
      </c>
      <c r="D1163" s="91" t="s">
        <v>15</v>
      </c>
      <c r="E1163" s="91"/>
      <c r="F1163">
        <v>37</v>
      </c>
      <c r="G1163" t="s">
        <v>1419</v>
      </c>
      <c r="H1163" s="89">
        <v>46102</v>
      </c>
      <c r="I1163" s="89">
        <v>46104</v>
      </c>
      <c r="J1163" s="91"/>
      <c r="K1163" s="91"/>
      <c r="M1163" s="91"/>
      <c r="N1163" s="91" t="s">
        <v>2370</v>
      </c>
    </row>
    <row r="1164" spans="1:14" x14ac:dyDescent="0.25">
      <c r="A1164" s="91" t="s">
        <v>1318</v>
      </c>
      <c r="B1164" s="91" t="s">
        <v>1332</v>
      </c>
      <c r="C1164" s="91" t="s">
        <v>2460</v>
      </c>
      <c r="D1164" s="91" t="s">
        <v>15</v>
      </c>
      <c r="E1164" s="91"/>
      <c r="F1164">
        <v>53</v>
      </c>
      <c r="G1164" t="s">
        <v>1419</v>
      </c>
      <c r="H1164" s="89">
        <v>46102</v>
      </c>
      <c r="I1164" s="89">
        <v>46104</v>
      </c>
      <c r="J1164" s="91"/>
      <c r="K1164" s="91"/>
      <c r="M1164" s="91"/>
      <c r="N1164" s="91" t="s">
        <v>2370</v>
      </c>
    </row>
    <row r="1165" spans="1:14" x14ac:dyDescent="0.25">
      <c r="A1165" s="91" t="s">
        <v>1320</v>
      </c>
      <c r="B1165" s="91" t="s">
        <v>1334</v>
      </c>
      <c r="C1165" s="91" t="s">
        <v>2461</v>
      </c>
      <c r="D1165" s="91" t="s">
        <v>13</v>
      </c>
      <c r="E1165" s="91"/>
      <c r="F1165">
        <v>480</v>
      </c>
      <c r="G1165">
        <v>10</v>
      </c>
      <c r="H1165" s="89">
        <v>46102</v>
      </c>
      <c r="I1165" s="89">
        <v>46109</v>
      </c>
      <c r="J1165" s="91" t="s">
        <v>2462</v>
      </c>
      <c r="K1165" s="91"/>
      <c r="M1165" s="91"/>
      <c r="N1165" s="91" t="s">
        <v>2370</v>
      </c>
    </row>
    <row r="1166" spans="1:14" x14ac:dyDescent="0.25">
      <c r="A1166" s="91" t="s">
        <v>1320</v>
      </c>
      <c r="B1166" s="91" t="s">
        <v>1334</v>
      </c>
      <c r="C1166" s="91" t="s">
        <v>2463</v>
      </c>
      <c r="D1166" s="91" t="s">
        <v>152</v>
      </c>
      <c r="E1166" s="91"/>
      <c r="F1166">
        <v>480</v>
      </c>
      <c r="G1166">
        <v>10</v>
      </c>
      <c r="H1166" s="89">
        <v>46102</v>
      </c>
      <c r="I1166" s="89">
        <v>46109</v>
      </c>
      <c r="J1166" s="91" t="s">
        <v>2462</v>
      </c>
      <c r="K1166" s="91"/>
      <c r="M1166" s="91"/>
      <c r="N1166" s="91" t="s">
        <v>2370</v>
      </c>
    </row>
    <row r="1167" spans="1:14" x14ac:dyDescent="0.25">
      <c r="A1167" s="91" t="s">
        <v>1313</v>
      </c>
      <c r="B1167" s="91" t="s">
        <v>1327</v>
      </c>
      <c r="C1167" s="91" t="s">
        <v>2464</v>
      </c>
      <c r="D1167" s="91" t="s">
        <v>20</v>
      </c>
      <c r="E1167" s="91"/>
      <c r="F1167">
        <v>912</v>
      </c>
      <c r="G1167">
        <v>19</v>
      </c>
      <c r="H1167" s="89">
        <v>46102</v>
      </c>
      <c r="I1167" s="89">
        <v>46106</v>
      </c>
      <c r="J1167" s="91" t="s">
        <v>2438</v>
      </c>
      <c r="K1167" s="91"/>
      <c r="M1167" s="91"/>
      <c r="N1167" s="91" t="s">
        <v>2370</v>
      </c>
    </row>
    <row r="1168" spans="1:14" x14ac:dyDescent="0.25">
      <c r="A1168" s="91" t="s">
        <v>1313</v>
      </c>
      <c r="B1168" s="91" t="s">
        <v>1327</v>
      </c>
      <c r="C1168" s="91" t="s">
        <v>2464</v>
      </c>
      <c r="D1168" s="91" t="s">
        <v>20</v>
      </c>
      <c r="E1168" s="91"/>
      <c r="F1168">
        <v>384</v>
      </c>
      <c r="G1168">
        <v>8</v>
      </c>
      <c r="H1168" s="89">
        <v>46102</v>
      </c>
      <c r="I1168" s="89">
        <v>46107</v>
      </c>
      <c r="J1168" s="91" t="s">
        <v>2245</v>
      </c>
      <c r="K1168" s="91"/>
      <c r="M1168" s="91"/>
      <c r="N1168" s="91" t="s">
        <v>2370</v>
      </c>
    </row>
    <row r="1169" spans="1:14" x14ac:dyDescent="0.25">
      <c r="A1169" s="91" t="s">
        <v>1315</v>
      </c>
      <c r="B1169" s="91" t="s">
        <v>1329</v>
      </c>
      <c r="C1169" s="91" t="s">
        <v>2424</v>
      </c>
      <c r="D1169" s="91" t="s">
        <v>20</v>
      </c>
      <c r="E1169" s="91"/>
      <c r="F1169">
        <v>72</v>
      </c>
      <c r="G1169" t="s">
        <v>1419</v>
      </c>
      <c r="H1169" s="89">
        <v>46102</v>
      </c>
      <c r="I1169" s="89">
        <v>46102</v>
      </c>
      <c r="J1169" s="91"/>
      <c r="K1169" s="91"/>
      <c r="M1169" s="91"/>
      <c r="N1169" s="91" t="s">
        <v>2370</v>
      </c>
    </row>
    <row r="1170" spans="1:14" x14ac:dyDescent="0.25">
      <c r="A1170" s="91" t="s">
        <v>1316</v>
      </c>
      <c r="B1170" s="91" t="s">
        <v>1330</v>
      </c>
      <c r="C1170" s="91" t="s">
        <v>2465</v>
      </c>
      <c r="D1170" s="91" t="s">
        <v>20</v>
      </c>
      <c r="E1170" s="91"/>
      <c r="F1170">
        <v>231</v>
      </c>
      <c r="G1170" t="s">
        <v>1419</v>
      </c>
      <c r="H1170" s="89">
        <v>46102</v>
      </c>
      <c r="I1170" s="89">
        <v>46104</v>
      </c>
      <c r="J1170" s="91"/>
      <c r="K1170" s="91"/>
      <c r="M1170" s="91"/>
      <c r="N1170" s="91" t="s">
        <v>2370</v>
      </c>
    </row>
    <row r="1171" spans="1:14" x14ac:dyDescent="0.25">
      <c r="A1171" s="91" t="s">
        <v>1317</v>
      </c>
      <c r="B1171" s="91" t="s">
        <v>1331</v>
      </c>
      <c r="C1171" s="91" t="s">
        <v>2466</v>
      </c>
      <c r="D1171" s="91" t="s">
        <v>20</v>
      </c>
      <c r="E1171" s="91"/>
      <c r="F1171">
        <v>14</v>
      </c>
      <c r="G1171" t="s">
        <v>1419</v>
      </c>
      <c r="H1171" s="89">
        <v>46102</v>
      </c>
      <c r="I1171" s="89">
        <v>46104</v>
      </c>
      <c r="J1171" s="91"/>
      <c r="K1171" s="91"/>
      <c r="M1171" s="91"/>
      <c r="N1171" s="91" t="s">
        <v>2370</v>
      </c>
    </row>
    <row r="1172" spans="1:14" x14ac:dyDescent="0.25">
      <c r="A1172" s="91" t="s">
        <v>1318</v>
      </c>
      <c r="B1172" s="91" t="s">
        <v>1332</v>
      </c>
      <c r="C1172" s="91" t="s">
        <v>2467</v>
      </c>
      <c r="D1172" s="91" t="s">
        <v>20</v>
      </c>
      <c r="E1172" s="91"/>
      <c r="F1172">
        <v>64</v>
      </c>
      <c r="G1172" t="s">
        <v>1419</v>
      </c>
      <c r="H1172" s="89">
        <v>46102</v>
      </c>
      <c r="I1172" s="89">
        <v>46104</v>
      </c>
      <c r="J1172" s="91"/>
      <c r="K1172" s="91"/>
      <c r="M1172" s="91"/>
      <c r="N1172" s="91" t="s">
        <v>2370</v>
      </c>
    </row>
    <row r="1173" spans="1:14" x14ac:dyDescent="0.25">
      <c r="A1173" s="91" t="s">
        <v>1323</v>
      </c>
      <c r="B1173" s="91" t="s">
        <v>1337</v>
      </c>
      <c r="C1173" s="91" t="s">
        <v>2468</v>
      </c>
      <c r="D1173" s="91" t="s">
        <v>20</v>
      </c>
      <c r="E1173" s="91"/>
      <c r="F1173">
        <v>918</v>
      </c>
      <c r="G1173">
        <v>17</v>
      </c>
      <c r="H1173" s="89">
        <v>46125</v>
      </c>
      <c r="I1173" s="89">
        <v>46128</v>
      </c>
      <c r="J1173" s="91" t="s">
        <v>2469</v>
      </c>
      <c r="K1173" s="91"/>
      <c r="M1173" s="91"/>
      <c r="N1173" s="91" t="s">
        <v>2470</v>
      </c>
    </row>
    <row r="1174" spans="1:14" x14ac:dyDescent="0.25">
      <c r="A1174" s="91" t="s">
        <v>1322</v>
      </c>
      <c r="B1174" s="91" t="s">
        <v>1336</v>
      </c>
      <c r="C1174" s="91" t="s">
        <v>2468</v>
      </c>
      <c r="D1174" s="91" t="s">
        <v>20</v>
      </c>
      <c r="E1174" s="91"/>
      <c r="F1174">
        <v>162</v>
      </c>
      <c r="G1174">
        <v>3</v>
      </c>
      <c r="H1174" s="89">
        <v>46125</v>
      </c>
      <c r="I1174" s="89">
        <v>46128</v>
      </c>
      <c r="J1174" s="91" t="s">
        <v>2469</v>
      </c>
      <c r="K1174" s="91"/>
      <c r="M1174" s="91"/>
      <c r="N1174" s="91" t="s">
        <v>2470</v>
      </c>
    </row>
    <row r="1175" spans="1:14" x14ac:dyDescent="0.25">
      <c r="A1175" s="91" t="s">
        <v>1315</v>
      </c>
      <c r="B1175" s="91" t="s">
        <v>1329</v>
      </c>
      <c r="C1175" s="91" t="s">
        <v>2468</v>
      </c>
      <c r="D1175" s="91" t="s">
        <v>20</v>
      </c>
      <c r="E1175" s="91"/>
      <c r="F1175">
        <v>5</v>
      </c>
      <c r="G1175" t="s">
        <v>1419</v>
      </c>
      <c r="H1175" s="89">
        <v>46125</v>
      </c>
      <c r="I1175" s="89">
        <v>46125</v>
      </c>
      <c r="J1175" s="91"/>
      <c r="K1175" s="91"/>
      <c r="M1175" s="91"/>
      <c r="N1175" s="91" t="s">
        <v>2470</v>
      </c>
    </row>
    <row r="1176" spans="1:14" x14ac:dyDescent="0.25">
      <c r="A1176" s="91" t="s">
        <v>1444</v>
      </c>
      <c r="B1176" s="91" t="s">
        <v>1445</v>
      </c>
      <c r="C1176" s="91" t="s">
        <v>2468</v>
      </c>
      <c r="D1176" s="91" t="s">
        <v>20</v>
      </c>
      <c r="E1176" s="91"/>
      <c r="F1176">
        <v>30</v>
      </c>
      <c r="G1176" t="s">
        <v>1419</v>
      </c>
      <c r="H1176" s="89">
        <v>46125</v>
      </c>
      <c r="I1176" s="89">
        <v>46125</v>
      </c>
      <c r="J1176" s="91"/>
      <c r="K1176" s="91"/>
      <c r="M1176" s="91"/>
      <c r="N1176" s="91" t="s">
        <v>2470</v>
      </c>
    </row>
    <row r="1177" spans="1:14" x14ac:dyDescent="0.25">
      <c r="A1177" s="91" t="s">
        <v>1316</v>
      </c>
      <c r="B1177" s="91" t="s">
        <v>1330</v>
      </c>
      <c r="C1177" s="91" t="s">
        <v>2471</v>
      </c>
      <c r="D1177" s="91" t="s">
        <v>20</v>
      </c>
      <c r="E1177" s="91"/>
      <c r="F1177">
        <v>124</v>
      </c>
      <c r="G1177" t="s">
        <v>1419</v>
      </c>
      <c r="H1177" s="89">
        <v>46125</v>
      </c>
      <c r="I1177" s="89">
        <v>46127</v>
      </c>
      <c r="J1177" s="91"/>
      <c r="K1177" s="91"/>
      <c r="M1177" s="91"/>
      <c r="N1177" s="91" t="s">
        <v>2470</v>
      </c>
    </row>
    <row r="1178" spans="1:14" x14ac:dyDescent="0.25">
      <c r="A1178" s="91" t="s">
        <v>1317</v>
      </c>
      <c r="B1178" s="91" t="s">
        <v>1331</v>
      </c>
      <c r="C1178" s="91" t="s">
        <v>2472</v>
      </c>
      <c r="D1178" s="91" t="s">
        <v>20</v>
      </c>
      <c r="E1178" s="91"/>
      <c r="F1178">
        <v>7</v>
      </c>
      <c r="G1178" t="s">
        <v>1419</v>
      </c>
      <c r="H1178" s="89">
        <v>46125</v>
      </c>
      <c r="I1178" s="89">
        <v>46127</v>
      </c>
      <c r="J1178" s="91"/>
      <c r="K1178" s="91"/>
      <c r="M1178" s="91"/>
      <c r="N1178" s="91" t="s">
        <v>2470</v>
      </c>
    </row>
    <row r="1179" spans="1:14" x14ac:dyDescent="0.25">
      <c r="A1179" s="91" t="s">
        <v>1318</v>
      </c>
      <c r="B1179" s="91" t="s">
        <v>1332</v>
      </c>
      <c r="C1179" s="91" t="s">
        <v>2473</v>
      </c>
      <c r="D1179" s="91" t="s">
        <v>20</v>
      </c>
      <c r="E1179" s="91"/>
      <c r="F1179">
        <v>56</v>
      </c>
      <c r="G1179" t="s">
        <v>1419</v>
      </c>
      <c r="H1179" s="89">
        <v>46125</v>
      </c>
      <c r="I1179" s="89">
        <v>46127</v>
      </c>
      <c r="J1179" s="91"/>
      <c r="K1179" s="91"/>
      <c r="M1179" s="91"/>
      <c r="N1179" s="91" t="s">
        <v>2470</v>
      </c>
    </row>
    <row r="1180" spans="1:14" x14ac:dyDescent="0.25">
      <c r="A1180" s="91" t="s">
        <v>1320</v>
      </c>
      <c r="B1180" s="91" t="s">
        <v>1334</v>
      </c>
      <c r="C1180" s="91" t="s">
        <v>2474</v>
      </c>
      <c r="D1180" s="91" t="s">
        <v>15</v>
      </c>
      <c r="E1180" s="91"/>
      <c r="F1180">
        <v>384</v>
      </c>
      <c r="G1180">
        <v>8</v>
      </c>
      <c r="H1180" s="89">
        <v>46125</v>
      </c>
      <c r="I1180" s="89">
        <v>46128</v>
      </c>
      <c r="J1180" s="91" t="s">
        <v>2475</v>
      </c>
      <c r="K1180" s="91"/>
      <c r="M1180" s="91"/>
      <c r="N1180" s="91" t="s">
        <v>2470</v>
      </c>
    </row>
    <row r="1181" spans="1:14" x14ac:dyDescent="0.25">
      <c r="A1181" s="91" t="s">
        <v>1313</v>
      </c>
      <c r="B1181" s="91" t="s">
        <v>1327</v>
      </c>
      <c r="C1181" s="91" t="s">
        <v>2474</v>
      </c>
      <c r="D1181" s="91" t="s">
        <v>15</v>
      </c>
      <c r="E1181" s="91"/>
      <c r="F1181">
        <v>576</v>
      </c>
      <c r="G1181">
        <v>12</v>
      </c>
      <c r="H1181" s="89">
        <v>46125</v>
      </c>
      <c r="I1181" s="89">
        <v>46129</v>
      </c>
      <c r="J1181" s="91" t="s">
        <v>2476</v>
      </c>
      <c r="K1181" s="91"/>
      <c r="M1181" s="91"/>
      <c r="N1181" s="91" t="s">
        <v>2470</v>
      </c>
    </row>
    <row r="1182" spans="1:14" x14ac:dyDescent="0.25">
      <c r="A1182" s="91" t="s">
        <v>1319</v>
      </c>
      <c r="B1182" s="91" t="s">
        <v>1333</v>
      </c>
      <c r="C1182" s="91" t="s">
        <v>2474</v>
      </c>
      <c r="D1182" s="91" t="s">
        <v>15</v>
      </c>
      <c r="E1182" s="91"/>
      <c r="F1182">
        <v>48</v>
      </c>
      <c r="G1182">
        <v>1</v>
      </c>
      <c r="H1182" s="89">
        <v>46125</v>
      </c>
      <c r="I1182" s="89">
        <v>46129</v>
      </c>
      <c r="J1182" s="91" t="s">
        <v>2476</v>
      </c>
      <c r="K1182" s="91"/>
      <c r="M1182" s="91"/>
      <c r="N1182" s="91" t="s">
        <v>2470</v>
      </c>
    </row>
    <row r="1183" spans="1:14" x14ac:dyDescent="0.25">
      <c r="A1183" s="91" t="s">
        <v>1314</v>
      </c>
      <c r="B1183" s="91" t="s">
        <v>1328</v>
      </c>
      <c r="C1183" s="91" t="s">
        <v>2474</v>
      </c>
      <c r="D1183" s="91" t="s">
        <v>15</v>
      </c>
      <c r="E1183" s="91"/>
      <c r="F1183">
        <v>336</v>
      </c>
      <c r="G1183">
        <v>7</v>
      </c>
      <c r="H1183" s="89">
        <v>46125</v>
      </c>
      <c r="I1183" s="89">
        <v>46128</v>
      </c>
      <c r="J1183" s="91" t="s">
        <v>2477</v>
      </c>
      <c r="K1183" s="91"/>
      <c r="M1183" s="91"/>
      <c r="N1183" s="91" t="s">
        <v>2470</v>
      </c>
    </row>
    <row r="1184" spans="1:14" x14ac:dyDescent="0.25">
      <c r="A1184" s="91" t="s">
        <v>1315</v>
      </c>
      <c r="B1184" s="91" t="s">
        <v>1329</v>
      </c>
      <c r="C1184" s="91" t="s">
        <v>2474</v>
      </c>
      <c r="D1184" s="91" t="s">
        <v>15</v>
      </c>
      <c r="E1184" s="91"/>
      <c r="F1184">
        <v>16</v>
      </c>
      <c r="G1184" t="s">
        <v>1419</v>
      </c>
      <c r="H1184" s="89">
        <v>46125</v>
      </c>
      <c r="I1184" s="89">
        <v>46127</v>
      </c>
      <c r="J1184" s="91"/>
      <c r="K1184" s="91"/>
      <c r="M1184" s="91"/>
      <c r="N1184" s="91" t="s">
        <v>2470</v>
      </c>
    </row>
    <row r="1185" spans="1:14" x14ac:dyDescent="0.25">
      <c r="A1185" s="91" t="s">
        <v>1316</v>
      </c>
      <c r="B1185" s="91" t="s">
        <v>1330</v>
      </c>
      <c r="C1185" s="91" t="s">
        <v>2478</v>
      </c>
      <c r="D1185" s="91" t="s">
        <v>15</v>
      </c>
      <c r="E1185" s="91"/>
      <c r="F1185">
        <v>56</v>
      </c>
      <c r="G1185" t="s">
        <v>1419</v>
      </c>
      <c r="H1185" s="89">
        <v>46125</v>
      </c>
      <c r="I1185" s="89">
        <v>46127</v>
      </c>
      <c r="J1185" s="91"/>
      <c r="K1185" s="91"/>
      <c r="M1185" s="91"/>
      <c r="N1185" s="91" t="s">
        <v>2470</v>
      </c>
    </row>
    <row r="1186" spans="1:14" x14ac:dyDescent="0.25">
      <c r="A1186" s="91" t="s">
        <v>1317</v>
      </c>
      <c r="B1186" s="91" t="s">
        <v>1331</v>
      </c>
      <c r="C1186" s="91" t="s">
        <v>2479</v>
      </c>
      <c r="D1186" s="91" t="s">
        <v>15</v>
      </c>
      <c r="E1186" s="91"/>
      <c r="F1186">
        <v>22</v>
      </c>
      <c r="G1186" t="s">
        <v>1419</v>
      </c>
      <c r="H1186" s="89">
        <v>46125</v>
      </c>
      <c r="I1186" s="89">
        <v>46127</v>
      </c>
      <c r="J1186" s="91"/>
      <c r="K1186" s="91"/>
      <c r="M1186" s="91"/>
      <c r="N1186" s="91" t="s">
        <v>2470</v>
      </c>
    </row>
    <row r="1187" spans="1:14" x14ac:dyDescent="0.25">
      <c r="A1187" s="91" t="s">
        <v>1318</v>
      </c>
      <c r="B1187" s="91" t="s">
        <v>1332</v>
      </c>
      <c r="C1187" s="91" t="s">
        <v>2480</v>
      </c>
      <c r="D1187" s="91" t="s">
        <v>15</v>
      </c>
      <c r="E1187" s="91"/>
      <c r="F1187">
        <v>41</v>
      </c>
      <c r="G1187" t="s">
        <v>1419</v>
      </c>
      <c r="H1187" s="89">
        <v>46125</v>
      </c>
      <c r="I1187" s="89">
        <v>46127</v>
      </c>
      <c r="J1187" s="91"/>
      <c r="K1187" s="91"/>
      <c r="M1187" s="91"/>
      <c r="N1187" s="91" t="s">
        <v>2470</v>
      </c>
    </row>
    <row r="1188" spans="1:14" x14ac:dyDescent="0.25">
      <c r="A1188" s="91" t="s">
        <v>1320</v>
      </c>
      <c r="B1188" s="91" t="s">
        <v>1334</v>
      </c>
      <c r="C1188" s="91" t="s">
        <v>2481</v>
      </c>
      <c r="D1188" s="91" t="s">
        <v>118</v>
      </c>
      <c r="E1188" s="91"/>
      <c r="F1188">
        <v>480</v>
      </c>
      <c r="G1188">
        <v>10</v>
      </c>
      <c r="H1188" s="89">
        <v>46125</v>
      </c>
      <c r="I1188" s="89">
        <v>46128</v>
      </c>
      <c r="J1188" s="91" t="s">
        <v>2482</v>
      </c>
      <c r="K1188" s="91"/>
      <c r="M1188" s="91"/>
      <c r="N1188" s="91" t="s">
        <v>2470</v>
      </c>
    </row>
    <row r="1189" spans="1:14" x14ac:dyDescent="0.25">
      <c r="A1189" s="91" t="s">
        <v>1320</v>
      </c>
      <c r="B1189" s="91" t="s">
        <v>1334</v>
      </c>
      <c r="C1189" s="91" t="s">
        <v>2483</v>
      </c>
      <c r="D1189" s="91" t="s">
        <v>152</v>
      </c>
      <c r="E1189" s="91"/>
      <c r="F1189">
        <v>480</v>
      </c>
      <c r="G1189">
        <v>10</v>
      </c>
      <c r="H1189" s="89">
        <v>46125</v>
      </c>
      <c r="I1189" s="89">
        <v>46128</v>
      </c>
      <c r="J1189" s="91" t="s">
        <v>2482</v>
      </c>
      <c r="K1189" s="91"/>
      <c r="M1189" s="91"/>
      <c r="N1189" s="91" t="s">
        <v>2470</v>
      </c>
    </row>
    <row r="1190" spans="1:14" x14ac:dyDescent="0.25">
      <c r="A1190" s="91" t="s">
        <v>1320</v>
      </c>
      <c r="B1190" s="91" t="s">
        <v>1334</v>
      </c>
      <c r="C1190" s="91" t="s">
        <v>2484</v>
      </c>
      <c r="D1190" s="91" t="s">
        <v>21</v>
      </c>
      <c r="E1190" s="91"/>
      <c r="F1190">
        <v>960</v>
      </c>
      <c r="G1190">
        <v>20</v>
      </c>
      <c r="H1190" s="89">
        <v>46125</v>
      </c>
      <c r="I1190" s="89">
        <v>46129</v>
      </c>
      <c r="J1190" s="91" t="s">
        <v>2485</v>
      </c>
      <c r="K1190" s="91"/>
      <c r="M1190" s="91"/>
      <c r="N1190" s="91" t="s">
        <v>2470</v>
      </c>
    </row>
    <row r="1191" spans="1:14" x14ac:dyDescent="0.25">
      <c r="A1191" s="91" t="s">
        <v>1315</v>
      </c>
      <c r="B1191" s="91" t="s">
        <v>1329</v>
      </c>
      <c r="C1191" s="91" t="s">
        <v>2484</v>
      </c>
      <c r="D1191" s="91" t="s">
        <v>21</v>
      </c>
      <c r="E1191" s="91"/>
      <c r="F1191">
        <v>131</v>
      </c>
      <c r="G1191" t="s">
        <v>1419</v>
      </c>
      <c r="H1191" s="89">
        <v>46125</v>
      </c>
      <c r="I1191" s="89">
        <v>46127</v>
      </c>
      <c r="J1191" s="91"/>
      <c r="K1191" s="91"/>
      <c r="M1191" s="91"/>
      <c r="N1191" s="91" t="s">
        <v>2470</v>
      </c>
    </row>
    <row r="1192" spans="1:14" x14ac:dyDescent="0.25">
      <c r="A1192" s="91" t="s">
        <v>1316</v>
      </c>
      <c r="B1192" s="91" t="s">
        <v>1330</v>
      </c>
      <c r="C1192" s="91" t="s">
        <v>2486</v>
      </c>
      <c r="D1192" s="91" t="s">
        <v>21</v>
      </c>
      <c r="E1192" s="91"/>
      <c r="F1192">
        <v>5</v>
      </c>
      <c r="G1192" t="s">
        <v>1419</v>
      </c>
      <c r="H1192" s="89">
        <v>46125</v>
      </c>
      <c r="I1192" s="89">
        <v>46127</v>
      </c>
      <c r="J1192" s="91"/>
      <c r="K1192" s="91"/>
      <c r="M1192" s="91"/>
      <c r="N1192" s="91" t="s">
        <v>2470</v>
      </c>
    </row>
    <row r="1193" spans="1:14" x14ac:dyDescent="0.25">
      <c r="A1193" s="91" t="s">
        <v>1317</v>
      </c>
      <c r="B1193" s="91" t="s">
        <v>1331</v>
      </c>
      <c r="C1193" s="91" t="s">
        <v>2487</v>
      </c>
      <c r="D1193" s="91" t="s">
        <v>21</v>
      </c>
      <c r="E1193" s="91"/>
      <c r="F1193">
        <v>5</v>
      </c>
      <c r="G1193" t="s">
        <v>1419</v>
      </c>
      <c r="H1193" s="89">
        <v>46125</v>
      </c>
      <c r="I1193" s="89">
        <v>46127</v>
      </c>
      <c r="J1193" s="91"/>
      <c r="K1193" s="91"/>
      <c r="M1193" s="91"/>
      <c r="N1193" s="91" t="s">
        <v>2470</v>
      </c>
    </row>
    <row r="1194" spans="1:14" x14ac:dyDescent="0.25">
      <c r="A1194" s="91" t="s">
        <v>1318</v>
      </c>
      <c r="B1194" s="91" t="s">
        <v>1332</v>
      </c>
      <c r="C1194" s="91" t="s">
        <v>2488</v>
      </c>
      <c r="D1194" s="91" t="s">
        <v>21</v>
      </c>
      <c r="E1194" s="91"/>
      <c r="F1194">
        <v>77</v>
      </c>
      <c r="G1194" t="s">
        <v>1419</v>
      </c>
      <c r="H1194" s="89">
        <v>46125</v>
      </c>
      <c r="I1194" s="89">
        <v>46127</v>
      </c>
      <c r="J1194" s="91"/>
      <c r="K1194" s="91"/>
      <c r="M1194" s="91"/>
      <c r="N1194" s="91" t="s">
        <v>2470</v>
      </c>
    </row>
    <row r="1195" spans="1:14" x14ac:dyDescent="0.25">
      <c r="A1195" s="91" t="s">
        <v>1320</v>
      </c>
      <c r="B1195" s="91" t="s">
        <v>1334</v>
      </c>
      <c r="C1195" s="91" t="s">
        <v>2489</v>
      </c>
      <c r="D1195" s="91" t="s">
        <v>13</v>
      </c>
      <c r="E1195" s="91"/>
      <c r="F1195">
        <v>480</v>
      </c>
      <c r="G1195">
        <v>10</v>
      </c>
      <c r="H1195" s="89">
        <v>46126</v>
      </c>
      <c r="I1195" s="89">
        <v>46129</v>
      </c>
      <c r="J1195" s="91" t="s">
        <v>2490</v>
      </c>
      <c r="K1195" s="91"/>
      <c r="M1195" s="91"/>
      <c r="N1195" s="91" t="s">
        <v>2470</v>
      </c>
    </row>
    <row r="1196" spans="1:14" x14ac:dyDescent="0.25">
      <c r="A1196" s="91" t="s">
        <v>1320</v>
      </c>
      <c r="B1196" s="91" t="s">
        <v>1334</v>
      </c>
      <c r="C1196" s="91" t="s">
        <v>2491</v>
      </c>
      <c r="D1196" s="91" t="s">
        <v>118</v>
      </c>
      <c r="E1196" s="91"/>
      <c r="F1196">
        <v>480</v>
      </c>
      <c r="G1196">
        <v>10</v>
      </c>
      <c r="H1196" s="89">
        <v>46126</v>
      </c>
      <c r="I1196" s="89">
        <v>46129</v>
      </c>
      <c r="J1196" s="91" t="s">
        <v>2490</v>
      </c>
      <c r="K1196" s="91"/>
      <c r="M1196" s="91"/>
      <c r="N1196" s="91" t="s">
        <v>2470</v>
      </c>
    </row>
    <row r="1197" spans="1:14" x14ac:dyDescent="0.25">
      <c r="A1197" s="91" t="s">
        <v>1320</v>
      </c>
      <c r="B1197" s="91" t="s">
        <v>1334</v>
      </c>
      <c r="C1197" s="91" t="s">
        <v>2492</v>
      </c>
      <c r="D1197" s="91" t="s">
        <v>99</v>
      </c>
      <c r="E1197" s="91"/>
      <c r="F1197">
        <v>960</v>
      </c>
      <c r="G1197">
        <v>20</v>
      </c>
      <c r="H1197" s="89">
        <v>46126</v>
      </c>
      <c r="I1197" s="89">
        <v>46130</v>
      </c>
      <c r="J1197" s="91" t="s">
        <v>2493</v>
      </c>
      <c r="K1197" s="91"/>
      <c r="M1197" s="91"/>
      <c r="N1197" s="91" t="s">
        <v>2470</v>
      </c>
    </row>
    <row r="1198" spans="1:14" x14ac:dyDescent="0.25">
      <c r="A1198" s="91" t="s">
        <v>1320</v>
      </c>
      <c r="B1198" s="91" t="s">
        <v>1334</v>
      </c>
      <c r="C1198" s="91" t="s">
        <v>2494</v>
      </c>
      <c r="D1198" s="91" t="s">
        <v>15</v>
      </c>
      <c r="E1198" s="91"/>
      <c r="F1198">
        <v>480</v>
      </c>
      <c r="G1198">
        <v>10</v>
      </c>
      <c r="H1198" s="89">
        <v>46126</v>
      </c>
      <c r="I1198" s="89">
        <v>46132</v>
      </c>
      <c r="J1198" s="91" t="s">
        <v>2495</v>
      </c>
      <c r="K1198" s="91"/>
      <c r="M1198" s="91"/>
      <c r="N1198" s="91" t="s">
        <v>2470</v>
      </c>
    </row>
    <row r="1199" spans="1:14" x14ac:dyDescent="0.25">
      <c r="A1199" s="91" t="s">
        <v>1320</v>
      </c>
      <c r="B1199" s="91" t="s">
        <v>1334</v>
      </c>
      <c r="C1199" s="91" t="s">
        <v>2494</v>
      </c>
      <c r="D1199" s="91" t="s">
        <v>15</v>
      </c>
      <c r="E1199" s="91"/>
      <c r="F1199">
        <v>960</v>
      </c>
      <c r="G1199">
        <v>20</v>
      </c>
      <c r="H1199" s="89">
        <v>46126</v>
      </c>
      <c r="I1199" s="89">
        <v>46130</v>
      </c>
      <c r="J1199" s="91" t="s">
        <v>2496</v>
      </c>
      <c r="K1199" s="91"/>
      <c r="M1199" s="91"/>
      <c r="N1199" s="91" t="s">
        <v>2470</v>
      </c>
    </row>
    <row r="1200" spans="1:14" x14ac:dyDescent="0.25">
      <c r="A1200" s="91" t="s">
        <v>1313</v>
      </c>
      <c r="B1200" s="91" t="s">
        <v>1327</v>
      </c>
      <c r="C1200" s="91" t="s">
        <v>2494</v>
      </c>
      <c r="D1200" s="91" t="s">
        <v>15</v>
      </c>
      <c r="E1200" s="91"/>
      <c r="F1200">
        <v>96</v>
      </c>
      <c r="G1200">
        <v>2</v>
      </c>
      <c r="H1200" s="89">
        <v>46126</v>
      </c>
      <c r="I1200" s="89">
        <v>46132</v>
      </c>
      <c r="J1200" s="91"/>
      <c r="K1200" s="91"/>
      <c r="M1200" s="91"/>
      <c r="N1200" s="91" t="s">
        <v>2470</v>
      </c>
    </row>
    <row r="1201" spans="1:14" x14ac:dyDescent="0.25">
      <c r="A1201" s="91" t="s">
        <v>1315</v>
      </c>
      <c r="B1201" s="91" t="s">
        <v>1329</v>
      </c>
      <c r="C1201" s="91" t="s">
        <v>2494</v>
      </c>
      <c r="D1201" s="91" t="s">
        <v>15</v>
      </c>
      <c r="E1201" s="91"/>
      <c r="F1201">
        <v>61</v>
      </c>
      <c r="G1201" t="s">
        <v>1419</v>
      </c>
      <c r="H1201" s="89">
        <v>46126</v>
      </c>
      <c r="I1201" s="89">
        <v>46128</v>
      </c>
      <c r="J1201" s="91"/>
      <c r="K1201" s="91"/>
      <c r="M1201" s="91"/>
      <c r="N1201" s="91" t="s">
        <v>2470</v>
      </c>
    </row>
    <row r="1202" spans="1:14" x14ac:dyDescent="0.25">
      <c r="A1202" s="91" t="s">
        <v>1316</v>
      </c>
      <c r="B1202" s="91" t="s">
        <v>1330</v>
      </c>
      <c r="C1202" s="91" t="s">
        <v>2497</v>
      </c>
      <c r="D1202" s="91" t="s">
        <v>15</v>
      </c>
      <c r="E1202" s="91"/>
      <c r="F1202">
        <v>71</v>
      </c>
      <c r="G1202" t="s">
        <v>1419</v>
      </c>
      <c r="H1202" s="89">
        <v>46126</v>
      </c>
      <c r="I1202" s="89">
        <v>46128</v>
      </c>
      <c r="J1202" s="91"/>
      <c r="K1202" s="91"/>
      <c r="M1202" s="91"/>
      <c r="N1202" s="91" t="s">
        <v>2470</v>
      </c>
    </row>
    <row r="1203" spans="1:14" x14ac:dyDescent="0.25">
      <c r="A1203" s="91" t="s">
        <v>1317</v>
      </c>
      <c r="B1203" s="91" t="s">
        <v>1331</v>
      </c>
      <c r="C1203" s="91" t="s">
        <v>2498</v>
      </c>
      <c r="D1203" s="91" t="s">
        <v>15</v>
      </c>
      <c r="E1203" s="91"/>
      <c r="F1203">
        <v>10</v>
      </c>
      <c r="G1203" t="s">
        <v>1419</v>
      </c>
      <c r="H1203" s="89">
        <v>46126</v>
      </c>
      <c r="I1203" s="89">
        <v>46128</v>
      </c>
      <c r="J1203" s="91"/>
      <c r="K1203" s="91"/>
      <c r="M1203" s="91"/>
      <c r="N1203" s="91" t="s">
        <v>2470</v>
      </c>
    </row>
    <row r="1204" spans="1:14" x14ac:dyDescent="0.25">
      <c r="A1204" s="91" t="s">
        <v>1318</v>
      </c>
      <c r="B1204" s="91" t="s">
        <v>1332</v>
      </c>
      <c r="C1204" s="91" t="s">
        <v>2499</v>
      </c>
      <c r="D1204" s="91" t="s">
        <v>15</v>
      </c>
      <c r="E1204" s="91"/>
      <c r="F1204">
        <v>59</v>
      </c>
      <c r="G1204" t="s">
        <v>1419</v>
      </c>
      <c r="H1204" s="89">
        <v>46126</v>
      </c>
      <c r="I1204" s="89">
        <v>46128</v>
      </c>
      <c r="J1204" s="91"/>
      <c r="K1204" s="91"/>
      <c r="M1204" s="91"/>
      <c r="N1204" s="91" t="s">
        <v>2470</v>
      </c>
    </row>
    <row r="1205" spans="1:14" x14ac:dyDescent="0.25">
      <c r="A1205" s="91" t="s">
        <v>1324</v>
      </c>
      <c r="B1205" s="91" t="s">
        <v>1338</v>
      </c>
      <c r="C1205" s="91" t="s">
        <v>2500</v>
      </c>
      <c r="D1205" s="91" t="s">
        <v>23</v>
      </c>
      <c r="E1205" s="91"/>
      <c r="F1205">
        <v>960</v>
      </c>
      <c r="G1205">
        <v>20</v>
      </c>
      <c r="H1205" s="89">
        <v>46126</v>
      </c>
      <c r="I1205" s="89">
        <v>46133</v>
      </c>
      <c r="J1205" s="91" t="s">
        <v>2501</v>
      </c>
      <c r="K1205" s="91"/>
      <c r="M1205" s="91"/>
      <c r="N1205" s="91" t="s">
        <v>2470</v>
      </c>
    </row>
    <row r="1206" spans="1:14" x14ac:dyDescent="0.25">
      <c r="A1206" s="91" t="s">
        <v>1324</v>
      </c>
      <c r="B1206" s="91" t="s">
        <v>1338</v>
      </c>
      <c r="C1206" s="91" t="s">
        <v>2502</v>
      </c>
      <c r="D1206" s="91" t="s">
        <v>21</v>
      </c>
      <c r="E1206" s="91"/>
      <c r="F1206">
        <v>816</v>
      </c>
      <c r="G1206">
        <v>17</v>
      </c>
      <c r="H1206" s="89">
        <v>46126</v>
      </c>
      <c r="I1206" s="89">
        <v>46133</v>
      </c>
      <c r="J1206" s="91" t="s">
        <v>2501</v>
      </c>
      <c r="K1206" s="91"/>
      <c r="M1206" s="91"/>
      <c r="N1206" s="91" t="s">
        <v>2470</v>
      </c>
    </row>
    <row r="1207" spans="1:14" x14ac:dyDescent="0.25">
      <c r="A1207" s="91" t="s">
        <v>1313</v>
      </c>
      <c r="B1207" s="91" t="s">
        <v>1327</v>
      </c>
      <c r="C1207" s="91" t="s">
        <v>2502</v>
      </c>
      <c r="D1207" s="91" t="s">
        <v>21</v>
      </c>
      <c r="E1207" s="91"/>
      <c r="F1207">
        <v>144</v>
      </c>
      <c r="G1207">
        <v>3</v>
      </c>
      <c r="H1207" s="89">
        <v>46126</v>
      </c>
      <c r="I1207" s="89">
        <v>46132</v>
      </c>
      <c r="J1207" s="91"/>
      <c r="K1207" s="91"/>
      <c r="M1207" s="91"/>
      <c r="N1207" s="91" t="s">
        <v>2470</v>
      </c>
    </row>
    <row r="1208" spans="1:14" x14ac:dyDescent="0.25">
      <c r="A1208" s="91" t="s">
        <v>1315</v>
      </c>
      <c r="B1208" s="91" t="s">
        <v>1329</v>
      </c>
      <c r="C1208" s="91" t="s">
        <v>2502</v>
      </c>
      <c r="D1208" s="91" t="s">
        <v>21</v>
      </c>
      <c r="E1208" s="91"/>
      <c r="F1208">
        <v>90</v>
      </c>
      <c r="G1208" t="s">
        <v>1419</v>
      </c>
      <c r="H1208" s="89">
        <v>46126</v>
      </c>
      <c r="I1208" s="89">
        <v>46128</v>
      </c>
      <c r="J1208" s="91"/>
      <c r="K1208" s="91"/>
      <c r="M1208" s="91"/>
      <c r="N1208" s="91" t="s">
        <v>2470</v>
      </c>
    </row>
    <row r="1209" spans="1:14" x14ac:dyDescent="0.25">
      <c r="A1209" s="91" t="s">
        <v>1316</v>
      </c>
      <c r="B1209" s="91" t="s">
        <v>1330</v>
      </c>
      <c r="C1209" s="91" t="s">
        <v>2503</v>
      </c>
      <c r="D1209" s="91" t="s">
        <v>21</v>
      </c>
      <c r="E1209" s="91"/>
      <c r="F1209">
        <v>12</v>
      </c>
      <c r="G1209" t="s">
        <v>1419</v>
      </c>
      <c r="H1209" s="89">
        <v>46126</v>
      </c>
      <c r="I1209" s="89">
        <v>46128</v>
      </c>
      <c r="J1209" s="91"/>
      <c r="K1209" s="91"/>
      <c r="M1209" s="91"/>
      <c r="N1209" s="91" t="s">
        <v>2470</v>
      </c>
    </row>
    <row r="1210" spans="1:14" x14ac:dyDescent="0.25">
      <c r="A1210" s="91" t="s">
        <v>1317</v>
      </c>
      <c r="B1210" s="91" t="s">
        <v>1331</v>
      </c>
      <c r="C1210" s="91" t="s">
        <v>2504</v>
      </c>
      <c r="D1210" s="91" t="s">
        <v>21</v>
      </c>
      <c r="E1210" s="91"/>
      <c r="F1210">
        <v>4</v>
      </c>
      <c r="G1210" t="s">
        <v>1419</v>
      </c>
      <c r="H1210" s="89">
        <v>46126</v>
      </c>
      <c r="I1210" s="89">
        <v>46128</v>
      </c>
      <c r="J1210" s="91"/>
      <c r="K1210" s="91"/>
      <c r="M1210" s="91"/>
      <c r="N1210" s="91" t="s">
        <v>2470</v>
      </c>
    </row>
    <row r="1211" spans="1:14" x14ac:dyDescent="0.25">
      <c r="A1211" s="91" t="s">
        <v>1318</v>
      </c>
      <c r="B1211" s="91" t="s">
        <v>1332</v>
      </c>
      <c r="C1211" s="91" t="s">
        <v>2505</v>
      </c>
      <c r="D1211" s="91" t="s">
        <v>21</v>
      </c>
      <c r="E1211" s="91"/>
      <c r="F1211">
        <v>24</v>
      </c>
      <c r="G1211" t="s">
        <v>1419</v>
      </c>
      <c r="H1211" s="89">
        <v>46126</v>
      </c>
      <c r="I1211" s="89">
        <v>46128</v>
      </c>
      <c r="J1211" s="91"/>
      <c r="K1211" s="91"/>
      <c r="M1211" s="91"/>
      <c r="N1211" s="91" t="s">
        <v>2470</v>
      </c>
    </row>
    <row r="1212" spans="1:14" x14ac:dyDescent="0.25">
      <c r="A1212" s="91" t="s">
        <v>1321</v>
      </c>
      <c r="B1212" s="91" t="s">
        <v>1335</v>
      </c>
      <c r="C1212" s="91" t="s">
        <v>2506</v>
      </c>
      <c r="D1212" s="91" t="s">
        <v>138</v>
      </c>
      <c r="E1212" s="91"/>
      <c r="F1212">
        <v>144</v>
      </c>
      <c r="G1212">
        <v>3</v>
      </c>
      <c r="H1212" s="89">
        <v>46126</v>
      </c>
      <c r="I1212" s="89">
        <v>46133</v>
      </c>
      <c r="J1212" s="91" t="s">
        <v>2501</v>
      </c>
      <c r="K1212" s="91"/>
      <c r="M1212" s="91"/>
      <c r="N1212" s="91" t="s">
        <v>2470</v>
      </c>
    </row>
    <row r="1213" spans="1:14" x14ac:dyDescent="0.25">
      <c r="A1213" s="91" t="s">
        <v>1313</v>
      </c>
      <c r="B1213" s="91" t="s">
        <v>1327</v>
      </c>
      <c r="C1213" s="91" t="s">
        <v>2507</v>
      </c>
      <c r="D1213" s="91" t="s">
        <v>20</v>
      </c>
      <c r="E1213" s="91"/>
      <c r="F1213">
        <v>1152</v>
      </c>
      <c r="G1213">
        <v>24</v>
      </c>
      <c r="H1213" s="89">
        <v>46126</v>
      </c>
      <c r="I1213" s="89">
        <v>46130</v>
      </c>
      <c r="J1213" s="91" t="s">
        <v>2508</v>
      </c>
      <c r="K1213" s="91"/>
      <c r="M1213" s="91"/>
      <c r="N1213" s="91" t="s">
        <v>2470</v>
      </c>
    </row>
    <row r="1214" spans="1:14" x14ac:dyDescent="0.25">
      <c r="A1214" s="91" t="s">
        <v>1315</v>
      </c>
      <c r="B1214" s="91" t="s">
        <v>1329</v>
      </c>
      <c r="C1214" s="91" t="s">
        <v>2507</v>
      </c>
      <c r="D1214" s="91" t="s">
        <v>20</v>
      </c>
      <c r="E1214" s="91"/>
      <c r="F1214">
        <v>48</v>
      </c>
      <c r="G1214" t="s">
        <v>1419</v>
      </c>
      <c r="H1214" s="89">
        <v>46126</v>
      </c>
      <c r="I1214" s="89">
        <v>46132</v>
      </c>
      <c r="J1214" s="91"/>
      <c r="K1214" s="91"/>
      <c r="M1214" s="91"/>
      <c r="N1214" s="91" t="s">
        <v>2470</v>
      </c>
    </row>
    <row r="1215" spans="1:14" x14ac:dyDescent="0.25">
      <c r="A1215" s="91" t="s">
        <v>1316</v>
      </c>
      <c r="B1215" s="91" t="s">
        <v>1330</v>
      </c>
      <c r="C1215" s="91" t="s">
        <v>2509</v>
      </c>
      <c r="D1215" s="91" t="s">
        <v>20</v>
      </c>
      <c r="E1215" s="91"/>
      <c r="F1215">
        <v>160</v>
      </c>
      <c r="G1215" t="s">
        <v>1419</v>
      </c>
      <c r="H1215" s="89">
        <v>46126</v>
      </c>
      <c r="I1215" s="89">
        <v>46128</v>
      </c>
      <c r="J1215" s="91"/>
      <c r="K1215" s="91"/>
      <c r="M1215" s="91"/>
      <c r="N1215" s="91" t="s">
        <v>2470</v>
      </c>
    </row>
    <row r="1216" spans="1:14" x14ac:dyDescent="0.25">
      <c r="A1216" s="91" t="s">
        <v>1317</v>
      </c>
      <c r="B1216" s="91" t="s">
        <v>1331</v>
      </c>
      <c r="C1216" s="91" t="s">
        <v>2510</v>
      </c>
      <c r="D1216" s="91" t="s">
        <v>20</v>
      </c>
      <c r="E1216" s="91"/>
      <c r="F1216">
        <v>15</v>
      </c>
      <c r="G1216" t="s">
        <v>1419</v>
      </c>
      <c r="H1216" s="89">
        <v>46126</v>
      </c>
      <c r="I1216" s="89">
        <v>46128</v>
      </c>
      <c r="J1216" s="91"/>
      <c r="K1216" s="91"/>
      <c r="M1216" s="91"/>
      <c r="N1216" s="91" t="s">
        <v>2470</v>
      </c>
    </row>
    <row r="1217" spans="1:14" x14ac:dyDescent="0.25">
      <c r="A1217" s="91" t="s">
        <v>1318</v>
      </c>
      <c r="B1217" s="91" t="s">
        <v>1332</v>
      </c>
      <c r="C1217" s="91" t="s">
        <v>2511</v>
      </c>
      <c r="D1217" s="91" t="s">
        <v>20</v>
      </c>
      <c r="E1217" s="91"/>
      <c r="F1217">
        <v>69</v>
      </c>
      <c r="G1217" t="s">
        <v>1419</v>
      </c>
      <c r="H1217" s="89">
        <v>46126</v>
      </c>
      <c r="I1217" s="89">
        <v>46128</v>
      </c>
      <c r="J1217" s="91"/>
      <c r="K1217" s="91"/>
      <c r="M1217" s="91"/>
      <c r="N1217" s="91" t="s">
        <v>2470</v>
      </c>
    </row>
    <row r="1218" spans="1:14" x14ac:dyDescent="0.25">
      <c r="A1218" s="91" t="s">
        <v>1325</v>
      </c>
      <c r="B1218" s="91" t="s">
        <v>1339</v>
      </c>
      <c r="C1218" s="91" t="s">
        <v>2506</v>
      </c>
      <c r="D1218" s="91" t="s">
        <v>138</v>
      </c>
      <c r="E1218" s="91"/>
      <c r="F1218">
        <v>240</v>
      </c>
      <c r="G1218">
        <v>5</v>
      </c>
      <c r="H1218" s="89">
        <v>46126</v>
      </c>
      <c r="I1218" s="89">
        <v>46128</v>
      </c>
      <c r="J1218" s="91"/>
      <c r="K1218" s="91"/>
      <c r="M1218" s="91"/>
      <c r="N1218" s="91" t="s">
        <v>2470</v>
      </c>
    </row>
    <row r="1219" spans="1:14" x14ac:dyDescent="0.25">
      <c r="A1219" s="91" t="s">
        <v>1323</v>
      </c>
      <c r="B1219" s="91" t="s">
        <v>1337</v>
      </c>
      <c r="C1219" s="91" t="s">
        <v>2512</v>
      </c>
      <c r="D1219" s="91" t="s">
        <v>20</v>
      </c>
      <c r="E1219" s="91"/>
      <c r="F1219">
        <v>918</v>
      </c>
      <c r="G1219">
        <v>17</v>
      </c>
      <c r="H1219" s="89">
        <v>46127</v>
      </c>
      <c r="I1219" s="89">
        <v>46130</v>
      </c>
      <c r="J1219" s="91" t="s">
        <v>2513</v>
      </c>
      <c r="K1219" s="91"/>
      <c r="M1219" s="91"/>
      <c r="N1219" s="91" t="s">
        <v>2470</v>
      </c>
    </row>
    <row r="1220" spans="1:14" x14ac:dyDescent="0.25">
      <c r="A1220" s="91" t="s">
        <v>1322</v>
      </c>
      <c r="B1220" s="91" t="s">
        <v>1336</v>
      </c>
      <c r="C1220" s="91" t="s">
        <v>2512</v>
      </c>
      <c r="D1220" s="91" t="s">
        <v>20</v>
      </c>
      <c r="E1220" s="91"/>
      <c r="F1220">
        <v>162</v>
      </c>
      <c r="G1220">
        <v>3</v>
      </c>
      <c r="H1220" s="89">
        <v>46127</v>
      </c>
      <c r="I1220" s="89">
        <v>46130</v>
      </c>
      <c r="J1220" s="91" t="s">
        <v>2513</v>
      </c>
      <c r="K1220" s="91"/>
      <c r="M1220" s="91"/>
      <c r="N1220" s="91" t="s">
        <v>2470</v>
      </c>
    </row>
    <row r="1221" spans="1:14" x14ac:dyDescent="0.25">
      <c r="A1221" s="91" t="s">
        <v>1315</v>
      </c>
      <c r="B1221" s="91" t="s">
        <v>1329</v>
      </c>
      <c r="C1221" s="91" t="s">
        <v>2512</v>
      </c>
      <c r="D1221" s="91" t="s">
        <v>20</v>
      </c>
      <c r="E1221" s="91"/>
      <c r="F1221">
        <v>161</v>
      </c>
      <c r="G1221" t="s">
        <v>1419</v>
      </c>
      <c r="H1221" s="89">
        <v>46127</v>
      </c>
      <c r="I1221" s="89">
        <v>46127</v>
      </c>
      <c r="J1221" s="91"/>
      <c r="K1221" s="91"/>
      <c r="M1221" s="91"/>
      <c r="N1221" s="91" t="s">
        <v>2470</v>
      </c>
    </row>
    <row r="1222" spans="1:14" x14ac:dyDescent="0.25">
      <c r="A1222" s="91" t="s">
        <v>1316</v>
      </c>
      <c r="B1222" s="91" t="s">
        <v>1330</v>
      </c>
      <c r="C1222" s="91" t="s">
        <v>2514</v>
      </c>
      <c r="D1222" s="91" t="s">
        <v>20</v>
      </c>
      <c r="E1222" s="91"/>
      <c r="F1222">
        <v>183</v>
      </c>
      <c r="G1222" t="s">
        <v>1419</v>
      </c>
      <c r="H1222" s="89">
        <v>46127</v>
      </c>
      <c r="I1222" s="89">
        <v>46129</v>
      </c>
      <c r="J1222" s="91"/>
      <c r="K1222" s="91"/>
      <c r="M1222" s="91"/>
      <c r="N1222" s="91" t="s">
        <v>2470</v>
      </c>
    </row>
    <row r="1223" spans="1:14" x14ac:dyDescent="0.25">
      <c r="A1223" s="91" t="s">
        <v>1317</v>
      </c>
      <c r="B1223" s="91" t="s">
        <v>1331</v>
      </c>
      <c r="C1223" s="91" t="s">
        <v>2515</v>
      </c>
      <c r="D1223" s="91" t="s">
        <v>20</v>
      </c>
      <c r="E1223" s="91"/>
      <c r="F1223">
        <v>6</v>
      </c>
      <c r="G1223" t="s">
        <v>1419</v>
      </c>
      <c r="H1223" s="89">
        <v>46127</v>
      </c>
      <c r="I1223" s="89">
        <v>46129</v>
      </c>
      <c r="J1223" s="91"/>
      <c r="K1223" s="91"/>
      <c r="M1223" s="91"/>
      <c r="N1223" s="91" t="s">
        <v>2470</v>
      </c>
    </row>
    <row r="1224" spans="1:14" x14ac:dyDescent="0.25">
      <c r="A1224" s="91" t="s">
        <v>1318</v>
      </c>
      <c r="B1224" s="91" t="s">
        <v>1332</v>
      </c>
      <c r="C1224" s="91" t="s">
        <v>2516</v>
      </c>
      <c r="D1224" s="91" t="s">
        <v>20</v>
      </c>
      <c r="E1224" s="91"/>
      <c r="F1224">
        <v>54</v>
      </c>
      <c r="G1224" t="s">
        <v>1419</v>
      </c>
      <c r="H1224" s="89">
        <v>46127</v>
      </c>
      <c r="I1224" s="89">
        <v>46129</v>
      </c>
      <c r="J1224" s="91"/>
      <c r="K1224" s="91"/>
      <c r="M1224" s="91"/>
      <c r="N1224" s="91" t="s">
        <v>2470</v>
      </c>
    </row>
    <row r="1225" spans="1:14" x14ac:dyDescent="0.25">
      <c r="A1225" s="91" t="s">
        <v>1313</v>
      </c>
      <c r="B1225" s="91" t="s">
        <v>1327</v>
      </c>
      <c r="C1225" s="91" t="s">
        <v>2517</v>
      </c>
      <c r="D1225" s="91" t="s">
        <v>15</v>
      </c>
      <c r="E1225" s="91"/>
      <c r="F1225">
        <v>1104</v>
      </c>
      <c r="G1225">
        <v>23</v>
      </c>
      <c r="H1225" s="89">
        <v>46127</v>
      </c>
      <c r="I1225" s="89">
        <v>46132</v>
      </c>
      <c r="J1225" s="91" t="s">
        <v>2518</v>
      </c>
      <c r="K1225" s="91"/>
      <c r="M1225" s="91"/>
      <c r="N1225" s="91" t="s">
        <v>2470</v>
      </c>
    </row>
    <row r="1226" spans="1:14" x14ac:dyDescent="0.25">
      <c r="A1226" s="91" t="s">
        <v>1320</v>
      </c>
      <c r="B1226" s="91" t="s">
        <v>1334</v>
      </c>
      <c r="C1226" s="91" t="s">
        <v>2517</v>
      </c>
      <c r="D1226" s="91" t="s">
        <v>15</v>
      </c>
      <c r="E1226" s="91"/>
      <c r="F1226">
        <v>480</v>
      </c>
      <c r="G1226">
        <v>10</v>
      </c>
      <c r="H1226" s="89">
        <v>46127</v>
      </c>
      <c r="I1226" s="89">
        <v>46132</v>
      </c>
      <c r="J1226" s="91" t="s">
        <v>2495</v>
      </c>
      <c r="K1226" s="91"/>
      <c r="M1226" s="91"/>
      <c r="N1226" s="91" t="s">
        <v>2470</v>
      </c>
    </row>
    <row r="1227" spans="1:14" x14ac:dyDescent="0.25">
      <c r="A1227" s="91" t="s">
        <v>1315</v>
      </c>
      <c r="B1227" s="91" t="s">
        <v>1329</v>
      </c>
      <c r="C1227" s="91" t="s">
        <v>2517</v>
      </c>
      <c r="D1227" s="91" t="s">
        <v>15</v>
      </c>
      <c r="E1227" s="91"/>
      <c r="F1227">
        <v>20</v>
      </c>
      <c r="G1227" t="s">
        <v>1419</v>
      </c>
      <c r="H1227" s="89">
        <v>46127</v>
      </c>
      <c r="I1227" s="89">
        <v>46129</v>
      </c>
      <c r="J1227" s="91"/>
      <c r="K1227" s="91"/>
      <c r="M1227" s="91"/>
      <c r="N1227" s="91" t="s">
        <v>2470</v>
      </c>
    </row>
    <row r="1228" spans="1:14" x14ac:dyDescent="0.25">
      <c r="A1228" s="91" t="s">
        <v>1316</v>
      </c>
      <c r="B1228" s="91" t="s">
        <v>1330</v>
      </c>
      <c r="C1228" s="91" t="s">
        <v>2519</v>
      </c>
      <c r="D1228" s="91" t="s">
        <v>15</v>
      </c>
      <c r="E1228" s="91"/>
      <c r="F1228">
        <v>69</v>
      </c>
      <c r="G1228" t="s">
        <v>1419</v>
      </c>
      <c r="H1228" s="89">
        <v>46127</v>
      </c>
      <c r="I1228" s="89">
        <v>46129</v>
      </c>
      <c r="J1228" s="91"/>
      <c r="K1228" s="91"/>
      <c r="M1228" s="91"/>
      <c r="N1228" s="91" t="s">
        <v>2470</v>
      </c>
    </row>
    <row r="1229" spans="1:14" x14ac:dyDescent="0.25">
      <c r="A1229" s="91" t="s">
        <v>1317</v>
      </c>
      <c r="B1229" s="91" t="s">
        <v>1331</v>
      </c>
      <c r="C1229" s="91" t="s">
        <v>2520</v>
      </c>
      <c r="D1229" s="91" t="s">
        <v>15</v>
      </c>
      <c r="E1229" s="91"/>
      <c r="F1229">
        <v>25</v>
      </c>
      <c r="G1229" t="s">
        <v>1419</v>
      </c>
      <c r="H1229" s="89">
        <v>46127</v>
      </c>
      <c r="I1229" s="89">
        <v>46129</v>
      </c>
      <c r="J1229" s="91"/>
      <c r="K1229" s="91"/>
      <c r="M1229" s="91"/>
      <c r="N1229" s="91" t="s">
        <v>2470</v>
      </c>
    </row>
    <row r="1230" spans="1:14" x14ac:dyDescent="0.25">
      <c r="A1230" s="91" t="s">
        <v>1318</v>
      </c>
      <c r="B1230" s="91" t="s">
        <v>1332</v>
      </c>
      <c r="C1230" s="91" t="s">
        <v>2521</v>
      </c>
      <c r="D1230" s="91" t="s">
        <v>15</v>
      </c>
      <c r="E1230" s="91"/>
      <c r="F1230">
        <v>55</v>
      </c>
      <c r="G1230" t="s">
        <v>1419</v>
      </c>
      <c r="H1230" s="89">
        <v>46127</v>
      </c>
      <c r="I1230" s="89">
        <v>46129</v>
      </c>
      <c r="J1230" s="91"/>
      <c r="K1230" s="91"/>
      <c r="M1230" s="91"/>
      <c r="N1230" s="91" t="s">
        <v>2470</v>
      </c>
    </row>
    <row r="1231" spans="1:14" x14ac:dyDescent="0.25">
      <c r="A1231" s="91" t="s">
        <v>1313</v>
      </c>
      <c r="B1231" s="91" t="s">
        <v>1327</v>
      </c>
      <c r="C1231" s="91" t="s">
        <v>2522</v>
      </c>
      <c r="D1231" s="91" t="s">
        <v>21</v>
      </c>
      <c r="E1231" s="91"/>
      <c r="F1231">
        <v>864</v>
      </c>
      <c r="G1231">
        <v>18</v>
      </c>
      <c r="H1231" s="89">
        <v>46127</v>
      </c>
      <c r="I1231" s="89">
        <v>46131</v>
      </c>
      <c r="J1231" s="91" t="s">
        <v>2523</v>
      </c>
      <c r="K1231" s="91"/>
      <c r="M1231" s="91"/>
      <c r="N1231" s="91" t="s">
        <v>2470</v>
      </c>
    </row>
    <row r="1232" spans="1:14" x14ac:dyDescent="0.25">
      <c r="A1232" s="91" t="s">
        <v>1314</v>
      </c>
      <c r="B1232" s="91" t="s">
        <v>1328</v>
      </c>
      <c r="C1232" s="91" t="s">
        <v>2522</v>
      </c>
      <c r="D1232" s="91" t="s">
        <v>21</v>
      </c>
      <c r="E1232" s="91"/>
      <c r="F1232">
        <v>288</v>
      </c>
      <c r="G1232">
        <v>6</v>
      </c>
      <c r="H1232" s="89">
        <v>46127</v>
      </c>
      <c r="I1232" s="89">
        <v>46131</v>
      </c>
      <c r="J1232" s="91" t="s">
        <v>2524</v>
      </c>
      <c r="K1232" s="91"/>
      <c r="M1232" s="91"/>
      <c r="N1232" s="91" t="s">
        <v>2470</v>
      </c>
    </row>
    <row r="1233" spans="1:14" x14ac:dyDescent="0.25">
      <c r="A1233" s="91" t="s">
        <v>1315</v>
      </c>
      <c r="B1233" s="91" t="s">
        <v>1329</v>
      </c>
      <c r="C1233" s="91" t="s">
        <v>2522</v>
      </c>
      <c r="D1233" s="91" t="s">
        <v>21</v>
      </c>
      <c r="E1233" s="91"/>
      <c r="F1233">
        <v>71</v>
      </c>
      <c r="G1233" t="s">
        <v>1419</v>
      </c>
      <c r="H1233" s="89">
        <v>46127</v>
      </c>
      <c r="I1233" s="89">
        <v>46129</v>
      </c>
      <c r="J1233" s="91"/>
      <c r="K1233" s="91"/>
      <c r="M1233" s="91"/>
      <c r="N1233" s="91" t="s">
        <v>2470</v>
      </c>
    </row>
    <row r="1234" spans="1:14" x14ac:dyDescent="0.25">
      <c r="A1234" s="91" t="s">
        <v>1316</v>
      </c>
      <c r="B1234" s="91" t="s">
        <v>1330</v>
      </c>
      <c r="C1234" s="91" t="s">
        <v>2525</v>
      </c>
      <c r="D1234" s="91" t="s">
        <v>21</v>
      </c>
      <c r="E1234" s="91"/>
      <c r="F1234">
        <v>60</v>
      </c>
      <c r="G1234" t="s">
        <v>1419</v>
      </c>
      <c r="H1234" s="89">
        <v>46127</v>
      </c>
      <c r="I1234" s="89">
        <v>46129</v>
      </c>
      <c r="J1234" s="91"/>
      <c r="K1234" s="91"/>
      <c r="M1234" s="91"/>
      <c r="N1234" s="91" t="s">
        <v>2470</v>
      </c>
    </row>
    <row r="1235" spans="1:14" x14ac:dyDescent="0.25">
      <c r="A1235" s="91" t="s">
        <v>1317</v>
      </c>
      <c r="B1235" s="91" t="s">
        <v>1331</v>
      </c>
      <c r="C1235" s="91" t="s">
        <v>2526</v>
      </c>
      <c r="D1235" s="91" t="s">
        <v>21</v>
      </c>
      <c r="E1235" s="91"/>
      <c r="F1235">
        <v>5</v>
      </c>
      <c r="G1235" t="s">
        <v>1419</v>
      </c>
      <c r="H1235" s="89">
        <v>46127</v>
      </c>
      <c r="I1235" s="89">
        <v>46129</v>
      </c>
      <c r="J1235" s="91"/>
      <c r="K1235" s="91"/>
      <c r="M1235" s="91"/>
      <c r="N1235" s="91" t="s">
        <v>2470</v>
      </c>
    </row>
    <row r="1236" spans="1:14" x14ac:dyDescent="0.25">
      <c r="A1236" s="91" t="s">
        <v>1318</v>
      </c>
      <c r="B1236" s="91" t="s">
        <v>1332</v>
      </c>
      <c r="C1236" s="91" t="s">
        <v>2527</v>
      </c>
      <c r="D1236" s="91" t="s">
        <v>21</v>
      </c>
      <c r="E1236" s="91"/>
      <c r="F1236">
        <v>61</v>
      </c>
      <c r="G1236" t="s">
        <v>1419</v>
      </c>
      <c r="H1236" s="89">
        <v>46127</v>
      </c>
      <c r="I1236" s="89">
        <v>46129</v>
      </c>
      <c r="J1236" s="91"/>
      <c r="K1236" s="91"/>
      <c r="M1236" s="91"/>
      <c r="N1236" s="91" t="s">
        <v>2470</v>
      </c>
    </row>
    <row r="1237" spans="1:14" x14ac:dyDescent="0.25">
      <c r="A1237" s="91" t="s">
        <v>1320</v>
      </c>
      <c r="B1237" s="91" t="s">
        <v>1334</v>
      </c>
      <c r="C1237" s="91" t="s">
        <v>2528</v>
      </c>
      <c r="D1237" s="91" t="s">
        <v>23</v>
      </c>
      <c r="E1237" s="91"/>
      <c r="F1237">
        <v>960</v>
      </c>
      <c r="G1237">
        <v>20</v>
      </c>
      <c r="H1237" s="89">
        <v>46127</v>
      </c>
      <c r="I1237" s="89">
        <v>46133</v>
      </c>
      <c r="J1237" s="91" t="s">
        <v>2529</v>
      </c>
      <c r="K1237" s="91"/>
      <c r="M1237" s="91"/>
      <c r="N1237" s="91" t="s">
        <v>2470</v>
      </c>
    </row>
    <row r="1238" spans="1:14" x14ac:dyDescent="0.25">
      <c r="A1238" s="91" t="s">
        <v>1320</v>
      </c>
      <c r="B1238" s="91" t="s">
        <v>1334</v>
      </c>
      <c r="C1238" s="91" t="s">
        <v>2530</v>
      </c>
      <c r="D1238" s="91" t="s">
        <v>144</v>
      </c>
      <c r="E1238" s="91"/>
      <c r="F1238">
        <v>960</v>
      </c>
      <c r="G1238">
        <v>20</v>
      </c>
      <c r="H1238" s="89">
        <v>46127</v>
      </c>
      <c r="I1238" s="89">
        <v>46132</v>
      </c>
      <c r="J1238" s="91" t="s">
        <v>2531</v>
      </c>
      <c r="K1238" s="91"/>
      <c r="M1238" s="91"/>
      <c r="N1238" s="91" t="s">
        <v>2470</v>
      </c>
    </row>
    <row r="1239" spans="1:14" x14ac:dyDescent="0.25">
      <c r="A1239" s="91" t="s">
        <v>1324</v>
      </c>
      <c r="B1239" s="91" t="s">
        <v>1338</v>
      </c>
      <c r="C1239" s="91" t="s">
        <v>2532</v>
      </c>
      <c r="D1239" s="91" t="s">
        <v>23</v>
      </c>
      <c r="E1239" s="91"/>
      <c r="F1239">
        <v>960</v>
      </c>
      <c r="G1239">
        <v>20</v>
      </c>
      <c r="H1239" s="89">
        <v>46128</v>
      </c>
      <c r="I1239" s="89">
        <v>46134</v>
      </c>
      <c r="J1239" s="91" t="s">
        <v>2533</v>
      </c>
      <c r="K1239" s="91"/>
      <c r="M1239" s="91"/>
      <c r="N1239" s="91" t="s">
        <v>2470</v>
      </c>
    </row>
    <row r="1240" spans="1:14" x14ac:dyDescent="0.25">
      <c r="A1240" s="91" t="s">
        <v>1324</v>
      </c>
      <c r="B1240" s="91" t="s">
        <v>1338</v>
      </c>
      <c r="C1240" s="91" t="s">
        <v>2534</v>
      </c>
      <c r="D1240" s="91" t="s">
        <v>144</v>
      </c>
      <c r="E1240" s="91"/>
      <c r="F1240">
        <v>960</v>
      </c>
      <c r="G1240">
        <v>20</v>
      </c>
      <c r="H1240" s="89">
        <v>46128</v>
      </c>
      <c r="I1240" s="89">
        <v>46134</v>
      </c>
      <c r="J1240" s="91" t="s">
        <v>2533</v>
      </c>
      <c r="K1240" s="91"/>
      <c r="M1240" s="91"/>
      <c r="N1240" s="91" t="s">
        <v>2470</v>
      </c>
    </row>
    <row r="1241" spans="1:14" x14ac:dyDescent="0.25">
      <c r="A1241" s="91" t="s">
        <v>1313</v>
      </c>
      <c r="B1241" s="91" t="s">
        <v>1327</v>
      </c>
      <c r="C1241" s="91" t="s">
        <v>2535</v>
      </c>
      <c r="D1241" s="91" t="s">
        <v>20</v>
      </c>
      <c r="E1241" s="91"/>
      <c r="F1241">
        <v>1104</v>
      </c>
      <c r="G1241">
        <v>23</v>
      </c>
      <c r="H1241" s="89">
        <v>46128</v>
      </c>
      <c r="I1241" s="89">
        <v>46132</v>
      </c>
      <c r="J1241" s="91" t="s">
        <v>2536</v>
      </c>
      <c r="K1241" s="91"/>
      <c r="M1241" s="91"/>
      <c r="N1241" s="91" t="s">
        <v>2470</v>
      </c>
    </row>
    <row r="1242" spans="1:14" x14ac:dyDescent="0.25">
      <c r="A1242" s="91" t="s">
        <v>1319</v>
      </c>
      <c r="B1242" s="91" t="s">
        <v>1333</v>
      </c>
      <c r="C1242" s="91" t="s">
        <v>2535</v>
      </c>
      <c r="D1242" s="91" t="s">
        <v>20</v>
      </c>
      <c r="E1242" s="91"/>
      <c r="F1242">
        <v>48</v>
      </c>
      <c r="G1242">
        <v>1</v>
      </c>
      <c r="H1242" s="89">
        <v>46128</v>
      </c>
      <c r="I1242" s="89">
        <v>46132</v>
      </c>
      <c r="J1242" s="91" t="s">
        <v>2536</v>
      </c>
      <c r="K1242" s="91"/>
      <c r="M1242" s="91"/>
      <c r="N1242" s="91" t="s">
        <v>2470</v>
      </c>
    </row>
    <row r="1243" spans="1:14" x14ac:dyDescent="0.25">
      <c r="A1243" s="91" t="s">
        <v>1313</v>
      </c>
      <c r="B1243" s="91" t="s">
        <v>1327</v>
      </c>
      <c r="C1243" s="91" t="s">
        <v>2535</v>
      </c>
      <c r="D1243" s="91" t="s">
        <v>20</v>
      </c>
      <c r="E1243" s="91"/>
      <c r="F1243">
        <v>144</v>
      </c>
      <c r="G1243">
        <v>3</v>
      </c>
      <c r="H1243" s="89">
        <v>46128</v>
      </c>
      <c r="I1243" s="89">
        <v>46132</v>
      </c>
      <c r="J1243" s="91"/>
      <c r="K1243" s="91"/>
      <c r="M1243" s="91"/>
      <c r="N1243" s="91" t="s">
        <v>2470</v>
      </c>
    </row>
    <row r="1244" spans="1:14" x14ac:dyDescent="0.25">
      <c r="A1244" s="91" t="s">
        <v>1315</v>
      </c>
      <c r="B1244" s="91" t="s">
        <v>1329</v>
      </c>
      <c r="C1244" s="91" t="s">
        <v>2535</v>
      </c>
      <c r="D1244" s="91" t="s">
        <v>20</v>
      </c>
      <c r="E1244" s="91"/>
      <c r="F1244">
        <v>86</v>
      </c>
      <c r="G1244" t="s">
        <v>1419</v>
      </c>
      <c r="H1244" s="89">
        <v>46128</v>
      </c>
      <c r="I1244" s="89">
        <v>46130</v>
      </c>
      <c r="J1244" s="91"/>
      <c r="K1244" s="91"/>
      <c r="M1244" s="91"/>
      <c r="N1244" s="91" t="s">
        <v>2470</v>
      </c>
    </row>
    <row r="1245" spans="1:14" x14ac:dyDescent="0.25">
      <c r="A1245" s="91" t="s">
        <v>1316</v>
      </c>
      <c r="B1245" s="91" t="s">
        <v>1330</v>
      </c>
      <c r="C1245" s="91" t="s">
        <v>2537</v>
      </c>
      <c r="D1245" s="91" t="s">
        <v>20</v>
      </c>
      <c r="E1245" s="91"/>
      <c r="F1245">
        <v>224</v>
      </c>
      <c r="G1245" t="s">
        <v>1419</v>
      </c>
      <c r="H1245" s="89">
        <v>46128</v>
      </c>
      <c r="I1245" s="89">
        <v>46130</v>
      </c>
      <c r="J1245" s="91"/>
      <c r="K1245" s="91"/>
      <c r="M1245" s="91"/>
      <c r="N1245" s="91" t="s">
        <v>2470</v>
      </c>
    </row>
    <row r="1246" spans="1:14" x14ac:dyDescent="0.25">
      <c r="A1246" s="91" t="s">
        <v>1317</v>
      </c>
      <c r="B1246" s="91" t="s">
        <v>1331</v>
      </c>
      <c r="C1246" s="91" t="s">
        <v>2538</v>
      </c>
      <c r="D1246" s="91" t="s">
        <v>20</v>
      </c>
      <c r="E1246" s="91"/>
      <c r="F1246">
        <v>5</v>
      </c>
      <c r="G1246" t="s">
        <v>1419</v>
      </c>
      <c r="H1246" s="89">
        <v>46128</v>
      </c>
      <c r="I1246" s="89">
        <v>46130</v>
      </c>
      <c r="J1246" s="91"/>
      <c r="K1246" s="91"/>
      <c r="M1246" s="91"/>
      <c r="N1246" s="91" t="s">
        <v>2470</v>
      </c>
    </row>
    <row r="1247" spans="1:14" x14ac:dyDescent="0.25">
      <c r="A1247" s="91" t="s">
        <v>1318</v>
      </c>
      <c r="B1247" s="91" t="s">
        <v>1332</v>
      </c>
      <c r="C1247" s="91" t="s">
        <v>2539</v>
      </c>
      <c r="D1247" s="91" t="s">
        <v>20</v>
      </c>
      <c r="E1247" s="91"/>
      <c r="F1247">
        <v>82</v>
      </c>
      <c r="G1247" t="s">
        <v>1419</v>
      </c>
      <c r="H1247" s="89">
        <v>46128</v>
      </c>
      <c r="I1247" s="89">
        <v>46130</v>
      </c>
      <c r="J1247" s="91"/>
      <c r="K1247" s="91"/>
      <c r="M1247" s="91"/>
      <c r="N1247" s="91" t="s">
        <v>2470</v>
      </c>
    </row>
    <row r="1248" spans="1:14" x14ac:dyDescent="0.25">
      <c r="A1248" s="91" t="s">
        <v>1313</v>
      </c>
      <c r="B1248" s="91" t="s">
        <v>1327</v>
      </c>
      <c r="C1248" s="91" t="s">
        <v>2540</v>
      </c>
      <c r="D1248" s="91" t="s">
        <v>15</v>
      </c>
      <c r="E1248" s="91"/>
      <c r="F1248">
        <v>48</v>
      </c>
      <c r="G1248">
        <v>1</v>
      </c>
      <c r="H1248" s="89">
        <v>46128</v>
      </c>
      <c r="I1248" s="89">
        <v>46132</v>
      </c>
      <c r="J1248" s="91" t="s">
        <v>2518</v>
      </c>
      <c r="K1248" s="91"/>
      <c r="M1248" s="91"/>
      <c r="N1248" s="91" t="s">
        <v>2470</v>
      </c>
    </row>
    <row r="1249" spans="1:14" x14ac:dyDescent="0.25">
      <c r="A1249" s="91" t="s">
        <v>1313</v>
      </c>
      <c r="B1249" s="91" t="s">
        <v>1327</v>
      </c>
      <c r="C1249" s="91" t="s">
        <v>2540</v>
      </c>
      <c r="D1249" s="91" t="s">
        <v>15</v>
      </c>
      <c r="E1249" s="91"/>
      <c r="F1249">
        <v>1152</v>
      </c>
      <c r="G1249">
        <v>24</v>
      </c>
      <c r="H1249" s="89">
        <v>46128</v>
      </c>
      <c r="I1249" s="89">
        <v>46133</v>
      </c>
      <c r="J1249" s="91" t="s">
        <v>2541</v>
      </c>
      <c r="K1249" s="91"/>
      <c r="M1249" s="91"/>
      <c r="N1249" s="91" t="s">
        <v>2470</v>
      </c>
    </row>
    <row r="1250" spans="1:14" x14ac:dyDescent="0.25">
      <c r="A1250" s="91" t="s">
        <v>1314</v>
      </c>
      <c r="B1250" s="91" t="s">
        <v>1328</v>
      </c>
      <c r="C1250" s="91" t="s">
        <v>2540</v>
      </c>
      <c r="D1250" s="91" t="s">
        <v>15</v>
      </c>
      <c r="E1250" s="91"/>
      <c r="F1250">
        <v>336</v>
      </c>
      <c r="G1250">
        <v>7</v>
      </c>
      <c r="H1250" s="89">
        <v>46128</v>
      </c>
      <c r="I1250" s="89">
        <v>46133</v>
      </c>
      <c r="J1250" s="91" t="s">
        <v>2542</v>
      </c>
      <c r="K1250" s="91"/>
      <c r="M1250" s="91"/>
      <c r="N1250" s="91" t="s">
        <v>2470</v>
      </c>
    </row>
    <row r="1251" spans="1:14" x14ac:dyDescent="0.25">
      <c r="A1251" s="91" t="s">
        <v>1313</v>
      </c>
      <c r="B1251" s="91" t="s">
        <v>1327</v>
      </c>
      <c r="C1251" s="91" t="s">
        <v>2540</v>
      </c>
      <c r="D1251" s="91" t="s">
        <v>15</v>
      </c>
      <c r="E1251" s="91"/>
      <c r="F1251">
        <v>48</v>
      </c>
      <c r="G1251">
        <v>1</v>
      </c>
      <c r="H1251" s="89">
        <v>46128</v>
      </c>
      <c r="I1251" s="89">
        <v>46133</v>
      </c>
      <c r="J1251" s="91" t="s">
        <v>2543</v>
      </c>
      <c r="K1251" s="91"/>
      <c r="M1251" s="91"/>
      <c r="N1251" s="91" t="s">
        <v>2470</v>
      </c>
    </row>
    <row r="1252" spans="1:14" x14ac:dyDescent="0.25">
      <c r="A1252" s="91" t="s">
        <v>1315</v>
      </c>
      <c r="B1252" s="91" t="s">
        <v>1329</v>
      </c>
      <c r="C1252" s="91" t="s">
        <v>2540</v>
      </c>
      <c r="D1252" s="91" t="s">
        <v>15</v>
      </c>
      <c r="E1252" s="91"/>
      <c r="F1252">
        <v>24</v>
      </c>
      <c r="G1252" t="s">
        <v>1419</v>
      </c>
      <c r="H1252" s="89">
        <v>46128</v>
      </c>
      <c r="I1252" s="89">
        <v>46130</v>
      </c>
      <c r="J1252" s="91"/>
      <c r="K1252" s="91"/>
      <c r="M1252" s="91"/>
      <c r="N1252" s="91" t="s">
        <v>2470</v>
      </c>
    </row>
    <row r="1253" spans="1:14" x14ac:dyDescent="0.25">
      <c r="A1253" s="91" t="s">
        <v>1316</v>
      </c>
      <c r="B1253" s="91" t="s">
        <v>1330</v>
      </c>
      <c r="C1253" s="91" t="s">
        <v>2544</v>
      </c>
      <c r="D1253" s="91" t="s">
        <v>15</v>
      </c>
      <c r="E1253" s="91"/>
      <c r="F1253">
        <v>73</v>
      </c>
      <c r="G1253" t="s">
        <v>1419</v>
      </c>
      <c r="H1253" s="89">
        <v>46128</v>
      </c>
      <c r="I1253" s="89">
        <v>46130</v>
      </c>
      <c r="J1253" s="91"/>
      <c r="K1253" s="91"/>
      <c r="M1253" s="91"/>
      <c r="N1253" s="91" t="s">
        <v>2470</v>
      </c>
    </row>
    <row r="1254" spans="1:14" x14ac:dyDescent="0.25">
      <c r="A1254" s="91" t="s">
        <v>1317</v>
      </c>
      <c r="B1254" s="91" t="s">
        <v>1331</v>
      </c>
      <c r="C1254" s="91" t="s">
        <v>2545</v>
      </c>
      <c r="D1254" s="91" t="s">
        <v>15</v>
      </c>
      <c r="E1254" s="91"/>
      <c r="F1254">
        <v>34</v>
      </c>
      <c r="G1254" t="s">
        <v>1419</v>
      </c>
      <c r="H1254" s="89">
        <v>46128</v>
      </c>
      <c r="I1254" s="89">
        <v>46130</v>
      </c>
      <c r="J1254" s="91"/>
      <c r="K1254" s="91"/>
      <c r="M1254" s="91"/>
      <c r="N1254" s="91" t="s">
        <v>2470</v>
      </c>
    </row>
    <row r="1255" spans="1:14" x14ac:dyDescent="0.25">
      <c r="A1255" s="91" t="s">
        <v>1318</v>
      </c>
      <c r="B1255" s="91" t="s">
        <v>1332</v>
      </c>
      <c r="C1255" s="91" t="s">
        <v>2546</v>
      </c>
      <c r="D1255" s="91" t="s">
        <v>15</v>
      </c>
      <c r="E1255" s="91"/>
      <c r="F1255">
        <v>43</v>
      </c>
      <c r="G1255" t="s">
        <v>1419</v>
      </c>
      <c r="H1255" s="89">
        <v>46128</v>
      </c>
      <c r="I1255" s="89">
        <v>46130</v>
      </c>
      <c r="J1255" s="91"/>
      <c r="K1255" s="91"/>
      <c r="M1255" s="91"/>
      <c r="N1255" s="91" t="s">
        <v>2470</v>
      </c>
    </row>
    <row r="1256" spans="1:14" x14ac:dyDescent="0.25">
      <c r="A1256" s="91" t="s">
        <v>1320</v>
      </c>
      <c r="B1256" s="91" t="s">
        <v>1334</v>
      </c>
      <c r="C1256" s="91" t="s">
        <v>2547</v>
      </c>
      <c r="D1256" s="91" t="s">
        <v>28</v>
      </c>
      <c r="E1256" s="91"/>
      <c r="F1256">
        <v>960</v>
      </c>
      <c r="G1256">
        <v>20</v>
      </c>
      <c r="H1256" s="89">
        <v>46128</v>
      </c>
      <c r="I1256" s="89">
        <v>46133</v>
      </c>
      <c r="J1256" s="91" t="s">
        <v>2548</v>
      </c>
      <c r="K1256" s="91"/>
      <c r="M1256" s="91"/>
      <c r="N1256" s="91" t="s">
        <v>2470</v>
      </c>
    </row>
    <row r="1257" spans="1:14" x14ac:dyDescent="0.25">
      <c r="A1257" s="91" t="s">
        <v>1313</v>
      </c>
      <c r="B1257" s="91" t="s">
        <v>1327</v>
      </c>
      <c r="C1257" s="91" t="s">
        <v>2547</v>
      </c>
      <c r="D1257" s="91" t="s">
        <v>28</v>
      </c>
      <c r="E1257" s="91"/>
      <c r="F1257">
        <v>288</v>
      </c>
      <c r="G1257">
        <v>6</v>
      </c>
      <c r="H1257" s="89">
        <v>46128</v>
      </c>
      <c r="I1257" s="89">
        <v>46132</v>
      </c>
      <c r="J1257" s="91"/>
      <c r="K1257" s="91"/>
      <c r="M1257" s="91"/>
      <c r="N1257" s="91" t="s">
        <v>2470</v>
      </c>
    </row>
    <row r="1258" spans="1:14" x14ac:dyDescent="0.25">
      <c r="A1258" s="91" t="s">
        <v>1315</v>
      </c>
      <c r="B1258" s="91" t="s">
        <v>1329</v>
      </c>
      <c r="C1258" s="91" t="s">
        <v>2547</v>
      </c>
      <c r="D1258" s="91" t="s">
        <v>28</v>
      </c>
      <c r="E1258" s="91"/>
      <c r="F1258">
        <v>119</v>
      </c>
      <c r="G1258" t="s">
        <v>1419</v>
      </c>
      <c r="H1258" s="89">
        <v>46128</v>
      </c>
      <c r="I1258" s="89">
        <v>46130</v>
      </c>
      <c r="J1258" s="91"/>
      <c r="K1258" s="91"/>
      <c r="M1258" s="91"/>
      <c r="N1258" s="91" t="s">
        <v>2470</v>
      </c>
    </row>
    <row r="1259" spans="1:14" x14ac:dyDescent="0.25">
      <c r="A1259" s="91" t="s">
        <v>1316</v>
      </c>
      <c r="B1259" s="91" t="s">
        <v>1330</v>
      </c>
      <c r="C1259" s="91" t="s">
        <v>2549</v>
      </c>
      <c r="D1259" s="91" t="s">
        <v>28</v>
      </c>
      <c r="E1259" s="91"/>
      <c r="F1259">
        <v>40</v>
      </c>
      <c r="G1259" t="s">
        <v>1419</v>
      </c>
      <c r="H1259" s="89">
        <v>46128</v>
      </c>
      <c r="I1259" s="89">
        <v>46130</v>
      </c>
      <c r="J1259" s="91"/>
      <c r="K1259" s="91"/>
      <c r="M1259" s="91"/>
      <c r="N1259" s="91" t="s">
        <v>2470</v>
      </c>
    </row>
    <row r="1260" spans="1:14" x14ac:dyDescent="0.25">
      <c r="A1260" s="91" t="s">
        <v>1317</v>
      </c>
      <c r="B1260" s="91" t="s">
        <v>1331</v>
      </c>
      <c r="C1260" s="91" t="s">
        <v>2550</v>
      </c>
      <c r="D1260" s="91" t="s">
        <v>28</v>
      </c>
      <c r="E1260" s="91"/>
      <c r="F1260">
        <v>0</v>
      </c>
      <c r="G1260" t="s">
        <v>1419</v>
      </c>
      <c r="H1260" s="89">
        <v>46128</v>
      </c>
      <c r="I1260" s="89">
        <v>46130</v>
      </c>
      <c r="J1260" s="91"/>
      <c r="K1260" s="91"/>
      <c r="M1260" s="91"/>
      <c r="N1260" s="91" t="s">
        <v>2470</v>
      </c>
    </row>
    <row r="1261" spans="1:14" x14ac:dyDescent="0.25">
      <c r="A1261" s="91" t="s">
        <v>1318</v>
      </c>
      <c r="B1261" s="91" t="s">
        <v>1332</v>
      </c>
      <c r="C1261" s="91" t="s">
        <v>2551</v>
      </c>
      <c r="D1261" s="91" t="s">
        <v>28</v>
      </c>
      <c r="E1261" s="91"/>
      <c r="F1261">
        <v>83</v>
      </c>
      <c r="G1261" t="s">
        <v>1419</v>
      </c>
      <c r="H1261" s="89">
        <v>46128</v>
      </c>
      <c r="I1261" s="89">
        <v>46130</v>
      </c>
      <c r="J1261" s="91"/>
      <c r="K1261" s="91"/>
      <c r="M1261" s="91"/>
      <c r="N1261" s="91" t="s">
        <v>2470</v>
      </c>
    </row>
    <row r="1262" spans="1:14" x14ac:dyDescent="0.25">
      <c r="A1262" s="91" t="s">
        <v>1324</v>
      </c>
      <c r="B1262" s="91" t="s">
        <v>1338</v>
      </c>
      <c r="C1262" s="91" t="s">
        <v>2552</v>
      </c>
      <c r="D1262" s="91" t="s">
        <v>15</v>
      </c>
      <c r="E1262" s="91"/>
      <c r="F1262">
        <v>1152</v>
      </c>
      <c r="G1262">
        <v>24</v>
      </c>
      <c r="H1262" s="89">
        <v>46129</v>
      </c>
      <c r="I1262" s="89">
        <v>46136</v>
      </c>
      <c r="J1262" s="91" t="s">
        <v>2553</v>
      </c>
      <c r="K1262" s="91"/>
      <c r="M1262" s="91"/>
      <c r="N1262" s="91" t="s">
        <v>2470</v>
      </c>
    </row>
    <row r="1263" spans="1:14" x14ac:dyDescent="0.25">
      <c r="A1263" s="91" t="s">
        <v>1313</v>
      </c>
      <c r="B1263" s="91" t="s">
        <v>1327</v>
      </c>
      <c r="C1263" s="91" t="s">
        <v>2552</v>
      </c>
      <c r="D1263" s="91" t="s">
        <v>15</v>
      </c>
      <c r="E1263" s="91"/>
      <c r="F1263">
        <v>528</v>
      </c>
      <c r="G1263">
        <v>11</v>
      </c>
      <c r="H1263" s="89">
        <v>46129</v>
      </c>
      <c r="I1263" s="89">
        <v>46133</v>
      </c>
      <c r="J1263" s="91" t="s">
        <v>2543</v>
      </c>
      <c r="K1263" s="91"/>
      <c r="M1263" s="91"/>
      <c r="N1263" s="91" t="s">
        <v>2470</v>
      </c>
    </row>
    <row r="1264" spans="1:14" x14ac:dyDescent="0.25">
      <c r="A1264" s="91" t="s">
        <v>1315</v>
      </c>
      <c r="B1264" s="91" t="s">
        <v>1329</v>
      </c>
      <c r="C1264" s="91" t="s">
        <v>2552</v>
      </c>
      <c r="D1264" s="91" t="s">
        <v>15</v>
      </c>
      <c r="E1264" s="91"/>
      <c r="F1264">
        <v>30</v>
      </c>
      <c r="G1264" t="s">
        <v>1419</v>
      </c>
      <c r="H1264" s="89">
        <v>46129</v>
      </c>
      <c r="I1264" s="89">
        <v>46131</v>
      </c>
      <c r="J1264" s="91"/>
      <c r="K1264" s="91"/>
      <c r="M1264" s="91"/>
      <c r="N1264" s="91" t="s">
        <v>2470</v>
      </c>
    </row>
    <row r="1265" spans="1:14" x14ac:dyDescent="0.25">
      <c r="A1265" s="91" t="s">
        <v>1316</v>
      </c>
      <c r="B1265" s="91" t="s">
        <v>1330</v>
      </c>
      <c r="C1265" s="91" t="s">
        <v>2554</v>
      </c>
      <c r="D1265" s="91" t="s">
        <v>15</v>
      </c>
      <c r="E1265" s="91"/>
      <c r="F1265">
        <v>67</v>
      </c>
      <c r="G1265" t="s">
        <v>1419</v>
      </c>
      <c r="H1265" s="89">
        <v>46129</v>
      </c>
      <c r="I1265" s="89">
        <v>46131</v>
      </c>
      <c r="J1265" s="91"/>
      <c r="K1265" s="91"/>
      <c r="M1265" s="91"/>
      <c r="N1265" s="91" t="s">
        <v>2470</v>
      </c>
    </row>
    <row r="1266" spans="1:14" x14ac:dyDescent="0.25">
      <c r="A1266" s="91" t="s">
        <v>1317</v>
      </c>
      <c r="B1266" s="91" t="s">
        <v>1331</v>
      </c>
      <c r="C1266" s="91" t="s">
        <v>2555</v>
      </c>
      <c r="D1266" s="91" t="s">
        <v>15</v>
      </c>
      <c r="E1266" s="91"/>
      <c r="F1266">
        <v>16</v>
      </c>
      <c r="G1266" t="s">
        <v>1419</v>
      </c>
      <c r="H1266" s="89">
        <v>46129</v>
      </c>
      <c r="I1266" s="89">
        <v>46131</v>
      </c>
      <c r="J1266" s="91"/>
      <c r="K1266" s="91"/>
      <c r="M1266" s="91"/>
      <c r="N1266" s="91" t="s">
        <v>2470</v>
      </c>
    </row>
    <row r="1267" spans="1:14" x14ac:dyDescent="0.25">
      <c r="A1267" s="91" t="s">
        <v>1318</v>
      </c>
      <c r="B1267" s="91" t="s">
        <v>1332</v>
      </c>
      <c r="C1267" s="91" t="s">
        <v>2556</v>
      </c>
      <c r="D1267" s="91" t="s">
        <v>15</v>
      </c>
      <c r="E1267" s="91"/>
      <c r="F1267">
        <v>48</v>
      </c>
      <c r="G1267" t="s">
        <v>1419</v>
      </c>
      <c r="H1267" s="89">
        <v>46129</v>
      </c>
      <c r="I1267" s="89">
        <v>46131</v>
      </c>
      <c r="J1267" s="91"/>
      <c r="K1267" s="91"/>
      <c r="M1267" s="91"/>
      <c r="N1267" s="91" t="s">
        <v>2470</v>
      </c>
    </row>
    <row r="1268" spans="1:14" x14ac:dyDescent="0.25">
      <c r="A1268" s="91" t="s">
        <v>1313</v>
      </c>
      <c r="B1268" s="91" t="s">
        <v>1327</v>
      </c>
      <c r="C1268" s="91" t="s">
        <v>2557</v>
      </c>
      <c r="D1268" s="91" t="s">
        <v>20</v>
      </c>
      <c r="E1268" s="91"/>
      <c r="F1268">
        <v>144</v>
      </c>
      <c r="G1268">
        <v>3</v>
      </c>
      <c r="H1268" s="89">
        <v>46129</v>
      </c>
      <c r="I1268" s="89">
        <v>46134</v>
      </c>
      <c r="J1268" s="91"/>
      <c r="K1268" s="91"/>
      <c r="M1268" s="91"/>
      <c r="N1268" s="91" t="s">
        <v>2470</v>
      </c>
    </row>
    <row r="1269" spans="1:14" x14ac:dyDescent="0.25">
      <c r="A1269" s="91" t="s">
        <v>1324</v>
      </c>
      <c r="B1269" s="91" t="s">
        <v>1338</v>
      </c>
      <c r="C1269" s="91" t="s">
        <v>2557</v>
      </c>
      <c r="D1269" s="91" t="s">
        <v>20</v>
      </c>
      <c r="E1269" s="91"/>
      <c r="F1269">
        <v>1008</v>
      </c>
      <c r="G1269">
        <v>21</v>
      </c>
      <c r="H1269" s="89">
        <v>46129</v>
      </c>
      <c r="I1269" s="89">
        <v>46134</v>
      </c>
      <c r="J1269" s="91"/>
      <c r="K1269" s="91"/>
      <c r="M1269" s="91"/>
      <c r="N1269" s="91" t="s">
        <v>2470</v>
      </c>
    </row>
    <row r="1270" spans="1:14" x14ac:dyDescent="0.25">
      <c r="A1270" s="91" t="s">
        <v>1315</v>
      </c>
      <c r="B1270" s="91" t="s">
        <v>1329</v>
      </c>
      <c r="C1270" s="91" t="s">
        <v>2557</v>
      </c>
      <c r="D1270" s="91" t="s">
        <v>20</v>
      </c>
      <c r="E1270" s="91"/>
      <c r="F1270">
        <v>18</v>
      </c>
      <c r="G1270" t="s">
        <v>1419</v>
      </c>
      <c r="H1270" s="89">
        <v>46129</v>
      </c>
      <c r="I1270" s="89">
        <v>46131</v>
      </c>
      <c r="J1270" s="91"/>
      <c r="K1270" s="91"/>
      <c r="M1270" s="91"/>
      <c r="N1270" s="91" t="s">
        <v>2470</v>
      </c>
    </row>
    <row r="1271" spans="1:14" x14ac:dyDescent="0.25">
      <c r="A1271" s="91" t="s">
        <v>1316</v>
      </c>
      <c r="B1271" s="91" t="s">
        <v>1330</v>
      </c>
      <c r="C1271" s="91" t="s">
        <v>2558</v>
      </c>
      <c r="D1271" s="91" t="s">
        <v>20</v>
      </c>
      <c r="E1271" s="91"/>
      <c r="F1271">
        <v>163</v>
      </c>
      <c r="G1271" t="s">
        <v>1419</v>
      </c>
      <c r="H1271" s="89">
        <v>46129</v>
      </c>
      <c r="I1271" s="89">
        <v>46131</v>
      </c>
      <c r="J1271" s="91"/>
      <c r="K1271" s="91"/>
      <c r="M1271" s="91"/>
      <c r="N1271" s="91" t="s">
        <v>2470</v>
      </c>
    </row>
    <row r="1272" spans="1:14" x14ac:dyDescent="0.25">
      <c r="A1272" s="91" t="s">
        <v>1317</v>
      </c>
      <c r="B1272" s="91" t="s">
        <v>1331</v>
      </c>
      <c r="C1272" s="91" t="s">
        <v>2559</v>
      </c>
      <c r="D1272" s="91" t="s">
        <v>20</v>
      </c>
      <c r="E1272" s="91"/>
      <c r="F1272">
        <v>8</v>
      </c>
      <c r="G1272" t="s">
        <v>1419</v>
      </c>
      <c r="H1272" s="89">
        <v>46129</v>
      </c>
      <c r="I1272" s="89">
        <v>46131</v>
      </c>
      <c r="J1272" s="91"/>
      <c r="K1272" s="91"/>
      <c r="M1272" s="91"/>
      <c r="N1272" s="91" t="s">
        <v>2470</v>
      </c>
    </row>
    <row r="1273" spans="1:14" x14ac:dyDescent="0.25">
      <c r="A1273" s="91" t="s">
        <v>1318</v>
      </c>
      <c r="B1273" s="91" t="s">
        <v>1332</v>
      </c>
      <c r="C1273" s="91" t="s">
        <v>2560</v>
      </c>
      <c r="D1273" s="91" t="s">
        <v>20</v>
      </c>
      <c r="E1273" s="91"/>
      <c r="F1273">
        <v>4</v>
      </c>
      <c r="G1273" t="s">
        <v>1419</v>
      </c>
      <c r="H1273" s="89">
        <v>46129</v>
      </c>
      <c r="I1273" s="89">
        <v>46131</v>
      </c>
      <c r="J1273" s="91"/>
      <c r="K1273" s="91"/>
      <c r="M1273" s="91"/>
      <c r="N1273" s="91" t="s">
        <v>2470</v>
      </c>
    </row>
    <row r="1274" spans="1:14" x14ac:dyDescent="0.25">
      <c r="A1274" s="91" t="s">
        <v>1324</v>
      </c>
      <c r="B1274" s="91" t="s">
        <v>1338</v>
      </c>
      <c r="C1274" s="91" t="s">
        <v>2561</v>
      </c>
      <c r="D1274" s="91" t="s">
        <v>23</v>
      </c>
      <c r="E1274" s="91"/>
      <c r="F1274">
        <v>960</v>
      </c>
      <c r="G1274">
        <v>20</v>
      </c>
      <c r="H1274" s="89">
        <v>46129</v>
      </c>
      <c r="I1274" s="89">
        <v>46135</v>
      </c>
      <c r="J1274" s="91" t="s">
        <v>2562</v>
      </c>
      <c r="K1274" s="91"/>
      <c r="M1274" s="91"/>
      <c r="N1274" s="91" t="s">
        <v>2470</v>
      </c>
    </row>
    <row r="1275" spans="1:14" x14ac:dyDescent="0.25">
      <c r="A1275" s="91" t="s">
        <v>1324</v>
      </c>
      <c r="B1275" s="91" t="s">
        <v>1338</v>
      </c>
      <c r="C1275" s="91" t="s">
        <v>2563</v>
      </c>
      <c r="D1275" s="91" t="s">
        <v>144</v>
      </c>
      <c r="E1275" s="91"/>
      <c r="F1275">
        <v>960</v>
      </c>
      <c r="G1275">
        <v>20</v>
      </c>
      <c r="H1275" s="89">
        <v>46129</v>
      </c>
      <c r="I1275" s="89">
        <v>46135</v>
      </c>
      <c r="J1275" s="91" t="s">
        <v>2562</v>
      </c>
      <c r="K1275" s="91"/>
      <c r="M1275" s="91"/>
      <c r="N1275" s="91" t="s">
        <v>2470</v>
      </c>
    </row>
    <row r="1276" spans="1:14" x14ac:dyDescent="0.25">
      <c r="A1276" s="91" t="s">
        <v>1326</v>
      </c>
      <c r="B1276" s="91" t="s">
        <v>1340</v>
      </c>
      <c r="C1276" s="91" t="s">
        <v>2564</v>
      </c>
      <c r="D1276" s="91" t="s">
        <v>32</v>
      </c>
      <c r="E1276" s="91"/>
      <c r="F1276">
        <v>840</v>
      </c>
      <c r="G1276">
        <v>20</v>
      </c>
      <c r="H1276" s="89">
        <v>46129</v>
      </c>
      <c r="I1276" s="89">
        <v>46129</v>
      </c>
      <c r="J1276" s="91" t="s">
        <v>2565</v>
      </c>
      <c r="K1276" s="91"/>
      <c r="M1276" s="91"/>
      <c r="N1276" s="91" t="s">
        <v>2470</v>
      </c>
    </row>
    <row r="1277" spans="1:14" x14ac:dyDescent="0.25">
      <c r="A1277" s="91" t="s">
        <v>1325</v>
      </c>
      <c r="B1277" s="91" t="s">
        <v>1339</v>
      </c>
      <c r="C1277" s="91" t="s">
        <v>2566</v>
      </c>
      <c r="D1277" s="91" t="s">
        <v>138</v>
      </c>
      <c r="E1277" s="91"/>
      <c r="F1277">
        <v>240</v>
      </c>
      <c r="G1277">
        <v>5</v>
      </c>
      <c r="H1277" s="89">
        <v>46129</v>
      </c>
      <c r="I1277" s="89">
        <v>46132</v>
      </c>
      <c r="J1277" s="91"/>
      <c r="K1277" s="91"/>
      <c r="M1277" s="91"/>
      <c r="N1277" s="91" t="s">
        <v>2470</v>
      </c>
    </row>
    <row r="1278" spans="1:14" x14ac:dyDescent="0.25">
      <c r="A1278" s="91" t="s">
        <v>1320</v>
      </c>
      <c r="B1278" s="91" t="s">
        <v>1334</v>
      </c>
      <c r="C1278" s="91" t="s">
        <v>2567</v>
      </c>
      <c r="D1278" s="91" t="s">
        <v>15</v>
      </c>
      <c r="E1278" s="91"/>
      <c r="F1278">
        <v>960</v>
      </c>
      <c r="G1278">
        <v>20</v>
      </c>
      <c r="H1278" s="89">
        <v>46130</v>
      </c>
      <c r="I1278" s="89">
        <v>46135</v>
      </c>
      <c r="J1278" s="91" t="s">
        <v>2568</v>
      </c>
      <c r="K1278" s="91"/>
      <c r="M1278" s="91"/>
      <c r="N1278" s="91" t="s">
        <v>2470</v>
      </c>
    </row>
    <row r="1279" spans="1:14" x14ac:dyDescent="0.25">
      <c r="A1279" s="91" t="s">
        <v>1313</v>
      </c>
      <c r="B1279" s="91" t="s">
        <v>1327</v>
      </c>
      <c r="C1279" s="91" t="s">
        <v>2567</v>
      </c>
      <c r="D1279" s="91" t="s">
        <v>15</v>
      </c>
      <c r="E1279" s="91"/>
      <c r="F1279">
        <v>240</v>
      </c>
      <c r="G1279">
        <v>5</v>
      </c>
      <c r="H1279" s="89">
        <v>46130</v>
      </c>
      <c r="I1279" s="89">
        <v>46133</v>
      </c>
      <c r="J1279" s="91" t="s">
        <v>2543</v>
      </c>
      <c r="K1279" s="91"/>
      <c r="M1279" s="91"/>
      <c r="N1279" s="91" t="s">
        <v>2470</v>
      </c>
    </row>
    <row r="1280" spans="1:14" x14ac:dyDescent="0.25">
      <c r="A1280" s="91" t="s">
        <v>1315</v>
      </c>
      <c r="B1280" s="91" t="s">
        <v>1329</v>
      </c>
      <c r="C1280" s="91" t="s">
        <v>2567</v>
      </c>
      <c r="D1280" s="91" t="s">
        <v>15</v>
      </c>
      <c r="E1280" s="91"/>
      <c r="F1280">
        <v>9</v>
      </c>
      <c r="G1280" t="s">
        <v>1419</v>
      </c>
      <c r="H1280" s="89">
        <v>46130</v>
      </c>
      <c r="I1280" s="89">
        <v>46132</v>
      </c>
      <c r="J1280" s="91"/>
      <c r="K1280" s="91"/>
      <c r="M1280" s="91"/>
      <c r="N1280" s="91" t="s">
        <v>2470</v>
      </c>
    </row>
    <row r="1281" spans="1:14" x14ac:dyDescent="0.25">
      <c r="A1281" s="91" t="s">
        <v>1316</v>
      </c>
      <c r="B1281" s="91" t="s">
        <v>1330</v>
      </c>
      <c r="C1281" s="91" t="s">
        <v>2569</v>
      </c>
      <c r="D1281" s="91" t="s">
        <v>15</v>
      </c>
      <c r="E1281" s="91"/>
      <c r="F1281">
        <v>67</v>
      </c>
      <c r="G1281" t="s">
        <v>1419</v>
      </c>
      <c r="H1281" s="89">
        <v>46130</v>
      </c>
      <c r="I1281" s="89">
        <v>46132</v>
      </c>
      <c r="J1281" s="91"/>
      <c r="K1281" s="91"/>
      <c r="M1281" s="91"/>
      <c r="N1281" s="91" t="s">
        <v>2470</v>
      </c>
    </row>
    <row r="1282" spans="1:14" x14ac:dyDescent="0.25">
      <c r="A1282" s="91" t="s">
        <v>1317</v>
      </c>
      <c r="B1282" s="91" t="s">
        <v>1331</v>
      </c>
      <c r="C1282" s="91" t="s">
        <v>2570</v>
      </c>
      <c r="D1282" s="91" t="s">
        <v>15</v>
      </c>
      <c r="E1282" s="91"/>
      <c r="F1282">
        <v>14</v>
      </c>
      <c r="G1282" t="s">
        <v>1419</v>
      </c>
      <c r="H1282" s="89">
        <v>46130</v>
      </c>
      <c r="I1282" s="89">
        <v>46132</v>
      </c>
      <c r="J1282" s="91"/>
      <c r="K1282" s="91"/>
      <c r="M1282" s="91"/>
      <c r="N1282" s="91" t="s">
        <v>2470</v>
      </c>
    </row>
    <row r="1283" spans="1:14" x14ac:dyDescent="0.25">
      <c r="A1283" s="91" t="s">
        <v>1318</v>
      </c>
      <c r="B1283" s="91" t="s">
        <v>1332</v>
      </c>
      <c r="C1283" s="91" t="s">
        <v>2571</v>
      </c>
      <c r="D1283" s="91" t="s">
        <v>15</v>
      </c>
      <c r="E1283" s="91"/>
      <c r="F1283">
        <v>38</v>
      </c>
      <c r="G1283" t="s">
        <v>1419</v>
      </c>
      <c r="H1283" s="89">
        <v>46130</v>
      </c>
      <c r="I1283" s="89">
        <v>46132</v>
      </c>
      <c r="J1283" s="91"/>
      <c r="K1283" s="91"/>
      <c r="M1283" s="91"/>
      <c r="N1283" s="91" t="s">
        <v>2470</v>
      </c>
    </row>
    <row r="1284" spans="1:14" x14ac:dyDescent="0.25">
      <c r="A1284" s="91" t="s">
        <v>1324</v>
      </c>
      <c r="B1284" s="91" t="s">
        <v>1338</v>
      </c>
      <c r="C1284" s="91" t="s">
        <v>2572</v>
      </c>
      <c r="D1284" s="91" t="s">
        <v>13</v>
      </c>
      <c r="E1284" s="91"/>
      <c r="F1284">
        <v>960</v>
      </c>
      <c r="G1284">
        <v>20</v>
      </c>
      <c r="H1284" s="89">
        <v>46139</v>
      </c>
      <c r="I1284" s="89">
        <v>46146</v>
      </c>
      <c r="J1284" s="91" t="s">
        <v>2573</v>
      </c>
      <c r="K1284" s="91"/>
      <c r="M1284" s="91"/>
      <c r="N1284" s="91" t="s">
        <v>2574</v>
      </c>
    </row>
    <row r="1285" spans="1:14" x14ac:dyDescent="0.25">
      <c r="A1285" s="91" t="s">
        <v>1323</v>
      </c>
      <c r="B1285" s="91" t="s">
        <v>1337</v>
      </c>
      <c r="C1285" s="91" t="s">
        <v>2575</v>
      </c>
      <c r="D1285" s="91" t="s">
        <v>20</v>
      </c>
      <c r="E1285" s="91"/>
      <c r="F1285">
        <v>918</v>
      </c>
      <c r="G1285">
        <v>17</v>
      </c>
      <c r="H1285" s="89">
        <v>46139</v>
      </c>
      <c r="I1285" s="89">
        <v>46142</v>
      </c>
      <c r="J1285" s="91" t="s">
        <v>2576</v>
      </c>
      <c r="K1285" s="91"/>
      <c r="M1285" s="91"/>
      <c r="N1285" s="91" t="s">
        <v>2574</v>
      </c>
    </row>
    <row r="1286" spans="1:14" x14ac:dyDescent="0.25">
      <c r="A1286" s="91" t="s">
        <v>1322</v>
      </c>
      <c r="B1286" s="91" t="s">
        <v>1336</v>
      </c>
      <c r="C1286" s="91" t="s">
        <v>2575</v>
      </c>
      <c r="D1286" s="91" t="s">
        <v>20</v>
      </c>
      <c r="E1286" s="91"/>
      <c r="F1286">
        <v>162</v>
      </c>
      <c r="G1286">
        <v>3</v>
      </c>
      <c r="H1286" s="89">
        <v>46139</v>
      </c>
      <c r="I1286" s="89">
        <v>46142</v>
      </c>
      <c r="J1286" s="91" t="s">
        <v>2576</v>
      </c>
      <c r="K1286" s="91"/>
      <c r="M1286" s="91"/>
      <c r="N1286" s="91" t="s">
        <v>2574</v>
      </c>
    </row>
    <row r="1287" spans="1:14" x14ac:dyDescent="0.25">
      <c r="A1287" s="91" t="s">
        <v>1313</v>
      </c>
      <c r="B1287" s="91" t="s">
        <v>1327</v>
      </c>
      <c r="C1287" s="91" t="s">
        <v>2575</v>
      </c>
      <c r="D1287" s="91" t="s">
        <v>20</v>
      </c>
      <c r="E1287" s="91"/>
      <c r="F1287">
        <v>336</v>
      </c>
      <c r="G1287">
        <v>7</v>
      </c>
      <c r="H1287" s="89">
        <v>46139</v>
      </c>
      <c r="I1287" s="89">
        <v>46142</v>
      </c>
      <c r="J1287" s="91" t="s">
        <v>2577</v>
      </c>
      <c r="K1287" s="91"/>
      <c r="M1287" s="91"/>
      <c r="N1287" s="91" t="s">
        <v>2574</v>
      </c>
    </row>
    <row r="1288" spans="1:14" x14ac:dyDescent="0.25">
      <c r="A1288" s="91" t="s">
        <v>1315</v>
      </c>
      <c r="B1288" s="91" t="s">
        <v>1329</v>
      </c>
      <c r="C1288" s="91" t="s">
        <v>2578</v>
      </c>
      <c r="D1288" s="91" t="s">
        <v>20</v>
      </c>
      <c r="E1288" s="91"/>
      <c r="F1288">
        <v>27</v>
      </c>
      <c r="G1288" t="s">
        <v>1419</v>
      </c>
      <c r="H1288" s="89">
        <v>46139</v>
      </c>
      <c r="I1288" s="89">
        <v>46141</v>
      </c>
      <c r="J1288" s="91"/>
      <c r="K1288" s="91"/>
      <c r="M1288" s="91"/>
      <c r="N1288" s="91" t="s">
        <v>2574</v>
      </c>
    </row>
    <row r="1289" spans="1:14" x14ac:dyDescent="0.25">
      <c r="A1289" s="91" t="s">
        <v>1316</v>
      </c>
      <c r="B1289" s="91" t="s">
        <v>1330</v>
      </c>
      <c r="C1289" s="91" t="s">
        <v>2578</v>
      </c>
      <c r="D1289" s="91" t="s">
        <v>20</v>
      </c>
      <c r="E1289" s="91"/>
      <c r="F1289">
        <v>169</v>
      </c>
      <c r="G1289" t="s">
        <v>1419</v>
      </c>
      <c r="H1289" s="89">
        <v>46139</v>
      </c>
      <c r="I1289" s="89">
        <v>46141</v>
      </c>
      <c r="J1289" s="91"/>
      <c r="K1289" s="91"/>
      <c r="M1289" s="91"/>
      <c r="N1289" s="91" t="s">
        <v>2574</v>
      </c>
    </row>
    <row r="1290" spans="1:14" x14ac:dyDescent="0.25">
      <c r="A1290" s="91" t="s">
        <v>1317</v>
      </c>
      <c r="B1290" s="91" t="s">
        <v>1331</v>
      </c>
      <c r="C1290" s="91" t="s">
        <v>2579</v>
      </c>
      <c r="D1290" s="91" t="s">
        <v>20</v>
      </c>
      <c r="E1290" s="91"/>
      <c r="F1290">
        <v>14</v>
      </c>
      <c r="G1290" t="s">
        <v>1419</v>
      </c>
      <c r="H1290" s="89">
        <v>46139</v>
      </c>
      <c r="I1290" s="89">
        <v>46141</v>
      </c>
      <c r="J1290" s="91"/>
      <c r="K1290" s="91"/>
      <c r="M1290" s="91"/>
      <c r="N1290" s="91" t="s">
        <v>2574</v>
      </c>
    </row>
    <row r="1291" spans="1:14" x14ac:dyDescent="0.25">
      <c r="A1291" s="91" t="s">
        <v>1318</v>
      </c>
      <c r="B1291" s="91" t="s">
        <v>1332</v>
      </c>
      <c r="C1291" s="91" t="s">
        <v>2580</v>
      </c>
      <c r="D1291" s="91" t="s">
        <v>20</v>
      </c>
      <c r="E1291" s="91"/>
      <c r="F1291">
        <v>60</v>
      </c>
      <c r="G1291" t="s">
        <v>1419</v>
      </c>
      <c r="H1291" s="89">
        <v>46139</v>
      </c>
      <c r="I1291" s="89">
        <v>46141</v>
      </c>
      <c r="J1291" s="91"/>
      <c r="K1291" s="91"/>
      <c r="M1291" s="91"/>
      <c r="N1291" s="91" t="s">
        <v>2574</v>
      </c>
    </row>
    <row r="1292" spans="1:14" x14ac:dyDescent="0.25">
      <c r="A1292" s="91" t="s">
        <v>1320</v>
      </c>
      <c r="B1292" s="91" t="s">
        <v>1334</v>
      </c>
      <c r="C1292" s="91" t="s">
        <v>2581</v>
      </c>
      <c r="D1292" s="91" t="s">
        <v>15</v>
      </c>
      <c r="E1292" s="91"/>
      <c r="F1292">
        <v>960</v>
      </c>
      <c r="G1292">
        <v>20</v>
      </c>
      <c r="H1292" s="89">
        <v>46139</v>
      </c>
      <c r="I1292" s="89">
        <v>46143</v>
      </c>
      <c r="J1292" s="91" t="s">
        <v>2582</v>
      </c>
      <c r="K1292" s="91"/>
      <c r="M1292" s="91"/>
      <c r="N1292" s="91" t="s">
        <v>2574</v>
      </c>
    </row>
    <row r="1293" spans="1:14" x14ac:dyDescent="0.25">
      <c r="A1293" s="91" t="s">
        <v>1320</v>
      </c>
      <c r="B1293" s="91" t="s">
        <v>1334</v>
      </c>
      <c r="C1293" s="91" t="s">
        <v>2581</v>
      </c>
      <c r="D1293" s="91" t="s">
        <v>15</v>
      </c>
      <c r="E1293" s="91"/>
      <c r="F1293">
        <v>336</v>
      </c>
      <c r="G1293">
        <v>7</v>
      </c>
      <c r="H1293" s="89">
        <v>46139</v>
      </c>
      <c r="I1293" s="89">
        <v>46143</v>
      </c>
      <c r="J1293" s="91" t="s">
        <v>2583</v>
      </c>
      <c r="K1293" s="91"/>
      <c r="M1293" s="91"/>
      <c r="N1293" s="91" t="s">
        <v>2574</v>
      </c>
    </row>
    <row r="1294" spans="1:14" x14ac:dyDescent="0.25">
      <c r="A1294" s="91" t="s">
        <v>1313</v>
      </c>
      <c r="B1294" s="91" t="s">
        <v>1327</v>
      </c>
      <c r="C1294" s="91" t="s">
        <v>2581</v>
      </c>
      <c r="D1294" s="91" t="s">
        <v>15</v>
      </c>
      <c r="E1294" s="91"/>
      <c r="F1294">
        <v>96</v>
      </c>
      <c r="G1294">
        <v>2</v>
      </c>
      <c r="H1294" s="89">
        <v>46139</v>
      </c>
      <c r="I1294" s="89">
        <v>46145</v>
      </c>
      <c r="J1294" s="91" t="s">
        <v>2584</v>
      </c>
      <c r="K1294" s="91"/>
      <c r="M1294" s="91"/>
      <c r="N1294" s="91" t="s">
        <v>2574</v>
      </c>
    </row>
    <row r="1295" spans="1:14" x14ac:dyDescent="0.25">
      <c r="A1295" s="91" t="s">
        <v>1315</v>
      </c>
      <c r="B1295" s="91" t="s">
        <v>1329</v>
      </c>
      <c r="C1295" s="91" t="s">
        <v>2581</v>
      </c>
      <c r="D1295" s="91" t="s">
        <v>15</v>
      </c>
      <c r="E1295" s="91"/>
      <c r="F1295">
        <v>103</v>
      </c>
      <c r="G1295" t="s">
        <v>1419</v>
      </c>
      <c r="H1295" s="89">
        <v>46139</v>
      </c>
      <c r="I1295" s="89">
        <v>46141</v>
      </c>
      <c r="J1295" s="91"/>
      <c r="K1295" s="91"/>
      <c r="M1295" s="91"/>
      <c r="N1295" s="91" t="s">
        <v>2574</v>
      </c>
    </row>
    <row r="1296" spans="1:14" x14ac:dyDescent="0.25">
      <c r="A1296" s="91" t="s">
        <v>1316</v>
      </c>
      <c r="B1296" s="91" t="s">
        <v>1330</v>
      </c>
      <c r="C1296" s="91" t="s">
        <v>2585</v>
      </c>
      <c r="D1296" s="91" t="s">
        <v>15</v>
      </c>
      <c r="E1296" s="91"/>
      <c r="F1296">
        <v>82</v>
      </c>
      <c r="G1296" t="s">
        <v>1419</v>
      </c>
      <c r="H1296" s="89">
        <v>46139</v>
      </c>
      <c r="I1296" s="89">
        <v>46141</v>
      </c>
      <c r="J1296" s="91"/>
      <c r="K1296" s="91"/>
      <c r="M1296" s="91"/>
      <c r="N1296" s="91" t="s">
        <v>2574</v>
      </c>
    </row>
    <row r="1297" spans="1:14" x14ac:dyDescent="0.25">
      <c r="A1297" s="91" t="s">
        <v>1317</v>
      </c>
      <c r="B1297" s="91" t="s">
        <v>1331</v>
      </c>
      <c r="C1297" s="91" t="s">
        <v>2586</v>
      </c>
      <c r="D1297" s="91" t="s">
        <v>15</v>
      </c>
      <c r="E1297" s="91"/>
      <c r="F1297">
        <v>18</v>
      </c>
      <c r="G1297" t="s">
        <v>1419</v>
      </c>
      <c r="H1297" s="89">
        <v>46139</v>
      </c>
      <c r="I1297" s="89">
        <v>46141</v>
      </c>
      <c r="J1297" s="91"/>
      <c r="K1297" s="91"/>
      <c r="M1297" s="91"/>
      <c r="N1297" s="91" t="s">
        <v>2574</v>
      </c>
    </row>
    <row r="1298" spans="1:14" x14ac:dyDescent="0.25">
      <c r="A1298" s="91" t="s">
        <v>1318</v>
      </c>
      <c r="B1298" s="91" t="s">
        <v>1332</v>
      </c>
      <c r="C1298" s="91" t="s">
        <v>2587</v>
      </c>
      <c r="D1298" s="91" t="s">
        <v>15</v>
      </c>
      <c r="E1298" s="91"/>
      <c r="F1298">
        <v>52</v>
      </c>
      <c r="G1298" t="s">
        <v>1419</v>
      </c>
      <c r="H1298" s="89">
        <v>46139</v>
      </c>
      <c r="I1298" s="89">
        <v>46141</v>
      </c>
      <c r="J1298" s="91"/>
      <c r="K1298" s="91"/>
      <c r="M1298" s="91"/>
      <c r="N1298" s="91" t="s">
        <v>2574</v>
      </c>
    </row>
    <row r="1299" spans="1:14" x14ac:dyDescent="0.25">
      <c r="A1299" s="91" t="s">
        <v>1313</v>
      </c>
      <c r="B1299" s="91" t="s">
        <v>1327</v>
      </c>
      <c r="C1299" s="91" t="s">
        <v>2588</v>
      </c>
      <c r="D1299" s="91" t="s">
        <v>21</v>
      </c>
      <c r="E1299" s="91"/>
      <c r="F1299">
        <v>480</v>
      </c>
      <c r="G1299">
        <v>10</v>
      </c>
      <c r="H1299" s="89">
        <v>46139</v>
      </c>
      <c r="I1299" s="89">
        <v>46142</v>
      </c>
      <c r="J1299" s="91" t="s">
        <v>2577</v>
      </c>
      <c r="K1299" s="91"/>
      <c r="M1299" s="91"/>
      <c r="N1299" s="91" t="s">
        <v>2574</v>
      </c>
    </row>
    <row r="1300" spans="1:14" x14ac:dyDescent="0.25">
      <c r="A1300" s="91" t="s">
        <v>1314</v>
      </c>
      <c r="B1300" s="91" t="s">
        <v>1328</v>
      </c>
      <c r="C1300" s="91" t="s">
        <v>2588</v>
      </c>
      <c r="D1300" s="91" t="s">
        <v>21</v>
      </c>
      <c r="E1300" s="91"/>
      <c r="F1300">
        <v>336</v>
      </c>
      <c r="G1300">
        <v>7</v>
      </c>
      <c r="H1300" s="89">
        <v>46139</v>
      </c>
      <c r="I1300" s="89">
        <v>46142</v>
      </c>
      <c r="J1300" s="91" t="s">
        <v>2589</v>
      </c>
      <c r="K1300" s="91"/>
      <c r="M1300" s="91"/>
      <c r="N1300" s="91" t="s">
        <v>2574</v>
      </c>
    </row>
    <row r="1301" spans="1:14" x14ac:dyDescent="0.25">
      <c r="A1301" s="91" t="s">
        <v>1320</v>
      </c>
      <c r="B1301" s="91" t="s">
        <v>1334</v>
      </c>
      <c r="C1301" s="91" t="s">
        <v>2588</v>
      </c>
      <c r="D1301" s="91" t="s">
        <v>21</v>
      </c>
      <c r="E1301" s="91"/>
      <c r="F1301">
        <v>96</v>
      </c>
      <c r="G1301">
        <v>2</v>
      </c>
      <c r="H1301" s="89">
        <v>46139</v>
      </c>
      <c r="I1301" s="89">
        <v>46143</v>
      </c>
      <c r="J1301" s="91" t="s">
        <v>2583</v>
      </c>
      <c r="K1301" s="91"/>
      <c r="M1301" s="91"/>
      <c r="N1301" s="91" t="s">
        <v>2574</v>
      </c>
    </row>
    <row r="1302" spans="1:14" x14ac:dyDescent="0.25">
      <c r="A1302" s="91" t="s">
        <v>1315</v>
      </c>
      <c r="B1302" s="91" t="s">
        <v>1329</v>
      </c>
      <c r="C1302" s="91" t="s">
        <v>2590</v>
      </c>
      <c r="D1302" s="91" t="s">
        <v>21</v>
      </c>
      <c r="E1302" s="91"/>
      <c r="F1302">
        <v>20</v>
      </c>
      <c r="G1302" t="s">
        <v>1419</v>
      </c>
      <c r="H1302" s="89">
        <v>46139</v>
      </c>
      <c r="I1302" s="89">
        <v>46141</v>
      </c>
      <c r="J1302" s="91"/>
      <c r="K1302" s="91"/>
      <c r="M1302" s="91"/>
      <c r="N1302" s="91" t="s">
        <v>2574</v>
      </c>
    </row>
    <row r="1303" spans="1:14" x14ac:dyDescent="0.25">
      <c r="A1303" s="91" t="s">
        <v>1315</v>
      </c>
      <c r="B1303" s="91" t="s">
        <v>1329</v>
      </c>
      <c r="C1303" s="91" t="s">
        <v>2588</v>
      </c>
      <c r="D1303" s="91" t="s">
        <v>21</v>
      </c>
      <c r="E1303" s="91"/>
      <c r="F1303">
        <v>75</v>
      </c>
      <c r="G1303" t="s">
        <v>1419</v>
      </c>
      <c r="H1303" s="89">
        <v>46139</v>
      </c>
      <c r="I1303" s="89">
        <v>46141</v>
      </c>
      <c r="J1303" s="91"/>
      <c r="K1303" s="91"/>
      <c r="M1303" s="91"/>
      <c r="N1303" s="91" t="s">
        <v>2574</v>
      </c>
    </row>
    <row r="1304" spans="1:14" x14ac:dyDescent="0.25">
      <c r="A1304" s="91" t="s">
        <v>1316</v>
      </c>
      <c r="B1304" s="91" t="s">
        <v>1330</v>
      </c>
      <c r="C1304" s="91" t="s">
        <v>2590</v>
      </c>
      <c r="D1304" s="91" t="s">
        <v>21</v>
      </c>
      <c r="E1304" s="91"/>
      <c r="F1304">
        <v>60</v>
      </c>
      <c r="G1304" t="s">
        <v>1419</v>
      </c>
      <c r="H1304" s="89">
        <v>46139</v>
      </c>
      <c r="I1304" s="89">
        <v>46141</v>
      </c>
      <c r="J1304" s="91"/>
      <c r="K1304" s="91"/>
      <c r="M1304" s="91"/>
      <c r="N1304" s="91" t="s">
        <v>2574</v>
      </c>
    </row>
    <row r="1305" spans="1:14" x14ac:dyDescent="0.25">
      <c r="A1305" s="91" t="s">
        <v>1317</v>
      </c>
      <c r="B1305" s="91" t="s">
        <v>1331</v>
      </c>
      <c r="C1305" s="91" t="s">
        <v>2591</v>
      </c>
      <c r="D1305" s="91" t="s">
        <v>21</v>
      </c>
      <c r="E1305" s="91"/>
      <c r="F1305">
        <v>9</v>
      </c>
      <c r="G1305" t="s">
        <v>1419</v>
      </c>
      <c r="H1305" s="89">
        <v>46139</v>
      </c>
      <c r="I1305" s="89">
        <v>46141</v>
      </c>
      <c r="J1305" s="91"/>
      <c r="K1305" s="91"/>
      <c r="M1305" s="91"/>
      <c r="N1305" s="91" t="s">
        <v>2574</v>
      </c>
    </row>
    <row r="1306" spans="1:14" x14ac:dyDescent="0.25">
      <c r="A1306" s="91" t="s">
        <v>1318</v>
      </c>
      <c r="B1306" s="91" t="s">
        <v>1332</v>
      </c>
      <c r="C1306" s="91" t="s">
        <v>2592</v>
      </c>
      <c r="D1306" s="91" t="s">
        <v>21</v>
      </c>
      <c r="E1306" s="91"/>
      <c r="F1306">
        <v>37</v>
      </c>
      <c r="G1306" t="s">
        <v>1419</v>
      </c>
      <c r="H1306" s="89">
        <v>46139</v>
      </c>
      <c r="I1306" s="89">
        <v>46141</v>
      </c>
      <c r="J1306" s="91"/>
      <c r="K1306" s="91"/>
      <c r="M1306" s="91"/>
      <c r="N1306" s="91" t="s">
        <v>2574</v>
      </c>
    </row>
    <row r="1307" spans="1:14" x14ac:dyDescent="0.25">
      <c r="A1307" s="91" t="s">
        <v>1324</v>
      </c>
      <c r="B1307" s="91" t="s">
        <v>1338</v>
      </c>
      <c r="C1307" s="91" t="s">
        <v>2593</v>
      </c>
      <c r="D1307" s="91" t="s">
        <v>13</v>
      </c>
      <c r="E1307" s="91"/>
      <c r="F1307">
        <v>960</v>
      </c>
      <c r="G1307">
        <v>20</v>
      </c>
      <c r="H1307" s="89">
        <v>46140</v>
      </c>
      <c r="I1307" s="89">
        <v>46146</v>
      </c>
      <c r="J1307" s="91" t="s">
        <v>2594</v>
      </c>
      <c r="K1307" s="91"/>
      <c r="M1307" s="91"/>
      <c r="N1307" s="91" t="s">
        <v>2574</v>
      </c>
    </row>
    <row r="1308" spans="1:14" x14ac:dyDescent="0.25">
      <c r="A1308" s="91" t="s">
        <v>1324</v>
      </c>
      <c r="B1308" s="91" t="s">
        <v>1338</v>
      </c>
      <c r="C1308" s="91" t="s">
        <v>2595</v>
      </c>
      <c r="D1308" s="91" t="s">
        <v>23</v>
      </c>
      <c r="E1308" s="91"/>
      <c r="F1308">
        <v>960</v>
      </c>
      <c r="G1308">
        <v>20</v>
      </c>
      <c r="H1308" s="89">
        <v>46140</v>
      </c>
      <c r="I1308" s="89">
        <v>46146</v>
      </c>
      <c r="J1308" s="91" t="s">
        <v>2594</v>
      </c>
      <c r="K1308" s="91"/>
      <c r="M1308" s="91"/>
      <c r="N1308" s="91" t="s">
        <v>2574</v>
      </c>
    </row>
    <row r="1309" spans="1:14" x14ac:dyDescent="0.25">
      <c r="A1309" s="91" t="s">
        <v>1313</v>
      </c>
      <c r="B1309" s="91" t="s">
        <v>1327</v>
      </c>
      <c r="C1309" s="91" t="s">
        <v>2596</v>
      </c>
      <c r="D1309" s="91" t="s">
        <v>20</v>
      </c>
      <c r="E1309" s="91"/>
      <c r="F1309">
        <v>1152</v>
      </c>
      <c r="G1309">
        <v>24</v>
      </c>
      <c r="H1309" s="89">
        <v>46140</v>
      </c>
      <c r="I1309" s="89">
        <v>46144</v>
      </c>
      <c r="J1309" s="91" t="s">
        <v>2597</v>
      </c>
      <c r="K1309" s="91"/>
      <c r="M1309" s="91"/>
      <c r="N1309" s="91" t="s">
        <v>2574</v>
      </c>
    </row>
    <row r="1310" spans="1:14" x14ac:dyDescent="0.25">
      <c r="A1310" s="91" t="s">
        <v>1313</v>
      </c>
      <c r="B1310" s="91" t="s">
        <v>1327</v>
      </c>
      <c r="C1310" s="91" t="s">
        <v>2596</v>
      </c>
      <c r="D1310" s="91" t="s">
        <v>20</v>
      </c>
      <c r="E1310" s="91"/>
      <c r="F1310">
        <v>384</v>
      </c>
      <c r="G1310">
        <v>8</v>
      </c>
      <c r="H1310" s="89">
        <v>46140</v>
      </c>
      <c r="I1310" s="89">
        <v>46146</v>
      </c>
      <c r="J1310" s="91" t="s">
        <v>2598</v>
      </c>
      <c r="K1310" s="91"/>
      <c r="M1310" s="91"/>
      <c r="N1310" s="91" t="s">
        <v>2574</v>
      </c>
    </row>
    <row r="1311" spans="1:14" x14ac:dyDescent="0.25">
      <c r="A1311" s="91" t="s">
        <v>1315</v>
      </c>
      <c r="B1311" s="91" t="s">
        <v>1329</v>
      </c>
      <c r="C1311" s="91" t="s">
        <v>2599</v>
      </c>
      <c r="D1311" s="91" t="s">
        <v>20</v>
      </c>
      <c r="E1311" s="91"/>
      <c r="F1311">
        <v>81</v>
      </c>
      <c r="G1311" t="s">
        <v>1419</v>
      </c>
      <c r="H1311" s="89">
        <v>46140</v>
      </c>
      <c r="I1311" s="89">
        <v>46142</v>
      </c>
      <c r="J1311" s="91"/>
      <c r="K1311" s="91"/>
      <c r="M1311" s="91"/>
      <c r="N1311" s="91" t="s">
        <v>2574</v>
      </c>
    </row>
    <row r="1312" spans="1:14" x14ac:dyDescent="0.25">
      <c r="A1312" s="91" t="s">
        <v>1316</v>
      </c>
      <c r="B1312" s="91" t="s">
        <v>1330</v>
      </c>
      <c r="C1312" s="91" t="s">
        <v>2599</v>
      </c>
      <c r="D1312" s="91" t="s">
        <v>20</v>
      </c>
      <c r="E1312" s="91"/>
      <c r="F1312">
        <v>156</v>
      </c>
      <c r="G1312" t="s">
        <v>1419</v>
      </c>
      <c r="H1312" s="89">
        <v>46140</v>
      </c>
      <c r="I1312" s="89">
        <v>46142</v>
      </c>
      <c r="J1312" s="91"/>
      <c r="K1312" s="91"/>
      <c r="M1312" s="91"/>
      <c r="N1312" s="91" t="s">
        <v>2574</v>
      </c>
    </row>
    <row r="1313" spans="1:14" x14ac:dyDescent="0.25">
      <c r="A1313" s="91" t="s">
        <v>1317</v>
      </c>
      <c r="B1313" s="91" t="s">
        <v>1331</v>
      </c>
      <c r="C1313" s="91" t="s">
        <v>2600</v>
      </c>
      <c r="D1313" s="91" t="s">
        <v>20</v>
      </c>
      <c r="E1313" s="91"/>
      <c r="F1313">
        <v>12</v>
      </c>
      <c r="G1313" t="s">
        <v>1419</v>
      </c>
      <c r="H1313" s="89">
        <v>46140</v>
      </c>
      <c r="I1313" s="89">
        <v>46142</v>
      </c>
      <c r="J1313" s="91"/>
      <c r="K1313" s="91"/>
      <c r="M1313" s="91"/>
      <c r="N1313" s="91" t="s">
        <v>2574</v>
      </c>
    </row>
    <row r="1314" spans="1:14" x14ac:dyDescent="0.25">
      <c r="A1314" s="91" t="s">
        <v>1318</v>
      </c>
      <c r="B1314" s="91" t="s">
        <v>1332</v>
      </c>
      <c r="C1314" s="91" t="s">
        <v>2601</v>
      </c>
      <c r="D1314" s="91" t="s">
        <v>20</v>
      </c>
      <c r="E1314" s="91"/>
      <c r="F1314">
        <v>73</v>
      </c>
      <c r="G1314" t="s">
        <v>1419</v>
      </c>
      <c r="H1314" s="89">
        <v>46140</v>
      </c>
      <c r="I1314" s="89">
        <v>46142</v>
      </c>
      <c r="J1314" s="91"/>
      <c r="K1314" s="91"/>
      <c r="M1314" s="91"/>
      <c r="N1314" s="91" t="s">
        <v>2574</v>
      </c>
    </row>
    <row r="1315" spans="1:14" x14ac:dyDescent="0.25">
      <c r="A1315" s="91" t="s">
        <v>1313</v>
      </c>
      <c r="B1315" s="91" t="s">
        <v>1327</v>
      </c>
      <c r="C1315" s="91" t="s">
        <v>2602</v>
      </c>
      <c r="D1315" s="91" t="s">
        <v>15</v>
      </c>
      <c r="E1315" s="91"/>
      <c r="F1315">
        <v>384</v>
      </c>
      <c r="G1315">
        <v>8</v>
      </c>
      <c r="H1315" s="89">
        <v>46140</v>
      </c>
      <c r="I1315" s="89">
        <v>46145</v>
      </c>
      <c r="J1315" s="91" t="s">
        <v>2584</v>
      </c>
      <c r="K1315" s="91"/>
      <c r="M1315" s="91"/>
      <c r="N1315" s="91" t="s">
        <v>2574</v>
      </c>
    </row>
    <row r="1316" spans="1:14" x14ac:dyDescent="0.25">
      <c r="A1316" s="91" t="s">
        <v>1314</v>
      </c>
      <c r="B1316" s="91" t="s">
        <v>1328</v>
      </c>
      <c r="C1316" s="91" t="s">
        <v>2602</v>
      </c>
      <c r="D1316" s="91" t="s">
        <v>15</v>
      </c>
      <c r="E1316" s="91"/>
      <c r="F1316">
        <v>288</v>
      </c>
      <c r="G1316">
        <v>6</v>
      </c>
      <c r="H1316" s="89">
        <v>46140</v>
      </c>
      <c r="I1316" s="89">
        <v>46145</v>
      </c>
      <c r="J1316" s="91" t="s">
        <v>2603</v>
      </c>
      <c r="K1316" s="91"/>
      <c r="M1316" s="91"/>
      <c r="N1316" s="91" t="s">
        <v>2574</v>
      </c>
    </row>
    <row r="1317" spans="1:14" x14ac:dyDescent="0.25">
      <c r="A1317" s="91" t="s">
        <v>1320</v>
      </c>
      <c r="B1317" s="91" t="s">
        <v>1334</v>
      </c>
      <c r="C1317" s="91" t="s">
        <v>2602</v>
      </c>
      <c r="D1317" s="91" t="s">
        <v>15</v>
      </c>
      <c r="E1317" s="91"/>
      <c r="F1317">
        <v>672</v>
      </c>
      <c r="G1317">
        <v>14</v>
      </c>
      <c r="H1317" s="89">
        <v>46140</v>
      </c>
      <c r="I1317" s="89">
        <v>46146</v>
      </c>
      <c r="J1317" s="91" t="s">
        <v>2604</v>
      </c>
      <c r="K1317" s="91"/>
      <c r="M1317" s="91"/>
      <c r="N1317" s="91" t="s">
        <v>2574</v>
      </c>
    </row>
    <row r="1318" spans="1:14" x14ac:dyDescent="0.25">
      <c r="A1318" s="91" t="s">
        <v>1315</v>
      </c>
      <c r="B1318" s="91" t="s">
        <v>1329</v>
      </c>
      <c r="C1318" s="91" t="s">
        <v>2605</v>
      </c>
      <c r="D1318" s="91" t="s">
        <v>15</v>
      </c>
      <c r="E1318" s="91"/>
      <c r="F1318">
        <v>7</v>
      </c>
      <c r="G1318" t="s">
        <v>1419</v>
      </c>
      <c r="H1318" s="89">
        <v>46140</v>
      </c>
      <c r="I1318" s="89">
        <v>46142</v>
      </c>
      <c r="J1318" s="91"/>
      <c r="K1318" s="91"/>
      <c r="M1318" s="91"/>
      <c r="N1318" s="91" t="s">
        <v>2574</v>
      </c>
    </row>
    <row r="1319" spans="1:14" x14ac:dyDescent="0.25">
      <c r="A1319" s="91" t="s">
        <v>1316</v>
      </c>
      <c r="B1319" s="91" t="s">
        <v>1330</v>
      </c>
      <c r="C1319" s="91" t="s">
        <v>2605</v>
      </c>
      <c r="D1319" s="91" t="s">
        <v>15</v>
      </c>
      <c r="E1319" s="91"/>
      <c r="F1319">
        <v>62</v>
      </c>
      <c r="G1319" t="s">
        <v>1419</v>
      </c>
      <c r="H1319" s="89">
        <v>46140</v>
      </c>
      <c r="I1319" s="89">
        <v>46142</v>
      </c>
      <c r="J1319" s="91"/>
      <c r="K1319" s="91"/>
      <c r="M1319" s="91"/>
      <c r="N1319" s="91" t="s">
        <v>2574</v>
      </c>
    </row>
    <row r="1320" spans="1:14" x14ac:dyDescent="0.25">
      <c r="A1320" s="91" t="s">
        <v>1317</v>
      </c>
      <c r="B1320" s="91" t="s">
        <v>1331</v>
      </c>
      <c r="C1320" s="91" t="s">
        <v>2606</v>
      </c>
      <c r="D1320" s="91" t="s">
        <v>15</v>
      </c>
      <c r="E1320" s="91"/>
      <c r="F1320">
        <v>17</v>
      </c>
      <c r="G1320" t="s">
        <v>1419</v>
      </c>
      <c r="H1320" s="89">
        <v>46140</v>
      </c>
      <c r="I1320" s="89">
        <v>46142</v>
      </c>
      <c r="J1320" s="91"/>
      <c r="K1320" s="91"/>
      <c r="M1320" s="91"/>
      <c r="N1320" s="91" t="s">
        <v>2574</v>
      </c>
    </row>
    <row r="1321" spans="1:14" x14ac:dyDescent="0.25">
      <c r="A1321" s="91" t="s">
        <v>1318</v>
      </c>
      <c r="B1321" s="91" t="s">
        <v>1332</v>
      </c>
      <c r="C1321" s="91" t="s">
        <v>2607</v>
      </c>
      <c r="D1321" s="91" t="s">
        <v>15</v>
      </c>
      <c r="E1321" s="91"/>
      <c r="F1321">
        <v>41</v>
      </c>
      <c r="G1321" t="s">
        <v>1419</v>
      </c>
      <c r="H1321" s="89">
        <v>46140</v>
      </c>
      <c r="I1321" s="89">
        <v>46142</v>
      </c>
      <c r="J1321" s="91"/>
      <c r="K1321" s="91"/>
      <c r="M1321" s="91"/>
      <c r="N1321" s="91" t="s">
        <v>2574</v>
      </c>
    </row>
    <row r="1322" spans="1:14" x14ac:dyDescent="0.25">
      <c r="A1322" s="91" t="s">
        <v>1320</v>
      </c>
      <c r="B1322" s="91" t="s">
        <v>1334</v>
      </c>
      <c r="C1322" s="91" t="s">
        <v>2608</v>
      </c>
      <c r="D1322" s="91" t="s">
        <v>21</v>
      </c>
      <c r="E1322" s="91"/>
      <c r="F1322">
        <v>528</v>
      </c>
      <c r="G1322">
        <v>11</v>
      </c>
      <c r="H1322" s="89">
        <v>46140</v>
      </c>
      <c r="I1322" s="89">
        <v>46143</v>
      </c>
      <c r="J1322" s="91" t="s">
        <v>2583</v>
      </c>
      <c r="K1322" s="91"/>
      <c r="M1322" s="91"/>
      <c r="N1322" s="91" t="s">
        <v>2574</v>
      </c>
    </row>
    <row r="1323" spans="1:14" x14ac:dyDescent="0.25">
      <c r="A1323" s="91" t="s">
        <v>1324</v>
      </c>
      <c r="B1323" s="91" t="s">
        <v>1338</v>
      </c>
      <c r="C1323" s="91" t="s">
        <v>2608</v>
      </c>
      <c r="D1323" s="91" t="s">
        <v>21</v>
      </c>
      <c r="E1323" s="91"/>
      <c r="F1323">
        <v>576</v>
      </c>
      <c r="G1323">
        <v>12</v>
      </c>
      <c r="H1323" s="89">
        <v>46140</v>
      </c>
      <c r="I1323" s="89">
        <v>46147</v>
      </c>
      <c r="J1323" s="91" t="s">
        <v>2609</v>
      </c>
      <c r="K1323" s="91"/>
      <c r="M1323" s="91"/>
      <c r="N1323" s="91" t="s">
        <v>2574</v>
      </c>
    </row>
    <row r="1324" spans="1:14" x14ac:dyDescent="0.25">
      <c r="A1324" s="91" t="s">
        <v>1313</v>
      </c>
      <c r="B1324" s="91" t="s">
        <v>1327</v>
      </c>
      <c r="C1324" s="91" t="s">
        <v>2608</v>
      </c>
      <c r="D1324" s="91" t="s">
        <v>21</v>
      </c>
      <c r="E1324" s="91"/>
      <c r="F1324">
        <v>619</v>
      </c>
      <c r="G1324">
        <v>12.895833333333334</v>
      </c>
      <c r="H1324" s="89">
        <v>46140</v>
      </c>
      <c r="I1324" s="89">
        <v>46145</v>
      </c>
      <c r="J1324" s="91" t="s">
        <v>2610</v>
      </c>
      <c r="K1324" s="91"/>
      <c r="M1324" s="91"/>
      <c r="N1324" s="91" t="s">
        <v>2574</v>
      </c>
    </row>
    <row r="1325" spans="1:14" x14ac:dyDescent="0.25">
      <c r="A1325" s="91" t="s">
        <v>1566</v>
      </c>
      <c r="B1325" s="91" t="s">
        <v>1567</v>
      </c>
      <c r="C1325" s="91" t="s">
        <v>2608</v>
      </c>
      <c r="D1325" s="91" t="s">
        <v>21</v>
      </c>
      <c r="E1325" s="91"/>
      <c r="F1325">
        <v>5</v>
      </c>
      <c r="G1325">
        <v>0.10416666666666669</v>
      </c>
      <c r="H1325" s="89">
        <v>46140</v>
      </c>
      <c r="I1325" s="89">
        <v>46145</v>
      </c>
      <c r="J1325" s="91" t="s">
        <v>2611</v>
      </c>
      <c r="K1325" s="91"/>
      <c r="M1325" s="91"/>
      <c r="N1325" s="91" t="s">
        <v>2574</v>
      </c>
    </row>
    <row r="1326" spans="1:14" x14ac:dyDescent="0.25">
      <c r="A1326" s="91" t="s">
        <v>1315</v>
      </c>
      <c r="B1326" s="91" t="s">
        <v>1329</v>
      </c>
      <c r="C1326" s="91" t="s">
        <v>2612</v>
      </c>
      <c r="D1326" s="91" t="s">
        <v>21</v>
      </c>
      <c r="E1326" s="91"/>
      <c r="F1326">
        <v>160</v>
      </c>
      <c r="G1326" t="s">
        <v>1419</v>
      </c>
      <c r="H1326" s="89">
        <v>46140</v>
      </c>
      <c r="I1326" s="89">
        <v>46142</v>
      </c>
      <c r="J1326" s="91"/>
      <c r="K1326" s="91"/>
      <c r="M1326" s="91"/>
      <c r="N1326" s="91" t="s">
        <v>2574</v>
      </c>
    </row>
    <row r="1327" spans="1:14" x14ac:dyDescent="0.25">
      <c r="A1327" s="91" t="s">
        <v>1316</v>
      </c>
      <c r="B1327" s="91" t="s">
        <v>1330</v>
      </c>
      <c r="C1327" s="91" t="s">
        <v>2612</v>
      </c>
      <c r="D1327" s="91" t="s">
        <v>21</v>
      </c>
      <c r="E1327" s="91"/>
      <c r="F1327">
        <v>37</v>
      </c>
      <c r="G1327" t="s">
        <v>1419</v>
      </c>
      <c r="H1327" s="89">
        <v>46140</v>
      </c>
      <c r="I1327" s="89">
        <v>46142</v>
      </c>
      <c r="J1327" s="91"/>
      <c r="K1327" s="91"/>
      <c r="M1327" s="91"/>
      <c r="N1327" s="91" t="s">
        <v>2574</v>
      </c>
    </row>
    <row r="1328" spans="1:14" x14ac:dyDescent="0.25">
      <c r="A1328" s="91" t="s">
        <v>1317</v>
      </c>
      <c r="B1328" s="91" t="s">
        <v>1331</v>
      </c>
      <c r="C1328" s="91" t="s">
        <v>2613</v>
      </c>
      <c r="D1328" s="91" t="s">
        <v>21</v>
      </c>
      <c r="E1328" s="91"/>
      <c r="F1328">
        <v>11</v>
      </c>
      <c r="G1328" t="s">
        <v>1419</v>
      </c>
      <c r="H1328" s="89">
        <v>46140</v>
      </c>
      <c r="I1328" s="89">
        <v>46142</v>
      </c>
      <c r="J1328" s="91"/>
      <c r="K1328" s="91"/>
      <c r="M1328" s="91"/>
      <c r="N1328" s="91" t="s">
        <v>2574</v>
      </c>
    </row>
    <row r="1329" spans="1:14" x14ac:dyDescent="0.25">
      <c r="A1329" s="91" t="s">
        <v>1318</v>
      </c>
      <c r="B1329" s="91" t="s">
        <v>1332</v>
      </c>
      <c r="C1329" s="91" t="s">
        <v>2614</v>
      </c>
      <c r="D1329" s="91" t="s">
        <v>21</v>
      </c>
      <c r="E1329" s="91"/>
      <c r="F1329">
        <v>118</v>
      </c>
      <c r="G1329" t="s">
        <v>1419</v>
      </c>
      <c r="H1329" s="89">
        <v>46140</v>
      </c>
      <c r="I1329" s="89">
        <v>46142</v>
      </c>
      <c r="J1329" s="91"/>
      <c r="K1329" s="91"/>
      <c r="M1329" s="91"/>
      <c r="N1329" s="91" t="s">
        <v>2574</v>
      </c>
    </row>
    <row r="1330" spans="1:14" x14ac:dyDescent="0.25">
      <c r="A1330" s="91" t="s">
        <v>1321</v>
      </c>
      <c r="B1330" s="91" t="s">
        <v>1335</v>
      </c>
      <c r="C1330" s="91" t="s">
        <v>2615</v>
      </c>
      <c r="D1330" s="91" t="s">
        <v>138</v>
      </c>
      <c r="E1330" s="91"/>
      <c r="F1330">
        <v>96</v>
      </c>
      <c r="G1330">
        <v>2</v>
      </c>
      <c r="H1330" s="89">
        <v>46140</v>
      </c>
      <c r="I1330" s="89">
        <v>46146</v>
      </c>
      <c r="J1330" s="91" t="s">
        <v>2573</v>
      </c>
      <c r="K1330" s="91"/>
      <c r="M1330" s="91"/>
      <c r="N1330" s="91" t="s">
        <v>2574</v>
      </c>
    </row>
    <row r="1331" spans="1:14" x14ac:dyDescent="0.25">
      <c r="A1331" s="91" t="s">
        <v>1325</v>
      </c>
      <c r="B1331" s="91" t="s">
        <v>1339</v>
      </c>
      <c r="C1331" s="91" t="s">
        <v>2615</v>
      </c>
      <c r="D1331" s="91" t="s">
        <v>138</v>
      </c>
      <c r="E1331" s="91"/>
      <c r="F1331">
        <v>192</v>
      </c>
      <c r="G1331">
        <v>4</v>
      </c>
      <c r="H1331" s="89">
        <v>46140</v>
      </c>
      <c r="I1331" s="89">
        <v>46143</v>
      </c>
      <c r="J1331" s="91"/>
      <c r="K1331" s="91"/>
      <c r="M1331" s="91"/>
      <c r="N1331" s="91" t="s">
        <v>2574</v>
      </c>
    </row>
    <row r="1332" spans="1:14" x14ac:dyDescent="0.25">
      <c r="A1332" s="91" t="s">
        <v>1313</v>
      </c>
      <c r="B1332" s="91" t="s">
        <v>1327</v>
      </c>
      <c r="C1332" s="91" t="s">
        <v>2616</v>
      </c>
      <c r="D1332" s="91" t="s">
        <v>20</v>
      </c>
      <c r="E1332" s="91"/>
      <c r="F1332">
        <v>768</v>
      </c>
      <c r="G1332">
        <v>16</v>
      </c>
      <c r="H1332" s="89">
        <v>46141</v>
      </c>
      <c r="I1332" s="89">
        <v>46146</v>
      </c>
      <c r="J1332" s="91" t="s">
        <v>2598</v>
      </c>
      <c r="K1332" s="91"/>
      <c r="M1332" s="91"/>
      <c r="N1332" s="91" t="s">
        <v>2574</v>
      </c>
    </row>
    <row r="1333" spans="1:14" x14ac:dyDescent="0.25">
      <c r="A1333" s="91" t="s">
        <v>1320</v>
      </c>
      <c r="B1333" s="91" t="s">
        <v>1334</v>
      </c>
      <c r="C1333" s="91" t="s">
        <v>2616</v>
      </c>
      <c r="D1333" s="91" t="s">
        <v>20</v>
      </c>
      <c r="E1333" s="91"/>
      <c r="F1333">
        <v>240</v>
      </c>
      <c r="G1333">
        <v>5</v>
      </c>
      <c r="H1333" s="89">
        <v>46141</v>
      </c>
      <c r="I1333" s="89">
        <v>46146</v>
      </c>
      <c r="J1333" s="91" t="s">
        <v>2617</v>
      </c>
      <c r="K1333" s="91"/>
      <c r="M1333" s="91"/>
      <c r="N1333" s="91" t="s">
        <v>2574</v>
      </c>
    </row>
    <row r="1334" spans="1:14" x14ac:dyDescent="0.25">
      <c r="A1334" s="91" t="s">
        <v>1315</v>
      </c>
      <c r="B1334" s="91" t="s">
        <v>1329</v>
      </c>
      <c r="C1334" s="91" t="s">
        <v>2618</v>
      </c>
      <c r="D1334" s="91" t="s">
        <v>20</v>
      </c>
      <c r="E1334" s="91"/>
      <c r="F1334">
        <v>57</v>
      </c>
      <c r="G1334" t="s">
        <v>1419</v>
      </c>
      <c r="H1334" s="89">
        <v>46141</v>
      </c>
      <c r="I1334" s="89">
        <v>46143</v>
      </c>
      <c r="J1334" s="91"/>
      <c r="K1334" s="91"/>
      <c r="M1334" s="91"/>
      <c r="N1334" s="91" t="s">
        <v>2574</v>
      </c>
    </row>
    <row r="1335" spans="1:14" x14ac:dyDescent="0.25">
      <c r="A1335" s="91" t="s">
        <v>1316</v>
      </c>
      <c r="B1335" s="91" t="s">
        <v>1330</v>
      </c>
      <c r="C1335" s="91" t="s">
        <v>2618</v>
      </c>
      <c r="D1335" s="91" t="s">
        <v>20</v>
      </c>
      <c r="E1335" s="91"/>
      <c r="F1335">
        <v>154</v>
      </c>
      <c r="G1335" t="s">
        <v>1419</v>
      </c>
      <c r="H1335" s="89">
        <v>46141</v>
      </c>
      <c r="I1335" s="89">
        <v>46143</v>
      </c>
      <c r="J1335" s="91"/>
      <c r="K1335" s="91"/>
      <c r="M1335" s="91"/>
      <c r="N1335" s="91" t="s">
        <v>2574</v>
      </c>
    </row>
    <row r="1336" spans="1:14" x14ac:dyDescent="0.25">
      <c r="A1336" s="91" t="s">
        <v>1317</v>
      </c>
      <c r="B1336" s="91" t="s">
        <v>1331</v>
      </c>
      <c r="C1336" s="91" t="s">
        <v>2619</v>
      </c>
      <c r="D1336" s="91" t="s">
        <v>20</v>
      </c>
      <c r="E1336" s="91"/>
      <c r="F1336">
        <v>8</v>
      </c>
      <c r="G1336" t="s">
        <v>1419</v>
      </c>
      <c r="H1336" s="89">
        <v>46141</v>
      </c>
      <c r="I1336" s="89">
        <v>46143</v>
      </c>
      <c r="J1336" s="91"/>
      <c r="K1336" s="91"/>
      <c r="M1336" s="91"/>
      <c r="N1336" s="91" t="s">
        <v>2574</v>
      </c>
    </row>
    <row r="1337" spans="1:14" x14ac:dyDescent="0.25">
      <c r="A1337" s="91" t="s">
        <v>1318</v>
      </c>
      <c r="B1337" s="91" t="s">
        <v>1332</v>
      </c>
      <c r="C1337" s="91" t="s">
        <v>2620</v>
      </c>
      <c r="D1337" s="91" t="s">
        <v>20</v>
      </c>
      <c r="E1337" s="91"/>
      <c r="F1337">
        <v>59</v>
      </c>
      <c r="G1337" t="s">
        <v>1419</v>
      </c>
      <c r="H1337" s="89">
        <v>46141</v>
      </c>
      <c r="I1337" s="89">
        <v>46143</v>
      </c>
      <c r="J1337" s="91"/>
      <c r="K1337" s="91"/>
      <c r="M1337" s="91"/>
      <c r="N1337" s="91" t="s">
        <v>2574</v>
      </c>
    </row>
    <row r="1338" spans="1:14" x14ac:dyDescent="0.25">
      <c r="A1338" s="91" t="s">
        <v>1324</v>
      </c>
      <c r="B1338" s="91" t="s">
        <v>1338</v>
      </c>
      <c r="C1338" s="91" t="s">
        <v>2621</v>
      </c>
      <c r="D1338" s="91" t="s">
        <v>105</v>
      </c>
      <c r="E1338" s="91"/>
      <c r="F1338">
        <v>960</v>
      </c>
      <c r="G1338">
        <v>20</v>
      </c>
      <c r="H1338" s="89">
        <v>46141</v>
      </c>
      <c r="I1338" s="89">
        <v>46147</v>
      </c>
      <c r="J1338" s="91" t="s">
        <v>2609</v>
      </c>
      <c r="K1338" s="91"/>
      <c r="M1338" s="91"/>
      <c r="N1338" s="91" t="s">
        <v>2574</v>
      </c>
    </row>
    <row r="1339" spans="1:14" x14ac:dyDescent="0.25">
      <c r="A1339" s="91" t="s">
        <v>1326</v>
      </c>
      <c r="B1339" s="91" t="s">
        <v>1340</v>
      </c>
      <c r="C1339" s="91" t="s">
        <v>2622</v>
      </c>
      <c r="D1339" s="91" t="s">
        <v>138</v>
      </c>
      <c r="E1339" s="91"/>
      <c r="F1339">
        <v>1008</v>
      </c>
      <c r="G1339">
        <v>24</v>
      </c>
      <c r="H1339" s="89">
        <v>46141</v>
      </c>
      <c r="I1339" s="89">
        <v>46143</v>
      </c>
      <c r="J1339" s="91" t="s">
        <v>2623</v>
      </c>
      <c r="K1339" s="91"/>
      <c r="M1339" s="91"/>
      <c r="N1339" s="91" t="s">
        <v>2574</v>
      </c>
    </row>
    <row r="1340" spans="1:14" x14ac:dyDescent="0.25">
      <c r="A1340" s="91" t="s">
        <v>1324</v>
      </c>
      <c r="B1340" s="91" t="s">
        <v>1338</v>
      </c>
      <c r="C1340" s="91" t="s">
        <v>2624</v>
      </c>
      <c r="D1340" s="91" t="s">
        <v>23</v>
      </c>
      <c r="E1340" s="91"/>
      <c r="F1340">
        <v>864</v>
      </c>
      <c r="G1340">
        <v>18</v>
      </c>
      <c r="H1340" s="89">
        <v>46141</v>
      </c>
      <c r="I1340" s="89">
        <v>46146</v>
      </c>
      <c r="J1340" s="91" t="s">
        <v>2573</v>
      </c>
      <c r="K1340" s="91"/>
      <c r="M1340" s="91"/>
      <c r="N1340" s="91" t="s">
        <v>2574</v>
      </c>
    </row>
    <row r="1341" spans="1:14" x14ac:dyDescent="0.25">
      <c r="A1341" s="91" t="s">
        <v>1324</v>
      </c>
      <c r="B1341" s="91" t="s">
        <v>1338</v>
      </c>
      <c r="C1341" s="91" t="s">
        <v>2625</v>
      </c>
      <c r="D1341" s="91" t="s">
        <v>21</v>
      </c>
      <c r="E1341" s="91"/>
      <c r="F1341">
        <v>384</v>
      </c>
      <c r="G1341">
        <v>8</v>
      </c>
      <c r="H1341" s="89">
        <v>46141</v>
      </c>
      <c r="I1341" s="89">
        <v>46147</v>
      </c>
      <c r="J1341" s="91" t="s">
        <v>2609</v>
      </c>
      <c r="K1341" s="91"/>
      <c r="M1341" s="91"/>
      <c r="N1341" s="91" t="s">
        <v>2574</v>
      </c>
    </row>
    <row r="1342" spans="1:14" x14ac:dyDescent="0.25">
      <c r="A1342" s="91" t="s">
        <v>1313</v>
      </c>
      <c r="B1342" s="91" t="s">
        <v>1327</v>
      </c>
      <c r="C1342" s="91" t="s">
        <v>2625</v>
      </c>
      <c r="D1342" s="91" t="s">
        <v>21</v>
      </c>
      <c r="E1342" s="91"/>
      <c r="F1342">
        <v>528</v>
      </c>
      <c r="G1342">
        <v>11</v>
      </c>
      <c r="H1342" s="89">
        <v>46141</v>
      </c>
      <c r="I1342" s="89">
        <v>46145</v>
      </c>
      <c r="J1342" s="91" t="s">
        <v>2610</v>
      </c>
      <c r="K1342" s="91"/>
      <c r="M1342" s="91"/>
      <c r="N1342" s="91" t="s">
        <v>2574</v>
      </c>
    </row>
    <row r="1343" spans="1:14" x14ac:dyDescent="0.25">
      <c r="A1343" s="91" t="s">
        <v>1320</v>
      </c>
      <c r="B1343" s="91" t="s">
        <v>1334</v>
      </c>
      <c r="C1343" s="91" t="s">
        <v>2625</v>
      </c>
      <c r="D1343" s="91" t="s">
        <v>21</v>
      </c>
      <c r="E1343" s="91"/>
      <c r="F1343">
        <v>192</v>
      </c>
      <c r="G1343">
        <v>4</v>
      </c>
      <c r="H1343" s="89">
        <v>46141</v>
      </c>
      <c r="I1343" s="89">
        <v>46146</v>
      </c>
      <c r="J1343" s="91" t="s">
        <v>2626</v>
      </c>
      <c r="K1343" s="91"/>
      <c r="M1343" s="91"/>
      <c r="N1343" s="91" t="s">
        <v>2574</v>
      </c>
    </row>
    <row r="1344" spans="1:14" x14ac:dyDescent="0.25">
      <c r="A1344" s="91" t="s">
        <v>1315</v>
      </c>
      <c r="B1344" s="91" t="s">
        <v>1329</v>
      </c>
      <c r="C1344" s="91" t="s">
        <v>2627</v>
      </c>
      <c r="D1344" s="91" t="s">
        <v>21</v>
      </c>
      <c r="E1344" s="91"/>
      <c r="F1344">
        <v>112</v>
      </c>
      <c r="G1344" t="s">
        <v>1419</v>
      </c>
      <c r="H1344" s="89">
        <v>46141</v>
      </c>
      <c r="I1344" s="89">
        <v>46143</v>
      </c>
      <c r="J1344" s="91"/>
      <c r="K1344" s="91"/>
      <c r="M1344" s="91"/>
      <c r="N1344" s="91" t="s">
        <v>2574</v>
      </c>
    </row>
    <row r="1345" spans="1:14" x14ac:dyDescent="0.25">
      <c r="A1345" s="91" t="s">
        <v>1316</v>
      </c>
      <c r="B1345" s="91" t="s">
        <v>1330</v>
      </c>
      <c r="C1345" s="91" t="s">
        <v>2627</v>
      </c>
      <c r="D1345" s="91" t="s">
        <v>21</v>
      </c>
      <c r="E1345" s="91"/>
      <c r="F1345">
        <v>18</v>
      </c>
      <c r="G1345" t="s">
        <v>1419</v>
      </c>
      <c r="H1345" s="89">
        <v>46141</v>
      </c>
      <c r="I1345" s="89">
        <v>46143</v>
      </c>
      <c r="J1345" s="91"/>
      <c r="K1345" s="91"/>
      <c r="M1345" s="91"/>
      <c r="N1345" s="91" t="s">
        <v>2574</v>
      </c>
    </row>
    <row r="1346" spans="1:14" x14ac:dyDescent="0.25">
      <c r="A1346" s="91" t="s">
        <v>1317</v>
      </c>
      <c r="B1346" s="91" t="s">
        <v>1331</v>
      </c>
      <c r="C1346" s="91" t="s">
        <v>2628</v>
      </c>
      <c r="D1346" s="91" t="s">
        <v>21</v>
      </c>
      <c r="E1346" s="91"/>
      <c r="F1346">
        <v>6</v>
      </c>
      <c r="G1346" t="s">
        <v>1419</v>
      </c>
      <c r="H1346" s="89">
        <v>46141</v>
      </c>
      <c r="I1346" s="89">
        <v>46143</v>
      </c>
      <c r="J1346" s="91"/>
      <c r="K1346" s="91"/>
      <c r="M1346" s="91"/>
      <c r="N1346" s="91" t="s">
        <v>2574</v>
      </c>
    </row>
    <row r="1347" spans="1:14" x14ac:dyDescent="0.25">
      <c r="A1347" s="91" t="s">
        <v>1318</v>
      </c>
      <c r="B1347" s="91" t="s">
        <v>1332</v>
      </c>
      <c r="C1347" s="91" t="s">
        <v>2629</v>
      </c>
      <c r="D1347" s="91" t="s">
        <v>21</v>
      </c>
      <c r="E1347" s="91"/>
      <c r="F1347">
        <v>62</v>
      </c>
      <c r="G1347" t="s">
        <v>1419</v>
      </c>
      <c r="H1347" s="89">
        <v>46141</v>
      </c>
      <c r="I1347" s="89">
        <v>46143</v>
      </c>
      <c r="J1347" s="91"/>
      <c r="K1347" s="91"/>
      <c r="M1347" s="91"/>
      <c r="N1347" s="91" t="s">
        <v>2574</v>
      </c>
    </row>
    <row r="1348" spans="1:14" x14ac:dyDescent="0.25">
      <c r="A1348" s="91" t="s">
        <v>1320</v>
      </c>
      <c r="B1348" s="91" t="s">
        <v>1334</v>
      </c>
      <c r="C1348" s="91" t="s">
        <v>2630</v>
      </c>
      <c r="D1348" s="91" t="s">
        <v>15</v>
      </c>
      <c r="E1348" s="91"/>
      <c r="F1348">
        <v>288</v>
      </c>
      <c r="G1348">
        <v>6</v>
      </c>
      <c r="H1348" s="89">
        <v>46141</v>
      </c>
      <c r="I1348" s="89">
        <v>46146</v>
      </c>
      <c r="J1348" s="91" t="s">
        <v>2604</v>
      </c>
      <c r="K1348" s="91"/>
      <c r="M1348" s="91"/>
      <c r="N1348" s="91" t="s">
        <v>2574</v>
      </c>
    </row>
    <row r="1349" spans="1:14" x14ac:dyDescent="0.25">
      <c r="A1349" s="91" t="s">
        <v>1320</v>
      </c>
      <c r="B1349" s="91" t="s">
        <v>1334</v>
      </c>
      <c r="C1349" s="91" t="s">
        <v>2630</v>
      </c>
      <c r="D1349" s="91" t="s">
        <v>15</v>
      </c>
      <c r="E1349" s="91"/>
      <c r="F1349">
        <v>960</v>
      </c>
      <c r="G1349">
        <v>20</v>
      </c>
      <c r="H1349" s="89">
        <v>46141</v>
      </c>
      <c r="I1349" s="89">
        <v>46146</v>
      </c>
      <c r="J1349" s="91" t="s">
        <v>2631</v>
      </c>
      <c r="K1349" s="91"/>
      <c r="M1349" s="91"/>
      <c r="N1349" s="91" t="s">
        <v>2574</v>
      </c>
    </row>
    <row r="1350" spans="1:14" x14ac:dyDescent="0.25">
      <c r="A1350" s="91" t="s">
        <v>1320</v>
      </c>
      <c r="B1350" s="91" t="s">
        <v>1334</v>
      </c>
      <c r="C1350" s="91" t="s">
        <v>2630</v>
      </c>
      <c r="D1350" s="91" t="s">
        <v>15</v>
      </c>
      <c r="E1350" s="91"/>
      <c r="F1350">
        <v>48</v>
      </c>
      <c r="G1350">
        <v>1</v>
      </c>
      <c r="H1350" s="89">
        <v>46141</v>
      </c>
      <c r="I1350" s="89">
        <v>46146</v>
      </c>
      <c r="J1350" s="91" t="s">
        <v>2617</v>
      </c>
      <c r="K1350" s="91"/>
      <c r="M1350" s="91"/>
      <c r="N1350" s="91" t="s">
        <v>2574</v>
      </c>
    </row>
    <row r="1351" spans="1:14" x14ac:dyDescent="0.25">
      <c r="A1351" s="91" t="s">
        <v>1313</v>
      </c>
      <c r="B1351" s="91" t="s">
        <v>1327</v>
      </c>
      <c r="C1351" s="91" t="s">
        <v>2630</v>
      </c>
      <c r="D1351" s="91" t="s">
        <v>15</v>
      </c>
      <c r="E1351" s="91"/>
      <c r="F1351">
        <v>172</v>
      </c>
      <c r="G1351">
        <v>3.5833333333333335</v>
      </c>
      <c r="H1351" s="89">
        <v>46141</v>
      </c>
      <c r="I1351" s="89">
        <v>46145</v>
      </c>
      <c r="J1351" s="91" t="s">
        <v>2584</v>
      </c>
      <c r="K1351" s="91"/>
      <c r="M1351" s="91"/>
      <c r="N1351" s="91" t="s">
        <v>2574</v>
      </c>
    </row>
    <row r="1352" spans="1:14" x14ac:dyDescent="0.25">
      <c r="A1352" s="91" t="s">
        <v>1316</v>
      </c>
      <c r="B1352" s="91" t="s">
        <v>1330</v>
      </c>
      <c r="C1352" s="91" t="s">
        <v>2632</v>
      </c>
      <c r="D1352" s="91" t="s">
        <v>15</v>
      </c>
      <c r="E1352" s="91"/>
      <c r="F1352">
        <v>85</v>
      </c>
      <c r="G1352" t="s">
        <v>1419</v>
      </c>
      <c r="H1352" s="89">
        <v>46141</v>
      </c>
      <c r="I1352" s="89">
        <v>46143</v>
      </c>
      <c r="J1352" s="91"/>
      <c r="K1352" s="91"/>
      <c r="M1352" s="91"/>
      <c r="N1352" s="91" t="s">
        <v>2574</v>
      </c>
    </row>
    <row r="1353" spans="1:14" x14ac:dyDescent="0.25">
      <c r="A1353" s="91" t="s">
        <v>1317</v>
      </c>
      <c r="B1353" s="91" t="s">
        <v>1331</v>
      </c>
      <c r="C1353" s="91" t="s">
        <v>2633</v>
      </c>
      <c r="D1353" s="91" t="s">
        <v>15</v>
      </c>
      <c r="E1353" s="91"/>
      <c r="F1353">
        <v>24</v>
      </c>
      <c r="G1353" t="s">
        <v>1419</v>
      </c>
      <c r="H1353" s="89">
        <v>46141</v>
      </c>
      <c r="I1353" s="89">
        <v>46143</v>
      </c>
      <c r="J1353" s="91"/>
      <c r="K1353" s="91"/>
      <c r="M1353" s="91"/>
      <c r="N1353" s="91" t="s">
        <v>2574</v>
      </c>
    </row>
    <row r="1354" spans="1:14" x14ac:dyDescent="0.25">
      <c r="A1354" s="91" t="s">
        <v>1318</v>
      </c>
      <c r="B1354" s="91" t="s">
        <v>1332</v>
      </c>
      <c r="C1354" s="91" t="s">
        <v>2634</v>
      </c>
      <c r="D1354" s="91" t="s">
        <v>15</v>
      </c>
      <c r="E1354" s="91"/>
      <c r="F1354">
        <v>44</v>
      </c>
      <c r="G1354" t="s">
        <v>1419</v>
      </c>
      <c r="H1354" s="89">
        <v>46141</v>
      </c>
      <c r="I1354" s="89">
        <v>46143</v>
      </c>
      <c r="J1354" s="91"/>
      <c r="K1354" s="91"/>
      <c r="M1354" s="91"/>
      <c r="N1354" s="91" t="s">
        <v>2574</v>
      </c>
    </row>
    <row r="1355" spans="1:14" x14ac:dyDescent="0.25">
      <c r="A1355" s="91" t="s">
        <v>1320</v>
      </c>
      <c r="B1355" s="91" t="s">
        <v>1334</v>
      </c>
      <c r="C1355" s="91" t="s">
        <v>2635</v>
      </c>
      <c r="D1355" s="91" t="s">
        <v>23</v>
      </c>
      <c r="E1355" s="91"/>
      <c r="F1355">
        <v>960</v>
      </c>
      <c r="G1355">
        <v>20</v>
      </c>
      <c r="H1355" s="89">
        <v>46142</v>
      </c>
      <c r="I1355" s="89">
        <v>46147</v>
      </c>
      <c r="J1355" s="91" t="s">
        <v>2636</v>
      </c>
      <c r="K1355" s="91"/>
      <c r="M1355" s="91"/>
      <c r="N1355" s="91" t="s">
        <v>2574</v>
      </c>
    </row>
    <row r="1356" spans="1:14" x14ac:dyDescent="0.25">
      <c r="A1356" s="91" t="s">
        <v>1324</v>
      </c>
      <c r="B1356" s="91" t="s">
        <v>1338</v>
      </c>
      <c r="C1356" s="91" t="s">
        <v>2637</v>
      </c>
      <c r="D1356" s="91" t="s">
        <v>104</v>
      </c>
      <c r="E1356" s="91"/>
      <c r="F1356">
        <v>960</v>
      </c>
      <c r="G1356">
        <v>20</v>
      </c>
      <c r="H1356" s="89">
        <v>46142</v>
      </c>
      <c r="I1356" s="89">
        <v>46149</v>
      </c>
      <c r="J1356" s="91" t="s">
        <v>2638</v>
      </c>
      <c r="K1356" s="91"/>
      <c r="M1356" s="91"/>
      <c r="N1356" s="91" t="s">
        <v>2574</v>
      </c>
    </row>
    <row r="1357" spans="1:14" x14ac:dyDescent="0.25">
      <c r="A1357" s="91" t="s">
        <v>1324</v>
      </c>
      <c r="B1357" s="91" t="s">
        <v>1338</v>
      </c>
      <c r="C1357" s="91" t="s">
        <v>2639</v>
      </c>
      <c r="D1357" s="91" t="s">
        <v>28</v>
      </c>
      <c r="E1357" s="91"/>
      <c r="F1357">
        <v>624</v>
      </c>
      <c r="G1357">
        <v>13</v>
      </c>
      <c r="H1357" s="89">
        <v>46142</v>
      </c>
      <c r="I1357" s="89">
        <v>46149</v>
      </c>
      <c r="J1357" s="91" t="s">
        <v>2638</v>
      </c>
      <c r="K1357" s="91"/>
      <c r="M1357" s="91"/>
      <c r="N1357" s="91" t="s">
        <v>2574</v>
      </c>
    </row>
    <row r="1358" spans="1:14" x14ac:dyDescent="0.25">
      <c r="A1358" s="91" t="s">
        <v>1320</v>
      </c>
      <c r="B1358" s="91" t="s">
        <v>1334</v>
      </c>
      <c r="C1358" s="91" t="s">
        <v>2639</v>
      </c>
      <c r="D1358" s="91" t="s">
        <v>28</v>
      </c>
      <c r="E1358" s="91"/>
      <c r="F1358">
        <v>768</v>
      </c>
      <c r="G1358">
        <v>16</v>
      </c>
      <c r="H1358" s="89">
        <v>46142</v>
      </c>
      <c r="I1358" s="89">
        <v>46146</v>
      </c>
      <c r="J1358" s="91" t="s">
        <v>2626</v>
      </c>
      <c r="K1358" s="91"/>
      <c r="M1358" s="91"/>
      <c r="N1358" s="91" t="s">
        <v>2574</v>
      </c>
    </row>
    <row r="1359" spans="1:14" x14ac:dyDescent="0.25">
      <c r="A1359" s="91" t="s">
        <v>1313</v>
      </c>
      <c r="B1359" s="91" t="s">
        <v>1327</v>
      </c>
      <c r="C1359" s="91" t="s">
        <v>2639</v>
      </c>
      <c r="D1359" s="91" t="s">
        <v>28</v>
      </c>
      <c r="E1359" s="91"/>
      <c r="F1359">
        <v>0</v>
      </c>
      <c r="G1359">
        <v>0</v>
      </c>
      <c r="H1359" s="89">
        <v>46142</v>
      </c>
      <c r="I1359" s="89">
        <v>46145</v>
      </c>
      <c r="J1359" s="91" t="s">
        <v>2598</v>
      </c>
      <c r="K1359" s="91"/>
      <c r="M1359" s="91"/>
      <c r="N1359" s="91" t="s">
        <v>2574</v>
      </c>
    </row>
    <row r="1360" spans="1:14" x14ac:dyDescent="0.25">
      <c r="A1360" s="91" t="s">
        <v>1315</v>
      </c>
      <c r="B1360" s="91" t="s">
        <v>1329</v>
      </c>
      <c r="C1360" s="91" t="s">
        <v>2639</v>
      </c>
      <c r="D1360" s="91" t="s">
        <v>28</v>
      </c>
      <c r="E1360" s="91"/>
      <c r="F1360">
        <v>174</v>
      </c>
      <c r="G1360" t="s">
        <v>1419</v>
      </c>
      <c r="H1360" s="89">
        <v>46142</v>
      </c>
      <c r="I1360" s="89">
        <v>46144</v>
      </c>
      <c r="J1360" s="91"/>
      <c r="K1360" s="91"/>
      <c r="M1360" s="91"/>
      <c r="N1360" s="91" t="s">
        <v>2574</v>
      </c>
    </row>
    <row r="1361" spans="1:14" x14ac:dyDescent="0.25">
      <c r="A1361" s="91" t="s">
        <v>1316</v>
      </c>
      <c r="B1361" s="91" t="s">
        <v>1330</v>
      </c>
      <c r="C1361" s="91" t="s">
        <v>2640</v>
      </c>
      <c r="D1361" s="91" t="s">
        <v>28</v>
      </c>
      <c r="E1361" s="91"/>
      <c r="F1361">
        <v>22</v>
      </c>
      <c r="G1361" t="s">
        <v>1419</v>
      </c>
      <c r="H1361" s="89">
        <v>46142</v>
      </c>
      <c r="I1361" s="89">
        <v>46144</v>
      </c>
      <c r="J1361" s="91"/>
      <c r="K1361" s="91"/>
      <c r="M1361" s="91"/>
      <c r="N1361" s="91" t="s">
        <v>2574</v>
      </c>
    </row>
    <row r="1362" spans="1:14" x14ac:dyDescent="0.25">
      <c r="A1362" s="91" t="s">
        <v>1317</v>
      </c>
      <c r="B1362" s="91" t="s">
        <v>1331</v>
      </c>
      <c r="C1362" s="91" t="s">
        <v>2641</v>
      </c>
      <c r="D1362" s="91" t="s">
        <v>28</v>
      </c>
      <c r="E1362" s="91"/>
      <c r="F1362">
        <v>0</v>
      </c>
      <c r="G1362" t="s">
        <v>1419</v>
      </c>
      <c r="H1362" s="89">
        <v>46142</v>
      </c>
      <c r="I1362" s="89">
        <v>46144</v>
      </c>
      <c r="J1362" s="91"/>
      <c r="K1362" s="91"/>
      <c r="M1362" s="91"/>
      <c r="N1362" s="91" t="s">
        <v>2574</v>
      </c>
    </row>
    <row r="1363" spans="1:14" x14ac:dyDescent="0.25">
      <c r="A1363" s="91" t="s">
        <v>1318</v>
      </c>
      <c r="B1363" s="91" t="s">
        <v>1332</v>
      </c>
      <c r="C1363" s="91" t="s">
        <v>2642</v>
      </c>
      <c r="D1363" s="91" t="s">
        <v>28</v>
      </c>
      <c r="E1363" s="91"/>
      <c r="F1363">
        <v>75</v>
      </c>
      <c r="G1363" t="s">
        <v>1419</v>
      </c>
      <c r="H1363" s="89">
        <v>46142</v>
      </c>
      <c r="I1363" s="89">
        <v>46144</v>
      </c>
      <c r="J1363" s="91"/>
      <c r="K1363" s="91"/>
      <c r="M1363" s="91"/>
      <c r="N1363" s="91" t="s">
        <v>2574</v>
      </c>
    </row>
    <row r="1364" spans="1:14" x14ac:dyDescent="0.25">
      <c r="A1364" s="91" t="s">
        <v>1320</v>
      </c>
      <c r="B1364" s="91" t="s">
        <v>1334</v>
      </c>
      <c r="C1364" s="91" t="s">
        <v>2643</v>
      </c>
      <c r="D1364" s="91" t="s">
        <v>20</v>
      </c>
      <c r="E1364" s="91"/>
      <c r="F1364">
        <v>960</v>
      </c>
      <c r="G1364">
        <v>20</v>
      </c>
      <c r="H1364" s="89">
        <v>46142</v>
      </c>
      <c r="I1364" s="89">
        <v>46147</v>
      </c>
      <c r="J1364" s="91" t="s">
        <v>2644</v>
      </c>
      <c r="K1364" s="91"/>
      <c r="M1364" s="91"/>
      <c r="N1364" s="91" t="s">
        <v>2574</v>
      </c>
    </row>
    <row r="1365" spans="1:14" x14ac:dyDescent="0.25">
      <c r="A1365" s="91" t="s">
        <v>1320</v>
      </c>
      <c r="B1365" s="91" t="s">
        <v>1334</v>
      </c>
      <c r="C1365" s="91" t="s">
        <v>2643</v>
      </c>
      <c r="D1365" s="91" t="s">
        <v>20</v>
      </c>
      <c r="E1365" s="91"/>
      <c r="F1365">
        <v>240</v>
      </c>
      <c r="G1365">
        <v>5</v>
      </c>
      <c r="H1365" s="89">
        <v>46142</v>
      </c>
      <c r="I1365" s="89">
        <v>46146</v>
      </c>
      <c r="J1365" s="91" t="s">
        <v>2617</v>
      </c>
      <c r="K1365" s="91"/>
      <c r="M1365" s="91"/>
      <c r="N1365" s="91" t="s">
        <v>2574</v>
      </c>
    </row>
    <row r="1366" spans="1:14" x14ac:dyDescent="0.25">
      <c r="A1366" s="91" t="s">
        <v>1315</v>
      </c>
      <c r="B1366" s="91" t="s">
        <v>1329</v>
      </c>
      <c r="C1366" s="91" t="s">
        <v>2645</v>
      </c>
      <c r="D1366" s="91" t="s">
        <v>20</v>
      </c>
      <c r="E1366" s="91"/>
      <c r="F1366">
        <v>105</v>
      </c>
      <c r="G1366" t="s">
        <v>1419</v>
      </c>
      <c r="H1366" s="89">
        <v>46142</v>
      </c>
      <c r="I1366" s="89">
        <v>46144</v>
      </c>
      <c r="J1366" s="91"/>
      <c r="K1366" s="91"/>
      <c r="M1366" s="91"/>
      <c r="N1366" s="91" t="s">
        <v>2574</v>
      </c>
    </row>
    <row r="1367" spans="1:14" x14ac:dyDescent="0.25">
      <c r="A1367" s="91" t="s">
        <v>1316</v>
      </c>
      <c r="B1367" s="91" t="s">
        <v>1330</v>
      </c>
      <c r="C1367" s="91" t="s">
        <v>2645</v>
      </c>
      <c r="D1367" s="91" t="s">
        <v>20</v>
      </c>
      <c r="E1367" s="91"/>
      <c r="F1367">
        <v>132</v>
      </c>
      <c r="G1367" t="s">
        <v>1419</v>
      </c>
      <c r="H1367" s="89">
        <v>46142</v>
      </c>
      <c r="I1367" s="89">
        <v>46144</v>
      </c>
      <c r="J1367" s="91"/>
      <c r="K1367" s="91"/>
      <c r="M1367" s="91"/>
      <c r="N1367" s="91" t="s">
        <v>2574</v>
      </c>
    </row>
    <row r="1368" spans="1:14" x14ac:dyDescent="0.25">
      <c r="A1368" s="91" t="s">
        <v>1317</v>
      </c>
      <c r="B1368" s="91" t="s">
        <v>1331</v>
      </c>
      <c r="C1368" s="91" t="s">
        <v>2646</v>
      </c>
      <c r="D1368" s="91" t="s">
        <v>20</v>
      </c>
      <c r="E1368" s="91"/>
      <c r="F1368">
        <v>3</v>
      </c>
      <c r="G1368" t="s">
        <v>1419</v>
      </c>
      <c r="H1368" s="89">
        <v>46142</v>
      </c>
      <c r="I1368" s="89">
        <v>46144</v>
      </c>
      <c r="J1368" s="91"/>
      <c r="K1368" s="91"/>
      <c r="M1368" s="91"/>
      <c r="N1368" s="91" t="s">
        <v>2574</v>
      </c>
    </row>
    <row r="1369" spans="1:14" x14ac:dyDescent="0.25">
      <c r="A1369" s="91" t="s">
        <v>1318</v>
      </c>
      <c r="B1369" s="91" t="s">
        <v>1332</v>
      </c>
      <c r="C1369" s="91" t="s">
        <v>2647</v>
      </c>
      <c r="D1369" s="91" t="s">
        <v>20</v>
      </c>
      <c r="E1369" s="91"/>
      <c r="F1369">
        <v>57</v>
      </c>
      <c r="G1369" t="s">
        <v>1419</v>
      </c>
      <c r="H1369" s="89">
        <v>46142</v>
      </c>
      <c r="I1369" s="89">
        <v>46144</v>
      </c>
      <c r="J1369" s="91"/>
      <c r="K1369" s="91"/>
      <c r="M1369" s="91"/>
      <c r="N1369" s="91" t="s">
        <v>2574</v>
      </c>
    </row>
    <row r="1370" spans="1:14" x14ac:dyDescent="0.25">
      <c r="A1370" s="91" t="s">
        <v>1320</v>
      </c>
      <c r="B1370" s="91" t="s">
        <v>1334</v>
      </c>
      <c r="C1370" s="91" t="s">
        <v>2648</v>
      </c>
      <c r="D1370" s="91" t="s">
        <v>15</v>
      </c>
      <c r="E1370" s="91"/>
      <c r="F1370">
        <v>432</v>
      </c>
      <c r="G1370">
        <v>9</v>
      </c>
      <c r="H1370" s="89">
        <v>46142</v>
      </c>
      <c r="I1370" s="89">
        <v>46146</v>
      </c>
      <c r="J1370" s="91" t="s">
        <v>2617</v>
      </c>
      <c r="K1370" s="91"/>
      <c r="M1370" s="91"/>
      <c r="N1370" s="91" t="s">
        <v>2574</v>
      </c>
    </row>
    <row r="1371" spans="1:14" x14ac:dyDescent="0.25">
      <c r="A1371" s="91" t="s">
        <v>1313</v>
      </c>
      <c r="B1371" s="91" t="s">
        <v>1327</v>
      </c>
      <c r="C1371" s="91" t="s">
        <v>2648</v>
      </c>
      <c r="D1371" s="91" t="s">
        <v>15</v>
      </c>
      <c r="E1371" s="91"/>
      <c r="F1371">
        <v>20</v>
      </c>
      <c r="G1371">
        <v>0.41666666666666674</v>
      </c>
      <c r="H1371" s="89">
        <v>46142</v>
      </c>
      <c r="I1371" s="89">
        <v>46145</v>
      </c>
      <c r="J1371" s="91" t="s">
        <v>2584</v>
      </c>
      <c r="K1371" s="91"/>
      <c r="M1371" s="91"/>
      <c r="N1371" s="91" t="s">
        <v>2574</v>
      </c>
    </row>
    <row r="1372" spans="1:14" x14ac:dyDescent="0.25">
      <c r="A1372" s="91" t="s">
        <v>1313</v>
      </c>
      <c r="B1372" s="91" t="s">
        <v>1327</v>
      </c>
      <c r="C1372" s="91" t="s">
        <v>2648</v>
      </c>
      <c r="D1372" s="91" t="s">
        <v>15</v>
      </c>
      <c r="E1372" s="91"/>
      <c r="F1372">
        <v>576</v>
      </c>
      <c r="G1372">
        <v>12</v>
      </c>
      <c r="H1372" s="89">
        <v>46142</v>
      </c>
      <c r="I1372" s="89">
        <v>46147</v>
      </c>
      <c r="J1372" s="91" t="s">
        <v>2649</v>
      </c>
      <c r="K1372" s="91"/>
      <c r="M1372" s="91"/>
      <c r="N1372" s="91" t="s">
        <v>2574</v>
      </c>
    </row>
    <row r="1373" spans="1:14" x14ac:dyDescent="0.25">
      <c r="A1373" s="91" t="s">
        <v>1315</v>
      </c>
      <c r="B1373" s="91" t="s">
        <v>1329</v>
      </c>
      <c r="C1373" s="91" t="s">
        <v>2650</v>
      </c>
      <c r="D1373" s="91" t="s">
        <v>15</v>
      </c>
      <c r="E1373" s="91"/>
      <c r="F1373">
        <v>20</v>
      </c>
      <c r="G1373" t="s">
        <v>1419</v>
      </c>
      <c r="H1373" s="89">
        <v>46142</v>
      </c>
      <c r="I1373" s="89">
        <v>46144</v>
      </c>
      <c r="J1373" s="91"/>
      <c r="K1373" s="91"/>
      <c r="M1373" s="91"/>
      <c r="N1373" s="91" t="s">
        <v>2574</v>
      </c>
    </row>
    <row r="1374" spans="1:14" x14ac:dyDescent="0.25">
      <c r="A1374" s="91" t="s">
        <v>1314</v>
      </c>
      <c r="B1374" s="91" t="s">
        <v>1328</v>
      </c>
      <c r="C1374" s="91" t="s">
        <v>2648</v>
      </c>
      <c r="D1374" s="91" t="s">
        <v>15</v>
      </c>
      <c r="E1374" s="91"/>
      <c r="F1374">
        <v>336</v>
      </c>
      <c r="G1374">
        <v>7</v>
      </c>
      <c r="H1374" s="89">
        <v>46142</v>
      </c>
      <c r="I1374" s="89">
        <v>46147</v>
      </c>
      <c r="J1374" s="91" t="s">
        <v>2651</v>
      </c>
      <c r="K1374" s="91"/>
      <c r="M1374" s="91"/>
      <c r="N1374" s="91" t="s">
        <v>2574</v>
      </c>
    </row>
    <row r="1375" spans="1:14" x14ac:dyDescent="0.25">
      <c r="A1375" s="91" t="s">
        <v>1316</v>
      </c>
      <c r="B1375" s="91" t="s">
        <v>1330</v>
      </c>
      <c r="C1375" s="91" t="s">
        <v>2650</v>
      </c>
      <c r="D1375" s="91" t="s">
        <v>15</v>
      </c>
      <c r="E1375" s="91"/>
      <c r="F1375">
        <v>85</v>
      </c>
      <c r="G1375" t="s">
        <v>1419</v>
      </c>
      <c r="H1375" s="89">
        <v>46142</v>
      </c>
      <c r="I1375" s="89">
        <v>46144</v>
      </c>
      <c r="J1375" s="91"/>
      <c r="K1375" s="91"/>
      <c r="M1375" s="91"/>
      <c r="N1375" s="91" t="s">
        <v>2574</v>
      </c>
    </row>
    <row r="1376" spans="1:14" x14ac:dyDescent="0.25">
      <c r="A1376" s="91" t="s">
        <v>1317</v>
      </c>
      <c r="B1376" s="91" t="s">
        <v>1331</v>
      </c>
      <c r="C1376" s="91" t="s">
        <v>2652</v>
      </c>
      <c r="D1376" s="91" t="s">
        <v>15</v>
      </c>
      <c r="E1376" s="91"/>
      <c r="F1376">
        <v>11</v>
      </c>
      <c r="G1376" t="s">
        <v>1419</v>
      </c>
      <c r="H1376" s="89">
        <v>46142</v>
      </c>
      <c r="I1376" s="89">
        <v>46144</v>
      </c>
      <c r="J1376" s="91"/>
      <c r="K1376" s="91"/>
      <c r="M1376" s="91"/>
      <c r="N1376" s="91" t="s">
        <v>2574</v>
      </c>
    </row>
    <row r="1377" spans="1:14" x14ac:dyDescent="0.25">
      <c r="A1377" s="91" t="s">
        <v>1318</v>
      </c>
      <c r="B1377" s="91" t="s">
        <v>1332</v>
      </c>
      <c r="C1377" s="91" t="s">
        <v>2653</v>
      </c>
      <c r="D1377" s="91" t="s">
        <v>15</v>
      </c>
      <c r="E1377" s="91"/>
      <c r="F1377">
        <v>47</v>
      </c>
      <c r="G1377" t="s">
        <v>1419</v>
      </c>
      <c r="H1377" s="89">
        <v>46142</v>
      </c>
      <c r="I1377" s="89">
        <v>46144</v>
      </c>
      <c r="J1377" s="91"/>
      <c r="K1377" s="91"/>
      <c r="M1377" s="91"/>
      <c r="N1377" s="91" t="s">
        <v>2574</v>
      </c>
    </row>
    <row r="1378" spans="1:14" x14ac:dyDescent="0.25">
      <c r="A1378" s="91" t="s">
        <v>1324</v>
      </c>
      <c r="B1378" s="91" t="s">
        <v>1338</v>
      </c>
      <c r="C1378" s="91" t="s">
        <v>2654</v>
      </c>
      <c r="D1378" s="91" t="s">
        <v>144</v>
      </c>
      <c r="E1378" s="91"/>
      <c r="F1378">
        <v>960</v>
      </c>
      <c r="G1378">
        <v>20</v>
      </c>
      <c r="H1378" s="89">
        <v>46143</v>
      </c>
      <c r="I1378" s="89">
        <v>46149</v>
      </c>
      <c r="J1378" s="91" t="s">
        <v>2655</v>
      </c>
      <c r="K1378" s="91"/>
      <c r="M1378" s="91"/>
      <c r="N1378" s="91" t="s">
        <v>2574</v>
      </c>
    </row>
    <row r="1379" spans="1:14" x14ac:dyDescent="0.25">
      <c r="A1379" s="91" t="s">
        <v>1324</v>
      </c>
      <c r="B1379" s="91" t="s">
        <v>1338</v>
      </c>
      <c r="C1379" s="91" t="s">
        <v>2656</v>
      </c>
      <c r="D1379" s="91" t="s">
        <v>103</v>
      </c>
      <c r="E1379" s="91"/>
      <c r="F1379">
        <v>960</v>
      </c>
      <c r="G1379">
        <v>20</v>
      </c>
      <c r="H1379" s="89">
        <v>46143</v>
      </c>
      <c r="I1379" s="89">
        <v>46149</v>
      </c>
      <c r="J1379" s="91" t="s">
        <v>2655</v>
      </c>
      <c r="K1379" s="91"/>
      <c r="M1379" s="91"/>
      <c r="N1379" s="91" t="s">
        <v>2574</v>
      </c>
    </row>
    <row r="1380" spans="1:14" x14ac:dyDescent="0.25">
      <c r="A1380" s="91" t="s">
        <v>1324</v>
      </c>
      <c r="B1380" s="91" t="s">
        <v>1338</v>
      </c>
      <c r="C1380" s="91" t="s">
        <v>2657</v>
      </c>
      <c r="D1380" s="91" t="s">
        <v>23</v>
      </c>
      <c r="E1380" s="91"/>
      <c r="F1380">
        <v>192</v>
      </c>
      <c r="G1380">
        <v>4</v>
      </c>
      <c r="H1380" s="89">
        <v>46143</v>
      </c>
      <c r="I1380" s="89">
        <v>46149</v>
      </c>
      <c r="J1380" s="91" t="s">
        <v>2638</v>
      </c>
      <c r="K1380" s="91"/>
      <c r="M1380" s="91"/>
      <c r="N1380" s="91" t="s">
        <v>2574</v>
      </c>
    </row>
    <row r="1381" spans="1:14" x14ac:dyDescent="0.25">
      <c r="A1381" s="91" t="s">
        <v>1320</v>
      </c>
      <c r="B1381" s="91" t="s">
        <v>1334</v>
      </c>
      <c r="C1381" s="91" t="s">
        <v>2657</v>
      </c>
      <c r="D1381" s="91" t="s">
        <v>23</v>
      </c>
      <c r="E1381" s="91"/>
      <c r="F1381">
        <v>768</v>
      </c>
      <c r="G1381">
        <v>16</v>
      </c>
      <c r="H1381" s="89">
        <v>46143</v>
      </c>
      <c r="I1381" s="89">
        <v>46149</v>
      </c>
      <c r="J1381" s="91" t="s">
        <v>2658</v>
      </c>
      <c r="K1381" s="91"/>
      <c r="M1381" s="91"/>
      <c r="N1381" s="91" t="s">
        <v>2574</v>
      </c>
    </row>
    <row r="1382" spans="1:14" x14ac:dyDescent="0.25">
      <c r="A1382" s="91" t="s">
        <v>1326</v>
      </c>
      <c r="B1382" s="91" t="s">
        <v>1340</v>
      </c>
      <c r="C1382" s="91" t="s">
        <v>2659</v>
      </c>
      <c r="D1382" s="91" t="s">
        <v>32</v>
      </c>
      <c r="E1382" s="91"/>
      <c r="F1382">
        <v>840</v>
      </c>
      <c r="G1382">
        <v>20</v>
      </c>
      <c r="H1382" s="89">
        <v>46143</v>
      </c>
      <c r="I1382" s="89">
        <v>46150</v>
      </c>
      <c r="J1382" s="91" t="s">
        <v>2660</v>
      </c>
      <c r="K1382" s="91"/>
      <c r="M1382" s="91"/>
      <c r="N1382" s="91" t="s">
        <v>2574</v>
      </c>
    </row>
    <row r="1383" spans="1:14" x14ac:dyDescent="0.25">
      <c r="A1383" s="91" t="s">
        <v>1320</v>
      </c>
      <c r="B1383" s="91" t="s">
        <v>1334</v>
      </c>
      <c r="C1383" s="91" t="s">
        <v>2661</v>
      </c>
      <c r="D1383" s="91" t="s">
        <v>106</v>
      </c>
      <c r="E1383" s="91"/>
      <c r="F1383">
        <v>960</v>
      </c>
      <c r="G1383">
        <v>20</v>
      </c>
      <c r="H1383" s="89">
        <v>46143</v>
      </c>
      <c r="I1383" s="89">
        <v>46148</v>
      </c>
      <c r="J1383" s="91" t="s">
        <v>2662</v>
      </c>
      <c r="K1383" s="91"/>
      <c r="M1383" s="91"/>
      <c r="N1383" s="91" t="s">
        <v>2574</v>
      </c>
    </row>
    <row r="1384" spans="1:14" x14ac:dyDescent="0.25">
      <c r="A1384" s="91" t="s">
        <v>1320</v>
      </c>
      <c r="B1384" s="91" t="s">
        <v>1334</v>
      </c>
      <c r="C1384" s="91" t="s">
        <v>2661</v>
      </c>
      <c r="D1384" s="91" t="s">
        <v>106</v>
      </c>
      <c r="E1384" s="91"/>
      <c r="F1384">
        <v>144</v>
      </c>
      <c r="G1384">
        <v>3</v>
      </c>
      <c r="H1384" s="89">
        <v>46143</v>
      </c>
      <c r="I1384" s="89">
        <v>46148</v>
      </c>
      <c r="J1384" s="91" t="s">
        <v>2663</v>
      </c>
      <c r="K1384" s="91"/>
      <c r="M1384" s="91"/>
      <c r="N1384" s="91" t="s">
        <v>2574</v>
      </c>
    </row>
    <row r="1385" spans="1:14" x14ac:dyDescent="0.25">
      <c r="A1385" s="91" t="s">
        <v>1320</v>
      </c>
      <c r="B1385" s="91" t="s">
        <v>1334</v>
      </c>
      <c r="C1385" s="91" t="s">
        <v>2664</v>
      </c>
      <c r="D1385" s="91" t="s">
        <v>104</v>
      </c>
      <c r="E1385" s="91"/>
      <c r="F1385">
        <v>816</v>
      </c>
      <c r="G1385">
        <v>17</v>
      </c>
      <c r="H1385" s="89">
        <v>46143</v>
      </c>
      <c r="I1385" s="89">
        <v>46148</v>
      </c>
      <c r="J1385" s="91" t="s">
        <v>2663</v>
      </c>
      <c r="K1385" s="91"/>
      <c r="M1385" s="91"/>
      <c r="N1385" s="91" t="s">
        <v>2574</v>
      </c>
    </row>
    <row r="1386" spans="1:14" x14ac:dyDescent="0.25">
      <c r="A1386" s="91" t="s">
        <v>1313</v>
      </c>
      <c r="B1386" s="91" t="s">
        <v>1327</v>
      </c>
      <c r="C1386" s="91" t="s">
        <v>2665</v>
      </c>
      <c r="D1386" s="91" t="s">
        <v>71</v>
      </c>
      <c r="E1386" s="91"/>
      <c r="F1386">
        <v>1152</v>
      </c>
      <c r="G1386">
        <v>24</v>
      </c>
      <c r="H1386" s="89">
        <v>46143</v>
      </c>
      <c r="I1386" s="89">
        <v>46148</v>
      </c>
      <c r="J1386" s="91" t="s">
        <v>2666</v>
      </c>
      <c r="K1386" s="91"/>
      <c r="M1386" s="91"/>
      <c r="N1386" s="91" t="s">
        <v>2574</v>
      </c>
    </row>
    <row r="1387" spans="1:14" x14ac:dyDescent="0.25">
      <c r="A1387" s="91" t="s">
        <v>1321</v>
      </c>
      <c r="B1387" s="91" t="s">
        <v>1335</v>
      </c>
      <c r="C1387" s="91" t="s">
        <v>2667</v>
      </c>
      <c r="D1387" s="91" t="s">
        <v>138</v>
      </c>
      <c r="E1387" s="91"/>
      <c r="F1387">
        <v>144</v>
      </c>
      <c r="G1387">
        <v>3</v>
      </c>
      <c r="H1387" s="89">
        <v>46143</v>
      </c>
      <c r="I1387" s="89">
        <v>46149</v>
      </c>
      <c r="J1387" s="91" t="s">
        <v>2638</v>
      </c>
      <c r="K1387" s="91"/>
      <c r="M1387" s="91"/>
      <c r="N1387" s="91" t="s">
        <v>2574</v>
      </c>
    </row>
    <row r="1388" spans="1:14" x14ac:dyDescent="0.25">
      <c r="A1388" s="91" t="s">
        <v>1325</v>
      </c>
      <c r="B1388" s="91" t="s">
        <v>1339</v>
      </c>
      <c r="C1388" s="91" t="s">
        <v>2667</v>
      </c>
      <c r="D1388" s="91" t="s">
        <v>138</v>
      </c>
      <c r="E1388" s="91"/>
      <c r="F1388">
        <v>192</v>
      </c>
      <c r="G1388">
        <v>4</v>
      </c>
      <c r="H1388" s="89">
        <v>46143</v>
      </c>
      <c r="I1388" s="89">
        <v>46146</v>
      </c>
      <c r="J1388" s="91"/>
      <c r="K1388" s="91"/>
      <c r="M1388" s="91"/>
      <c r="N1388" s="91" t="s">
        <v>2574</v>
      </c>
    </row>
    <row r="1389" spans="1:14" x14ac:dyDescent="0.25">
      <c r="A1389" s="91" t="s">
        <v>1324</v>
      </c>
      <c r="B1389" s="91" t="s">
        <v>1338</v>
      </c>
      <c r="C1389" s="91" t="s">
        <v>2668</v>
      </c>
      <c r="D1389" s="91" t="s">
        <v>144</v>
      </c>
      <c r="E1389" s="91"/>
      <c r="F1389">
        <v>960</v>
      </c>
      <c r="G1389">
        <v>20</v>
      </c>
      <c r="H1389" s="89">
        <v>46144</v>
      </c>
      <c r="I1389" s="89">
        <v>46153</v>
      </c>
      <c r="J1389" s="91" t="s">
        <v>2669</v>
      </c>
      <c r="K1389" s="91"/>
      <c r="M1389" s="91"/>
      <c r="N1389" s="91" t="s">
        <v>2574</v>
      </c>
    </row>
    <row r="1390" spans="1:14" x14ac:dyDescent="0.25">
      <c r="A1390" s="91" t="s">
        <v>1324</v>
      </c>
      <c r="B1390" s="91" t="s">
        <v>1338</v>
      </c>
      <c r="C1390" s="91" t="s">
        <v>2670</v>
      </c>
      <c r="D1390" s="91" t="s">
        <v>88</v>
      </c>
      <c r="E1390" s="91"/>
      <c r="F1390">
        <v>960</v>
      </c>
      <c r="G1390">
        <v>20</v>
      </c>
      <c r="H1390" s="89">
        <v>46144</v>
      </c>
      <c r="I1390" s="89">
        <v>46153</v>
      </c>
      <c r="J1390" s="91" t="s">
        <v>2669</v>
      </c>
      <c r="K1390" s="91"/>
      <c r="M1390" s="91"/>
      <c r="N1390" s="91" t="s">
        <v>2574</v>
      </c>
    </row>
    <row r="1391" spans="1:14" x14ac:dyDescent="0.25">
      <c r="A1391" s="91" t="s">
        <v>1313</v>
      </c>
      <c r="B1391" s="91" t="s">
        <v>1327</v>
      </c>
      <c r="C1391" s="91" t="s">
        <v>2671</v>
      </c>
      <c r="D1391" s="91" t="s">
        <v>21</v>
      </c>
      <c r="E1391" s="91"/>
      <c r="F1391">
        <v>816</v>
      </c>
      <c r="G1391">
        <v>17</v>
      </c>
      <c r="H1391" s="89">
        <v>46144</v>
      </c>
      <c r="I1391" s="89">
        <v>46149</v>
      </c>
      <c r="J1391" s="91" t="s">
        <v>2672</v>
      </c>
      <c r="K1391" s="91"/>
      <c r="M1391" s="91"/>
      <c r="N1391" s="91" t="s">
        <v>2574</v>
      </c>
    </row>
    <row r="1392" spans="1:14" x14ac:dyDescent="0.25">
      <c r="A1392" s="91" t="s">
        <v>1314</v>
      </c>
      <c r="B1392" s="91" t="s">
        <v>1328</v>
      </c>
      <c r="C1392" s="91" t="s">
        <v>2671</v>
      </c>
      <c r="D1392" s="91" t="s">
        <v>21</v>
      </c>
      <c r="E1392" s="91"/>
      <c r="F1392">
        <v>336</v>
      </c>
      <c r="G1392">
        <v>7</v>
      </c>
      <c r="H1392" s="89">
        <v>46144</v>
      </c>
      <c r="I1392" s="89">
        <v>46149</v>
      </c>
      <c r="J1392" s="91" t="s">
        <v>2673</v>
      </c>
      <c r="K1392" s="91"/>
      <c r="M1392" s="91"/>
      <c r="N1392" s="91" t="s">
        <v>2574</v>
      </c>
    </row>
    <row r="1393" spans="1:14" x14ac:dyDescent="0.25">
      <c r="A1393" s="91" t="s">
        <v>1315</v>
      </c>
      <c r="B1393" s="91" t="s">
        <v>1329</v>
      </c>
      <c r="C1393" s="91" t="s">
        <v>2671</v>
      </c>
      <c r="D1393" s="91" t="s">
        <v>21</v>
      </c>
      <c r="E1393" s="91"/>
      <c r="F1393">
        <v>77</v>
      </c>
      <c r="G1393" t="s">
        <v>1419</v>
      </c>
      <c r="H1393" s="89">
        <v>46144</v>
      </c>
      <c r="I1393" s="89">
        <v>46146</v>
      </c>
      <c r="J1393" s="91"/>
      <c r="K1393" s="91"/>
      <c r="M1393" s="91"/>
      <c r="N1393" s="91" t="s">
        <v>2574</v>
      </c>
    </row>
    <row r="1394" spans="1:14" x14ac:dyDescent="0.25">
      <c r="A1394" s="91" t="s">
        <v>1316</v>
      </c>
      <c r="B1394" s="91" t="s">
        <v>1330</v>
      </c>
      <c r="C1394" s="91" t="s">
        <v>2674</v>
      </c>
      <c r="D1394" s="91" t="s">
        <v>21</v>
      </c>
      <c r="E1394" s="91"/>
      <c r="F1394">
        <v>37</v>
      </c>
      <c r="G1394" t="s">
        <v>1419</v>
      </c>
      <c r="H1394" s="89">
        <v>46144</v>
      </c>
      <c r="I1394" s="89">
        <v>46146</v>
      </c>
      <c r="J1394" s="91"/>
      <c r="K1394" s="91"/>
      <c r="M1394" s="91"/>
      <c r="N1394" s="91" t="s">
        <v>2574</v>
      </c>
    </row>
    <row r="1395" spans="1:14" x14ac:dyDescent="0.25">
      <c r="A1395" s="91" t="s">
        <v>1317</v>
      </c>
      <c r="B1395" s="91" t="s">
        <v>1331</v>
      </c>
      <c r="C1395" s="91" t="s">
        <v>2675</v>
      </c>
      <c r="D1395" s="91" t="s">
        <v>21</v>
      </c>
      <c r="E1395" s="91"/>
      <c r="F1395">
        <v>13</v>
      </c>
      <c r="G1395" t="s">
        <v>1419</v>
      </c>
      <c r="H1395" s="89">
        <v>46144</v>
      </c>
      <c r="I1395" s="89">
        <v>46146</v>
      </c>
      <c r="J1395" s="91"/>
      <c r="K1395" s="91"/>
      <c r="M1395" s="91"/>
      <c r="N1395" s="91" t="s">
        <v>2574</v>
      </c>
    </row>
    <row r="1396" spans="1:14" x14ac:dyDescent="0.25">
      <c r="A1396" s="91" t="s">
        <v>1318</v>
      </c>
      <c r="B1396" s="91" t="s">
        <v>1332</v>
      </c>
      <c r="C1396" s="91" t="s">
        <v>2676</v>
      </c>
      <c r="D1396" s="91" t="s">
        <v>21</v>
      </c>
      <c r="E1396" s="91"/>
      <c r="F1396">
        <v>60</v>
      </c>
      <c r="G1396" t="s">
        <v>1419</v>
      </c>
      <c r="H1396" s="89">
        <v>46144</v>
      </c>
      <c r="I1396" s="89">
        <v>46146</v>
      </c>
      <c r="J1396" s="91"/>
      <c r="K1396" s="91"/>
      <c r="M1396" s="91"/>
      <c r="N1396" s="91" t="s">
        <v>2574</v>
      </c>
    </row>
    <row r="1397" spans="1:14" x14ac:dyDescent="0.25">
      <c r="A1397" s="91" t="s">
        <v>1320</v>
      </c>
      <c r="B1397" s="91" t="s">
        <v>1334</v>
      </c>
      <c r="C1397" s="91" t="s">
        <v>2677</v>
      </c>
      <c r="D1397" s="91" t="s">
        <v>15</v>
      </c>
      <c r="E1397" s="91"/>
      <c r="F1397">
        <v>192</v>
      </c>
      <c r="G1397">
        <v>4</v>
      </c>
      <c r="H1397" s="89">
        <v>46144</v>
      </c>
      <c r="I1397" s="89">
        <v>46149</v>
      </c>
      <c r="J1397" s="91" t="s">
        <v>2658</v>
      </c>
      <c r="K1397" s="91"/>
      <c r="M1397" s="91"/>
      <c r="N1397" s="91" t="s">
        <v>2574</v>
      </c>
    </row>
    <row r="1398" spans="1:14" x14ac:dyDescent="0.25">
      <c r="A1398" s="91" t="s">
        <v>1320</v>
      </c>
      <c r="B1398" s="91" t="s">
        <v>1334</v>
      </c>
      <c r="C1398" s="91" t="s">
        <v>2677</v>
      </c>
      <c r="D1398" s="91" t="s">
        <v>15</v>
      </c>
      <c r="E1398" s="91"/>
      <c r="F1398">
        <v>960</v>
      </c>
      <c r="G1398">
        <v>20</v>
      </c>
      <c r="H1398" s="89">
        <v>46144</v>
      </c>
      <c r="I1398" s="89">
        <v>46149</v>
      </c>
      <c r="J1398" s="91" t="s">
        <v>2678</v>
      </c>
      <c r="K1398" s="91"/>
      <c r="M1398" s="91"/>
      <c r="N1398" s="91" t="s">
        <v>2574</v>
      </c>
    </row>
    <row r="1399" spans="1:14" x14ac:dyDescent="0.25">
      <c r="A1399" s="91" t="s">
        <v>1313</v>
      </c>
      <c r="B1399" s="91" t="s">
        <v>1327</v>
      </c>
      <c r="C1399" s="91" t="s">
        <v>2677</v>
      </c>
      <c r="D1399" s="91" t="s">
        <v>15</v>
      </c>
      <c r="E1399" s="91"/>
      <c r="F1399">
        <v>240</v>
      </c>
      <c r="G1399">
        <v>5</v>
      </c>
      <c r="H1399" s="89">
        <v>46144</v>
      </c>
      <c r="I1399" s="89">
        <v>46147</v>
      </c>
      <c r="J1399" s="91" t="s">
        <v>2649</v>
      </c>
      <c r="K1399" s="91"/>
      <c r="M1399" s="91"/>
      <c r="N1399" s="91" t="s">
        <v>2574</v>
      </c>
    </row>
    <row r="1400" spans="1:14" x14ac:dyDescent="0.25">
      <c r="A1400" s="91" t="s">
        <v>1315</v>
      </c>
      <c r="B1400" s="91" t="s">
        <v>1329</v>
      </c>
      <c r="C1400" s="91" t="s">
        <v>2679</v>
      </c>
      <c r="D1400" s="91" t="s">
        <v>15</v>
      </c>
      <c r="E1400" s="91"/>
      <c r="F1400">
        <v>33</v>
      </c>
      <c r="G1400" t="s">
        <v>1419</v>
      </c>
      <c r="H1400" s="89">
        <v>46144</v>
      </c>
      <c r="I1400" s="89">
        <v>46146</v>
      </c>
      <c r="J1400" s="91"/>
      <c r="K1400" s="91"/>
      <c r="M1400" s="91"/>
      <c r="N1400" s="91" t="s">
        <v>2574</v>
      </c>
    </row>
    <row r="1401" spans="1:14" x14ac:dyDescent="0.25">
      <c r="A1401" s="91" t="s">
        <v>1316</v>
      </c>
      <c r="B1401" s="91" t="s">
        <v>1330</v>
      </c>
      <c r="C1401" s="91" t="s">
        <v>2679</v>
      </c>
      <c r="D1401" s="91" t="s">
        <v>15</v>
      </c>
      <c r="E1401" s="91"/>
      <c r="F1401">
        <v>95</v>
      </c>
      <c r="G1401" t="s">
        <v>1419</v>
      </c>
      <c r="H1401" s="89">
        <v>46144</v>
      </c>
      <c r="I1401" s="89">
        <v>46146</v>
      </c>
      <c r="J1401" s="91"/>
      <c r="K1401" s="91"/>
      <c r="M1401" s="91"/>
      <c r="N1401" s="91" t="s">
        <v>2574</v>
      </c>
    </row>
    <row r="1402" spans="1:14" x14ac:dyDescent="0.25">
      <c r="A1402" s="91" t="s">
        <v>1317</v>
      </c>
      <c r="B1402" s="91" t="s">
        <v>1331</v>
      </c>
      <c r="C1402" s="91" t="s">
        <v>2680</v>
      </c>
      <c r="D1402" s="91" t="s">
        <v>15</v>
      </c>
      <c r="E1402" s="91"/>
      <c r="F1402">
        <v>13</v>
      </c>
      <c r="G1402" t="s">
        <v>1419</v>
      </c>
      <c r="H1402" s="89">
        <v>46144</v>
      </c>
      <c r="I1402" s="89">
        <v>46146</v>
      </c>
      <c r="J1402" s="91"/>
      <c r="K1402" s="91"/>
      <c r="M1402" s="91"/>
      <c r="N1402" s="91" t="s">
        <v>2574</v>
      </c>
    </row>
    <row r="1403" spans="1:14" x14ac:dyDescent="0.25">
      <c r="A1403" s="91" t="s">
        <v>1318</v>
      </c>
      <c r="B1403" s="91" t="s">
        <v>1332</v>
      </c>
      <c r="C1403" s="91" t="s">
        <v>2681</v>
      </c>
      <c r="D1403" s="91" t="s">
        <v>15</v>
      </c>
      <c r="E1403" s="91"/>
      <c r="F1403">
        <v>48</v>
      </c>
      <c r="G1403" t="s">
        <v>1419</v>
      </c>
      <c r="H1403" s="89">
        <v>46144</v>
      </c>
      <c r="I1403" s="89">
        <v>46146</v>
      </c>
      <c r="J1403" s="91"/>
      <c r="K1403" s="91"/>
      <c r="M1403" s="91"/>
      <c r="N1403" s="91" t="s">
        <v>2574</v>
      </c>
    </row>
    <row r="1404" spans="1:14" x14ac:dyDescent="0.25">
      <c r="A1404" s="91" t="s">
        <v>1320</v>
      </c>
      <c r="B1404" s="91" t="s">
        <v>1334</v>
      </c>
      <c r="C1404" s="91" t="s">
        <v>2682</v>
      </c>
      <c r="D1404" s="91" t="s">
        <v>28</v>
      </c>
      <c r="E1404" s="91"/>
      <c r="F1404">
        <v>960</v>
      </c>
      <c r="G1404">
        <v>20</v>
      </c>
      <c r="H1404" s="89">
        <v>46110</v>
      </c>
      <c r="I1404" s="89">
        <v>46116</v>
      </c>
      <c r="J1404" s="91" t="s">
        <v>2683</v>
      </c>
      <c r="K1404" s="91"/>
      <c r="M1404" s="91"/>
      <c r="N1404" s="91" t="s">
        <v>2684</v>
      </c>
    </row>
    <row r="1405" spans="1:14" x14ac:dyDescent="0.25">
      <c r="A1405" s="91" t="s">
        <v>1315</v>
      </c>
      <c r="B1405" s="91" t="s">
        <v>1329</v>
      </c>
      <c r="C1405" s="91" t="s">
        <v>2682</v>
      </c>
      <c r="D1405" s="91" t="s">
        <v>28</v>
      </c>
      <c r="E1405" s="91"/>
      <c r="F1405">
        <v>151</v>
      </c>
      <c r="G1405">
        <v>20</v>
      </c>
      <c r="H1405" s="89">
        <v>46110</v>
      </c>
      <c r="I1405" s="89">
        <v>46112</v>
      </c>
      <c r="J1405" s="91"/>
      <c r="K1405" s="91"/>
      <c r="M1405" s="91"/>
      <c r="N1405" s="91" t="s">
        <v>2684</v>
      </c>
    </row>
    <row r="1406" spans="1:14" x14ac:dyDescent="0.25">
      <c r="A1406" s="91" t="s">
        <v>1316</v>
      </c>
      <c r="B1406" s="91" t="s">
        <v>1330</v>
      </c>
      <c r="C1406" s="91" t="s">
        <v>2685</v>
      </c>
      <c r="D1406" s="91" t="s">
        <v>28</v>
      </c>
      <c r="E1406" s="91"/>
      <c r="F1406">
        <v>18</v>
      </c>
      <c r="G1406" t="s">
        <v>1419</v>
      </c>
      <c r="H1406" s="89">
        <v>46110</v>
      </c>
      <c r="I1406" s="89">
        <v>46112</v>
      </c>
      <c r="J1406" s="91"/>
      <c r="K1406" s="91"/>
      <c r="M1406" s="91"/>
      <c r="N1406" s="91" t="s">
        <v>2684</v>
      </c>
    </row>
    <row r="1407" spans="1:14" x14ac:dyDescent="0.25">
      <c r="A1407" s="91" t="s">
        <v>1317</v>
      </c>
      <c r="B1407" s="91" t="s">
        <v>1331</v>
      </c>
      <c r="C1407" s="91" t="s">
        <v>2686</v>
      </c>
      <c r="D1407" s="91" t="s">
        <v>28</v>
      </c>
      <c r="E1407" s="91"/>
      <c r="F1407">
        <v>5</v>
      </c>
      <c r="G1407" t="s">
        <v>1419</v>
      </c>
      <c r="H1407" s="89">
        <v>46110</v>
      </c>
      <c r="I1407" s="89">
        <v>46112</v>
      </c>
      <c r="J1407" s="91"/>
      <c r="K1407" s="91"/>
      <c r="M1407" s="91"/>
      <c r="N1407" s="91" t="s">
        <v>2684</v>
      </c>
    </row>
    <row r="1408" spans="1:14" x14ac:dyDescent="0.25">
      <c r="A1408" s="91" t="s">
        <v>1318</v>
      </c>
      <c r="B1408" s="91" t="s">
        <v>1332</v>
      </c>
      <c r="C1408" s="91" t="s">
        <v>2687</v>
      </c>
      <c r="D1408" s="91" t="s">
        <v>28</v>
      </c>
      <c r="E1408" s="91"/>
      <c r="F1408">
        <v>71</v>
      </c>
      <c r="G1408" t="s">
        <v>1419</v>
      </c>
      <c r="H1408" s="89">
        <v>46110</v>
      </c>
      <c r="I1408" s="89">
        <v>46112</v>
      </c>
      <c r="J1408" s="91"/>
      <c r="K1408" s="91"/>
      <c r="M1408" s="91"/>
      <c r="N1408" s="91" t="s">
        <v>2684</v>
      </c>
    </row>
    <row r="1409" spans="1:14" x14ac:dyDescent="0.25">
      <c r="A1409" s="91" t="s">
        <v>1320</v>
      </c>
      <c r="B1409" s="91" t="s">
        <v>1334</v>
      </c>
      <c r="C1409" s="91" t="s">
        <v>2688</v>
      </c>
      <c r="D1409" s="91" t="s">
        <v>20</v>
      </c>
      <c r="E1409" s="91"/>
      <c r="F1409">
        <v>960</v>
      </c>
      <c r="G1409">
        <v>20</v>
      </c>
      <c r="H1409" s="89">
        <v>46111</v>
      </c>
      <c r="I1409" s="89">
        <v>46116</v>
      </c>
      <c r="J1409" s="91" t="s">
        <v>2689</v>
      </c>
      <c r="K1409" s="91"/>
      <c r="M1409" s="91"/>
      <c r="N1409" s="91" t="s">
        <v>2684</v>
      </c>
    </row>
    <row r="1410" spans="1:14" x14ac:dyDescent="0.25">
      <c r="A1410" s="91" t="s">
        <v>1313</v>
      </c>
      <c r="B1410" s="91" t="s">
        <v>1327</v>
      </c>
      <c r="C1410" s="91" t="s">
        <v>2688</v>
      </c>
      <c r="D1410" s="91" t="s">
        <v>20</v>
      </c>
      <c r="E1410" s="91"/>
      <c r="F1410">
        <v>528</v>
      </c>
      <c r="G1410">
        <v>11</v>
      </c>
      <c r="H1410" s="89">
        <v>46111</v>
      </c>
      <c r="I1410" s="89">
        <v>46113</v>
      </c>
      <c r="J1410" s="91"/>
      <c r="K1410" s="91"/>
      <c r="M1410" s="91"/>
      <c r="N1410" s="91" t="s">
        <v>2684</v>
      </c>
    </row>
    <row r="1411" spans="1:14" x14ac:dyDescent="0.25">
      <c r="A1411" s="91" t="s">
        <v>1315</v>
      </c>
      <c r="B1411" s="91" t="s">
        <v>1329</v>
      </c>
      <c r="C1411" s="91" t="s">
        <v>2688</v>
      </c>
      <c r="D1411" s="91" t="s">
        <v>20</v>
      </c>
      <c r="E1411" s="91"/>
      <c r="F1411">
        <v>83</v>
      </c>
      <c r="G1411" t="s">
        <v>1419</v>
      </c>
      <c r="H1411" s="89">
        <v>46111</v>
      </c>
      <c r="I1411" s="89">
        <v>46116</v>
      </c>
      <c r="J1411" s="91"/>
      <c r="K1411" s="91"/>
      <c r="M1411" s="91"/>
      <c r="N1411" s="91" t="s">
        <v>2684</v>
      </c>
    </row>
    <row r="1412" spans="1:14" x14ac:dyDescent="0.25">
      <c r="A1412" s="91" t="s">
        <v>1316</v>
      </c>
      <c r="B1412" s="91" t="s">
        <v>1330</v>
      </c>
      <c r="C1412" s="91" t="s">
        <v>2690</v>
      </c>
      <c r="D1412" s="91" t="s">
        <v>20</v>
      </c>
      <c r="E1412" s="91"/>
      <c r="F1412">
        <v>180</v>
      </c>
      <c r="G1412" t="s">
        <v>1419</v>
      </c>
      <c r="H1412" s="89">
        <v>46111</v>
      </c>
      <c r="I1412" s="89">
        <v>46113</v>
      </c>
      <c r="J1412" s="91"/>
      <c r="K1412" s="91"/>
      <c r="M1412" s="91"/>
      <c r="N1412" s="91" t="s">
        <v>2684</v>
      </c>
    </row>
    <row r="1413" spans="1:14" x14ac:dyDescent="0.25">
      <c r="A1413" s="91" t="s">
        <v>1317</v>
      </c>
      <c r="B1413" s="91" t="s">
        <v>1331</v>
      </c>
      <c r="C1413" s="91" t="s">
        <v>2691</v>
      </c>
      <c r="D1413" s="91" t="s">
        <v>20</v>
      </c>
      <c r="E1413" s="91"/>
      <c r="F1413">
        <v>6</v>
      </c>
      <c r="G1413" t="s">
        <v>1419</v>
      </c>
      <c r="H1413" s="89">
        <v>46111</v>
      </c>
      <c r="I1413" s="89">
        <v>46113</v>
      </c>
      <c r="J1413" s="91"/>
      <c r="K1413" s="91"/>
      <c r="M1413" s="91"/>
      <c r="N1413" s="91" t="s">
        <v>2684</v>
      </c>
    </row>
    <row r="1414" spans="1:14" x14ac:dyDescent="0.25">
      <c r="A1414" s="91" t="s">
        <v>1318</v>
      </c>
      <c r="B1414" s="91" t="s">
        <v>1332</v>
      </c>
      <c r="C1414" s="91" t="s">
        <v>2692</v>
      </c>
      <c r="D1414" s="91" t="s">
        <v>20</v>
      </c>
      <c r="E1414" s="91"/>
      <c r="F1414">
        <v>80</v>
      </c>
      <c r="G1414" t="s">
        <v>1419</v>
      </c>
      <c r="H1414" s="89">
        <v>46111</v>
      </c>
      <c r="I1414" s="89">
        <v>46113</v>
      </c>
      <c r="J1414" s="91"/>
      <c r="K1414" s="91"/>
      <c r="M1414" s="91"/>
      <c r="N1414" s="91" t="s">
        <v>2684</v>
      </c>
    </row>
    <row r="1415" spans="1:14" x14ac:dyDescent="0.25">
      <c r="A1415" s="91" t="s">
        <v>1320</v>
      </c>
      <c r="B1415" s="91" t="s">
        <v>1334</v>
      </c>
      <c r="C1415" s="91" t="s">
        <v>2693</v>
      </c>
      <c r="D1415" s="91" t="s">
        <v>21</v>
      </c>
      <c r="E1415" s="91"/>
      <c r="F1415">
        <v>960</v>
      </c>
      <c r="G1415">
        <v>20</v>
      </c>
      <c r="H1415" s="89">
        <v>46111</v>
      </c>
      <c r="I1415" s="89">
        <v>46118</v>
      </c>
      <c r="J1415" s="91" t="s">
        <v>2694</v>
      </c>
      <c r="K1415" s="91"/>
      <c r="M1415" s="91"/>
      <c r="N1415" s="91" t="s">
        <v>2684</v>
      </c>
    </row>
    <row r="1416" spans="1:14" x14ac:dyDescent="0.25">
      <c r="A1416" s="91" t="s">
        <v>1324</v>
      </c>
      <c r="B1416" s="91" t="s">
        <v>1338</v>
      </c>
      <c r="C1416" s="91" t="s">
        <v>2693</v>
      </c>
      <c r="D1416" s="91" t="s">
        <v>21</v>
      </c>
      <c r="E1416" s="91"/>
      <c r="F1416">
        <v>672</v>
      </c>
      <c r="G1416">
        <v>14</v>
      </c>
      <c r="H1416" s="89">
        <v>46111</v>
      </c>
      <c r="I1416" s="89">
        <v>46113</v>
      </c>
      <c r="J1416" s="91" t="s">
        <v>2694</v>
      </c>
      <c r="K1416" s="91"/>
      <c r="M1416" s="91"/>
      <c r="N1416" s="91" t="s">
        <v>2684</v>
      </c>
    </row>
    <row r="1417" spans="1:14" x14ac:dyDescent="0.25">
      <c r="A1417" s="91" t="s">
        <v>1313</v>
      </c>
      <c r="B1417" s="91" t="s">
        <v>1327</v>
      </c>
      <c r="C1417" s="91" t="s">
        <v>2693</v>
      </c>
      <c r="D1417" s="91" t="s">
        <v>21</v>
      </c>
      <c r="E1417" s="91"/>
      <c r="F1417">
        <v>192</v>
      </c>
      <c r="G1417">
        <v>4</v>
      </c>
      <c r="H1417" s="89">
        <v>46111</v>
      </c>
      <c r="I1417" s="89">
        <v>46116</v>
      </c>
      <c r="J1417" s="91" t="s">
        <v>2695</v>
      </c>
      <c r="K1417" s="91"/>
      <c r="M1417" s="91"/>
      <c r="N1417" s="91" t="s">
        <v>2684</v>
      </c>
    </row>
    <row r="1418" spans="1:14" x14ac:dyDescent="0.25">
      <c r="A1418" s="91" t="s">
        <v>1315</v>
      </c>
      <c r="B1418" s="91" t="s">
        <v>1329</v>
      </c>
      <c r="C1418" s="91" t="s">
        <v>2693</v>
      </c>
      <c r="D1418" s="91" t="s">
        <v>21</v>
      </c>
      <c r="E1418" s="91"/>
      <c r="F1418">
        <v>172</v>
      </c>
      <c r="G1418" t="s">
        <v>1419</v>
      </c>
      <c r="H1418" s="89">
        <v>46111</v>
      </c>
      <c r="I1418" s="89">
        <v>46116</v>
      </c>
      <c r="J1418" s="91"/>
      <c r="K1418" s="91"/>
      <c r="M1418" s="91"/>
      <c r="N1418" s="91" t="s">
        <v>2684</v>
      </c>
    </row>
    <row r="1419" spans="1:14" x14ac:dyDescent="0.25">
      <c r="A1419" s="91" t="s">
        <v>1316</v>
      </c>
      <c r="B1419" s="91" t="s">
        <v>1330</v>
      </c>
      <c r="C1419" s="91" t="s">
        <v>2696</v>
      </c>
      <c r="D1419" s="91" t="s">
        <v>21</v>
      </c>
      <c r="E1419" s="91"/>
      <c r="F1419">
        <v>80</v>
      </c>
      <c r="G1419" t="s">
        <v>1419</v>
      </c>
      <c r="H1419" s="89">
        <v>46111</v>
      </c>
      <c r="I1419" s="89">
        <v>46113</v>
      </c>
      <c r="J1419" s="91"/>
      <c r="K1419" s="91"/>
      <c r="M1419" s="91"/>
      <c r="N1419" s="91" t="s">
        <v>2684</v>
      </c>
    </row>
    <row r="1420" spans="1:14" x14ac:dyDescent="0.25">
      <c r="A1420" s="91" t="s">
        <v>1317</v>
      </c>
      <c r="B1420" s="91" t="s">
        <v>1331</v>
      </c>
      <c r="C1420" s="91" t="s">
        <v>2697</v>
      </c>
      <c r="D1420" s="91" t="s">
        <v>21</v>
      </c>
      <c r="E1420" s="91"/>
      <c r="F1420">
        <v>12</v>
      </c>
      <c r="G1420" t="s">
        <v>1419</v>
      </c>
      <c r="H1420" s="89">
        <v>46111</v>
      </c>
      <c r="I1420" s="89">
        <v>46113</v>
      </c>
      <c r="J1420" s="91"/>
      <c r="K1420" s="91"/>
      <c r="M1420" s="91"/>
      <c r="N1420" s="91" t="s">
        <v>2684</v>
      </c>
    </row>
    <row r="1421" spans="1:14" x14ac:dyDescent="0.25">
      <c r="A1421" s="91" t="s">
        <v>1318</v>
      </c>
      <c r="B1421" s="91" t="s">
        <v>1332</v>
      </c>
      <c r="C1421" s="91" t="s">
        <v>2698</v>
      </c>
      <c r="D1421" s="91" t="s">
        <v>21</v>
      </c>
      <c r="E1421" s="91"/>
      <c r="F1421">
        <v>40</v>
      </c>
      <c r="G1421" t="s">
        <v>1419</v>
      </c>
      <c r="H1421" s="89">
        <v>46111</v>
      </c>
      <c r="I1421" s="89">
        <v>46113</v>
      </c>
      <c r="J1421" s="91"/>
      <c r="K1421" s="91"/>
      <c r="M1421" s="91"/>
      <c r="N1421" s="91" t="s">
        <v>2684</v>
      </c>
    </row>
    <row r="1422" spans="1:14" x14ac:dyDescent="0.25">
      <c r="A1422" s="91" t="s">
        <v>1324</v>
      </c>
      <c r="B1422" s="91" t="s">
        <v>1338</v>
      </c>
      <c r="C1422" s="91" t="s">
        <v>2699</v>
      </c>
      <c r="D1422" s="91" t="s">
        <v>15</v>
      </c>
      <c r="E1422" s="91"/>
      <c r="F1422">
        <v>960</v>
      </c>
      <c r="G1422">
        <v>20</v>
      </c>
      <c r="H1422" s="89">
        <v>46111</v>
      </c>
      <c r="I1422" s="89">
        <v>46118</v>
      </c>
      <c r="J1422" s="91" t="s">
        <v>2700</v>
      </c>
      <c r="K1422" s="91"/>
      <c r="M1422" s="91"/>
      <c r="N1422" s="91" t="s">
        <v>2684</v>
      </c>
    </row>
    <row r="1423" spans="1:14" x14ac:dyDescent="0.25">
      <c r="A1423" s="91" t="s">
        <v>1314</v>
      </c>
      <c r="B1423" s="91" t="s">
        <v>1328</v>
      </c>
      <c r="C1423" s="91" t="s">
        <v>2699</v>
      </c>
      <c r="D1423" s="91" t="s">
        <v>15</v>
      </c>
      <c r="E1423" s="91"/>
      <c r="F1423">
        <v>336</v>
      </c>
      <c r="G1423">
        <v>7</v>
      </c>
      <c r="H1423" s="89">
        <v>46111</v>
      </c>
      <c r="I1423" s="89">
        <v>46116</v>
      </c>
      <c r="J1423" s="91" t="s">
        <v>2701</v>
      </c>
      <c r="K1423" s="91"/>
      <c r="M1423" s="91"/>
      <c r="N1423" s="91" t="s">
        <v>2684</v>
      </c>
    </row>
    <row r="1424" spans="1:14" x14ac:dyDescent="0.25">
      <c r="A1424" s="91" t="s">
        <v>1315</v>
      </c>
      <c r="B1424" s="91" t="s">
        <v>1329</v>
      </c>
      <c r="C1424" s="91" t="s">
        <v>2699</v>
      </c>
      <c r="D1424" s="91" t="s">
        <v>15</v>
      </c>
      <c r="E1424" s="91"/>
      <c r="F1424">
        <v>18</v>
      </c>
      <c r="G1424" t="s">
        <v>1419</v>
      </c>
      <c r="H1424" s="89">
        <v>46111</v>
      </c>
      <c r="I1424" s="89">
        <v>46116</v>
      </c>
      <c r="J1424" s="91"/>
      <c r="K1424" s="91"/>
      <c r="M1424" s="91"/>
      <c r="N1424" s="91" t="s">
        <v>2684</v>
      </c>
    </row>
    <row r="1425" spans="1:14" x14ac:dyDescent="0.25">
      <c r="A1425" s="91" t="s">
        <v>1316</v>
      </c>
      <c r="B1425" s="91" t="s">
        <v>1330</v>
      </c>
      <c r="C1425" s="91" t="s">
        <v>2702</v>
      </c>
      <c r="D1425" s="91" t="s">
        <v>15</v>
      </c>
      <c r="E1425" s="91"/>
      <c r="F1425">
        <v>70</v>
      </c>
      <c r="G1425" t="s">
        <v>1419</v>
      </c>
      <c r="H1425" s="89">
        <v>46111</v>
      </c>
      <c r="I1425" s="89">
        <v>46113</v>
      </c>
      <c r="J1425" s="91"/>
      <c r="K1425" s="91"/>
      <c r="M1425" s="91"/>
      <c r="N1425" s="91" t="s">
        <v>2684</v>
      </c>
    </row>
    <row r="1426" spans="1:14" x14ac:dyDescent="0.25">
      <c r="A1426" s="91" t="s">
        <v>1317</v>
      </c>
      <c r="B1426" s="91" t="s">
        <v>1331</v>
      </c>
      <c r="C1426" s="91" t="s">
        <v>2703</v>
      </c>
      <c r="D1426" s="91" t="s">
        <v>15</v>
      </c>
      <c r="E1426" s="91"/>
      <c r="F1426">
        <v>36</v>
      </c>
      <c r="G1426" t="s">
        <v>1419</v>
      </c>
      <c r="H1426" s="89">
        <v>46111</v>
      </c>
      <c r="I1426" s="89">
        <v>46113</v>
      </c>
      <c r="J1426" s="91"/>
      <c r="K1426" s="91"/>
      <c r="M1426" s="91"/>
      <c r="N1426" s="91" t="s">
        <v>2684</v>
      </c>
    </row>
    <row r="1427" spans="1:14" x14ac:dyDescent="0.25">
      <c r="A1427" s="91" t="s">
        <v>1318</v>
      </c>
      <c r="B1427" s="91" t="s">
        <v>1332</v>
      </c>
      <c r="C1427" s="91" t="s">
        <v>2704</v>
      </c>
      <c r="D1427" s="91" t="s">
        <v>15</v>
      </c>
      <c r="E1427" s="91"/>
      <c r="F1427">
        <v>45</v>
      </c>
      <c r="G1427" t="s">
        <v>1419</v>
      </c>
      <c r="H1427" s="89">
        <v>46111</v>
      </c>
      <c r="I1427" s="89">
        <v>46113</v>
      </c>
      <c r="J1427" s="91"/>
      <c r="K1427" s="91"/>
      <c r="M1427" s="91"/>
      <c r="N1427" s="91" t="s">
        <v>2684</v>
      </c>
    </row>
    <row r="1428" spans="1:14" x14ac:dyDescent="0.25">
      <c r="A1428" s="91" t="s">
        <v>1324</v>
      </c>
      <c r="B1428" s="91" t="s">
        <v>1338</v>
      </c>
      <c r="C1428" s="91" t="s">
        <v>2705</v>
      </c>
      <c r="D1428" s="91" t="s">
        <v>23</v>
      </c>
      <c r="E1428" s="91"/>
      <c r="F1428">
        <v>816</v>
      </c>
      <c r="G1428">
        <v>17</v>
      </c>
      <c r="H1428" s="89">
        <v>46111</v>
      </c>
      <c r="I1428" s="89">
        <v>46118</v>
      </c>
      <c r="J1428" s="91" t="s">
        <v>2700</v>
      </c>
      <c r="K1428" s="91"/>
      <c r="M1428" s="91"/>
      <c r="N1428" s="91" t="s">
        <v>2684</v>
      </c>
    </row>
    <row r="1429" spans="1:14" x14ac:dyDescent="0.25">
      <c r="A1429" s="91" t="s">
        <v>1324</v>
      </c>
      <c r="B1429" s="91" t="s">
        <v>1338</v>
      </c>
      <c r="C1429" s="91" t="s">
        <v>2706</v>
      </c>
      <c r="D1429" s="91" t="s">
        <v>23</v>
      </c>
      <c r="E1429" s="91"/>
      <c r="F1429">
        <v>960</v>
      </c>
      <c r="G1429">
        <v>20</v>
      </c>
      <c r="H1429" s="89">
        <v>46112</v>
      </c>
      <c r="I1429" s="89">
        <v>46119</v>
      </c>
      <c r="J1429" s="91" t="s">
        <v>2707</v>
      </c>
      <c r="K1429" s="91"/>
      <c r="M1429" s="91"/>
      <c r="N1429" s="91" t="s">
        <v>2684</v>
      </c>
    </row>
    <row r="1430" spans="1:14" x14ac:dyDescent="0.25">
      <c r="A1430" s="91" t="s">
        <v>1324</v>
      </c>
      <c r="B1430" s="91" t="s">
        <v>1338</v>
      </c>
      <c r="C1430" s="91" t="s">
        <v>2708</v>
      </c>
      <c r="D1430" s="91" t="s">
        <v>21</v>
      </c>
      <c r="E1430" s="91"/>
      <c r="F1430">
        <v>960</v>
      </c>
      <c r="G1430">
        <v>20</v>
      </c>
      <c r="H1430" s="89">
        <v>46112</v>
      </c>
      <c r="I1430" s="89">
        <v>46119</v>
      </c>
      <c r="J1430" s="91" t="s">
        <v>2707</v>
      </c>
      <c r="K1430" s="91"/>
      <c r="M1430" s="91"/>
      <c r="N1430" s="91" t="s">
        <v>2684</v>
      </c>
    </row>
    <row r="1431" spans="1:14" x14ac:dyDescent="0.25">
      <c r="A1431" s="91" t="s">
        <v>1313</v>
      </c>
      <c r="B1431" s="91" t="s">
        <v>1327</v>
      </c>
      <c r="C1431" s="91" t="s">
        <v>2708</v>
      </c>
      <c r="D1431" s="91" t="s">
        <v>21</v>
      </c>
      <c r="E1431" s="91"/>
      <c r="F1431">
        <v>576</v>
      </c>
      <c r="G1431">
        <v>12</v>
      </c>
      <c r="H1431" s="89">
        <v>46112</v>
      </c>
      <c r="I1431" s="89">
        <v>46117</v>
      </c>
      <c r="J1431" s="91" t="s">
        <v>2709</v>
      </c>
      <c r="K1431" s="91"/>
      <c r="M1431" s="91"/>
      <c r="N1431" s="91" t="s">
        <v>2684</v>
      </c>
    </row>
    <row r="1432" spans="1:14" x14ac:dyDescent="0.25">
      <c r="A1432" s="91" t="s">
        <v>1313</v>
      </c>
      <c r="B1432" s="91" t="s">
        <v>1327</v>
      </c>
      <c r="C1432" s="91" t="s">
        <v>2708</v>
      </c>
      <c r="D1432" s="91" t="s">
        <v>21</v>
      </c>
      <c r="E1432" s="91"/>
      <c r="F1432">
        <v>192</v>
      </c>
      <c r="G1432">
        <v>4</v>
      </c>
      <c r="H1432" s="89">
        <v>46112</v>
      </c>
      <c r="I1432" s="89">
        <v>46119</v>
      </c>
      <c r="J1432" s="91" t="s">
        <v>2710</v>
      </c>
      <c r="K1432" s="91"/>
      <c r="M1432" s="91"/>
      <c r="N1432" s="91" t="s">
        <v>2684</v>
      </c>
    </row>
    <row r="1433" spans="1:14" x14ac:dyDescent="0.25">
      <c r="A1433" s="91" t="s">
        <v>1315</v>
      </c>
      <c r="B1433" s="91" t="s">
        <v>1329</v>
      </c>
      <c r="C1433" s="91" t="s">
        <v>2708</v>
      </c>
      <c r="D1433" s="91" t="s">
        <v>21</v>
      </c>
      <c r="E1433" s="91"/>
      <c r="F1433">
        <v>121</v>
      </c>
      <c r="G1433" t="s">
        <v>1419</v>
      </c>
      <c r="H1433" s="89">
        <v>46112</v>
      </c>
      <c r="I1433" s="89">
        <v>46116</v>
      </c>
      <c r="J1433" s="91"/>
      <c r="K1433" s="91"/>
      <c r="M1433" s="91"/>
      <c r="N1433" s="91" t="s">
        <v>2684</v>
      </c>
    </row>
    <row r="1434" spans="1:14" x14ac:dyDescent="0.25">
      <c r="A1434" s="91" t="s">
        <v>1316</v>
      </c>
      <c r="B1434" s="91" t="s">
        <v>1330</v>
      </c>
      <c r="C1434" s="91" t="s">
        <v>2711</v>
      </c>
      <c r="D1434" s="91" t="s">
        <v>21</v>
      </c>
      <c r="E1434" s="91"/>
      <c r="F1434">
        <v>63</v>
      </c>
      <c r="G1434" t="s">
        <v>1419</v>
      </c>
      <c r="H1434" s="89">
        <v>46112</v>
      </c>
      <c r="I1434" s="89">
        <v>46114</v>
      </c>
      <c r="J1434" s="91"/>
      <c r="K1434" s="91"/>
      <c r="M1434" s="91"/>
      <c r="N1434" s="91" t="s">
        <v>2684</v>
      </c>
    </row>
    <row r="1435" spans="1:14" x14ac:dyDescent="0.25">
      <c r="A1435" s="91" t="s">
        <v>1317</v>
      </c>
      <c r="B1435" s="91" t="s">
        <v>1331</v>
      </c>
      <c r="C1435" s="91" t="s">
        <v>2712</v>
      </c>
      <c r="D1435" s="91" t="s">
        <v>21</v>
      </c>
      <c r="E1435" s="91"/>
      <c r="F1435">
        <v>9</v>
      </c>
      <c r="G1435" t="s">
        <v>1419</v>
      </c>
      <c r="H1435" s="89">
        <v>46112</v>
      </c>
      <c r="I1435" s="89">
        <v>46114</v>
      </c>
      <c r="J1435" s="91"/>
      <c r="K1435" s="91"/>
      <c r="M1435" s="91"/>
      <c r="N1435" s="91" t="s">
        <v>2684</v>
      </c>
    </row>
    <row r="1436" spans="1:14" x14ac:dyDescent="0.25">
      <c r="A1436" s="91" t="s">
        <v>1318</v>
      </c>
      <c r="B1436" s="91" t="s">
        <v>1332</v>
      </c>
      <c r="C1436" s="91" t="s">
        <v>2713</v>
      </c>
      <c r="D1436" s="91" t="s">
        <v>21</v>
      </c>
      <c r="E1436" s="91"/>
      <c r="F1436">
        <v>93</v>
      </c>
      <c r="G1436" t="s">
        <v>1419</v>
      </c>
      <c r="H1436" s="89">
        <v>46112</v>
      </c>
      <c r="I1436" s="89">
        <v>46114</v>
      </c>
      <c r="J1436" s="91"/>
      <c r="K1436" s="91"/>
      <c r="M1436" s="91"/>
      <c r="N1436" s="91" t="s">
        <v>2684</v>
      </c>
    </row>
    <row r="1437" spans="1:14" x14ac:dyDescent="0.25">
      <c r="A1437" s="91" t="s">
        <v>1321</v>
      </c>
      <c r="B1437" s="91" t="s">
        <v>1335</v>
      </c>
      <c r="C1437" s="91" t="s">
        <v>2714</v>
      </c>
      <c r="D1437" s="91" t="s">
        <v>32</v>
      </c>
      <c r="E1437" s="91"/>
      <c r="F1437">
        <v>144</v>
      </c>
      <c r="G1437">
        <v>3</v>
      </c>
      <c r="H1437" s="89">
        <v>46112</v>
      </c>
      <c r="I1437" s="89">
        <v>46118</v>
      </c>
      <c r="J1437" s="91" t="s">
        <v>2700</v>
      </c>
      <c r="K1437" s="91"/>
      <c r="M1437" s="91"/>
      <c r="N1437" s="91" t="s">
        <v>2684</v>
      </c>
    </row>
    <row r="1438" spans="1:14" x14ac:dyDescent="0.25">
      <c r="A1438" s="91" t="s">
        <v>1320</v>
      </c>
      <c r="B1438" s="91" t="s">
        <v>1334</v>
      </c>
      <c r="C1438" s="91" t="s">
        <v>2715</v>
      </c>
      <c r="D1438" s="91" t="s">
        <v>15</v>
      </c>
      <c r="E1438" s="91"/>
      <c r="F1438">
        <v>960</v>
      </c>
      <c r="G1438">
        <v>20</v>
      </c>
      <c r="H1438" s="89">
        <v>46112</v>
      </c>
      <c r="I1438" s="89">
        <v>46118</v>
      </c>
      <c r="J1438" s="91" t="s">
        <v>2716</v>
      </c>
      <c r="K1438" s="91"/>
      <c r="M1438" s="91"/>
      <c r="N1438" s="91" t="s">
        <v>2684</v>
      </c>
    </row>
    <row r="1439" spans="1:14" x14ac:dyDescent="0.25">
      <c r="A1439" s="91" t="s">
        <v>1313</v>
      </c>
      <c r="B1439" s="91" t="s">
        <v>1327</v>
      </c>
      <c r="C1439" s="91" t="s">
        <v>2715</v>
      </c>
      <c r="D1439" s="91" t="s">
        <v>15</v>
      </c>
      <c r="E1439" s="91"/>
      <c r="F1439">
        <v>463</v>
      </c>
      <c r="G1439">
        <v>9.6458333333333339</v>
      </c>
      <c r="H1439" s="89">
        <v>46112</v>
      </c>
      <c r="I1439" s="89">
        <v>46117</v>
      </c>
      <c r="J1439" s="91" t="s">
        <v>2709</v>
      </c>
      <c r="K1439" s="91"/>
      <c r="M1439" s="91"/>
      <c r="N1439" s="91" t="s">
        <v>2684</v>
      </c>
    </row>
    <row r="1440" spans="1:14" x14ac:dyDescent="0.25">
      <c r="A1440" s="91" t="s">
        <v>1316</v>
      </c>
      <c r="B1440" s="91" t="s">
        <v>1330</v>
      </c>
      <c r="C1440" s="91" t="s">
        <v>2717</v>
      </c>
      <c r="D1440" s="91" t="s">
        <v>15</v>
      </c>
      <c r="E1440" s="91"/>
      <c r="F1440">
        <v>101</v>
      </c>
      <c r="G1440" t="s">
        <v>1419</v>
      </c>
      <c r="H1440" s="89">
        <v>46112</v>
      </c>
      <c r="I1440" s="89">
        <v>46114</v>
      </c>
      <c r="J1440" s="91"/>
      <c r="K1440" s="91"/>
      <c r="M1440" s="91"/>
      <c r="N1440" s="91" t="s">
        <v>2684</v>
      </c>
    </row>
    <row r="1441" spans="1:14" x14ac:dyDescent="0.25">
      <c r="A1441" s="91" t="s">
        <v>1317</v>
      </c>
      <c r="B1441" s="91" t="s">
        <v>1331</v>
      </c>
      <c r="C1441" s="91" t="s">
        <v>2718</v>
      </c>
      <c r="D1441" s="91" t="s">
        <v>15</v>
      </c>
      <c r="E1441" s="91"/>
      <c r="F1441">
        <v>29</v>
      </c>
      <c r="G1441" t="s">
        <v>1419</v>
      </c>
      <c r="H1441" s="89">
        <v>46112</v>
      </c>
      <c r="I1441" s="89">
        <v>46114</v>
      </c>
      <c r="J1441" s="91"/>
      <c r="K1441" s="91"/>
      <c r="M1441" s="91"/>
      <c r="N1441" s="91" t="s">
        <v>2684</v>
      </c>
    </row>
    <row r="1442" spans="1:14" x14ac:dyDescent="0.25">
      <c r="A1442" s="91" t="s">
        <v>1318</v>
      </c>
      <c r="B1442" s="91" t="s">
        <v>1332</v>
      </c>
      <c r="C1442" s="91" t="s">
        <v>2719</v>
      </c>
      <c r="D1442" s="91" t="s">
        <v>15</v>
      </c>
      <c r="E1442" s="91"/>
      <c r="F1442">
        <v>42</v>
      </c>
      <c r="G1442" t="s">
        <v>1419</v>
      </c>
      <c r="H1442" s="89">
        <v>46112</v>
      </c>
      <c r="I1442" s="89">
        <v>46114</v>
      </c>
      <c r="J1442" s="91"/>
      <c r="K1442" s="91"/>
      <c r="M1442" s="91"/>
      <c r="N1442" s="91" t="s">
        <v>2684</v>
      </c>
    </row>
    <row r="1443" spans="1:14" x14ac:dyDescent="0.25">
      <c r="A1443" s="91" t="s">
        <v>1325</v>
      </c>
      <c r="B1443" s="91" t="s">
        <v>1339</v>
      </c>
      <c r="C1443" s="91" t="s">
        <v>2714</v>
      </c>
      <c r="D1443" s="91" t="s">
        <v>32</v>
      </c>
      <c r="E1443" s="91"/>
      <c r="F1443">
        <v>336</v>
      </c>
      <c r="G1443">
        <v>7</v>
      </c>
      <c r="H1443" s="89">
        <v>46112</v>
      </c>
      <c r="I1443" s="89">
        <v>46114</v>
      </c>
      <c r="J1443" s="91"/>
      <c r="K1443" s="91"/>
      <c r="M1443" s="91"/>
      <c r="N1443" s="91" t="s">
        <v>2684</v>
      </c>
    </row>
    <row r="1444" spans="1:14" x14ac:dyDescent="0.25">
      <c r="A1444" s="91" t="s">
        <v>1313</v>
      </c>
      <c r="B1444" s="91" t="s">
        <v>1327</v>
      </c>
      <c r="C1444" s="91" t="s">
        <v>2720</v>
      </c>
      <c r="D1444" s="91" t="s">
        <v>20</v>
      </c>
      <c r="E1444" s="91"/>
      <c r="F1444">
        <v>624</v>
      </c>
      <c r="G1444">
        <v>13</v>
      </c>
      <c r="H1444" s="89">
        <v>46112</v>
      </c>
      <c r="I1444" s="89">
        <v>46116</v>
      </c>
      <c r="J1444" s="91" t="s">
        <v>2695</v>
      </c>
      <c r="K1444" s="91"/>
      <c r="M1444" s="91"/>
      <c r="N1444" s="91" t="s">
        <v>2684</v>
      </c>
    </row>
    <row r="1445" spans="1:14" x14ac:dyDescent="0.25">
      <c r="A1445" s="91" t="s">
        <v>1313</v>
      </c>
      <c r="B1445" s="91" t="s">
        <v>1327</v>
      </c>
      <c r="C1445" s="91" t="s">
        <v>2720</v>
      </c>
      <c r="D1445" s="91" t="s">
        <v>20</v>
      </c>
      <c r="E1445" s="91"/>
      <c r="F1445">
        <v>768</v>
      </c>
      <c r="G1445">
        <v>16</v>
      </c>
      <c r="H1445" s="89">
        <v>46112</v>
      </c>
      <c r="I1445" s="89">
        <v>46119</v>
      </c>
      <c r="J1445" s="91" t="s">
        <v>2710</v>
      </c>
      <c r="K1445" s="91"/>
      <c r="M1445" s="91"/>
      <c r="N1445" s="91" t="s">
        <v>2684</v>
      </c>
    </row>
    <row r="1446" spans="1:14" x14ac:dyDescent="0.25">
      <c r="A1446" s="91" t="s">
        <v>1313</v>
      </c>
      <c r="B1446" s="91" t="s">
        <v>1327</v>
      </c>
      <c r="C1446" s="91" t="s">
        <v>2720</v>
      </c>
      <c r="D1446" s="91" t="s">
        <v>20</v>
      </c>
      <c r="E1446" s="91"/>
      <c r="H1446" s="89">
        <v>46112</v>
      </c>
      <c r="I1446" s="89">
        <v>46113</v>
      </c>
      <c r="J1446" s="91"/>
      <c r="K1446" s="91"/>
      <c r="M1446" s="91"/>
      <c r="N1446" s="91" t="s">
        <v>2684</v>
      </c>
    </row>
    <row r="1447" spans="1:14" x14ac:dyDescent="0.25">
      <c r="A1447" s="91" t="s">
        <v>1316</v>
      </c>
      <c r="B1447" s="91" t="s">
        <v>1330</v>
      </c>
      <c r="C1447" s="91" t="s">
        <v>2721</v>
      </c>
      <c r="D1447" s="91" t="s">
        <v>20</v>
      </c>
      <c r="E1447" s="91"/>
      <c r="F1447">
        <v>174</v>
      </c>
      <c r="G1447" t="s">
        <v>1419</v>
      </c>
      <c r="H1447" s="89">
        <v>46112</v>
      </c>
      <c r="I1447" s="89">
        <v>46114</v>
      </c>
      <c r="J1447" s="91"/>
      <c r="K1447" s="91"/>
      <c r="M1447" s="91"/>
      <c r="N1447" s="91" t="s">
        <v>2684</v>
      </c>
    </row>
    <row r="1448" spans="1:14" x14ac:dyDescent="0.25">
      <c r="A1448" s="91" t="s">
        <v>1317</v>
      </c>
      <c r="B1448" s="91" t="s">
        <v>1331</v>
      </c>
      <c r="C1448" s="91" t="s">
        <v>2722</v>
      </c>
      <c r="D1448" s="91" t="s">
        <v>20</v>
      </c>
      <c r="E1448" s="91"/>
      <c r="F1448">
        <v>22</v>
      </c>
      <c r="G1448" t="s">
        <v>1419</v>
      </c>
      <c r="H1448" s="89">
        <v>46112</v>
      </c>
      <c r="I1448" s="89">
        <v>46114</v>
      </c>
      <c r="J1448" s="91"/>
      <c r="K1448" s="91"/>
      <c r="M1448" s="91"/>
      <c r="N1448" s="91" t="s">
        <v>2684</v>
      </c>
    </row>
    <row r="1449" spans="1:14" x14ac:dyDescent="0.25">
      <c r="A1449" s="91" t="s">
        <v>1318</v>
      </c>
      <c r="B1449" s="91" t="s">
        <v>1332</v>
      </c>
      <c r="C1449" s="91" t="s">
        <v>2723</v>
      </c>
      <c r="D1449" s="91" t="s">
        <v>20</v>
      </c>
      <c r="E1449" s="91"/>
      <c r="F1449">
        <v>72</v>
      </c>
      <c r="G1449" t="s">
        <v>1419</v>
      </c>
      <c r="H1449" s="89">
        <v>46112</v>
      </c>
      <c r="I1449" s="89">
        <v>46114</v>
      </c>
      <c r="J1449" s="91"/>
      <c r="K1449" s="91"/>
      <c r="M1449" s="91"/>
      <c r="N1449" s="91" t="s">
        <v>2684</v>
      </c>
    </row>
    <row r="1450" spans="1:14" x14ac:dyDescent="0.25">
      <c r="A1450" s="91" t="s">
        <v>1324</v>
      </c>
      <c r="B1450" s="91" t="s">
        <v>1338</v>
      </c>
      <c r="C1450" s="91" t="s">
        <v>2724</v>
      </c>
      <c r="D1450" s="91" t="s">
        <v>152</v>
      </c>
      <c r="E1450" s="91"/>
      <c r="F1450">
        <v>624</v>
      </c>
      <c r="G1450">
        <v>13</v>
      </c>
      <c r="H1450" s="89">
        <v>46113</v>
      </c>
      <c r="I1450" s="89">
        <v>46121</v>
      </c>
      <c r="J1450" s="91" t="s">
        <v>2725</v>
      </c>
      <c r="K1450" s="91"/>
      <c r="M1450" s="91"/>
      <c r="N1450" s="91" t="s">
        <v>2684</v>
      </c>
    </row>
    <row r="1451" spans="1:14" x14ac:dyDescent="0.25">
      <c r="A1451" s="91" t="s">
        <v>1321</v>
      </c>
      <c r="B1451" s="91" t="s">
        <v>1335</v>
      </c>
      <c r="C1451" s="91" t="s">
        <v>2726</v>
      </c>
      <c r="D1451" s="91" t="s">
        <v>32</v>
      </c>
      <c r="E1451" s="91"/>
      <c r="F1451">
        <v>144</v>
      </c>
      <c r="G1451">
        <v>3</v>
      </c>
      <c r="H1451" s="89">
        <v>46113</v>
      </c>
      <c r="I1451" s="89">
        <v>46122</v>
      </c>
      <c r="J1451" s="91" t="s">
        <v>2727</v>
      </c>
      <c r="K1451" s="91"/>
      <c r="M1451" s="91"/>
      <c r="N1451" s="91" t="s">
        <v>2684</v>
      </c>
    </row>
    <row r="1452" spans="1:14" x14ac:dyDescent="0.25">
      <c r="A1452" s="91" t="s">
        <v>1325</v>
      </c>
      <c r="B1452" s="91" t="s">
        <v>1339</v>
      </c>
      <c r="C1452" s="91" t="s">
        <v>2726</v>
      </c>
      <c r="D1452" s="91" t="s">
        <v>32</v>
      </c>
      <c r="E1452" s="91"/>
      <c r="F1452">
        <v>48</v>
      </c>
      <c r="G1452">
        <v>1</v>
      </c>
      <c r="H1452" s="89">
        <v>46113</v>
      </c>
      <c r="I1452" s="89">
        <v>46117</v>
      </c>
      <c r="J1452" s="91"/>
      <c r="K1452" s="91"/>
      <c r="M1452" s="91"/>
      <c r="N1452" s="91" t="s">
        <v>2684</v>
      </c>
    </row>
    <row r="1453" spans="1:14" x14ac:dyDescent="0.25">
      <c r="A1453" s="91" t="s">
        <v>1320</v>
      </c>
      <c r="B1453" s="91" t="s">
        <v>1334</v>
      </c>
      <c r="C1453" s="91" t="s">
        <v>2728</v>
      </c>
      <c r="D1453" s="91" t="s">
        <v>20</v>
      </c>
      <c r="E1453" s="91"/>
      <c r="F1453">
        <v>960</v>
      </c>
      <c r="G1453">
        <v>20</v>
      </c>
      <c r="H1453" s="89">
        <v>46113</v>
      </c>
      <c r="I1453" s="89">
        <v>46120</v>
      </c>
      <c r="J1453" s="91" t="s">
        <v>2729</v>
      </c>
      <c r="K1453" s="91"/>
      <c r="M1453" s="91"/>
      <c r="N1453" s="91" t="s">
        <v>2684</v>
      </c>
    </row>
    <row r="1454" spans="1:14" x14ac:dyDescent="0.25">
      <c r="A1454" s="91" t="s">
        <v>1313</v>
      </c>
      <c r="B1454" s="91" t="s">
        <v>1327</v>
      </c>
      <c r="C1454" s="91" t="s">
        <v>2728</v>
      </c>
      <c r="D1454" s="91" t="s">
        <v>20</v>
      </c>
      <c r="E1454" s="91"/>
      <c r="F1454">
        <v>187</v>
      </c>
      <c r="G1454">
        <v>3.8958333333333335</v>
      </c>
      <c r="H1454" s="89">
        <v>46113</v>
      </c>
      <c r="I1454" s="89">
        <v>46119</v>
      </c>
      <c r="J1454" s="91" t="s">
        <v>2710</v>
      </c>
      <c r="K1454" s="91"/>
      <c r="M1454" s="91"/>
      <c r="N1454" s="91" t="s">
        <v>2684</v>
      </c>
    </row>
    <row r="1455" spans="1:14" x14ac:dyDescent="0.25">
      <c r="A1455" s="91" t="s">
        <v>1315</v>
      </c>
      <c r="B1455" s="91" t="s">
        <v>1329</v>
      </c>
      <c r="C1455" s="91" t="s">
        <v>2728</v>
      </c>
      <c r="D1455" s="91" t="s">
        <v>20</v>
      </c>
      <c r="E1455" s="91"/>
      <c r="F1455">
        <v>5</v>
      </c>
      <c r="G1455">
        <v>0.10416666666666669</v>
      </c>
      <c r="H1455" s="89">
        <v>46113</v>
      </c>
      <c r="I1455" s="89">
        <v>46117</v>
      </c>
      <c r="J1455" s="91"/>
      <c r="K1455" s="91"/>
      <c r="M1455" s="91"/>
      <c r="N1455" s="91" t="s">
        <v>2684</v>
      </c>
    </row>
    <row r="1456" spans="1:14" x14ac:dyDescent="0.25">
      <c r="A1456" s="91" t="s">
        <v>1316</v>
      </c>
      <c r="B1456" s="91" t="s">
        <v>1330</v>
      </c>
      <c r="C1456" s="91" t="s">
        <v>2730</v>
      </c>
      <c r="D1456" s="91" t="s">
        <v>20</v>
      </c>
      <c r="E1456" s="91"/>
      <c r="F1456">
        <v>208</v>
      </c>
      <c r="G1456" t="s">
        <v>1419</v>
      </c>
      <c r="H1456" s="89">
        <v>46113</v>
      </c>
      <c r="I1456" s="89">
        <v>46115</v>
      </c>
      <c r="J1456" s="91"/>
      <c r="K1456" s="91"/>
      <c r="M1456" s="91"/>
      <c r="N1456" s="91" t="s">
        <v>2684</v>
      </c>
    </row>
    <row r="1457" spans="1:14" x14ac:dyDescent="0.25">
      <c r="A1457" s="91" t="s">
        <v>1317</v>
      </c>
      <c r="B1457" s="91" t="s">
        <v>1331</v>
      </c>
      <c r="C1457" s="91" t="s">
        <v>2731</v>
      </c>
      <c r="D1457" s="91" t="s">
        <v>20</v>
      </c>
      <c r="E1457" s="91"/>
      <c r="F1457">
        <v>7</v>
      </c>
      <c r="G1457" t="s">
        <v>1419</v>
      </c>
      <c r="H1457" s="89">
        <v>46113</v>
      </c>
      <c r="I1457" s="89">
        <v>46115</v>
      </c>
      <c r="J1457" s="91"/>
      <c r="K1457" s="91"/>
      <c r="M1457" s="91"/>
      <c r="N1457" s="91" t="s">
        <v>2684</v>
      </c>
    </row>
    <row r="1458" spans="1:14" x14ac:dyDescent="0.25">
      <c r="A1458" s="91" t="s">
        <v>1318</v>
      </c>
      <c r="B1458" s="91" t="s">
        <v>1332</v>
      </c>
      <c r="C1458" s="91" t="s">
        <v>2732</v>
      </c>
      <c r="D1458" s="91" t="s">
        <v>20</v>
      </c>
      <c r="E1458" s="91"/>
      <c r="F1458">
        <v>85</v>
      </c>
      <c r="G1458" t="s">
        <v>1419</v>
      </c>
      <c r="H1458" s="89">
        <v>46113</v>
      </c>
      <c r="I1458" s="89">
        <v>46115</v>
      </c>
      <c r="J1458" s="91"/>
      <c r="K1458" s="91"/>
      <c r="M1458" s="91"/>
      <c r="N1458" s="91" t="s">
        <v>2684</v>
      </c>
    </row>
    <row r="1459" spans="1:14" x14ac:dyDescent="0.25">
      <c r="A1459" s="91" t="s">
        <v>1313</v>
      </c>
      <c r="B1459" s="91" t="s">
        <v>1327</v>
      </c>
      <c r="C1459" s="91" t="s">
        <v>2733</v>
      </c>
      <c r="D1459" s="91" t="s">
        <v>15</v>
      </c>
      <c r="E1459" s="91"/>
      <c r="F1459">
        <v>17</v>
      </c>
      <c r="G1459">
        <v>0.35416666666666669</v>
      </c>
      <c r="H1459" s="89">
        <v>46113</v>
      </c>
      <c r="I1459" s="89">
        <v>46117</v>
      </c>
      <c r="J1459" s="91" t="s">
        <v>2709</v>
      </c>
      <c r="K1459" s="91"/>
      <c r="M1459" s="91"/>
      <c r="N1459" s="91" t="s">
        <v>2684</v>
      </c>
    </row>
    <row r="1460" spans="1:14" x14ac:dyDescent="0.25">
      <c r="A1460" s="91" t="s">
        <v>1320</v>
      </c>
      <c r="B1460" s="91" t="s">
        <v>1334</v>
      </c>
      <c r="C1460" s="91" t="s">
        <v>2733</v>
      </c>
      <c r="D1460" s="91" t="s">
        <v>15</v>
      </c>
      <c r="E1460" s="91"/>
      <c r="F1460">
        <v>960</v>
      </c>
      <c r="G1460">
        <v>20</v>
      </c>
      <c r="H1460" s="89">
        <v>46113</v>
      </c>
      <c r="I1460" s="89">
        <v>46120</v>
      </c>
      <c r="J1460" s="91" t="s">
        <v>2734</v>
      </c>
      <c r="K1460" s="91"/>
      <c r="M1460" s="91"/>
      <c r="N1460" s="91" t="s">
        <v>2684</v>
      </c>
    </row>
    <row r="1461" spans="1:14" x14ac:dyDescent="0.25">
      <c r="A1461" s="91" t="s">
        <v>1313</v>
      </c>
      <c r="B1461" s="91" t="s">
        <v>1327</v>
      </c>
      <c r="C1461" s="91" t="s">
        <v>2733</v>
      </c>
      <c r="D1461" s="91" t="s">
        <v>15</v>
      </c>
      <c r="E1461" s="91"/>
      <c r="F1461">
        <v>192</v>
      </c>
      <c r="G1461">
        <v>4</v>
      </c>
      <c r="H1461" s="89">
        <v>46113</v>
      </c>
      <c r="I1461" s="89">
        <v>46119</v>
      </c>
      <c r="J1461" s="91" t="s">
        <v>2735</v>
      </c>
      <c r="K1461" s="91"/>
      <c r="M1461" s="91"/>
      <c r="N1461" s="91" t="s">
        <v>2684</v>
      </c>
    </row>
    <row r="1462" spans="1:14" x14ac:dyDescent="0.25">
      <c r="A1462" s="91" t="s">
        <v>1313</v>
      </c>
      <c r="B1462" s="91" t="s">
        <v>1327</v>
      </c>
      <c r="C1462" s="91" t="s">
        <v>2733</v>
      </c>
      <c r="D1462" s="91" t="s">
        <v>15</v>
      </c>
      <c r="E1462" s="91"/>
      <c r="F1462">
        <v>240</v>
      </c>
      <c r="G1462">
        <v>5</v>
      </c>
      <c r="H1462" s="89">
        <v>46113</v>
      </c>
      <c r="I1462" s="89">
        <v>46118</v>
      </c>
      <c r="J1462" s="91" t="s">
        <v>2736</v>
      </c>
      <c r="K1462" s="91"/>
      <c r="M1462" s="91"/>
      <c r="N1462" s="91" t="s">
        <v>2684</v>
      </c>
    </row>
    <row r="1463" spans="1:14" x14ac:dyDescent="0.25">
      <c r="A1463" s="91" t="s">
        <v>1314</v>
      </c>
      <c r="B1463" s="91" t="s">
        <v>1328</v>
      </c>
      <c r="C1463" s="91" t="s">
        <v>2733</v>
      </c>
      <c r="D1463" s="91" t="s">
        <v>15</v>
      </c>
      <c r="E1463" s="91"/>
      <c r="F1463">
        <v>144</v>
      </c>
      <c r="G1463">
        <v>3</v>
      </c>
      <c r="H1463" s="89">
        <v>46113</v>
      </c>
      <c r="I1463" s="89">
        <v>46118</v>
      </c>
      <c r="J1463" s="91" t="s">
        <v>2737</v>
      </c>
      <c r="K1463" s="91"/>
      <c r="M1463" s="91"/>
      <c r="N1463" s="91" t="s">
        <v>2684</v>
      </c>
    </row>
    <row r="1464" spans="1:14" x14ac:dyDescent="0.25">
      <c r="A1464" s="91" t="s">
        <v>1314</v>
      </c>
      <c r="B1464" s="91" t="s">
        <v>1328</v>
      </c>
      <c r="C1464" s="91" t="s">
        <v>2733</v>
      </c>
      <c r="D1464" s="91" t="s">
        <v>15</v>
      </c>
      <c r="E1464" s="91"/>
      <c r="F1464">
        <v>336</v>
      </c>
      <c r="G1464">
        <v>7</v>
      </c>
      <c r="H1464" s="89">
        <v>46113</v>
      </c>
      <c r="I1464" s="89">
        <v>46119</v>
      </c>
      <c r="J1464" s="91" t="s">
        <v>2738</v>
      </c>
      <c r="K1464" s="91"/>
      <c r="M1464" s="91"/>
      <c r="N1464" s="91" t="s">
        <v>2684</v>
      </c>
    </row>
    <row r="1465" spans="1:14" x14ac:dyDescent="0.25">
      <c r="A1465" s="91" t="s">
        <v>1315</v>
      </c>
      <c r="B1465" s="91" t="s">
        <v>1329</v>
      </c>
      <c r="C1465" s="91" t="s">
        <v>2733</v>
      </c>
      <c r="D1465" s="91" t="s">
        <v>15</v>
      </c>
      <c r="E1465" s="91"/>
      <c r="F1465">
        <v>5</v>
      </c>
      <c r="G1465" t="s">
        <v>1419</v>
      </c>
      <c r="H1465" s="89">
        <v>46113</v>
      </c>
      <c r="I1465" s="89">
        <v>46116</v>
      </c>
      <c r="J1465" s="91"/>
      <c r="K1465" s="91"/>
      <c r="M1465" s="91"/>
      <c r="N1465" s="91" t="s">
        <v>2684</v>
      </c>
    </row>
    <row r="1466" spans="1:14" x14ac:dyDescent="0.25">
      <c r="A1466" s="91" t="s">
        <v>1316</v>
      </c>
      <c r="B1466" s="91" t="s">
        <v>1330</v>
      </c>
      <c r="C1466" s="91" t="s">
        <v>2739</v>
      </c>
      <c r="D1466" s="91" t="s">
        <v>15</v>
      </c>
      <c r="E1466" s="91"/>
      <c r="F1466">
        <v>137</v>
      </c>
      <c r="G1466" t="s">
        <v>1419</v>
      </c>
      <c r="H1466" s="89">
        <v>46113</v>
      </c>
      <c r="I1466" s="89">
        <v>46115</v>
      </c>
      <c r="J1466" s="91"/>
      <c r="K1466" s="91"/>
      <c r="M1466" s="91"/>
      <c r="N1466" s="91" t="s">
        <v>2684</v>
      </c>
    </row>
    <row r="1467" spans="1:14" x14ac:dyDescent="0.25">
      <c r="A1467" s="91" t="s">
        <v>1317</v>
      </c>
      <c r="B1467" s="91" t="s">
        <v>1331</v>
      </c>
      <c r="C1467" s="91" t="s">
        <v>2740</v>
      </c>
      <c r="D1467" s="91" t="s">
        <v>15</v>
      </c>
      <c r="E1467" s="91"/>
      <c r="F1467">
        <v>49</v>
      </c>
      <c r="G1467" t="s">
        <v>1419</v>
      </c>
      <c r="H1467" s="89">
        <v>46113</v>
      </c>
      <c r="I1467" s="89">
        <v>46115</v>
      </c>
      <c r="J1467" s="91"/>
      <c r="K1467" s="91"/>
      <c r="M1467" s="91"/>
      <c r="N1467" s="91" t="s">
        <v>2684</v>
      </c>
    </row>
    <row r="1468" spans="1:14" x14ac:dyDescent="0.25">
      <c r="A1468" s="91" t="s">
        <v>1318</v>
      </c>
      <c r="B1468" s="91" t="s">
        <v>1332</v>
      </c>
      <c r="C1468" s="91" t="s">
        <v>2741</v>
      </c>
      <c r="D1468" s="91" t="s">
        <v>15</v>
      </c>
      <c r="E1468" s="91"/>
      <c r="F1468">
        <v>57</v>
      </c>
      <c r="G1468" t="s">
        <v>1419</v>
      </c>
      <c r="H1468" s="89">
        <v>46113</v>
      </c>
      <c r="I1468" s="89">
        <v>46115</v>
      </c>
      <c r="J1468" s="91"/>
      <c r="K1468" s="91"/>
      <c r="M1468" s="91"/>
      <c r="N1468" s="91" t="s">
        <v>2684</v>
      </c>
    </row>
    <row r="1469" spans="1:14" x14ac:dyDescent="0.25">
      <c r="A1469" s="91" t="s">
        <v>1313</v>
      </c>
      <c r="B1469" s="91" t="s">
        <v>1327</v>
      </c>
      <c r="C1469" s="91" t="s">
        <v>2742</v>
      </c>
      <c r="D1469" s="91" t="s">
        <v>21</v>
      </c>
      <c r="E1469" s="91"/>
      <c r="F1469">
        <v>96</v>
      </c>
      <c r="G1469">
        <v>2</v>
      </c>
      <c r="H1469" s="89">
        <v>46113</v>
      </c>
      <c r="I1469" s="89">
        <v>46117</v>
      </c>
      <c r="J1469" s="91" t="s">
        <v>2709</v>
      </c>
      <c r="K1469" s="91"/>
      <c r="M1469" s="91"/>
      <c r="N1469" s="91" t="s">
        <v>2684</v>
      </c>
    </row>
    <row r="1470" spans="1:14" x14ac:dyDescent="0.25">
      <c r="A1470" s="91" t="s">
        <v>1566</v>
      </c>
      <c r="B1470" s="91" t="s">
        <v>1567</v>
      </c>
      <c r="C1470" s="91" t="s">
        <v>2742</v>
      </c>
      <c r="D1470" s="91" t="s">
        <v>21</v>
      </c>
      <c r="E1470" s="91"/>
      <c r="F1470">
        <v>5</v>
      </c>
      <c r="G1470">
        <v>0.10416666666666669</v>
      </c>
      <c r="H1470" s="89">
        <v>46113</v>
      </c>
      <c r="I1470" s="89">
        <v>46119</v>
      </c>
      <c r="J1470" s="91" t="s">
        <v>2743</v>
      </c>
      <c r="K1470" s="91"/>
      <c r="M1470" s="91"/>
      <c r="N1470" s="91" t="s">
        <v>2684</v>
      </c>
    </row>
    <row r="1471" spans="1:14" x14ac:dyDescent="0.25">
      <c r="A1471" s="91" t="s">
        <v>1566</v>
      </c>
      <c r="B1471" s="91" t="s">
        <v>1567</v>
      </c>
      <c r="C1471" s="91" t="s">
        <v>2742</v>
      </c>
      <c r="D1471" s="91" t="s">
        <v>21</v>
      </c>
      <c r="E1471" s="91"/>
      <c r="F1471">
        <v>5</v>
      </c>
      <c r="G1471">
        <v>0.10416666666666669</v>
      </c>
      <c r="H1471" s="89">
        <v>46113</v>
      </c>
      <c r="I1471" s="89">
        <v>46118</v>
      </c>
      <c r="J1471" s="91" t="s">
        <v>2737</v>
      </c>
      <c r="K1471" s="91"/>
      <c r="M1471" s="91"/>
      <c r="N1471" s="91" t="s">
        <v>2684</v>
      </c>
    </row>
    <row r="1472" spans="1:14" x14ac:dyDescent="0.25">
      <c r="A1472" s="91" t="s">
        <v>1313</v>
      </c>
      <c r="B1472" s="91" t="s">
        <v>1327</v>
      </c>
      <c r="C1472" s="91" t="s">
        <v>2742</v>
      </c>
      <c r="D1472" s="91" t="s">
        <v>21</v>
      </c>
      <c r="E1472" s="91"/>
      <c r="F1472">
        <v>763</v>
      </c>
      <c r="G1472">
        <v>15.895833333333334</v>
      </c>
      <c r="H1472" s="89">
        <v>46113</v>
      </c>
      <c r="I1472" s="89">
        <v>46118</v>
      </c>
      <c r="J1472" s="91" t="s">
        <v>2736</v>
      </c>
      <c r="K1472" s="91"/>
      <c r="M1472" s="91"/>
      <c r="N1472" s="91" t="s">
        <v>2684</v>
      </c>
    </row>
    <row r="1473" spans="1:14" x14ac:dyDescent="0.25">
      <c r="A1473" s="91" t="s">
        <v>1320</v>
      </c>
      <c r="B1473" s="91" t="s">
        <v>1334</v>
      </c>
      <c r="C1473" s="91" t="s">
        <v>2742</v>
      </c>
      <c r="D1473" s="91" t="s">
        <v>21</v>
      </c>
      <c r="E1473" s="91"/>
      <c r="F1473">
        <v>960</v>
      </c>
      <c r="G1473">
        <v>20</v>
      </c>
      <c r="H1473" s="89">
        <v>46113</v>
      </c>
      <c r="I1473" s="89">
        <v>46121</v>
      </c>
      <c r="J1473" s="91" t="s">
        <v>2744</v>
      </c>
      <c r="K1473" s="91"/>
      <c r="M1473" s="91"/>
      <c r="N1473" s="91" t="s">
        <v>2684</v>
      </c>
    </row>
    <row r="1474" spans="1:14" x14ac:dyDescent="0.25">
      <c r="A1474" s="91" t="s">
        <v>1313</v>
      </c>
      <c r="B1474" s="91" t="s">
        <v>1327</v>
      </c>
      <c r="C1474" s="91" t="s">
        <v>2742</v>
      </c>
      <c r="D1474" s="91" t="s">
        <v>21</v>
      </c>
      <c r="E1474" s="91"/>
      <c r="F1474">
        <v>144</v>
      </c>
      <c r="G1474">
        <v>3</v>
      </c>
      <c r="H1474" s="89">
        <v>46113</v>
      </c>
      <c r="I1474" s="89">
        <v>46117</v>
      </c>
      <c r="J1474" s="91" t="s">
        <v>2745</v>
      </c>
      <c r="K1474" s="91"/>
      <c r="M1474" s="91"/>
      <c r="N1474" s="91" t="s">
        <v>2684</v>
      </c>
    </row>
    <row r="1475" spans="1:14" x14ac:dyDescent="0.25">
      <c r="A1475" s="91" t="s">
        <v>1315</v>
      </c>
      <c r="B1475" s="91" t="s">
        <v>1329</v>
      </c>
      <c r="C1475" s="91" t="s">
        <v>2742</v>
      </c>
      <c r="D1475" s="91" t="s">
        <v>21</v>
      </c>
      <c r="E1475" s="91"/>
      <c r="F1475">
        <v>79</v>
      </c>
      <c r="G1475" t="s">
        <v>1419</v>
      </c>
      <c r="H1475" s="89">
        <v>46113</v>
      </c>
      <c r="I1475" s="89">
        <v>46116</v>
      </c>
      <c r="J1475" s="91"/>
      <c r="K1475" s="91"/>
      <c r="M1475" s="91"/>
      <c r="N1475" s="91" t="s">
        <v>2684</v>
      </c>
    </row>
    <row r="1476" spans="1:14" x14ac:dyDescent="0.25">
      <c r="A1476" s="91" t="s">
        <v>1316</v>
      </c>
      <c r="B1476" s="91" t="s">
        <v>1330</v>
      </c>
      <c r="C1476" s="91" t="s">
        <v>2746</v>
      </c>
      <c r="D1476" s="91" t="s">
        <v>21</v>
      </c>
      <c r="E1476" s="91"/>
      <c r="F1476">
        <v>91</v>
      </c>
      <c r="G1476" t="s">
        <v>1419</v>
      </c>
      <c r="H1476" s="89">
        <v>46113</v>
      </c>
      <c r="I1476" s="89">
        <v>46115</v>
      </c>
      <c r="J1476" s="91"/>
      <c r="K1476" s="91"/>
      <c r="M1476" s="91"/>
      <c r="N1476" s="91" t="s">
        <v>2684</v>
      </c>
    </row>
    <row r="1477" spans="1:14" x14ac:dyDescent="0.25">
      <c r="A1477" s="91" t="s">
        <v>1317</v>
      </c>
      <c r="B1477" s="91" t="s">
        <v>1331</v>
      </c>
      <c r="C1477" s="91" t="s">
        <v>2747</v>
      </c>
      <c r="D1477" s="91" t="s">
        <v>21</v>
      </c>
      <c r="E1477" s="91"/>
      <c r="F1477">
        <v>10</v>
      </c>
      <c r="G1477" t="s">
        <v>1419</v>
      </c>
      <c r="H1477" s="89">
        <v>46113</v>
      </c>
      <c r="I1477" s="89">
        <v>46115</v>
      </c>
      <c r="J1477" s="91"/>
      <c r="K1477" s="91"/>
      <c r="M1477" s="91"/>
      <c r="N1477" s="91" t="s">
        <v>2684</v>
      </c>
    </row>
    <row r="1478" spans="1:14" x14ac:dyDescent="0.25">
      <c r="A1478" s="91" t="s">
        <v>1318</v>
      </c>
      <c r="B1478" s="91" t="s">
        <v>1332</v>
      </c>
      <c r="C1478" s="91" t="s">
        <v>2748</v>
      </c>
      <c r="D1478" s="91" t="s">
        <v>21</v>
      </c>
      <c r="E1478" s="91"/>
      <c r="F1478">
        <v>97</v>
      </c>
      <c r="G1478" t="s">
        <v>1419</v>
      </c>
      <c r="H1478" s="89">
        <v>46113</v>
      </c>
      <c r="I1478" s="89">
        <v>46115</v>
      </c>
      <c r="J1478" s="91"/>
      <c r="K1478" s="91"/>
      <c r="M1478" s="91"/>
      <c r="N1478" s="91" t="s">
        <v>2684</v>
      </c>
    </row>
    <row r="1479" spans="1:14" x14ac:dyDescent="0.25">
      <c r="A1479" s="91" t="s">
        <v>1324</v>
      </c>
      <c r="B1479" s="91" t="s">
        <v>1338</v>
      </c>
      <c r="C1479" s="91" t="s">
        <v>2749</v>
      </c>
      <c r="D1479" s="91" t="s">
        <v>23</v>
      </c>
      <c r="E1479" s="91"/>
      <c r="F1479">
        <v>960</v>
      </c>
      <c r="G1479">
        <v>20</v>
      </c>
      <c r="H1479" s="89">
        <v>46113</v>
      </c>
      <c r="I1479" s="89">
        <v>46122</v>
      </c>
      <c r="J1479" s="91" t="s">
        <v>2727</v>
      </c>
      <c r="K1479" s="91"/>
      <c r="M1479" s="91"/>
      <c r="N1479" s="91" t="s">
        <v>2684</v>
      </c>
    </row>
    <row r="1480" spans="1:14" x14ac:dyDescent="0.25">
      <c r="A1480" s="91" t="s">
        <v>1313</v>
      </c>
      <c r="B1480" s="91" t="s">
        <v>1327</v>
      </c>
      <c r="C1480" s="91" t="s">
        <v>2750</v>
      </c>
      <c r="D1480" s="91" t="s">
        <v>15</v>
      </c>
      <c r="E1480" s="91"/>
      <c r="F1480">
        <v>288</v>
      </c>
      <c r="G1480">
        <v>6</v>
      </c>
      <c r="H1480" s="89">
        <v>46114</v>
      </c>
      <c r="I1480" s="89">
        <v>46119</v>
      </c>
      <c r="J1480" s="91" t="s">
        <v>2735</v>
      </c>
      <c r="K1480" s="91"/>
      <c r="M1480" s="91"/>
      <c r="N1480" s="91" t="s">
        <v>2684</v>
      </c>
    </row>
    <row r="1481" spans="1:14" x14ac:dyDescent="0.25">
      <c r="A1481" s="91" t="s">
        <v>1324</v>
      </c>
      <c r="B1481" s="91" t="s">
        <v>1338</v>
      </c>
      <c r="C1481" s="91" t="s">
        <v>2750</v>
      </c>
      <c r="D1481" s="91" t="s">
        <v>15</v>
      </c>
      <c r="E1481" s="91"/>
      <c r="F1481">
        <v>816</v>
      </c>
      <c r="G1481">
        <v>17</v>
      </c>
      <c r="H1481" s="89">
        <v>46114</v>
      </c>
      <c r="I1481" s="89">
        <v>46122</v>
      </c>
      <c r="J1481" s="91" t="s">
        <v>2727</v>
      </c>
      <c r="K1481" s="91"/>
      <c r="M1481" s="91"/>
      <c r="N1481" s="91" t="s">
        <v>2684</v>
      </c>
    </row>
    <row r="1482" spans="1:14" x14ac:dyDescent="0.25">
      <c r="A1482" s="91" t="s">
        <v>1315</v>
      </c>
      <c r="B1482" s="91" t="s">
        <v>1329</v>
      </c>
      <c r="C1482" s="91" t="s">
        <v>2733</v>
      </c>
      <c r="D1482" s="91" t="s">
        <v>15</v>
      </c>
      <c r="E1482" s="91"/>
      <c r="F1482">
        <v>47</v>
      </c>
      <c r="G1482" t="s">
        <v>1419</v>
      </c>
      <c r="H1482" s="89">
        <v>46114</v>
      </c>
      <c r="I1482" s="89">
        <v>46116</v>
      </c>
      <c r="J1482" s="91"/>
      <c r="K1482" s="91"/>
      <c r="M1482" s="91"/>
      <c r="N1482" s="91" t="s">
        <v>2684</v>
      </c>
    </row>
    <row r="1483" spans="1:14" x14ac:dyDescent="0.25">
      <c r="A1483" s="91" t="s">
        <v>1316</v>
      </c>
      <c r="B1483" s="91" t="s">
        <v>1330</v>
      </c>
      <c r="C1483" s="91" t="s">
        <v>2751</v>
      </c>
      <c r="D1483" s="91" t="s">
        <v>15</v>
      </c>
      <c r="E1483" s="91"/>
      <c r="F1483">
        <v>90</v>
      </c>
      <c r="G1483" t="s">
        <v>1419</v>
      </c>
      <c r="H1483" s="89">
        <v>46114</v>
      </c>
      <c r="I1483" s="89">
        <v>46116</v>
      </c>
      <c r="J1483" s="91"/>
      <c r="K1483" s="91"/>
      <c r="M1483" s="91"/>
      <c r="N1483" s="91" t="s">
        <v>2684</v>
      </c>
    </row>
    <row r="1484" spans="1:14" x14ac:dyDescent="0.25">
      <c r="A1484" s="91" t="s">
        <v>1317</v>
      </c>
      <c r="B1484" s="91" t="s">
        <v>1331</v>
      </c>
      <c r="C1484" s="91" t="s">
        <v>2752</v>
      </c>
      <c r="D1484" s="91" t="s">
        <v>15</v>
      </c>
      <c r="E1484" s="91"/>
      <c r="F1484">
        <v>43</v>
      </c>
      <c r="G1484" t="s">
        <v>1419</v>
      </c>
      <c r="H1484" s="89">
        <v>46114</v>
      </c>
      <c r="I1484" s="89">
        <v>46116</v>
      </c>
      <c r="J1484" s="91"/>
      <c r="K1484" s="91"/>
      <c r="M1484" s="91"/>
      <c r="N1484" s="91" t="s">
        <v>2684</v>
      </c>
    </row>
    <row r="1485" spans="1:14" x14ac:dyDescent="0.25">
      <c r="A1485" s="91" t="s">
        <v>1318</v>
      </c>
      <c r="B1485" s="91" t="s">
        <v>1332</v>
      </c>
      <c r="C1485" s="91" t="s">
        <v>2753</v>
      </c>
      <c r="D1485" s="91" t="s">
        <v>15</v>
      </c>
      <c r="E1485" s="91"/>
      <c r="F1485">
        <v>49</v>
      </c>
      <c r="G1485" t="s">
        <v>1419</v>
      </c>
      <c r="H1485" s="89">
        <v>46114</v>
      </c>
      <c r="I1485" s="89">
        <v>46116</v>
      </c>
      <c r="J1485" s="91"/>
      <c r="K1485" s="91"/>
      <c r="M1485" s="91"/>
      <c r="N1485" s="91" t="s">
        <v>2684</v>
      </c>
    </row>
    <row r="1486" spans="1:14" x14ac:dyDescent="0.25">
      <c r="A1486" s="91" t="s">
        <v>1320</v>
      </c>
      <c r="B1486" s="91" t="s">
        <v>1334</v>
      </c>
      <c r="C1486" s="91" t="s">
        <v>2754</v>
      </c>
      <c r="D1486" s="91" t="s">
        <v>28</v>
      </c>
      <c r="E1486" s="91"/>
      <c r="F1486">
        <v>960</v>
      </c>
      <c r="G1486">
        <v>20</v>
      </c>
      <c r="H1486" s="89">
        <v>46114</v>
      </c>
      <c r="I1486" s="89">
        <v>46121</v>
      </c>
      <c r="J1486" s="91" t="s">
        <v>2755</v>
      </c>
      <c r="K1486" s="91"/>
      <c r="M1486" s="91"/>
      <c r="N1486" s="91" t="s">
        <v>2684</v>
      </c>
    </row>
    <row r="1487" spans="1:14" x14ac:dyDescent="0.25">
      <c r="A1487" s="91" t="s">
        <v>1315</v>
      </c>
      <c r="B1487" s="91" t="s">
        <v>1329</v>
      </c>
      <c r="C1487" s="91" t="s">
        <v>2754</v>
      </c>
      <c r="D1487" s="91" t="s">
        <v>28</v>
      </c>
      <c r="E1487" s="91"/>
      <c r="F1487">
        <v>6</v>
      </c>
      <c r="G1487">
        <v>20</v>
      </c>
      <c r="H1487" s="89">
        <v>46114</v>
      </c>
      <c r="I1487" s="89">
        <v>46116</v>
      </c>
      <c r="J1487" s="91"/>
      <c r="K1487" s="91"/>
      <c r="M1487" s="91"/>
      <c r="N1487" s="91" t="s">
        <v>2684</v>
      </c>
    </row>
    <row r="1488" spans="1:14" x14ac:dyDescent="0.25">
      <c r="A1488" s="91" t="s">
        <v>1316</v>
      </c>
      <c r="B1488" s="91" t="s">
        <v>1330</v>
      </c>
      <c r="C1488" s="91" t="s">
        <v>2756</v>
      </c>
      <c r="D1488" s="91" t="s">
        <v>28</v>
      </c>
      <c r="E1488" s="91"/>
      <c r="F1488">
        <v>38</v>
      </c>
      <c r="G1488" t="s">
        <v>1419</v>
      </c>
      <c r="H1488" s="89">
        <v>46114</v>
      </c>
      <c r="I1488" s="89">
        <v>46116</v>
      </c>
      <c r="J1488" s="91"/>
      <c r="K1488" s="91"/>
      <c r="M1488" s="91"/>
      <c r="N1488" s="91" t="s">
        <v>2684</v>
      </c>
    </row>
    <row r="1489" spans="1:14" x14ac:dyDescent="0.25">
      <c r="A1489" s="91" t="s">
        <v>1317</v>
      </c>
      <c r="B1489" s="91" t="s">
        <v>1331</v>
      </c>
      <c r="C1489" s="91" t="s">
        <v>2757</v>
      </c>
      <c r="D1489" s="91" t="s">
        <v>28</v>
      </c>
      <c r="E1489" s="91"/>
      <c r="F1489">
        <v>2</v>
      </c>
      <c r="G1489" t="s">
        <v>1419</v>
      </c>
      <c r="H1489" s="89">
        <v>46114</v>
      </c>
      <c r="I1489" s="89">
        <v>46116</v>
      </c>
      <c r="J1489" s="91"/>
      <c r="K1489" s="91"/>
      <c r="M1489" s="91"/>
      <c r="N1489" s="91" t="s">
        <v>2684</v>
      </c>
    </row>
    <row r="1490" spans="1:14" x14ac:dyDescent="0.25">
      <c r="A1490" s="91" t="s">
        <v>1318</v>
      </c>
      <c r="B1490" s="91" t="s">
        <v>1332</v>
      </c>
      <c r="C1490" s="91" t="s">
        <v>2758</v>
      </c>
      <c r="D1490" s="91" t="s">
        <v>28</v>
      </c>
      <c r="E1490" s="91"/>
      <c r="F1490">
        <v>21</v>
      </c>
      <c r="G1490" t="s">
        <v>1419</v>
      </c>
      <c r="H1490" s="89">
        <v>46114</v>
      </c>
      <c r="I1490" s="89">
        <v>46116</v>
      </c>
      <c r="J1490" s="91"/>
      <c r="K1490" s="91"/>
      <c r="M1490" s="91"/>
      <c r="N1490" s="91" t="s">
        <v>2684</v>
      </c>
    </row>
    <row r="1491" spans="1:14" x14ac:dyDescent="0.25">
      <c r="A1491" s="91" t="s">
        <v>1324</v>
      </c>
      <c r="B1491" s="91" t="s">
        <v>1338</v>
      </c>
      <c r="C1491" s="91" t="s">
        <v>2759</v>
      </c>
      <c r="D1491" s="91" t="s">
        <v>118</v>
      </c>
      <c r="E1491" s="91"/>
      <c r="F1491">
        <v>336</v>
      </c>
      <c r="G1491">
        <v>7</v>
      </c>
      <c r="H1491" s="89">
        <v>46114</v>
      </c>
      <c r="I1491" s="89">
        <v>46121</v>
      </c>
      <c r="J1491" s="91" t="s">
        <v>2725</v>
      </c>
      <c r="K1491" s="91"/>
      <c r="M1491" s="91"/>
      <c r="N1491" s="91" t="s">
        <v>2684</v>
      </c>
    </row>
    <row r="1492" spans="1:14" x14ac:dyDescent="0.25">
      <c r="A1492" s="91" t="s">
        <v>1313</v>
      </c>
      <c r="B1492" s="91" t="s">
        <v>1327</v>
      </c>
      <c r="C1492" s="91" t="s">
        <v>2760</v>
      </c>
      <c r="D1492" s="91" t="s">
        <v>20</v>
      </c>
      <c r="E1492" s="91"/>
      <c r="F1492">
        <v>1008</v>
      </c>
      <c r="G1492">
        <v>21</v>
      </c>
      <c r="H1492" s="89">
        <v>46114</v>
      </c>
      <c r="I1492" s="89">
        <v>46117</v>
      </c>
      <c r="J1492" s="91" t="s">
        <v>2745</v>
      </c>
      <c r="K1492" s="91"/>
      <c r="M1492" s="91"/>
      <c r="N1492" s="91" t="s">
        <v>2684</v>
      </c>
    </row>
    <row r="1493" spans="1:14" x14ac:dyDescent="0.25">
      <c r="A1493" s="91" t="s">
        <v>1315</v>
      </c>
      <c r="B1493" s="91" t="s">
        <v>1329</v>
      </c>
      <c r="C1493" s="91" t="s">
        <v>2688</v>
      </c>
      <c r="D1493" s="91" t="s">
        <v>20</v>
      </c>
      <c r="E1493" s="91"/>
      <c r="F1493">
        <v>6</v>
      </c>
      <c r="G1493" t="s">
        <v>1419</v>
      </c>
      <c r="H1493" s="89">
        <v>46114</v>
      </c>
      <c r="I1493" s="89">
        <v>46116</v>
      </c>
      <c r="J1493" s="91"/>
      <c r="K1493" s="91"/>
      <c r="M1493" s="91"/>
      <c r="N1493" s="91" t="s">
        <v>2684</v>
      </c>
    </row>
    <row r="1494" spans="1:14" x14ac:dyDescent="0.25">
      <c r="A1494" s="91" t="s">
        <v>1316</v>
      </c>
      <c r="B1494" s="91" t="s">
        <v>1330</v>
      </c>
      <c r="C1494" s="91" t="s">
        <v>2761</v>
      </c>
      <c r="D1494" s="91" t="s">
        <v>20</v>
      </c>
      <c r="E1494" s="91"/>
      <c r="F1494">
        <v>142</v>
      </c>
      <c r="G1494" t="s">
        <v>1419</v>
      </c>
      <c r="H1494" s="89">
        <v>46114</v>
      </c>
      <c r="I1494" s="89">
        <v>46116</v>
      </c>
      <c r="J1494" s="91"/>
      <c r="K1494" s="91"/>
      <c r="M1494" s="91"/>
      <c r="N1494" s="91" t="s">
        <v>2684</v>
      </c>
    </row>
    <row r="1495" spans="1:14" x14ac:dyDescent="0.25">
      <c r="A1495" s="91" t="s">
        <v>1317</v>
      </c>
      <c r="B1495" s="91" t="s">
        <v>1331</v>
      </c>
      <c r="C1495" s="91" t="s">
        <v>2762</v>
      </c>
      <c r="D1495" s="91" t="s">
        <v>20</v>
      </c>
      <c r="E1495" s="91"/>
      <c r="F1495">
        <v>8</v>
      </c>
      <c r="G1495" t="s">
        <v>1419</v>
      </c>
      <c r="H1495" s="89">
        <v>46114</v>
      </c>
      <c r="I1495" s="89">
        <v>46116</v>
      </c>
      <c r="J1495" s="91"/>
      <c r="K1495" s="91"/>
      <c r="M1495" s="91"/>
      <c r="N1495" s="91" t="s">
        <v>2684</v>
      </c>
    </row>
    <row r="1496" spans="1:14" x14ac:dyDescent="0.25">
      <c r="A1496" s="91" t="s">
        <v>1318</v>
      </c>
      <c r="B1496" s="91" t="s">
        <v>1332</v>
      </c>
      <c r="C1496" s="91" t="s">
        <v>2763</v>
      </c>
      <c r="D1496" s="91" t="s">
        <v>20</v>
      </c>
      <c r="E1496" s="91"/>
      <c r="F1496">
        <v>46</v>
      </c>
      <c r="G1496" t="s">
        <v>1419</v>
      </c>
      <c r="H1496" s="89">
        <v>46114</v>
      </c>
      <c r="I1496" s="89">
        <v>46116</v>
      </c>
      <c r="J1496" s="91"/>
      <c r="K1496" s="91"/>
      <c r="M1496" s="91"/>
      <c r="N1496" s="91" t="s">
        <v>2684</v>
      </c>
    </row>
    <row r="1497" spans="1:14" x14ac:dyDescent="0.25">
      <c r="A1497" s="91" t="s">
        <v>1323</v>
      </c>
      <c r="B1497" s="91" t="s">
        <v>1337</v>
      </c>
      <c r="C1497" s="91" t="s">
        <v>2764</v>
      </c>
      <c r="D1497" s="91" t="s">
        <v>20</v>
      </c>
      <c r="E1497" s="91"/>
      <c r="F1497">
        <v>756</v>
      </c>
      <c r="G1497">
        <v>14</v>
      </c>
      <c r="H1497" s="89">
        <v>46132</v>
      </c>
      <c r="I1497" s="89">
        <v>46135</v>
      </c>
      <c r="J1497" s="91" t="s">
        <v>2765</v>
      </c>
      <c r="K1497" s="91"/>
      <c r="M1497" s="91"/>
      <c r="N1497" s="91" t="s">
        <v>2766</v>
      </c>
    </row>
    <row r="1498" spans="1:14" x14ac:dyDescent="0.25">
      <c r="A1498" s="91" t="s">
        <v>1322</v>
      </c>
      <c r="B1498" s="91" t="s">
        <v>1336</v>
      </c>
      <c r="C1498" s="91" t="s">
        <v>2764</v>
      </c>
      <c r="D1498" s="91" t="s">
        <v>20</v>
      </c>
      <c r="E1498" s="91"/>
      <c r="F1498">
        <v>324</v>
      </c>
      <c r="G1498">
        <v>6</v>
      </c>
      <c r="H1498" s="89">
        <v>46132</v>
      </c>
      <c r="I1498" s="89">
        <v>46135</v>
      </c>
      <c r="J1498" s="91" t="s">
        <v>2765</v>
      </c>
      <c r="K1498" s="91"/>
      <c r="M1498" s="91"/>
      <c r="N1498" s="91" t="s">
        <v>2766</v>
      </c>
    </row>
    <row r="1499" spans="1:14" x14ac:dyDescent="0.25">
      <c r="A1499" s="91" t="s">
        <v>1313</v>
      </c>
      <c r="B1499" s="91" t="s">
        <v>1327</v>
      </c>
      <c r="C1499" s="91" t="s">
        <v>2764</v>
      </c>
      <c r="D1499" s="91" t="s">
        <v>20</v>
      </c>
      <c r="E1499" s="91"/>
      <c r="F1499">
        <v>336</v>
      </c>
      <c r="G1499">
        <v>7</v>
      </c>
      <c r="H1499" s="89">
        <v>46132</v>
      </c>
      <c r="I1499" s="89">
        <v>46135</v>
      </c>
      <c r="J1499" s="91" t="s">
        <v>2767</v>
      </c>
      <c r="K1499" s="91"/>
      <c r="M1499" s="91"/>
      <c r="N1499" s="91" t="s">
        <v>2766</v>
      </c>
    </row>
    <row r="1500" spans="1:14" x14ac:dyDescent="0.25">
      <c r="A1500" s="91" t="s">
        <v>1315</v>
      </c>
      <c r="B1500" s="91" t="s">
        <v>1329</v>
      </c>
      <c r="C1500" s="91" t="s">
        <v>2764</v>
      </c>
      <c r="D1500" s="91" t="s">
        <v>20</v>
      </c>
      <c r="E1500" s="91"/>
      <c r="F1500">
        <v>7</v>
      </c>
      <c r="G1500" t="s">
        <v>1419</v>
      </c>
      <c r="H1500" s="89">
        <v>46132</v>
      </c>
      <c r="I1500" s="89">
        <v>46135</v>
      </c>
      <c r="J1500" s="91"/>
      <c r="K1500" s="91"/>
      <c r="M1500" s="91"/>
      <c r="N1500" s="91" t="s">
        <v>2766</v>
      </c>
    </row>
    <row r="1501" spans="1:14" x14ac:dyDescent="0.25">
      <c r="A1501" s="91" t="s">
        <v>1316</v>
      </c>
      <c r="B1501" s="91" t="s">
        <v>1330</v>
      </c>
      <c r="C1501" s="91" t="s">
        <v>2768</v>
      </c>
      <c r="D1501" s="91" t="s">
        <v>20</v>
      </c>
      <c r="E1501" s="91"/>
      <c r="F1501">
        <v>92</v>
      </c>
      <c r="G1501" t="s">
        <v>1419</v>
      </c>
      <c r="H1501" s="89">
        <v>46132</v>
      </c>
      <c r="I1501" s="89">
        <v>46134</v>
      </c>
      <c r="J1501" s="91"/>
      <c r="K1501" s="91"/>
      <c r="M1501" s="91"/>
      <c r="N1501" s="91" t="s">
        <v>2766</v>
      </c>
    </row>
    <row r="1502" spans="1:14" x14ac:dyDescent="0.25">
      <c r="A1502" s="91" t="s">
        <v>1317</v>
      </c>
      <c r="B1502" s="91" t="s">
        <v>1331</v>
      </c>
      <c r="C1502" s="91" t="s">
        <v>2769</v>
      </c>
      <c r="D1502" s="91" t="s">
        <v>20</v>
      </c>
      <c r="E1502" s="91"/>
      <c r="F1502">
        <v>4</v>
      </c>
      <c r="G1502" t="s">
        <v>1419</v>
      </c>
      <c r="H1502" s="89">
        <v>46132</v>
      </c>
      <c r="I1502" s="89">
        <v>46134</v>
      </c>
      <c r="J1502" s="91"/>
      <c r="K1502" s="91"/>
      <c r="M1502" s="91"/>
      <c r="N1502" s="91" t="s">
        <v>2766</v>
      </c>
    </row>
    <row r="1503" spans="1:14" x14ac:dyDescent="0.25">
      <c r="A1503" s="91" t="s">
        <v>1318</v>
      </c>
      <c r="B1503" s="91" t="s">
        <v>1332</v>
      </c>
      <c r="C1503" s="91" t="s">
        <v>2770</v>
      </c>
      <c r="D1503" s="91" t="s">
        <v>20</v>
      </c>
      <c r="E1503" s="91"/>
      <c r="F1503">
        <v>67</v>
      </c>
      <c r="G1503" t="s">
        <v>1419</v>
      </c>
      <c r="H1503" s="89">
        <v>46132</v>
      </c>
      <c r="I1503" s="89">
        <v>46134</v>
      </c>
      <c r="J1503" s="91"/>
      <c r="K1503" s="91"/>
      <c r="M1503" s="91"/>
      <c r="N1503" s="91" t="s">
        <v>2766</v>
      </c>
    </row>
    <row r="1504" spans="1:14" x14ac:dyDescent="0.25">
      <c r="A1504" s="91" t="s">
        <v>1313</v>
      </c>
      <c r="B1504" s="91" t="s">
        <v>1327</v>
      </c>
      <c r="C1504" s="91" t="s">
        <v>2771</v>
      </c>
      <c r="D1504" s="91" t="s">
        <v>129</v>
      </c>
      <c r="E1504" s="91"/>
      <c r="F1504">
        <v>960</v>
      </c>
      <c r="G1504">
        <v>20</v>
      </c>
      <c r="H1504" s="89">
        <v>46132</v>
      </c>
      <c r="I1504" s="89">
        <v>46136</v>
      </c>
      <c r="J1504" s="91" t="s">
        <v>2772</v>
      </c>
      <c r="K1504" s="91"/>
      <c r="M1504" s="91"/>
      <c r="N1504" s="91" t="s">
        <v>2766</v>
      </c>
    </row>
    <row r="1505" spans="1:14" x14ac:dyDescent="0.25">
      <c r="A1505" s="91" t="s">
        <v>1324</v>
      </c>
      <c r="B1505" s="91" t="s">
        <v>1338</v>
      </c>
      <c r="C1505" s="91" t="s">
        <v>2773</v>
      </c>
      <c r="D1505" s="91" t="s">
        <v>15</v>
      </c>
      <c r="E1505" s="91"/>
      <c r="F1505">
        <v>960</v>
      </c>
      <c r="G1505">
        <v>20</v>
      </c>
      <c r="H1505" s="89">
        <v>46132</v>
      </c>
      <c r="I1505" s="89">
        <v>46139</v>
      </c>
      <c r="J1505" s="91" t="s">
        <v>2774</v>
      </c>
      <c r="K1505" s="91"/>
      <c r="M1505" s="91"/>
      <c r="N1505" s="91" t="s">
        <v>2766</v>
      </c>
    </row>
    <row r="1506" spans="1:14" x14ac:dyDescent="0.25">
      <c r="A1506" s="91" t="s">
        <v>1314</v>
      </c>
      <c r="B1506" s="91" t="s">
        <v>1328</v>
      </c>
      <c r="C1506" s="91" t="s">
        <v>2773</v>
      </c>
      <c r="D1506" s="91" t="s">
        <v>15</v>
      </c>
      <c r="E1506" s="91"/>
      <c r="F1506">
        <v>314</v>
      </c>
      <c r="G1506">
        <v>6.541666666666667</v>
      </c>
      <c r="H1506" s="89">
        <v>46132</v>
      </c>
      <c r="I1506" s="89">
        <v>46135</v>
      </c>
      <c r="J1506" s="91" t="s">
        <v>2775</v>
      </c>
      <c r="K1506" s="91"/>
      <c r="M1506" s="91"/>
      <c r="N1506" s="91" t="s">
        <v>2766</v>
      </c>
    </row>
    <row r="1507" spans="1:14" x14ac:dyDescent="0.25">
      <c r="A1507" s="91" t="s">
        <v>1313</v>
      </c>
      <c r="B1507" s="91" t="s">
        <v>1327</v>
      </c>
      <c r="C1507" s="91" t="s">
        <v>2773</v>
      </c>
      <c r="D1507" s="91" t="s">
        <v>15</v>
      </c>
      <c r="E1507" s="91"/>
      <c r="F1507">
        <v>144</v>
      </c>
      <c r="G1507">
        <v>3</v>
      </c>
      <c r="H1507" s="89">
        <v>46132</v>
      </c>
      <c r="I1507" s="89">
        <v>46136</v>
      </c>
      <c r="J1507" s="91" t="s">
        <v>2772</v>
      </c>
      <c r="K1507" s="91"/>
      <c r="M1507" s="91"/>
      <c r="N1507" s="91" t="s">
        <v>2766</v>
      </c>
    </row>
    <row r="1508" spans="1:14" x14ac:dyDescent="0.25">
      <c r="A1508" s="91" t="s">
        <v>1319</v>
      </c>
      <c r="B1508" s="91" t="s">
        <v>1333</v>
      </c>
      <c r="C1508" s="91" t="s">
        <v>2773</v>
      </c>
      <c r="D1508" s="91" t="s">
        <v>15</v>
      </c>
      <c r="E1508" s="91"/>
      <c r="F1508">
        <v>48</v>
      </c>
      <c r="G1508">
        <v>1</v>
      </c>
      <c r="H1508" s="89">
        <v>46132</v>
      </c>
      <c r="I1508" s="89">
        <v>46136</v>
      </c>
      <c r="J1508" s="91" t="s">
        <v>2772</v>
      </c>
      <c r="K1508" s="91"/>
      <c r="M1508" s="91"/>
      <c r="N1508" s="91" t="s">
        <v>2766</v>
      </c>
    </row>
    <row r="1509" spans="1:14" x14ac:dyDescent="0.25">
      <c r="A1509" s="91" t="s">
        <v>1316</v>
      </c>
      <c r="B1509" s="91" t="s">
        <v>1330</v>
      </c>
      <c r="C1509" s="91" t="s">
        <v>2776</v>
      </c>
      <c r="D1509" s="91" t="s">
        <v>15</v>
      </c>
      <c r="E1509" s="91"/>
      <c r="F1509">
        <v>70</v>
      </c>
      <c r="G1509" t="s">
        <v>1419</v>
      </c>
      <c r="H1509" s="89">
        <v>46132</v>
      </c>
      <c r="I1509" s="89">
        <v>46134</v>
      </c>
      <c r="J1509" s="91"/>
      <c r="K1509" s="91"/>
      <c r="M1509" s="91"/>
      <c r="N1509" s="91" t="s">
        <v>2766</v>
      </c>
    </row>
    <row r="1510" spans="1:14" x14ac:dyDescent="0.25">
      <c r="A1510" s="91" t="s">
        <v>1317</v>
      </c>
      <c r="B1510" s="91" t="s">
        <v>1331</v>
      </c>
      <c r="C1510" s="91" t="s">
        <v>2777</v>
      </c>
      <c r="D1510" s="91" t="s">
        <v>15</v>
      </c>
      <c r="E1510" s="91"/>
      <c r="F1510">
        <v>26</v>
      </c>
      <c r="G1510" t="s">
        <v>1419</v>
      </c>
      <c r="H1510" s="89">
        <v>46132</v>
      </c>
      <c r="I1510" s="89">
        <v>46134</v>
      </c>
      <c r="J1510" s="91"/>
      <c r="K1510" s="91"/>
      <c r="M1510" s="91"/>
      <c r="N1510" s="91" t="s">
        <v>2766</v>
      </c>
    </row>
    <row r="1511" spans="1:14" x14ac:dyDescent="0.25">
      <c r="A1511" s="91" t="s">
        <v>1318</v>
      </c>
      <c r="B1511" s="91" t="s">
        <v>1332</v>
      </c>
      <c r="C1511" s="91" t="s">
        <v>2778</v>
      </c>
      <c r="D1511" s="91" t="s">
        <v>15</v>
      </c>
      <c r="E1511" s="91"/>
      <c r="F1511">
        <v>38</v>
      </c>
      <c r="G1511" t="s">
        <v>1419</v>
      </c>
      <c r="H1511" s="89">
        <v>46132</v>
      </c>
      <c r="I1511" s="89">
        <v>46134</v>
      </c>
      <c r="J1511" s="91"/>
      <c r="K1511" s="91"/>
      <c r="M1511" s="91"/>
      <c r="N1511" s="91" t="s">
        <v>2766</v>
      </c>
    </row>
    <row r="1512" spans="1:14" x14ac:dyDescent="0.25">
      <c r="A1512" s="91" t="s">
        <v>1320</v>
      </c>
      <c r="B1512" s="91" t="s">
        <v>1334</v>
      </c>
      <c r="C1512" s="91" t="s">
        <v>2779</v>
      </c>
      <c r="D1512" s="91" t="s">
        <v>103</v>
      </c>
      <c r="E1512" s="91"/>
      <c r="F1512">
        <v>960</v>
      </c>
      <c r="G1512">
        <v>20</v>
      </c>
      <c r="H1512" s="89">
        <v>46132</v>
      </c>
      <c r="I1512" s="89">
        <v>46136</v>
      </c>
      <c r="J1512" s="91" t="s">
        <v>2780</v>
      </c>
      <c r="K1512" s="91"/>
      <c r="M1512" s="91"/>
      <c r="N1512" s="91" t="s">
        <v>2766</v>
      </c>
    </row>
    <row r="1513" spans="1:14" x14ac:dyDescent="0.25">
      <c r="A1513" s="91" t="s">
        <v>1320</v>
      </c>
      <c r="B1513" s="91" t="s">
        <v>1334</v>
      </c>
      <c r="C1513" s="91" t="s">
        <v>2781</v>
      </c>
      <c r="D1513" s="91" t="s">
        <v>118</v>
      </c>
      <c r="E1513" s="91"/>
      <c r="F1513">
        <v>960</v>
      </c>
      <c r="G1513">
        <v>20</v>
      </c>
      <c r="H1513" s="89">
        <v>46132</v>
      </c>
      <c r="I1513" s="89">
        <v>46137</v>
      </c>
      <c r="J1513" s="91" t="s">
        <v>2782</v>
      </c>
      <c r="K1513" s="91"/>
      <c r="M1513" s="91"/>
      <c r="N1513" s="91" t="s">
        <v>2766</v>
      </c>
    </row>
    <row r="1514" spans="1:14" x14ac:dyDescent="0.25">
      <c r="A1514" s="91" t="s">
        <v>1320</v>
      </c>
      <c r="B1514" s="91" t="s">
        <v>1334</v>
      </c>
      <c r="C1514" s="91" t="s">
        <v>2783</v>
      </c>
      <c r="D1514" s="91" t="s">
        <v>21</v>
      </c>
      <c r="E1514" s="91"/>
      <c r="F1514">
        <v>960</v>
      </c>
      <c r="G1514">
        <v>20</v>
      </c>
      <c r="H1514" s="89">
        <v>46132</v>
      </c>
      <c r="I1514" s="89">
        <v>46136</v>
      </c>
      <c r="J1514" s="91" t="s">
        <v>2784</v>
      </c>
      <c r="K1514" s="91"/>
      <c r="M1514" s="91"/>
      <c r="N1514" s="91" t="s">
        <v>2766</v>
      </c>
    </row>
    <row r="1515" spans="1:14" x14ac:dyDescent="0.25">
      <c r="A1515" s="91" t="s">
        <v>1313</v>
      </c>
      <c r="B1515" s="91" t="s">
        <v>1327</v>
      </c>
      <c r="C1515" s="91" t="s">
        <v>2783</v>
      </c>
      <c r="D1515" s="91" t="s">
        <v>21</v>
      </c>
      <c r="E1515" s="91"/>
      <c r="F1515">
        <v>144</v>
      </c>
      <c r="G1515">
        <v>3</v>
      </c>
      <c r="H1515" s="89">
        <v>46132</v>
      </c>
      <c r="I1515" s="89">
        <v>46136</v>
      </c>
      <c r="J1515" s="91"/>
      <c r="K1515" s="91"/>
      <c r="M1515" s="91"/>
      <c r="N1515" s="91" t="s">
        <v>2766</v>
      </c>
    </row>
    <row r="1516" spans="1:14" x14ac:dyDescent="0.25">
      <c r="A1516" s="91" t="s">
        <v>1315</v>
      </c>
      <c r="B1516" s="91" t="s">
        <v>1329</v>
      </c>
      <c r="C1516" s="91" t="s">
        <v>2783</v>
      </c>
      <c r="D1516" s="91" t="s">
        <v>21</v>
      </c>
      <c r="E1516" s="91"/>
      <c r="F1516">
        <v>158</v>
      </c>
      <c r="G1516" t="s">
        <v>1419</v>
      </c>
      <c r="H1516" s="89">
        <v>46132</v>
      </c>
      <c r="I1516" s="89">
        <v>46135</v>
      </c>
      <c r="J1516" s="91"/>
      <c r="K1516" s="91"/>
      <c r="M1516" s="91"/>
      <c r="N1516" s="91" t="s">
        <v>2766</v>
      </c>
    </row>
    <row r="1517" spans="1:14" x14ac:dyDescent="0.25">
      <c r="A1517" s="91" t="s">
        <v>1316</v>
      </c>
      <c r="B1517" s="91" t="s">
        <v>1330</v>
      </c>
      <c r="C1517" s="91" t="s">
        <v>2785</v>
      </c>
      <c r="D1517" s="91" t="s">
        <v>21</v>
      </c>
      <c r="E1517" s="91"/>
      <c r="F1517">
        <v>19</v>
      </c>
      <c r="G1517" t="s">
        <v>1419</v>
      </c>
      <c r="H1517" s="89">
        <v>46132</v>
      </c>
      <c r="I1517" s="89">
        <v>46134</v>
      </c>
      <c r="J1517" s="91"/>
      <c r="K1517" s="91"/>
      <c r="M1517" s="91"/>
      <c r="N1517" s="91" t="s">
        <v>2766</v>
      </c>
    </row>
    <row r="1518" spans="1:14" x14ac:dyDescent="0.25">
      <c r="A1518" s="91" t="s">
        <v>1317</v>
      </c>
      <c r="B1518" s="91" t="s">
        <v>1331</v>
      </c>
      <c r="C1518" s="91" t="s">
        <v>2786</v>
      </c>
      <c r="D1518" s="91" t="s">
        <v>21</v>
      </c>
      <c r="E1518" s="91"/>
      <c r="F1518">
        <v>8</v>
      </c>
      <c r="G1518" t="s">
        <v>1419</v>
      </c>
      <c r="H1518" s="89">
        <v>46132</v>
      </c>
      <c r="I1518" s="89">
        <v>46134</v>
      </c>
      <c r="J1518" s="91"/>
      <c r="K1518" s="91"/>
      <c r="M1518" s="91"/>
      <c r="N1518" s="91" t="s">
        <v>2766</v>
      </c>
    </row>
    <row r="1519" spans="1:14" x14ac:dyDescent="0.25">
      <c r="A1519" s="91" t="s">
        <v>1318</v>
      </c>
      <c r="B1519" s="91" t="s">
        <v>1332</v>
      </c>
      <c r="C1519" s="91" t="s">
        <v>2787</v>
      </c>
      <c r="D1519" s="91" t="s">
        <v>21</v>
      </c>
      <c r="E1519" s="91"/>
      <c r="F1519">
        <v>82</v>
      </c>
      <c r="G1519" t="s">
        <v>1419</v>
      </c>
      <c r="H1519" s="89">
        <v>46132</v>
      </c>
      <c r="I1519" s="89">
        <v>46134</v>
      </c>
      <c r="J1519" s="91"/>
      <c r="K1519" s="91"/>
      <c r="M1519" s="91"/>
      <c r="N1519" s="91" t="s">
        <v>2766</v>
      </c>
    </row>
    <row r="1520" spans="1:14" x14ac:dyDescent="0.25">
      <c r="A1520" s="91" t="s">
        <v>1324</v>
      </c>
      <c r="B1520" s="91" t="s">
        <v>1338</v>
      </c>
      <c r="C1520" s="91" t="s">
        <v>2788</v>
      </c>
      <c r="D1520" s="91" t="s">
        <v>13</v>
      </c>
      <c r="E1520" s="91"/>
      <c r="F1520">
        <v>384</v>
      </c>
      <c r="G1520">
        <v>8</v>
      </c>
      <c r="H1520" s="89">
        <v>46132</v>
      </c>
      <c r="I1520" s="89">
        <v>46139</v>
      </c>
      <c r="J1520" s="91" t="s">
        <v>2774</v>
      </c>
      <c r="K1520" s="91"/>
      <c r="M1520" s="91"/>
      <c r="N1520" s="91" t="s">
        <v>2766</v>
      </c>
    </row>
    <row r="1521" spans="1:14" x14ac:dyDescent="0.25">
      <c r="A1521" s="91" t="s">
        <v>1324</v>
      </c>
      <c r="B1521" s="91" t="s">
        <v>1338</v>
      </c>
      <c r="C1521" s="91" t="s">
        <v>2789</v>
      </c>
      <c r="D1521" s="91" t="s">
        <v>152</v>
      </c>
      <c r="E1521" s="91"/>
      <c r="F1521">
        <v>576</v>
      </c>
      <c r="G1521">
        <v>12</v>
      </c>
      <c r="H1521" s="89">
        <v>46133</v>
      </c>
      <c r="I1521" s="89">
        <v>46139</v>
      </c>
      <c r="J1521" s="91" t="s">
        <v>2774</v>
      </c>
      <c r="K1521" s="91"/>
      <c r="M1521" s="91"/>
      <c r="N1521" s="91" t="s">
        <v>2766</v>
      </c>
    </row>
    <row r="1522" spans="1:14" x14ac:dyDescent="0.25">
      <c r="A1522" s="91" t="s">
        <v>1313</v>
      </c>
      <c r="B1522" s="91" t="s">
        <v>1327</v>
      </c>
      <c r="C1522" s="91" t="s">
        <v>2790</v>
      </c>
      <c r="D1522" s="91" t="s">
        <v>20</v>
      </c>
      <c r="E1522" s="91"/>
      <c r="F1522">
        <v>192</v>
      </c>
      <c r="G1522">
        <v>4</v>
      </c>
      <c r="H1522" s="89">
        <v>46133</v>
      </c>
      <c r="I1522" s="89">
        <v>46135</v>
      </c>
      <c r="J1522" s="91" t="s">
        <v>2791</v>
      </c>
      <c r="K1522" s="91"/>
      <c r="M1522" s="91"/>
      <c r="N1522" s="91" t="s">
        <v>2766</v>
      </c>
    </row>
    <row r="1523" spans="1:14" x14ac:dyDescent="0.25">
      <c r="A1523" s="91" t="s">
        <v>1313</v>
      </c>
      <c r="B1523" s="91" t="s">
        <v>1327</v>
      </c>
      <c r="C1523" s="91" t="s">
        <v>2790</v>
      </c>
      <c r="D1523" s="91" t="s">
        <v>20</v>
      </c>
      <c r="E1523" s="91"/>
      <c r="F1523">
        <v>336</v>
      </c>
      <c r="G1523">
        <v>7</v>
      </c>
      <c r="H1523" s="89">
        <v>46133</v>
      </c>
      <c r="I1523" s="89">
        <v>46138</v>
      </c>
      <c r="J1523" s="91" t="s">
        <v>2792</v>
      </c>
      <c r="K1523" s="91"/>
      <c r="M1523" s="91"/>
      <c r="N1523" s="91" t="s">
        <v>2766</v>
      </c>
    </row>
    <row r="1524" spans="1:14" x14ac:dyDescent="0.25">
      <c r="A1524" s="91" t="s">
        <v>1315</v>
      </c>
      <c r="B1524" s="91" t="s">
        <v>1329</v>
      </c>
      <c r="C1524" s="91" t="s">
        <v>2790</v>
      </c>
      <c r="D1524" s="91" t="s">
        <v>20</v>
      </c>
      <c r="E1524" s="91"/>
      <c r="F1524">
        <v>19</v>
      </c>
      <c r="G1524" t="s">
        <v>1419</v>
      </c>
      <c r="H1524" s="89">
        <v>46133</v>
      </c>
      <c r="I1524" s="89">
        <v>46135</v>
      </c>
      <c r="J1524" s="91"/>
      <c r="K1524" s="91"/>
      <c r="M1524" s="91"/>
      <c r="N1524" s="91" t="s">
        <v>2766</v>
      </c>
    </row>
    <row r="1525" spans="1:14" x14ac:dyDescent="0.25">
      <c r="A1525" s="91" t="s">
        <v>1316</v>
      </c>
      <c r="B1525" s="91" t="s">
        <v>1330</v>
      </c>
      <c r="C1525" s="91" t="s">
        <v>2793</v>
      </c>
      <c r="D1525" s="91" t="s">
        <v>20</v>
      </c>
      <c r="E1525" s="91"/>
      <c r="F1525">
        <v>128</v>
      </c>
      <c r="G1525" t="s">
        <v>1419</v>
      </c>
      <c r="H1525" s="89">
        <v>46133</v>
      </c>
      <c r="I1525" s="89">
        <v>46135</v>
      </c>
      <c r="J1525" s="91"/>
      <c r="K1525" s="91"/>
      <c r="M1525" s="91"/>
      <c r="N1525" s="91" t="s">
        <v>2766</v>
      </c>
    </row>
    <row r="1526" spans="1:14" x14ac:dyDescent="0.25">
      <c r="A1526" s="91" t="s">
        <v>1317</v>
      </c>
      <c r="B1526" s="91" t="s">
        <v>1331</v>
      </c>
      <c r="C1526" s="91" t="s">
        <v>2794</v>
      </c>
      <c r="D1526" s="91" t="s">
        <v>20</v>
      </c>
      <c r="E1526" s="91"/>
      <c r="F1526">
        <v>6</v>
      </c>
      <c r="G1526" t="s">
        <v>1419</v>
      </c>
      <c r="H1526" s="89">
        <v>46133</v>
      </c>
      <c r="I1526" s="89">
        <v>46135</v>
      </c>
      <c r="J1526" s="91"/>
      <c r="K1526" s="91"/>
      <c r="M1526" s="91"/>
      <c r="N1526" s="91" t="s">
        <v>2766</v>
      </c>
    </row>
    <row r="1527" spans="1:14" x14ac:dyDescent="0.25">
      <c r="A1527" s="91" t="s">
        <v>1318</v>
      </c>
      <c r="B1527" s="91" t="s">
        <v>1332</v>
      </c>
      <c r="C1527" s="91" t="s">
        <v>2795</v>
      </c>
      <c r="D1527" s="91" t="s">
        <v>20</v>
      </c>
      <c r="E1527" s="91"/>
      <c r="F1527">
        <v>87</v>
      </c>
      <c r="G1527" t="s">
        <v>1419</v>
      </c>
      <c r="H1527" s="89">
        <v>46133</v>
      </c>
      <c r="I1527" s="89">
        <v>46135</v>
      </c>
      <c r="J1527" s="91"/>
      <c r="K1527" s="91"/>
      <c r="M1527" s="91"/>
      <c r="N1527" s="91" t="s">
        <v>2766</v>
      </c>
    </row>
    <row r="1528" spans="1:14" x14ac:dyDescent="0.25">
      <c r="A1528" s="91" t="s">
        <v>1320</v>
      </c>
      <c r="B1528" s="91" t="s">
        <v>1334</v>
      </c>
      <c r="C1528" s="91" t="s">
        <v>2796</v>
      </c>
      <c r="D1528" s="91" t="s">
        <v>15</v>
      </c>
      <c r="E1528" s="91"/>
      <c r="F1528">
        <v>960</v>
      </c>
      <c r="G1528">
        <v>20</v>
      </c>
      <c r="H1528" s="89">
        <v>46133</v>
      </c>
      <c r="I1528" s="89">
        <v>46137</v>
      </c>
      <c r="J1528" s="91" t="s">
        <v>2797</v>
      </c>
      <c r="K1528" s="91"/>
      <c r="M1528" s="91"/>
      <c r="N1528" s="91" t="s">
        <v>2766</v>
      </c>
    </row>
    <row r="1529" spans="1:14" x14ac:dyDescent="0.25">
      <c r="A1529" s="91" t="s">
        <v>1313</v>
      </c>
      <c r="B1529" s="91" t="s">
        <v>1327</v>
      </c>
      <c r="C1529" s="91" t="s">
        <v>2796</v>
      </c>
      <c r="D1529" s="91" t="s">
        <v>15</v>
      </c>
      <c r="E1529" s="91"/>
      <c r="F1529">
        <v>288</v>
      </c>
      <c r="G1529">
        <v>6</v>
      </c>
      <c r="H1529" s="89">
        <v>46133</v>
      </c>
      <c r="I1529" s="89">
        <v>46135</v>
      </c>
      <c r="J1529" s="91" t="s">
        <v>2767</v>
      </c>
      <c r="K1529" s="91"/>
      <c r="M1529" s="91"/>
      <c r="N1529" s="91" t="s">
        <v>2766</v>
      </c>
    </row>
    <row r="1530" spans="1:14" x14ac:dyDescent="0.25">
      <c r="A1530" s="91" t="s">
        <v>1314</v>
      </c>
      <c r="B1530" s="91" t="s">
        <v>1328</v>
      </c>
      <c r="C1530" s="91" t="s">
        <v>2796</v>
      </c>
      <c r="D1530" s="91" t="s">
        <v>15</v>
      </c>
      <c r="E1530" s="91"/>
      <c r="F1530">
        <v>22</v>
      </c>
      <c r="G1530">
        <v>0.45833333333333326</v>
      </c>
      <c r="H1530" s="89">
        <v>46133</v>
      </c>
      <c r="I1530" s="89">
        <v>46135</v>
      </c>
      <c r="J1530" s="91" t="s">
        <v>2775</v>
      </c>
      <c r="K1530" s="91"/>
      <c r="M1530" s="91"/>
      <c r="N1530" s="91" t="s">
        <v>2766</v>
      </c>
    </row>
    <row r="1531" spans="1:14" x14ac:dyDescent="0.25">
      <c r="A1531" s="91" t="s">
        <v>1314</v>
      </c>
      <c r="B1531" s="91" t="s">
        <v>1328</v>
      </c>
      <c r="C1531" s="91" t="s">
        <v>2796</v>
      </c>
      <c r="D1531" s="91" t="s">
        <v>15</v>
      </c>
      <c r="E1531" s="91"/>
      <c r="F1531">
        <v>240</v>
      </c>
      <c r="G1531">
        <v>5</v>
      </c>
      <c r="H1531" s="89">
        <v>46133</v>
      </c>
      <c r="I1531" s="89">
        <v>46138</v>
      </c>
      <c r="J1531" s="91" t="s">
        <v>2798</v>
      </c>
      <c r="K1531" s="91"/>
      <c r="M1531" s="91"/>
      <c r="N1531" s="91" t="s">
        <v>2766</v>
      </c>
    </row>
    <row r="1532" spans="1:14" x14ac:dyDescent="0.25">
      <c r="A1532" s="91" t="s">
        <v>1315</v>
      </c>
      <c r="B1532" s="91" t="s">
        <v>1329</v>
      </c>
      <c r="C1532" s="91" t="s">
        <v>2796</v>
      </c>
      <c r="D1532" s="91" t="s">
        <v>15</v>
      </c>
      <c r="E1532" s="91"/>
      <c r="F1532">
        <v>32</v>
      </c>
      <c r="G1532" t="s">
        <v>1419</v>
      </c>
      <c r="H1532" s="89">
        <v>46133</v>
      </c>
      <c r="I1532" s="89">
        <v>46135</v>
      </c>
      <c r="J1532" s="91"/>
      <c r="K1532" s="91"/>
      <c r="M1532" s="91"/>
      <c r="N1532" s="91" t="s">
        <v>2766</v>
      </c>
    </row>
    <row r="1533" spans="1:14" x14ac:dyDescent="0.25">
      <c r="A1533" s="91" t="s">
        <v>1316</v>
      </c>
      <c r="B1533" s="91" t="s">
        <v>1330</v>
      </c>
      <c r="C1533" s="91" t="s">
        <v>2799</v>
      </c>
      <c r="D1533" s="91" t="s">
        <v>15</v>
      </c>
      <c r="E1533" s="91"/>
      <c r="F1533">
        <v>59</v>
      </c>
      <c r="G1533" t="s">
        <v>1419</v>
      </c>
      <c r="H1533" s="89">
        <v>46133</v>
      </c>
      <c r="I1533" s="89">
        <v>46135</v>
      </c>
      <c r="J1533" s="91"/>
      <c r="K1533" s="91"/>
      <c r="M1533" s="91"/>
      <c r="N1533" s="91" t="s">
        <v>2766</v>
      </c>
    </row>
    <row r="1534" spans="1:14" x14ac:dyDescent="0.25">
      <c r="A1534" s="91" t="s">
        <v>1317</v>
      </c>
      <c r="B1534" s="91" t="s">
        <v>1331</v>
      </c>
      <c r="C1534" s="91" t="s">
        <v>2800</v>
      </c>
      <c r="D1534" s="91" t="s">
        <v>15</v>
      </c>
      <c r="E1534" s="91"/>
      <c r="F1534">
        <v>12</v>
      </c>
      <c r="G1534" t="s">
        <v>1419</v>
      </c>
      <c r="H1534" s="89">
        <v>46133</v>
      </c>
      <c r="I1534" s="89">
        <v>46135</v>
      </c>
      <c r="J1534" s="91"/>
      <c r="K1534" s="91"/>
      <c r="M1534" s="91"/>
      <c r="N1534" s="91" t="s">
        <v>2766</v>
      </c>
    </row>
    <row r="1535" spans="1:14" x14ac:dyDescent="0.25">
      <c r="A1535" s="91" t="s">
        <v>1318</v>
      </c>
      <c r="B1535" s="91" t="s">
        <v>1332</v>
      </c>
      <c r="C1535" s="91" t="s">
        <v>2801</v>
      </c>
      <c r="D1535" s="91" t="s">
        <v>15</v>
      </c>
      <c r="E1535" s="91"/>
      <c r="F1535">
        <v>37</v>
      </c>
      <c r="G1535" t="s">
        <v>1419</v>
      </c>
      <c r="H1535" s="89">
        <v>46133</v>
      </c>
      <c r="I1535" s="89">
        <v>46135</v>
      </c>
      <c r="J1535" s="91"/>
      <c r="K1535" s="91"/>
      <c r="M1535" s="91"/>
      <c r="N1535" s="91" t="s">
        <v>2766</v>
      </c>
    </row>
    <row r="1536" spans="1:14" x14ac:dyDescent="0.25">
      <c r="A1536" s="91" t="s">
        <v>1320</v>
      </c>
      <c r="B1536" s="91" t="s">
        <v>1334</v>
      </c>
      <c r="C1536" s="91" t="s">
        <v>2802</v>
      </c>
      <c r="D1536" s="91" t="s">
        <v>21</v>
      </c>
      <c r="E1536" s="91"/>
      <c r="F1536">
        <v>960</v>
      </c>
      <c r="G1536">
        <v>20</v>
      </c>
      <c r="H1536" s="89">
        <v>46133</v>
      </c>
      <c r="I1536" s="89">
        <v>46137</v>
      </c>
      <c r="J1536" s="91" t="s">
        <v>2803</v>
      </c>
      <c r="K1536" s="91"/>
      <c r="M1536" s="91"/>
      <c r="N1536" s="91" t="s">
        <v>2766</v>
      </c>
    </row>
    <row r="1537" spans="1:14" x14ac:dyDescent="0.25">
      <c r="A1537" s="91" t="s">
        <v>1313</v>
      </c>
      <c r="B1537" s="91" t="s">
        <v>1327</v>
      </c>
      <c r="C1537" s="91" t="s">
        <v>2802</v>
      </c>
      <c r="D1537" s="91" t="s">
        <v>21</v>
      </c>
      <c r="E1537" s="91"/>
      <c r="F1537">
        <v>96</v>
      </c>
      <c r="G1537">
        <v>2</v>
      </c>
      <c r="H1537" s="89">
        <v>46133</v>
      </c>
      <c r="I1537" s="89">
        <v>46136</v>
      </c>
      <c r="J1537" s="91"/>
      <c r="K1537" s="91"/>
      <c r="M1537" s="91"/>
      <c r="N1537" s="91" t="s">
        <v>2766</v>
      </c>
    </row>
    <row r="1538" spans="1:14" x14ac:dyDescent="0.25">
      <c r="A1538" s="91" t="s">
        <v>1315</v>
      </c>
      <c r="B1538" s="91" t="s">
        <v>1329</v>
      </c>
      <c r="C1538" s="91" t="s">
        <v>2802</v>
      </c>
      <c r="D1538" s="91" t="s">
        <v>21</v>
      </c>
      <c r="E1538" s="91"/>
      <c r="F1538">
        <v>48</v>
      </c>
      <c r="G1538" t="s">
        <v>1419</v>
      </c>
      <c r="H1538" s="89">
        <v>46133</v>
      </c>
      <c r="I1538" s="89">
        <v>46135</v>
      </c>
      <c r="J1538" s="91"/>
      <c r="K1538" s="91"/>
      <c r="M1538" s="91"/>
      <c r="N1538" s="91" t="s">
        <v>2766</v>
      </c>
    </row>
    <row r="1539" spans="1:14" x14ac:dyDescent="0.25">
      <c r="A1539" s="91" t="s">
        <v>1316</v>
      </c>
      <c r="B1539" s="91" t="s">
        <v>1330</v>
      </c>
      <c r="C1539" s="91" t="s">
        <v>2804</v>
      </c>
      <c r="D1539" s="91" t="s">
        <v>21</v>
      </c>
      <c r="E1539" s="91"/>
      <c r="F1539">
        <v>39</v>
      </c>
      <c r="G1539" t="s">
        <v>1419</v>
      </c>
      <c r="H1539" s="89">
        <v>46133</v>
      </c>
      <c r="I1539" s="89">
        <v>46135</v>
      </c>
      <c r="J1539" s="91"/>
      <c r="K1539" s="91"/>
      <c r="M1539" s="91"/>
      <c r="N1539" s="91" t="s">
        <v>2766</v>
      </c>
    </row>
    <row r="1540" spans="1:14" x14ac:dyDescent="0.25">
      <c r="A1540" s="91" t="s">
        <v>1317</v>
      </c>
      <c r="B1540" s="91" t="s">
        <v>1331</v>
      </c>
      <c r="C1540" s="91" t="s">
        <v>2805</v>
      </c>
      <c r="D1540" s="91" t="s">
        <v>21</v>
      </c>
      <c r="E1540" s="91"/>
      <c r="F1540">
        <v>10</v>
      </c>
      <c r="G1540" t="s">
        <v>1419</v>
      </c>
      <c r="H1540" s="89">
        <v>46133</v>
      </c>
      <c r="I1540" s="89">
        <v>46135</v>
      </c>
      <c r="J1540" s="91"/>
      <c r="K1540" s="91"/>
      <c r="M1540" s="91"/>
      <c r="N1540" s="91" t="s">
        <v>2766</v>
      </c>
    </row>
    <row r="1541" spans="1:14" x14ac:dyDescent="0.25">
      <c r="A1541" s="91" t="s">
        <v>1318</v>
      </c>
      <c r="B1541" s="91" t="s">
        <v>1332</v>
      </c>
      <c r="C1541" s="91" t="s">
        <v>2806</v>
      </c>
      <c r="D1541" s="91" t="s">
        <v>21</v>
      </c>
      <c r="E1541" s="91"/>
      <c r="F1541">
        <v>75</v>
      </c>
      <c r="G1541" t="s">
        <v>1419</v>
      </c>
      <c r="H1541" s="89">
        <v>46133</v>
      </c>
      <c r="I1541" s="89">
        <v>46135</v>
      </c>
      <c r="J1541" s="91"/>
      <c r="K1541" s="91"/>
      <c r="M1541" s="91"/>
      <c r="N1541" s="91" t="s">
        <v>2766</v>
      </c>
    </row>
    <row r="1542" spans="1:14" x14ac:dyDescent="0.25">
      <c r="A1542" s="91" t="s">
        <v>1320</v>
      </c>
      <c r="B1542" s="91" t="s">
        <v>1334</v>
      </c>
      <c r="C1542" s="91" t="s">
        <v>2807</v>
      </c>
      <c r="D1542" s="91" t="s">
        <v>23</v>
      </c>
      <c r="E1542" s="91"/>
      <c r="H1542" s="89">
        <v>46133</v>
      </c>
      <c r="I1542" s="89">
        <v>46137</v>
      </c>
      <c r="J1542" s="91"/>
      <c r="K1542" s="91"/>
      <c r="M1542" s="91"/>
      <c r="N1542" s="91" t="s">
        <v>2766</v>
      </c>
    </row>
    <row r="1543" spans="1:14" x14ac:dyDescent="0.25">
      <c r="A1543" s="91" t="s">
        <v>1324</v>
      </c>
      <c r="B1543" s="91" t="s">
        <v>1338</v>
      </c>
      <c r="C1543" s="91" t="s">
        <v>2808</v>
      </c>
      <c r="D1543" s="91" t="s">
        <v>21</v>
      </c>
      <c r="E1543" s="91"/>
      <c r="F1543">
        <v>864</v>
      </c>
      <c r="G1543">
        <v>18</v>
      </c>
      <c r="H1543" s="89">
        <v>46134</v>
      </c>
      <c r="I1543" s="89">
        <v>46139</v>
      </c>
      <c r="J1543" s="91" t="s">
        <v>2809</v>
      </c>
      <c r="K1543" s="91"/>
      <c r="M1543" s="91"/>
      <c r="N1543" s="91" t="s">
        <v>2766</v>
      </c>
    </row>
    <row r="1544" spans="1:14" x14ac:dyDescent="0.25">
      <c r="A1544" s="91" t="s">
        <v>1313</v>
      </c>
      <c r="B1544" s="91" t="s">
        <v>1327</v>
      </c>
      <c r="C1544" s="91" t="s">
        <v>2808</v>
      </c>
      <c r="D1544" s="91" t="s">
        <v>21</v>
      </c>
      <c r="E1544" s="91"/>
      <c r="F1544">
        <v>144</v>
      </c>
      <c r="G1544">
        <v>3</v>
      </c>
      <c r="H1544" s="89">
        <v>46134</v>
      </c>
      <c r="I1544" s="89">
        <v>46136</v>
      </c>
      <c r="J1544" s="91"/>
      <c r="K1544" s="91"/>
      <c r="M1544" s="91"/>
      <c r="N1544" s="91" t="s">
        <v>2766</v>
      </c>
    </row>
    <row r="1545" spans="1:14" x14ac:dyDescent="0.25">
      <c r="A1545" s="91" t="s">
        <v>1315</v>
      </c>
      <c r="B1545" s="91" t="s">
        <v>1329</v>
      </c>
      <c r="C1545" s="91" t="s">
        <v>2808</v>
      </c>
      <c r="D1545" s="91" t="s">
        <v>21</v>
      </c>
      <c r="E1545" s="91"/>
      <c r="F1545">
        <v>160</v>
      </c>
      <c r="G1545" t="s">
        <v>1419</v>
      </c>
      <c r="H1545" s="89">
        <v>46134</v>
      </c>
      <c r="I1545" s="89">
        <v>46135</v>
      </c>
      <c r="J1545" s="91"/>
      <c r="K1545" s="91"/>
      <c r="M1545" s="91"/>
      <c r="N1545" s="91" t="s">
        <v>2766</v>
      </c>
    </row>
    <row r="1546" spans="1:14" x14ac:dyDescent="0.25">
      <c r="A1546" s="91" t="s">
        <v>1316</v>
      </c>
      <c r="B1546" s="91" t="s">
        <v>1330</v>
      </c>
      <c r="C1546" s="91" t="s">
        <v>2810</v>
      </c>
      <c r="D1546" s="91" t="s">
        <v>21</v>
      </c>
      <c r="E1546" s="91"/>
      <c r="F1546">
        <v>46</v>
      </c>
      <c r="G1546" t="s">
        <v>1419</v>
      </c>
      <c r="H1546" s="89">
        <v>46134</v>
      </c>
      <c r="I1546" s="89">
        <v>46136</v>
      </c>
      <c r="J1546" s="91"/>
      <c r="K1546" s="91"/>
      <c r="M1546" s="91"/>
      <c r="N1546" s="91" t="s">
        <v>2766</v>
      </c>
    </row>
    <row r="1547" spans="1:14" x14ac:dyDescent="0.25">
      <c r="A1547" s="91" t="s">
        <v>1317</v>
      </c>
      <c r="B1547" s="91" t="s">
        <v>1331</v>
      </c>
      <c r="C1547" s="91" t="s">
        <v>2811</v>
      </c>
      <c r="D1547" s="91" t="s">
        <v>21</v>
      </c>
      <c r="E1547" s="91"/>
      <c r="F1547">
        <v>9</v>
      </c>
      <c r="G1547" t="s">
        <v>1419</v>
      </c>
      <c r="H1547" s="89">
        <v>46134</v>
      </c>
      <c r="I1547" s="89">
        <v>46136</v>
      </c>
      <c r="J1547" s="91"/>
      <c r="K1547" s="91"/>
      <c r="M1547" s="91"/>
      <c r="N1547" s="91" t="s">
        <v>2766</v>
      </c>
    </row>
    <row r="1548" spans="1:14" x14ac:dyDescent="0.25">
      <c r="A1548" s="91" t="s">
        <v>1318</v>
      </c>
      <c r="B1548" s="91" t="s">
        <v>1332</v>
      </c>
      <c r="C1548" s="91" t="s">
        <v>2812</v>
      </c>
      <c r="D1548" s="91" t="s">
        <v>21</v>
      </c>
      <c r="E1548" s="91"/>
      <c r="F1548">
        <v>73</v>
      </c>
      <c r="G1548" t="s">
        <v>1419</v>
      </c>
      <c r="H1548" s="89">
        <v>46134</v>
      </c>
      <c r="I1548" s="89">
        <v>46136</v>
      </c>
      <c r="J1548" s="91"/>
      <c r="K1548" s="91"/>
      <c r="M1548" s="91"/>
      <c r="N1548" s="91" t="s">
        <v>2766</v>
      </c>
    </row>
    <row r="1549" spans="1:14" x14ac:dyDescent="0.25">
      <c r="A1549" s="91" t="s">
        <v>1324</v>
      </c>
      <c r="B1549" s="91" t="s">
        <v>1338</v>
      </c>
      <c r="C1549" s="91" t="s">
        <v>2813</v>
      </c>
      <c r="D1549" s="91" t="s">
        <v>23</v>
      </c>
      <c r="E1549" s="91"/>
      <c r="F1549">
        <v>960</v>
      </c>
      <c r="G1549">
        <v>20</v>
      </c>
      <c r="H1549" s="89">
        <v>46134</v>
      </c>
      <c r="I1549" s="89">
        <v>46139</v>
      </c>
      <c r="J1549" s="91" t="s">
        <v>2809</v>
      </c>
      <c r="K1549" s="91"/>
      <c r="M1549" s="91"/>
      <c r="N1549" s="91" t="s">
        <v>2766</v>
      </c>
    </row>
    <row r="1550" spans="1:14" x14ac:dyDescent="0.25">
      <c r="A1550" s="91" t="s">
        <v>1313</v>
      </c>
      <c r="B1550" s="91" t="s">
        <v>1327</v>
      </c>
      <c r="C1550" s="91" t="s">
        <v>2814</v>
      </c>
      <c r="D1550" s="91" t="s">
        <v>20</v>
      </c>
      <c r="E1550" s="91"/>
      <c r="F1550">
        <v>528</v>
      </c>
      <c r="G1550">
        <v>11</v>
      </c>
      <c r="H1550" s="89">
        <v>46134</v>
      </c>
      <c r="I1550" s="89">
        <v>46138</v>
      </c>
      <c r="J1550" s="91" t="s">
        <v>2792</v>
      </c>
      <c r="K1550" s="91"/>
      <c r="M1550" s="91"/>
      <c r="N1550" s="91" t="s">
        <v>2766</v>
      </c>
    </row>
    <row r="1551" spans="1:14" x14ac:dyDescent="0.25">
      <c r="A1551" s="91" t="s">
        <v>1313</v>
      </c>
      <c r="B1551" s="91" t="s">
        <v>1327</v>
      </c>
      <c r="C1551" s="91" t="s">
        <v>2814</v>
      </c>
      <c r="D1551" s="91" t="s">
        <v>20</v>
      </c>
      <c r="E1551" s="91"/>
      <c r="F1551">
        <v>864</v>
      </c>
      <c r="G1551">
        <v>18</v>
      </c>
      <c r="H1551" s="89">
        <v>46134</v>
      </c>
      <c r="I1551" s="89">
        <v>46139</v>
      </c>
      <c r="J1551" s="91" t="s">
        <v>2815</v>
      </c>
      <c r="K1551" s="91"/>
      <c r="M1551" s="91"/>
      <c r="N1551" s="91" t="s">
        <v>2766</v>
      </c>
    </row>
    <row r="1552" spans="1:14" x14ac:dyDescent="0.25">
      <c r="A1552" s="91" t="s">
        <v>1315</v>
      </c>
      <c r="B1552" s="91" t="s">
        <v>1329</v>
      </c>
      <c r="C1552" s="91" t="s">
        <v>2814</v>
      </c>
      <c r="D1552" s="91" t="s">
        <v>20</v>
      </c>
      <c r="E1552" s="91"/>
      <c r="F1552">
        <v>2</v>
      </c>
      <c r="G1552" t="s">
        <v>1419</v>
      </c>
      <c r="H1552" s="89">
        <v>46134</v>
      </c>
      <c r="I1552" s="89">
        <v>46135</v>
      </c>
      <c r="J1552" s="91"/>
      <c r="K1552" s="91"/>
      <c r="M1552" s="91"/>
      <c r="N1552" s="91" t="s">
        <v>2766</v>
      </c>
    </row>
    <row r="1553" spans="1:14" x14ac:dyDescent="0.25">
      <c r="A1553" s="91" t="s">
        <v>1316</v>
      </c>
      <c r="B1553" s="91" t="s">
        <v>1330</v>
      </c>
      <c r="C1553" s="91" t="s">
        <v>2816</v>
      </c>
      <c r="D1553" s="91" t="s">
        <v>20</v>
      </c>
      <c r="E1553" s="91"/>
      <c r="F1553">
        <v>154</v>
      </c>
      <c r="G1553" t="s">
        <v>1419</v>
      </c>
      <c r="H1553" s="89">
        <v>46134</v>
      </c>
      <c r="I1553" s="89">
        <v>46136</v>
      </c>
      <c r="J1553" s="91"/>
      <c r="K1553" s="91"/>
      <c r="M1553" s="91"/>
      <c r="N1553" s="91" t="s">
        <v>2766</v>
      </c>
    </row>
    <row r="1554" spans="1:14" x14ac:dyDescent="0.25">
      <c r="A1554" s="91" t="s">
        <v>1317</v>
      </c>
      <c r="B1554" s="91" t="s">
        <v>1331</v>
      </c>
      <c r="C1554" s="91" t="s">
        <v>2817</v>
      </c>
      <c r="D1554" s="91" t="s">
        <v>20</v>
      </c>
      <c r="E1554" s="91"/>
      <c r="F1554">
        <v>4</v>
      </c>
      <c r="G1554" t="s">
        <v>1419</v>
      </c>
      <c r="H1554" s="89">
        <v>46134</v>
      </c>
      <c r="I1554" s="89">
        <v>46136</v>
      </c>
      <c r="J1554" s="91"/>
      <c r="K1554" s="91"/>
      <c r="M1554" s="91"/>
      <c r="N1554" s="91" t="s">
        <v>2766</v>
      </c>
    </row>
    <row r="1555" spans="1:14" x14ac:dyDescent="0.25">
      <c r="A1555" s="91" t="s">
        <v>1318</v>
      </c>
      <c r="B1555" s="91" t="s">
        <v>1332</v>
      </c>
      <c r="C1555" s="91" t="s">
        <v>2818</v>
      </c>
      <c r="D1555" s="91" t="s">
        <v>20</v>
      </c>
      <c r="E1555" s="91"/>
      <c r="F1555">
        <v>79</v>
      </c>
      <c r="G1555" t="s">
        <v>1419</v>
      </c>
      <c r="H1555" s="89">
        <v>46134</v>
      </c>
      <c r="I1555" s="89">
        <v>46136</v>
      </c>
      <c r="J1555" s="91"/>
      <c r="K1555" s="91"/>
      <c r="M1555" s="91"/>
      <c r="N1555" s="91" t="s">
        <v>2766</v>
      </c>
    </row>
    <row r="1556" spans="1:14" x14ac:dyDescent="0.25">
      <c r="A1556" s="91" t="s">
        <v>1320</v>
      </c>
      <c r="B1556" s="91" t="s">
        <v>1334</v>
      </c>
      <c r="C1556" s="91" t="s">
        <v>2819</v>
      </c>
      <c r="D1556" s="91" t="s">
        <v>15</v>
      </c>
      <c r="E1556" s="91"/>
      <c r="F1556">
        <v>960</v>
      </c>
      <c r="G1556">
        <v>20</v>
      </c>
      <c r="H1556" s="89">
        <v>46134</v>
      </c>
      <c r="I1556" s="89">
        <v>46137</v>
      </c>
      <c r="J1556" s="91" t="s">
        <v>2820</v>
      </c>
      <c r="K1556" s="91"/>
      <c r="M1556" s="91"/>
      <c r="N1556" s="91" t="s">
        <v>2766</v>
      </c>
    </row>
    <row r="1557" spans="1:14" x14ac:dyDescent="0.25">
      <c r="A1557" s="91" t="s">
        <v>1313</v>
      </c>
      <c r="B1557" s="91" t="s">
        <v>1327</v>
      </c>
      <c r="C1557" s="91" t="s">
        <v>2819</v>
      </c>
      <c r="D1557" s="91" t="s">
        <v>15</v>
      </c>
      <c r="E1557" s="91"/>
      <c r="F1557">
        <v>192</v>
      </c>
      <c r="G1557">
        <v>4</v>
      </c>
      <c r="H1557" s="89">
        <v>46134</v>
      </c>
      <c r="I1557" s="89">
        <v>46137</v>
      </c>
      <c r="J1557" s="91" t="s">
        <v>2767</v>
      </c>
      <c r="K1557" s="91"/>
      <c r="M1557" s="91"/>
      <c r="N1557" s="91" t="s">
        <v>2766</v>
      </c>
    </row>
    <row r="1558" spans="1:14" x14ac:dyDescent="0.25">
      <c r="A1558" s="91" t="s">
        <v>1314</v>
      </c>
      <c r="B1558" s="91" t="s">
        <v>1328</v>
      </c>
      <c r="C1558" s="91" t="s">
        <v>2819</v>
      </c>
      <c r="D1558" s="91" t="s">
        <v>15</v>
      </c>
      <c r="E1558" s="91"/>
      <c r="F1558">
        <v>48</v>
      </c>
      <c r="G1558">
        <v>1</v>
      </c>
      <c r="H1558" s="89">
        <v>46134</v>
      </c>
      <c r="I1558" s="89">
        <v>46138</v>
      </c>
      <c r="J1558" s="91" t="s">
        <v>2798</v>
      </c>
      <c r="K1558" s="91"/>
      <c r="M1558" s="91"/>
      <c r="N1558" s="91" t="s">
        <v>2766</v>
      </c>
    </row>
    <row r="1559" spans="1:14" x14ac:dyDescent="0.25">
      <c r="A1559" s="91" t="s">
        <v>1313</v>
      </c>
      <c r="B1559" s="91" t="s">
        <v>1327</v>
      </c>
      <c r="C1559" s="91" t="s">
        <v>2819</v>
      </c>
      <c r="D1559" s="91" t="s">
        <v>15</v>
      </c>
      <c r="E1559" s="91"/>
      <c r="F1559">
        <v>235</v>
      </c>
      <c r="G1559">
        <v>4.895833333333333</v>
      </c>
      <c r="H1559" s="89">
        <v>46134</v>
      </c>
      <c r="I1559" s="89">
        <v>46139</v>
      </c>
      <c r="J1559" s="91"/>
      <c r="K1559" s="91"/>
      <c r="M1559" s="91"/>
      <c r="N1559" s="91" t="s">
        <v>2766</v>
      </c>
    </row>
    <row r="1560" spans="1:14" x14ac:dyDescent="0.25">
      <c r="A1560" s="91" t="s">
        <v>1316</v>
      </c>
      <c r="B1560" s="91" t="s">
        <v>1330</v>
      </c>
      <c r="C1560" s="91" t="s">
        <v>2821</v>
      </c>
      <c r="D1560" s="91" t="s">
        <v>15</v>
      </c>
      <c r="E1560" s="91"/>
      <c r="F1560">
        <v>69</v>
      </c>
      <c r="G1560" t="s">
        <v>1419</v>
      </c>
      <c r="H1560" s="89">
        <v>46134</v>
      </c>
      <c r="I1560" s="89">
        <v>46136</v>
      </c>
      <c r="J1560" s="91"/>
      <c r="K1560" s="91"/>
      <c r="M1560" s="91"/>
      <c r="N1560" s="91" t="s">
        <v>2766</v>
      </c>
    </row>
    <row r="1561" spans="1:14" x14ac:dyDescent="0.25">
      <c r="A1561" s="91" t="s">
        <v>1317</v>
      </c>
      <c r="B1561" s="91" t="s">
        <v>1331</v>
      </c>
      <c r="C1561" s="91" t="s">
        <v>2822</v>
      </c>
      <c r="D1561" s="91" t="s">
        <v>15</v>
      </c>
      <c r="E1561" s="91"/>
      <c r="F1561">
        <v>20</v>
      </c>
      <c r="G1561" t="s">
        <v>1419</v>
      </c>
      <c r="H1561" s="89">
        <v>46134</v>
      </c>
      <c r="I1561" s="89">
        <v>46136</v>
      </c>
      <c r="J1561" s="91"/>
      <c r="K1561" s="91"/>
      <c r="M1561" s="91"/>
      <c r="N1561" s="91" t="s">
        <v>2766</v>
      </c>
    </row>
    <row r="1562" spans="1:14" x14ac:dyDescent="0.25">
      <c r="A1562" s="91" t="s">
        <v>1318</v>
      </c>
      <c r="B1562" s="91" t="s">
        <v>1332</v>
      </c>
      <c r="C1562" s="91" t="s">
        <v>2823</v>
      </c>
      <c r="D1562" s="91" t="s">
        <v>15</v>
      </c>
      <c r="E1562" s="91"/>
      <c r="F1562">
        <v>37</v>
      </c>
      <c r="G1562" t="s">
        <v>1419</v>
      </c>
      <c r="H1562" s="89">
        <v>46134</v>
      </c>
      <c r="I1562" s="89">
        <v>46136</v>
      </c>
      <c r="J1562" s="91"/>
      <c r="K1562" s="91"/>
      <c r="M1562" s="91"/>
      <c r="N1562" s="91" t="s">
        <v>2766</v>
      </c>
    </row>
    <row r="1563" spans="1:14" x14ac:dyDescent="0.25">
      <c r="A1563" s="91" t="s">
        <v>1326</v>
      </c>
      <c r="B1563" s="91" t="s">
        <v>1340</v>
      </c>
      <c r="C1563" s="91" t="s">
        <v>2824</v>
      </c>
      <c r="D1563" s="91" t="s">
        <v>32</v>
      </c>
      <c r="E1563" s="91"/>
      <c r="F1563">
        <v>1008</v>
      </c>
      <c r="G1563">
        <v>24</v>
      </c>
      <c r="H1563" s="89">
        <v>46134</v>
      </c>
      <c r="I1563" s="89">
        <v>46136</v>
      </c>
      <c r="J1563" s="91" t="s">
        <v>2825</v>
      </c>
      <c r="K1563" s="91"/>
      <c r="M1563" s="91"/>
      <c r="N1563" s="91" t="s">
        <v>2766</v>
      </c>
    </row>
    <row r="1564" spans="1:14" x14ac:dyDescent="0.25">
      <c r="A1564" s="91" t="s">
        <v>1321</v>
      </c>
      <c r="B1564" s="91" t="s">
        <v>1335</v>
      </c>
      <c r="C1564" s="91" t="s">
        <v>2826</v>
      </c>
      <c r="D1564" s="91" t="s">
        <v>138</v>
      </c>
      <c r="E1564" s="91"/>
      <c r="F1564">
        <v>96</v>
      </c>
      <c r="G1564">
        <v>2</v>
      </c>
      <c r="H1564" s="89">
        <v>46134</v>
      </c>
      <c r="I1564" s="89">
        <v>46139</v>
      </c>
      <c r="J1564" s="91" t="s">
        <v>2809</v>
      </c>
      <c r="K1564" s="91"/>
      <c r="M1564" s="91"/>
      <c r="N1564" s="91" t="s">
        <v>2766</v>
      </c>
    </row>
    <row r="1565" spans="1:14" x14ac:dyDescent="0.25">
      <c r="A1565" s="91" t="s">
        <v>1325</v>
      </c>
      <c r="B1565" s="91" t="s">
        <v>1339</v>
      </c>
      <c r="C1565" s="91" t="s">
        <v>2826</v>
      </c>
      <c r="D1565" s="91" t="s">
        <v>138</v>
      </c>
      <c r="E1565" s="91"/>
      <c r="F1565">
        <v>240</v>
      </c>
      <c r="G1565">
        <v>5</v>
      </c>
      <c r="H1565" s="89">
        <v>46134</v>
      </c>
      <c r="I1565" s="89">
        <v>46136</v>
      </c>
      <c r="J1565" s="91"/>
      <c r="K1565" s="91"/>
      <c r="M1565" s="91"/>
      <c r="N1565" s="91" t="s">
        <v>2766</v>
      </c>
    </row>
    <row r="1566" spans="1:14" x14ac:dyDescent="0.25">
      <c r="A1566" s="91" t="s">
        <v>1324</v>
      </c>
      <c r="B1566" s="91" t="s">
        <v>1338</v>
      </c>
      <c r="C1566" s="91" t="s">
        <v>2827</v>
      </c>
      <c r="D1566" s="91" t="s">
        <v>23</v>
      </c>
      <c r="E1566" s="91"/>
      <c r="F1566">
        <v>960</v>
      </c>
      <c r="G1566">
        <v>20</v>
      </c>
      <c r="H1566" s="89">
        <v>46135</v>
      </c>
      <c r="I1566" s="89">
        <v>46141</v>
      </c>
      <c r="J1566" s="91" t="s">
        <v>2828</v>
      </c>
      <c r="K1566" s="91"/>
      <c r="M1566" s="91"/>
      <c r="N1566" s="91" t="s">
        <v>2766</v>
      </c>
    </row>
    <row r="1567" spans="1:14" x14ac:dyDescent="0.25">
      <c r="A1567" s="91" t="s">
        <v>1313</v>
      </c>
      <c r="B1567" s="91" t="s">
        <v>1327</v>
      </c>
      <c r="C1567" s="91" t="s">
        <v>2829</v>
      </c>
      <c r="D1567" s="91" t="s">
        <v>105</v>
      </c>
      <c r="E1567" s="91"/>
      <c r="F1567">
        <v>155</v>
      </c>
      <c r="G1567">
        <v>3.2291666666666665</v>
      </c>
      <c r="H1567" s="89">
        <v>46135</v>
      </c>
      <c r="I1567" s="89">
        <v>46138</v>
      </c>
      <c r="J1567" s="91" t="s">
        <v>2830</v>
      </c>
      <c r="K1567" s="91"/>
      <c r="M1567" s="91"/>
      <c r="N1567" s="91" t="s">
        <v>2766</v>
      </c>
    </row>
    <row r="1568" spans="1:14" x14ac:dyDescent="0.25">
      <c r="A1568" s="91" t="s">
        <v>1313</v>
      </c>
      <c r="B1568" s="91" t="s">
        <v>1327</v>
      </c>
      <c r="C1568" s="91" t="s">
        <v>2831</v>
      </c>
      <c r="D1568" s="91" t="s">
        <v>20</v>
      </c>
      <c r="E1568" s="91"/>
      <c r="F1568">
        <v>240</v>
      </c>
      <c r="G1568">
        <v>5</v>
      </c>
      <c r="H1568" s="89">
        <v>46135</v>
      </c>
      <c r="I1568" s="89">
        <v>46139</v>
      </c>
      <c r="J1568" s="91" t="s">
        <v>2815</v>
      </c>
      <c r="K1568" s="91"/>
      <c r="M1568" s="91"/>
      <c r="N1568" s="91" t="s">
        <v>2766</v>
      </c>
    </row>
    <row r="1569" spans="1:14" x14ac:dyDescent="0.25">
      <c r="A1569" s="91" t="s">
        <v>1319</v>
      </c>
      <c r="B1569" s="91" t="s">
        <v>1333</v>
      </c>
      <c r="C1569" s="91" t="s">
        <v>2831</v>
      </c>
      <c r="D1569" s="91" t="s">
        <v>20</v>
      </c>
      <c r="E1569" s="91"/>
      <c r="F1569">
        <v>48</v>
      </c>
      <c r="G1569">
        <v>1</v>
      </c>
      <c r="H1569" s="89">
        <v>46135</v>
      </c>
      <c r="I1569" s="89">
        <v>46139</v>
      </c>
      <c r="J1569" s="91" t="s">
        <v>2815</v>
      </c>
      <c r="K1569" s="91"/>
      <c r="M1569" s="91"/>
      <c r="N1569" s="91" t="s">
        <v>2766</v>
      </c>
    </row>
    <row r="1570" spans="1:14" x14ac:dyDescent="0.25">
      <c r="A1570" s="91" t="s">
        <v>1320</v>
      </c>
      <c r="B1570" s="91" t="s">
        <v>1334</v>
      </c>
      <c r="C1570" s="91" t="s">
        <v>2831</v>
      </c>
      <c r="D1570" s="91" t="s">
        <v>20</v>
      </c>
      <c r="E1570" s="91"/>
      <c r="F1570">
        <v>960</v>
      </c>
      <c r="G1570">
        <v>20</v>
      </c>
      <c r="H1570" s="89">
        <v>46135</v>
      </c>
      <c r="I1570" s="89">
        <v>46139</v>
      </c>
      <c r="J1570" s="91" t="s">
        <v>2832</v>
      </c>
      <c r="K1570" s="91"/>
      <c r="M1570" s="91"/>
      <c r="N1570" s="91" t="s">
        <v>2766</v>
      </c>
    </row>
    <row r="1571" spans="1:14" x14ac:dyDescent="0.25">
      <c r="A1571" s="91" t="s">
        <v>1313</v>
      </c>
      <c r="B1571" s="91" t="s">
        <v>1327</v>
      </c>
      <c r="C1571" s="91" t="s">
        <v>2831</v>
      </c>
      <c r="D1571" s="91" t="s">
        <v>20</v>
      </c>
      <c r="E1571" s="91"/>
      <c r="F1571">
        <v>288</v>
      </c>
      <c r="G1571">
        <v>6</v>
      </c>
      <c r="H1571" s="89">
        <v>46135</v>
      </c>
      <c r="I1571" s="89">
        <v>46139</v>
      </c>
      <c r="J1571" s="91"/>
      <c r="K1571" s="91"/>
      <c r="M1571" s="91"/>
      <c r="N1571" s="91" t="s">
        <v>2766</v>
      </c>
    </row>
    <row r="1572" spans="1:14" x14ac:dyDescent="0.25">
      <c r="A1572" s="91" t="s">
        <v>1315</v>
      </c>
      <c r="B1572" s="91" t="s">
        <v>1329</v>
      </c>
      <c r="C1572" s="91" t="s">
        <v>2831</v>
      </c>
      <c r="D1572" s="91" t="s">
        <v>20</v>
      </c>
      <c r="E1572" s="91"/>
      <c r="F1572">
        <v>118</v>
      </c>
      <c r="G1572" t="s">
        <v>1419</v>
      </c>
      <c r="H1572" s="89">
        <v>46135</v>
      </c>
      <c r="I1572" s="89">
        <v>46135</v>
      </c>
      <c r="J1572" s="91"/>
      <c r="K1572" s="91"/>
      <c r="M1572" s="91"/>
      <c r="N1572" s="91" t="s">
        <v>2766</v>
      </c>
    </row>
    <row r="1573" spans="1:14" x14ac:dyDescent="0.25">
      <c r="A1573" s="91" t="s">
        <v>1316</v>
      </c>
      <c r="B1573" s="91" t="s">
        <v>1330</v>
      </c>
      <c r="C1573" s="91" t="s">
        <v>2833</v>
      </c>
      <c r="D1573" s="91" t="s">
        <v>20</v>
      </c>
      <c r="E1573" s="91"/>
      <c r="F1573">
        <v>220</v>
      </c>
      <c r="G1573" t="s">
        <v>1419</v>
      </c>
      <c r="H1573" s="89">
        <v>46135</v>
      </c>
      <c r="I1573" s="89">
        <v>46137</v>
      </c>
      <c r="J1573" s="91"/>
      <c r="K1573" s="91"/>
      <c r="M1573" s="91"/>
      <c r="N1573" s="91" t="s">
        <v>2766</v>
      </c>
    </row>
    <row r="1574" spans="1:14" x14ac:dyDescent="0.25">
      <c r="A1574" s="91" t="s">
        <v>1317</v>
      </c>
      <c r="B1574" s="91" t="s">
        <v>1331</v>
      </c>
      <c r="C1574" s="91" t="s">
        <v>2834</v>
      </c>
      <c r="D1574" s="91" t="s">
        <v>20</v>
      </c>
      <c r="E1574" s="91"/>
      <c r="F1574">
        <v>14</v>
      </c>
      <c r="G1574" t="s">
        <v>1419</v>
      </c>
      <c r="H1574" s="89">
        <v>46135</v>
      </c>
      <c r="I1574" s="89">
        <v>46137</v>
      </c>
      <c r="J1574" s="91"/>
      <c r="K1574" s="91"/>
      <c r="M1574" s="91"/>
      <c r="N1574" s="91" t="s">
        <v>2766</v>
      </c>
    </row>
    <row r="1575" spans="1:14" x14ac:dyDescent="0.25">
      <c r="A1575" s="91" t="s">
        <v>1318</v>
      </c>
      <c r="B1575" s="91" t="s">
        <v>1332</v>
      </c>
      <c r="C1575" s="91" t="s">
        <v>2835</v>
      </c>
      <c r="D1575" s="91" t="s">
        <v>20</v>
      </c>
      <c r="E1575" s="91"/>
      <c r="F1575">
        <v>104</v>
      </c>
      <c r="G1575" t="s">
        <v>1419</v>
      </c>
      <c r="H1575" s="89">
        <v>46135</v>
      </c>
      <c r="I1575" s="89">
        <v>46137</v>
      </c>
      <c r="J1575" s="91"/>
      <c r="K1575" s="91"/>
      <c r="M1575" s="91"/>
      <c r="N1575" s="91" t="s">
        <v>2766</v>
      </c>
    </row>
    <row r="1576" spans="1:14" x14ac:dyDescent="0.25">
      <c r="A1576" s="91" t="s">
        <v>1314</v>
      </c>
      <c r="B1576" s="91" t="s">
        <v>1328</v>
      </c>
      <c r="C1576" s="91" t="s">
        <v>2836</v>
      </c>
      <c r="D1576" s="91" t="s">
        <v>15</v>
      </c>
      <c r="E1576" s="91"/>
      <c r="F1576">
        <v>336</v>
      </c>
      <c r="G1576">
        <v>7</v>
      </c>
      <c r="H1576" s="89">
        <v>46135</v>
      </c>
      <c r="I1576" s="89">
        <v>46140</v>
      </c>
      <c r="J1576" s="91" t="s">
        <v>2837</v>
      </c>
      <c r="K1576" s="91"/>
      <c r="M1576" s="91"/>
      <c r="N1576" s="91" t="s">
        <v>2766</v>
      </c>
    </row>
    <row r="1577" spans="1:14" x14ac:dyDescent="0.25">
      <c r="A1577" s="91" t="s">
        <v>1313</v>
      </c>
      <c r="B1577" s="91" t="s">
        <v>1327</v>
      </c>
      <c r="C1577" s="91" t="s">
        <v>2836</v>
      </c>
      <c r="D1577" s="91" t="s">
        <v>15</v>
      </c>
      <c r="E1577" s="91"/>
      <c r="F1577">
        <v>480</v>
      </c>
      <c r="G1577">
        <v>10</v>
      </c>
      <c r="H1577" s="89">
        <v>46135</v>
      </c>
      <c r="I1577" s="89">
        <v>46140</v>
      </c>
      <c r="J1577" s="91" t="s">
        <v>2838</v>
      </c>
      <c r="K1577" s="91"/>
      <c r="M1577" s="91"/>
      <c r="N1577" s="91" t="s">
        <v>2766</v>
      </c>
    </row>
    <row r="1578" spans="1:14" x14ac:dyDescent="0.25">
      <c r="A1578" s="91" t="s">
        <v>1313</v>
      </c>
      <c r="B1578" s="91" t="s">
        <v>1327</v>
      </c>
      <c r="C1578" s="91" t="s">
        <v>2836</v>
      </c>
      <c r="D1578" s="91" t="s">
        <v>15</v>
      </c>
      <c r="E1578" s="91"/>
      <c r="F1578">
        <v>533</v>
      </c>
      <c r="G1578">
        <v>11.104166666666666</v>
      </c>
      <c r="H1578" s="89">
        <v>46135</v>
      </c>
      <c r="I1578" s="89">
        <v>46139</v>
      </c>
      <c r="J1578" s="91"/>
      <c r="K1578" s="91"/>
      <c r="M1578" s="91"/>
      <c r="N1578" s="91" t="s">
        <v>2766</v>
      </c>
    </row>
    <row r="1579" spans="1:14" x14ac:dyDescent="0.25">
      <c r="A1579" s="91" t="s">
        <v>1314</v>
      </c>
      <c r="B1579" s="91" t="s">
        <v>1328</v>
      </c>
      <c r="C1579" s="91" t="s">
        <v>2836</v>
      </c>
      <c r="D1579" s="91" t="s">
        <v>15</v>
      </c>
      <c r="E1579" s="91"/>
      <c r="F1579">
        <v>144</v>
      </c>
      <c r="G1579">
        <v>3</v>
      </c>
      <c r="H1579" s="89">
        <v>46135</v>
      </c>
      <c r="I1579" s="89">
        <v>46139</v>
      </c>
      <c r="J1579" s="91"/>
      <c r="K1579" s="91"/>
      <c r="M1579" s="91"/>
      <c r="N1579" s="91" t="s">
        <v>2766</v>
      </c>
    </row>
    <row r="1580" spans="1:14" x14ac:dyDescent="0.25">
      <c r="A1580" s="91" t="s">
        <v>1315</v>
      </c>
      <c r="B1580" s="91" t="s">
        <v>1329</v>
      </c>
      <c r="C1580" s="91" t="s">
        <v>2836</v>
      </c>
      <c r="D1580" s="91" t="s">
        <v>15</v>
      </c>
      <c r="E1580" s="91"/>
      <c r="F1580">
        <v>33</v>
      </c>
      <c r="G1580" t="s">
        <v>1419</v>
      </c>
      <c r="H1580" s="89">
        <v>46135</v>
      </c>
      <c r="I1580" s="89">
        <v>46138</v>
      </c>
      <c r="J1580" s="91"/>
      <c r="K1580" s="91"/>
      <c r="M1580" s="91"/>
      <c r="N1580" s="91" t="s">
        <v>2766</v>
      </c>
    </row>
    <row r="1581" spans="1:14" x14ac:dyDescent="0.25">
      <c r="A1581" s="91" t="s">
        <v>1316</v>
      </c>
      <c r="B1581" s="91" t="s">
        <v>1330</v>
      </c>
      <c r="C1581" s="91" t="s">
        <v>2839</v>
      </c>
      <c r="D1581" s="91" t="s">
        <v>15</v>
      </c>
      <c r="E1581" s="91"/>
      <c r="F1581">
        <v>1</v>
      </c>
      <c r="G1581" t="s">
        <v>1419</v>
      </c>
      <c r="H1581" s="89">
        <v>46135</v>
      </c>
      <c r="I1581" s="89">
        <v>46137</v>
      </c>
      <c r="J1581" s="91"/>
      <c r="K1581" s="91"/>
      <c r="M1581" s="91"/>
      <c r="N1581" s="91" t="s">
        <v>2766</v>
      </c>
    </row>
    <row r="1582" spans="1:14" x14ac:dyDescent="0.25">
      <c r="A1582" s="91" t="s">
        <v>1317</v>
      </c>
      <c r="B1582" s="91" t="s">
        <v>1331</v>
      </c>
      <c r="C1582" s="91" t="s">
        <v>2840</v>
      </c>
      <c r="D1582" s="91" t="s">
        <v>15</v>
      </c>
      <c r="E1582" s="91"/>
      <c r="F1582">
        <v>23</v>
      </c>
      <c r="G1582" t="s">
        <v>1419</v>
      </c>
      <c r="H1582" s="89">
        <v>46135</v>
      </c>
      <c r="I1582" s="89">
        <v>46137</v>
      </c>
      <c r="J1582" s="91"/>
      <c r="K1582" s="91"/>
      <c r="M1582" s="91"/>
      <c r="N1582" s="91" t="s">
        <v>2766</v>
      </c>
    </row>
    <row r="1583" spans="1:14" x14ac:dyDescent="0.25">
      <c r="A1583" s="91" t="s">
        <v>1318</v>
      </c>
      <c r="B1583" s="91" t="s">
        <v>1332</v>
      </c>
      <c r="C1583" s="91" t="s">
        <v>2841</v>
      </c>
      <c r="D1583" s="91" t="s">
        <v>15</v>
      </c>
      <c r="E1583" s="91"/>
      <c r="F1583">
        <v>23</v>
      </c>
      <c r="G1583" t="s">
        <v>1419</v>
      </c>
      <c r="H1583" s="89">
        <v>46135</v>
      </c>
      <c r="I1583" s="89">
        <v>46137</v>
      </c>
      <c r="J1583" s="91"/>
      <c r="K1583" s="91"/>
      <c r="M1583" s="91"/>
      <c r="N1583" s="91" t="s">
        <v>2766</v>
      </c>
    </row>
    <row r="1584" spans="1:14" x14ac:dyDescent="0.25">
      <c r="A1584" s="91" t="s">
        <v>1320</v>
      </c>
      <c r="B1584" s="91" t="s">
        <v>1334</v>
      </c>
      <c r="C1584" s="91" t="s">
        <v>2842</v>
      </c>
      <c r="D1584" s="91" t="s">
        <v>28</v>
      </c>
      <c r="E1584" s="91"/>
      <c r="F1584">
        <v>960</v>
      </c>
      <c r="G1584">
        <v>20</v>
      </c>
      <c r="H1584" s="89">
        <v>46135</v>
      </c>
      <c r="I1584" s="89">
        <v>46139</v>
      </c>
      <c r="J1584" s="91" t="s">
        <v>2843</v>
      </c>
      <c r="K1584" s="91"/>
      <c r="M1584" s="91"/>
      <c r="N1584" s="91" t="s">
        <v>2766</v>
      </c>
    </row>
    <row r="1585" spans="1:14" x14ac:dyDescent="0.25">
      <c r="A1585" s="91" t="s">
        <v>1313</v>
      </c>
      <c r="B1585" s="91" t="s">
        <v>1327</v>
      </c>
      <c r="C1585" s="91" t="s">
        <v>2842</v>
      </c>
      <c r="D1585" s="91" t="s">
        <v>28</v>
      </c>
      <c r="E1585" s="91"/>
      <c r="F1585">
        <v>336</v>
      </c>
      <c r="G1585">
        <v>7</v>
      </c>
      <c r="H1585" s="89">
        <v>46135</v>
      </c>
      <c r="I1585" s="89">
        <v>46140</v>
      </c>
      <c r="J1585" s="91" t="s">
        <v>2838</v>
      </c>
      <c r="K1585" s="91"/>
      <c r="M1585" s="91"/>
      <c r="N1585" s="91" t="s">
        <v>2766</v>
      </c>
    </row>
    <row r="1586" spans="1:14" x14ac:dyDescent="0.25">
      <c r="A1586" s="91" t="s">
        <v>1315</v>
      </c>
      <c r="B1586" s="91" t="s">
        <v>1329</v>
      </c>
      <c r="C1586" s="91" t="s">
        <v>2842</v>
      </c>
      <c r="D1586" s="91" t="s">
        <v>28</v>
      </c>
      <c r="E1586" s="91"/>
      <c r="F1586">
        <v>94</v>
      </c>
      <c r="G1586" t="s">
        <v>1419</v>
      </c>
      <c r="H1586" s="89">
        <v>46135</v>
      </c>
      <c r="I1586" s="89">
        <v>46137</v>
      </c>
      <c r="J1586" s="91"/>
      <c r="K1586" s="91"/>
      <c r="M1586" s="91"/>
      <c r="N1586" s="91" t="s">
        <v>2766</v>
      </c>
    </row>
    <row r="1587" spans="1:14" x14ac:dyDescent="0.25">
      <c r="A1587" s="91" t="s">
        <v>1316</v>
      </c>
      <c r="B1587" s="91" t="s">
        <v>1330</v>
      </c>
      <c r="C1587" s="91" t="s">
        <v>2844</v>
      </c>
      <c r="D1587" s="91" t="s">
        <v>28</v>
      </c>
      <c r="E1587" s="91"/>
      <c r="F1587">
        <v>3</v>
      </c>
      <c r="G1587" t="s">
        <v>1419</v>
      </c>
      <c r="H1587" s="89">
        <v>46135</v>
      </c>
      <c r="I1587" s="89">
        <v>46137</v>
      </c>
      <c r="J1587" s="91"/>
      <c r="K1587" s="91"/>
      <c r="M1587" s="91"/>
      <c r="N1587" s="91" t="s">
        <v>2766</v>
      </c>
    </row>
    <row r="1588" spans="1:14" x14ac:dyDescent="0.25">
      <c r="A1588" s="91" t="s">
        <v>1317</v>
      </c>
      <c r="B1588" s="91" t="s">
        <v>1331</v>
      </c>
      <c r="C1588" s="91" t="s">
        <v>2845</v>
      </c>
      <c r="D1588" s="91" t="s">
        <v>28</v>
      </c>
      <c r="E1588" s="91"/>
      <c r="F1588">
        <v>4</v>
      </c>
      <c r="G1588" t="s">
        <v>1419</v>
      </c>
      <c r="H1588" s="89">
        <v>46135</v>
      </c>
      <c r="I1588" s="89">
        <v>46137</v>
      </c>
      <c r="J1588" s="91"/>
      <c r="K1588" s="91"/>
      <c r="M1588" s="91"/>
      <c r="N1588" s="91" t="s">
        <v>2766</v>
      </c>
    </row>
    <row r="1589" spans="1:14" x14ac:dyDescent="0.25">
      <c r="A1589" s="91" t="s">
        <v>1318</v>
      </c>
      <c r="B1589" s="91" t="s">
        <v>1332</v>
      </c>
      <c r="C1589" s="91" t="s">
        <v>2846</v>
      </c>
      <c r="D1589" s="91" t="s">
        <v>28</v>
      </c>
      <c r="E1589" s="91"/>
      <c r="F1589">
        <v>65</v>
      </c>
      <c r="G1589" t="s">
        <v>1419</v>
      </c>
      <c r="H1589" s="89">
        <v>46135</v>
      </c>
      <c r="I1589" s="89">
        <v>46137</v>
      </c>
      <c r="J1589" s="91"/>
      <c r="K1589" s="91"/>
      <c r="M1589" s="91"/>
      <c r="N1589" s="91" t="s">
        <v>2766</v>
      </c>
    </row>
    <row r="1590" spans="1:14" x14ac:dyDescent="0.25">
      <c r="A1590" s="91" t="s">
        <v>1324</v>
      </c>
      <c r="B1590" s="91" t="s">
        <v>1338</v>
      </c>
      <c r="C1590" s="91" t="s">
        <v>2847</v>
      </c>
      <c r="D1590" s="91" t="s">
        <v>23</v>
      </c>
      <c r="E1590" s="91"/>
      <c r="F1590">
        <v>960</v>
      </c>
      <c r="G1590">
        <v>20</v>
      </c>
      <c r="H1590" s="89">
        <v>46136</v>
      </c>
      <c r="I1590" s="89">
        <v>46141</v>
      </c>
      <c r="J1590" s="91" t="s">
        <v>2828</v>
      </c>
      <c r="K1590" s="91"/>
      <c r="M1590" s="91"/>
      <c r="N1590" s="91" t="s">
        <v>2766</v>
      </c>
    </row>
    <row r="1591" spans="1:14" x14ac:dyDescent="0.25">
      <c r="A1591" s="91" t="s">
        <v>1321</v>
      </c>
      <c r="B1591" s="91" t="s">
        <v>1335</v>
      </c>
      <c r="C1591" s="91" t="s">
        <v>2848</v>
      </c>
      <c r="D1591" s="91" t="s">
        <v>138</v>
      </c>
      <c r="E1591" s="91"/>
      <c r="F1591">
        <v>144</v>
      </c>
      <c r="G1591">
        <v>3</v>
      </c>
      <c r="H1591" s="89">
        <v>46136</v>
      </c>
      <c r="I1591" s="89">
        <v>46143</v>
      </c>
      <c r="J1591" s="91" t="s">
        <v>2849</v>
      </c>
      <c r="K1591" s="91"/>
      <c r="M1591" s="91"/>
      <c r="N1591" s="91" t="s">
        <v>2766</v>
      </c>
    </row>
    <row r="1592" spans="1:14" x14ac:dyDescent="0.25">
      <c r="A1592" s="91" t="s">
        <v>1320</v>
      </c>
      <c r="B1592" s="91" t="s">
        <v>1334</v>
      </c>
      <c r="C1592" s="91" t="s">
        <v>2850</v>
      </c>
      <c r="D1592" s="91" t="s">
        <v>144</v>
      </c>
      <c r="E1592" s="91"/>
      <c r="F1592">
        <v>960</v>
      </c>
      <c r="G1592">
        <v>20</v>
      </c>
      <c r="H1592" s="89">
        <v>46136</v>
      </c>
      <c r="I1592" s="89">
        <v>46140</v>
      </c>
      <c r="J1592" s="91" t="s">
        <v>2851</v>
      </c>
      <c r="K1592" s="91"/>
      <c r="M1592" s="91"/>
      <c r="N1592" s="91" t="s">
        <v>2766</v>
      </c>
    </row>
    <row r="1593" spans="1:14" x14ac:dyDescent="0.25">
      <c r="A1593" s="91" t="s">
        <v>1313</v>
      </c>
      <c r="B1593" s="91" t="s">
        <v>1327</v>
      </c>
      <c r="C1593" s="91" t="s">
        <v>2852</v>
      </c>
      <c r="D1593" s="91" t="s">
        <v>20</v>
      </c>
      <c r="E1593" s="91"/>
      <c r="F1593">
        <v>1152</v>
      </c>
      <c r="G1593">
        <v>24</v>
      </c>
      <c r="H1593" s="89">
        <v>46136</v>
      </c>
      <c r="I1593" s="89">
        <v>46140</v>
      </c>
      <c r="J1593" s="91"/>
      <c r="K1593" s="91"/>
      <c r="M1593" s="91"/>
      <c r="N1593" s="91" t="s">
        <v>2766</v>
      </c>
    </row>
    <row r="1594" spans="1:14" x14ac:dyDescent="0.25">
      <c r="A1594" s="91" t="s">
        <v>1315</v>
      </c>
      <c r="B1594" s="91" t="s">
        <v>1329</v>
      </c>
      <c r="C1594" s="91" t="s">
        <v>2852</v>
      </c>
      <c r="D1594" s="91" t="s">
        <v>20</v>
      </c>
      <c r="E1594" s="91"/>
      <c r="F1594">
        <v>56</v>
      </c>
      <c r="G1594" t="s">
        <v>1419</v>
      </c>
      <c r="H1594" s="89">
        <v>46136</v>
      </c>
      <c r="I1594" s="89">
        <v>46138</v>
      </c>
      <c r="J1594" s="91"/>
      <c r="K1594" s="91"/>
      <c r="M1594" s="91"/>
      <c r="N1594" s="91" t="s">
        <v>2766</v>
      </c>
    </row>
    <row r="1595" spans="1:14" x14ac:dyDescent="0.25">
      <c r="A1595" s="91" t="s">
        <v>1316</v>
      </c>
      <c r="B1595" s="91" t="s">
        <v>1330</v>
      </c>
      <c r="C1595" s="91" t="s">
        <v>2853</v>
      </c>
      <c r="D1595" s="91" t="s">
        <v>20</v>
      </c>
      <c r="E1595" s="91"/>
      <c r="F1595">
        <v>157</v>
      </c>
      <c r="G1595" t="s">
        <v>1419</v>
      </c>
      <c r="H1595" s="89">
        <v>46136</v>
      </c>
      <c r="I1595" s="89">
        <v>46138</v>
      </c>
      <c r="J1595" s="91"/>
      <c r="K1595" s="91"/>
      <c r="M1595" s="91"/>
      <c r="N1595" s="91" t="s">
        <v>2766</v>
      </c>
    </row>
    <row r="1596" spans="1:14" x14ac:dyDescent="0.25">
      <c r="A1596" s="91" t="s">
        <v>1317</v>
      </c>
      <c r="B1596" s="91" t="s">
        <v>1331</v>
      </c>
      <c r="C1596" s="91" t="s">
        <v>2854</v>
      </c>
      <c r="D1596" s="91" t="s">
        <v>20</v>
      </c>
      <c r="E1596" s="91"/>
      <c r="F1596">
        <v>9</v>
      </c>
      <c r="G1596" t="s">
        <v>1419</v>
      </c>
      <c r="H1596" s="89">
        <v>46136</v>
      </c>
      <c r="I1596" s="89">
        <v>46138</v>
      </c>
      <c r="J1596" s="91"/>
      <c r="K1596" s="91"/>
      <c r="M1596" s="91"/>
      <c r="N1596" s="91" t="s">
        <v>2766</v>
      </c>
    </row>
    <row r="1597" spans="1:14" x14ac:dyDescent="0.25">
      <c r="A1597" s="91" t="s">
        <v>1318</v>
      </c>
      <c r="B1597" s="91" t="s">
        <v>1332</v>
      </c>
      <c r="C1597" s="91" t="s">
        <v>2855</v>
      </c>
      <c r="D1597" s="91" t="s">
        <v>20</v>
      </c>
      <c r="E1597" s="91"/>
      <c r="F1597">
        <v>53</v>
      </c>
      <c r="G1597" t="s">
        <v>1419</v>
      </c>
      <c r="H1597" s="89">
        <v>46136</v>
      </c>
      <c r="I1597" s="89">
        <v>46138</v>
      </c>
      <c r="J1597" s="91"/>
      <c r="K1597" s="91"/>
      <c r="M1597" s="91"/>
      <c r="N1597" s="91" t="s">
        <v>2766</v>
      </c>
    </row>
    <row r="1598" spans="1:14" x14ac:dyDescent="0.25">
      <c r="A1598" s="91" t="s">
        <v>1320</v>
      </c>
      <c r="B1598" s="91" t="s">
        <v>1334</v>
      </c>
      <c r="C1598" s="91" t="s">
        <v>2856</v>
      </c>
      <c r="D1598" s="91" t="s">
        <v>21</v>
      </c>
      <c r="E1598" s="91"/>
      <c r="F1598">
        <v>960</v>
      </c>
      <c r="G1598">
        <v>20</v>
      </c>
      <c r="H1598" s="89">
        <v>46136</v>
      </c>
      <c r="I1598" s="89">
        <v>46140</v>
      </c>
      <c r="J1598" s="91" t="s">
        <v>2857</v>
      </c>
      <c r="K1598" s="91"/>
      <c r="M1598" s="91"/>
      <c r="N1598" s="91" t="s">
        <v>2766</v>
      </c>
    </row>
    <row r="1599" spans="1:14" x14ac:dyDescent="0.25">
      <c r="A1599" s="91" t="s">
        <v>1324</v>
      </c>
      <c r="B1599" s="91" t="s">
        <v>1338</v>
      </c>
      <c r="C1599" s="91" t="s">
        <v>2856</v>
      </c>
      <c r="D1599" s="91" t="s">
        <v>21</v>
      </c>
      <c r="E1599" s="91"/>
      <c r="F1599">
        <v>336</v>
      </c>
      <c r="G1599">
        <v>7</v>
      </c>
      <c r="H1599" s="89">
        <v>46136</v>
      </c>
      <c r="I1599" s="89">
        <v>46143</v>
      </c>
      <c r="J1599" s="91" t="s">
        <v>2849</v>
      </c>
      <c r="K1599" s="91"/>
      <c r="M1599" s="91"/>
      <c r="N1599" s="91" t="s">
        <v>2766</v>
      </c>
    </row>
    <row r="1600" spans="1:14" x14ac:dyDescent="0.25">
      <c r="A1600" s="91" t="s">
        <v>1313</v>
      </c>
      <c r="B1600" s="91" t="s">
        <v>1327</v>
      </c>
      <c r="C1600" s="91" t="s">
        <v>2856</v>
      </c>
      <c r="D1600" s="91" t="s">
        <v>21</v>
      </c>
      <c r="E1600" s="91"/>
      <c r="F1600">
        <v>144</v>
      </c>
      <c r="G1600">
        <v>3</v>
      </c>
      <c r="H1600" s="89">
        <v>46136</v>
      </c>
      <c r="I1600" s="89">
        <v>46140</v>
      </c>
      <c r="J1600" s="91"/>
      <c r="K1600" s="91"/>
      <c r="M1600" s="91"/>
      <c r="N1600" s="91" t="s">
        <v>2766</v>
      </c>
    </row>
    <row r="1601" spans="1:14" x14ac:dyDescent="0.25">
      <c r="A1601" s="91" t="s">
        <v>1315</v>
      </c>
      <c r="B1601" s="91" t="s">
        <v>1329</v>
      </c>
      <c r="C1601" s="91" t="s">
        <v>2856</v>
      </c>
      <c r="D1601" s="91" t="s">
        <v>21</v>
      </c>
      <c r="E1601" s="91"/>
      <c r="F1601">
        <v>247</v>
      </c>
      <c r="G1601" t="s">
        <v>1419</v>
      </c>
      <c r="H1601" s="89">
        <v>46136</v>
      </c>
      <c r="I1601" s="89">
        <v>46137</v>
      </c>
      <c r="J1601" s="91"/>
      <c r="K1601" s="91"/>
      <c r="M1601" s="91"/>
      <c r="N1601" s="91" t="s">
        <v>2766</v>
      </c>
    </row>
    <row r="1602" spans="1:14" x14ac:dyDescent="0.25">
      <c r="A1602" s="91" t="s">
        <v>1316</v>
      </c>
      <c r="B1602" s="91" t="s">
        <v>1330</v>
      </c>
      <c r="C1602" s="91" t="s">
        <v>2858</v>
      </c>
      <c r="D1602" s="91" t="s">
        <v>21</v>
      </c>
      <c r="E1602" s="91"/>
      <c r="F1602">
        <v>58</v>
      </c>
      <c r="G1602" t="s">
        <v>1419</v>
      </c>
      <c r="H1602" s="89">
        <v>46136</v>
      </c>
      <c r="I1602" s="89">
        <v>46138</v>
      </c>
      <c r="J1602" s="91"/>
      <c r="K1602" s="91"/>
      <c r="M1602" s="91"/>
      <c r="N1602" s="91" t="s">
        <v>2766</v>
      </c>
    </row>
    <row r="1603" spans="1:14" x14ac:dyDescent="0.25">
      <c r="A1603" s="91" t="s">
        <v>1317</v>
      </c>
      <c r="B1603" s="91" t="s">
        <v>1331</v>
      </c>
      <c r="C1603" s="91" t="s">
        <v>2859</v>
      </c>
      <c r="D1603" s="91" t="s">
        <v>21</v>
      </c>
      <c r="E1603" s="91"/>
      <c r="F1603">
        <v>4</v>
      </c>
      <c r="G1603" t="s">
        <v>1419</v>
      </c>
      <c r="H1603" s="89">
        <v>46136</v>
      </c>
      <c r="I1603" s="89">
        <v>46138</v>
      </c>
      <c r="J1603" s="91"/>
      <c r="K1603" s="91"/>
      <c r="M1603" s="91"/>
      <c r="N1603" s="91" t="s">
        <v>2766</v>
      </c>
    </row>
    <row r="1604" spans="1:14" x14ac:dyDescent="0.25">
      <c r="A1604" s="91" t="s">
        <v>1318</v>
      </c>
      <c r="B1604" s="91" t="s">
        <v>1332</v>
      </c>
      <c r="C1604" s="91" t="s">
        <v>2860</v>
      </c>
      <c r="D1604" s="91" t="s">
        <v>21</v>
      </c>
      <c r="E1604" s="91"/>
      <c r="F1604">
        <v>111</v>
      </c>
      <c r="G1604" t="s">
        <v>1419</v>
      </c>
      <c r="H1604" s="89">
        <v>46136</v>
      </c>
      <c r="I1604" s="89">
        <v>46138</v>
      </c>
      <c r="J1604" s="91"/>
      <c r="K1604" s="91"/>
      <c r="M1604" s="91"/>
      <c r="N1604" s="91" t="s">
        <v>2766</v>
      </c>
    </row>
    <row r="1605" spans="1:14" x14ac:dyDescent="0.25">
      <c r="A1605" s="91" t="s">
        <v>1320</v>
      </c>
      <c r="B1605" s="91" t="s">
        <v>1334</v>
      </c>
      <c r="C1605" s="91" t="s">
        <v>2861</v>
      </c>
      <c r="D1605" s="91" t="s">
        <v>106</v>
      </c>
      <c r="E1605" s="91"/>
      <c r="F1605">
        <v>960</v>
      </c>
      <c r="G1605">
        <v>20</v>
      </c>
      <c r="H1605" s="89">
        <v>46136</v>
      </c>
      <c r="I1605" s="89">
        <v>46141</v>
      </c>
      <c r="J1605" s="91" t="s">
        <v>2862</v>
      </c>
      <c r="K1605" s="91"/>
      <c r="M1605" s="91"/>
      <c r="N1605" s="91" t="s">
        <v>2766</v>
      </c>
    </row>
    <row r="1606" spans="1:14" x14ac:dyDescent="0.25">
      <c r="A1606" s="91" t="s">
        <v>1320</v>
      </c>
      <c r="B1606" s="91" t="s">
        <v>1334</v>
      </c>
      <c r="C1606" s="91" t="s">
        <v>2863</v>
      </c>
      <c r="D1606" s="91" t="s">
        <v>15</v>
      </c>
      <c r="E1606" s="91"/>
      <c r="F1606">
        <v>960</v>
      </c>
      <c r="G1606">
        <v>20</v>
      </c>
      <c r="H1606" s="89">
        <v>46136</v>
      </c>
      <c r="I1606" s="89">
        <v>46141</v>
      </c>
      <c r="J1606" s="91" t="s">
        <v>2864</v>
      </c>
      <c r="K1606" s="91"/>
      <c r="M1606" s="91"/>
      <c r="N1606" s="91" t="s">
        <v>2766</v>
      </c>
    </row>
    <row r="1607" spans="1:14" x14ac:dyDescent="0.25">
      <c r="A1607" s="91" t="s">
        <v>1324</v>
      </c>
      <c r="B1607" s="91" t="s">
        <v>1338</v>
      </c>
      <c r="C1607" s="91" t="s">
        <v>2863</v>
      </c>
      <c r="D1607" s="91" t="s">
        <v>15</v>
      </c>
      <c r="E1607" s="91"/>
      <c r="F1607">
        <v>480</v>
      </c>
      <c r="G1607">
        <v>10</v>
      </c>
      <c r="H1607" s="89">
        <v>46136</v>
      </c>
      <c r="I1607" s="89">
        <v>46143</v>
      </c>
      <c r="J1607" s="91" t="s">
        <v>2849</v>
      </c>
      <c r="K1607" s="91"/>
      <c r="M1607" s="91"/>
      <c r="N1607" s="91" t="s">
        <v>2766</v>
      </c>
    </row>
    <row r="1608" spans="1:14" x14ac:dyDescent="0.25">
      <c r="A1608" s="91" t="s">
        <v>1313</v>
      </c>
      <c r="B1608" s="91" t="s">
        <v>1327</v>
      </c>
      <c r="C1608" s="91" t="s">
        <v>2863</v>
      </c>
      <c r="D1608" s="91" t="s">
        <v>15</v>
      </c>
      <c r="E1608" s="91"/>
      <c r="F1608">
        <v>96</v>
      </c>
      <c r="G1608">
        <v>2</v>
      </c>
      <c r="H1608" s="89">
        <v>46136</v>
      </c>
      <c r="I1608" s="89">
        <v>46141</v>
      </c>
      <c r="J1608" s="91" t="s">
        <v>2865</v>
      </c>
      <c r="K1608" s="91"/>
      <c r="M1608" s="91"/>
      <c r="N1608" s="91" t="s">
        <v>2766</v>
      </c>
    </row>
    <row r="1609" spans="1:14" x14ac:dyDescent="0.25">
      <c r="A1609" s="91" t="s">
        <v>1313</v>
      </c>
      <c r="B1609" s="91" t="s">
        <v>1327</v>
      </c>
      <c r="C1609" s="91" t="s">
        <v>2863</v>
      </c>
      <c r="D1609" s="91" t="s">
        <v>15</v>
      </c>
      <c r="E1609" s="91"/>
      <c r="F1609">
        <v>48</v>
      </c>
      <c r="G1609">
        <v>1</v>
      </c>
      <c r="H1609" s="89">
        <v>46136</v>
      </c>
      <c r="I1609" s="89">
        <v>46140</v>
      </c>
      <c r="J1609" s="91"/>
      <c r="K1609" s="91"/>
      <c r="M1609" s="91"/>
      <c r="N1609" s="91" t="s">
        <v>2766</v>
      </c>
    </row>
    <row r="1610" spans="1:14" x14ac:dyDescent="0.25">
      <c r="A1610" s="91" t="s">
        <v>1315</v>
      </c>
      <c r="B1610" s="91" t="s">
        <v>1329</v>
      </c>
      <c r="C1610" s="91" t="s">
        <v>2863</v>
      </c>
      <c r="D1610" s="91" t="s">
        <v>15</v>
      </c>
      <c r="E1610" s="91"/>
      <c r="F1610">
        <v>13</v>
      </c>
      <c r="G1610" t="s">
        <v>1419</v>
      </c>
      <c r="H1610" s="89">
        <v>46136</v>
      </c>
      <c r="I1610" s="89">
        <v>46138</v>
      </c>
      <c r="J1610" s="91"/>
      <c r="K1610" s="91"/>
      <c r="M1610" s="91"/>
      <c r="N1610" s="91" t="s">
        <v>2766</v>
      </c>
    </row>
    <row r="1611" spans="1:14" x14ac:dyDescent="0.25">
      <c r="A1611" s="91" t="s">
        <v>1316</v>
      </c>
      <c r="B1611" s="91" t="s">
        <v>1330</v>
      </c>
      <c r="C1611" s="91" t="s">
        <v>2866</v>
      </c>
      <c r="D1611" s="91" t="s">
        <v>15</v>
      </c>
      <c r="E1611" s="91"/>
      <c r="F1611">
        <v>93</v>
      </c>
      <c r="G1611" t="s">
        <v>1419</v>
      </c>
      <c r="H1611" s="89">
        <v>46136</v>
      </c>
      <c r="I1611" s="89">
        <v>46138</v>
      </c>
      <c r="J1611" s="91"/>
      <c r="K1611" s="91"/>
      <c r="M1611" s="91"/>
      <c r="N1611" s="91" t="s">
        <v>2766</v>
      </c>
    </row>
    <row r="1612" spans="1:14" x14ac:dyDescent="0.25">
      <c r="A1612" s="91" t="s">
        <v>1317</v>
      </c>
      <c r="B1612" s="91" t="s">
        <v>1331</v>
      </c>
      <c r="C1612" s="91" t="s">
        <v>2867</v>
      </c>
      <c r="D1612" s="91" t="s">
        <v>15</v>
      </c>
      <c r="E1612" s="91"/>
      <c r="F1612">
        <v>18</v>
      </c>
      <c r="G1612" t="s">
        <v>1419</v>
      </c>
      <c r="H1612" s="89">
        <v>46136</v>
      </c>
      <c r="I1612" s="89">
        <v>46138</v>
      </c>
      <c r="J1612" s="91"/>
      <c r="K1612" s="91"/>
      <c r="M1612" s="91"/>
      <c r="N1612" s="91" t="s">
        <v>2766</v>
      </c>
    </row>
    <row r="1613" spans="1:14" x14ac:dyDescent="0.25">
      <c r="A1613" s="91" t="s">
        <v>1318</v>
      </c>
      <c r="B1613" s="91" t="s">
        <v>1332</v>
      </c>
      <c r="C1613" s="91" t="s">
        <v>2868</v>
      </c>
      <c r="D1613" s="91" t="s">
        <v>15</v>
      </c>
      <c r="E1613" s="91"/>
      <c r="F1613">
        <v>39</v>
      </c>
      <c r="G1613" t="s">
        <v>1419</v>
      </c>
      <c r="H1613" s="89">
        <v>46136</v>
      </c>
      <c r="I1613" s="89">
        <v>46138</v>
      </c>
      <c r="J1613" s="91"/>
      <c r="K1613" s="91"/>
      <c r="M1613" s="91"/>
      <c r="N1613" s="91" t="s">
        <v>2766</v>
      </c>
    </row>
    <row r="1614" spans="1:14" x14ac:dyDescent="0.25">
      <c r="A1614" s="91" t="s">
        <v>1325</v>
      </c>
      <c r="B1614" s="91" t="s">
        <v>1339</v>
      </c>
      <c r="C1614" s="91" t="s">
        <v>2848</v>
      </c>
      <c r="D1614" s="91" t="s">
        <v>138</v>
      </c>
      <c r="E1614" s="91"/>
      <c r="F1614">
        <v>240</v>
      </c>
      <c r="G1614">
        <v>5</v>
      </c>
      <c r="H1614" s="89">
        <v>46136</v>
      </c>
      <c r="I1614" s="89">
        <v>46140</v>
      </c>
      <c r="J1614" s="91"/>
      <c r="K1614" s="91"/>
      <c r="M1614" s="91"/>
      <c r="N1614" s="91" t="s">
        <v>2766</v>
      </c>
    </row>
    <row r="1615" spans="1:14" x14ac:dyDescent="0.25">
      <c r="A1615" s="91" t="s">
        <v>1313</v>
      </c>
      <c r="B1615" s="91" t="s">
        <v>1327</v>
      </c>
      <c r="C1615" s="91" t="s">
        <v>2869</v>
      </c>
      <c r="D1615" s="91" t="s">
        <v>28</v>
      </c>
      <c r="E1615" s="91"/>
      <c r="F1615">
        <v>1056</v>
      </c>
      <c r="G1615">
        <v>22</v>
      </c>
      <c r="H1615" s="89">
        <v>46137</v>
      </c>
      <c r="I1615" s="89">
        <v>46141</v>
      </c>
      <c r="J1615" s="91" t="s">
        <v>2865</v>
      </c>
      <c r="K1615" s="91"/>
      <c r="M1615" s="91"/>
      <c r="N1615" s="91" t="s">
        <v>2766</v>
      </c>
    </row>
    <row r="1616" spans="1:14" x14ac:dyDescent="0.25">
      <c r="A1616" s="91" t="s">
        <v>1315</v>
      </c>
      <c r="B1616" s="91" t="s">
        <v>1329</v>
      </c>
      <c r="C1616" s="91" t="s">
        <v>2869</v>
      </c>
      <c r="D1616" s="91" t="s">
        <v>28</v>
      </c>
      <c r="E1616" s="91"/>
      <c r="F1616">
        <v>22</v>
      </c>
      <c r="G1616" t="s">
        <v>1419</v>
      </c>
      <c r="H1616" s="89">
        <v>46137</v>
      </c>
      <c r="I1616" s="89">
        <v>46139</v>
      </c>
      <c r="J1616" s="91"/>
      <c r="K1616" s="91"/>
      <c r="M1616" s="91"/>
      <c r="N1616" s="91" t="s">
        <v>2766</v>
      </c>
    </row>
    <row r="1617" spans="1:14" x14ac:dyDescent="0.25">
      <c r="A1617" s="91" t="s">
        <v>1316</v>
      </c>
      <c r="B1617" s="91" t="s">
        <v>1330</v>
      </c>
      <c r="C1617" s="91" t="s">
        <v>2870</v>
      </c>
      <c r="D1617" s="91" t="s">
        <v>28</v>
      </c>
      <c r="E1617" s="91"/>
      <c r="F1617">
        <v>49</v>
      </c>
      <c r="G1617" t="s">
        <v>1419</v>
      </c>
      <c r="H1617" s="89">
        <v>46137</v>
      </c>
      <c r="I1617" s="89">
        <v>46139</v>
      </c>
      <c r="J1617" s="91"/>
      <c r="K1617" s="91"/>
      <c r="M1617" s="91"/>
      <c r="N1617" s="91" t="s">
        <v>2766</v>
      </c>
    </row>
    <row r="1618" spans="1:14" x14ac:dyDescent="0.25">
      <c r="A1618" s="91" t="s">
        <v>1317</v>
      </c>
      <c r="B1618" s="91" t="s">
        <v>1331</v>
      </c>
      <c r="C1618" s="91" t="s">
        <v>2871</v>
      </c>
      <c r="D1618" s="91" t="s">
        <v>28</v>
      </c>
      <c r="E1618" s="91"/>
      <c r="F1618">
        <v>6</v>
      </c>
      <c r="G1618" t="s">
        <v>1419</v>
      </c>
      <c r="H1618" s="89">
        <v>46137</v>
      </c>
      <c r="I1618" s="89">
        <v>46139</v>
      </c>
      <c r="J1618" s="91"/>
      <c r="K1618" s="91"/>
      <c r="M1618" s="91"/>
      <c r="N1618" s="91" t="s">
        <v>2766</v>
      </c>
    </row>
    <row r="1619" spans="1:14" x14ac:dyDescent="0.25">
      <c r="A1619" s="91" t="s">
        <v>1318</v>
      </c>
      <c r="B1619" s="91" t="s">
        <v>1332</v>
      </c>
      <c r="C1619" s="91" t="s">
        <v>2872</v>
      </c>
      <c r="D1619" s="91" t="s">
        <v>28</v>
      </c>
      <c r="E1619" s="91"/>
      <c r="F1619">
        <v>42</v>
      </c>
      <c r="G1619" t="s">
        <v>1419</v>
      </c>
      <c r="H1619" s="89">
        <v>46137</v>
      </c>
      <c r="I1619" s="89">
        <v>46139</v>
      </c>
      <c r="J1619" s="91"/>
      <c r="K1619" s="91"/>
      <c r="M1619" s="91"/>
      <c r="N1619" s="91" t="s">
        <v>2766</v>
      </c>
    </row>
    <row r="1620" spans="1:14" x14ac:dyDescent="0.25">
      <c r="A1620" s="91" t="s">
        <v>1324</v>
      </c>
      <c r="B1620" s="91" t="s">
        <v>1338</v>
      </c>
      <c r="C1620" s="91" t="s">
        <v>2873</v>
      </c>
      <c r="D1620" s="91" t="s">
        <v>104</v>
      </c>
      <c r="E1620" s="91"/>
      <c r="F1620">
        <v>960</v>
      </c>
      <c r="G1620">
        <v>20</v>
      </c>
      <c r="H1620" s="89">
        <v>46137</v>
      </c>
      <c r="I1620" s="89">
        <v>46143</v>
      </c>
      <c r="J1620" s="91" t="s">
        <v>2849</v>
      </c>
      <c r="K1620" s="91"/>
      <c r="M1620" s="91"/>
      <c r="N1620" s="91" t="s">
        <v>2766</v>
      </c>
    </row>
    <row r="1621" spans="1:14" x14ac:dyDescent="0.25">
      <c r="A1621" s="91" t="s">
        <v>1320</v>
      </c>
      <c r="B1621" s="91" t="s">
        <v>1334</v>
      </c>
      <c r="C1621" s="91" t="s">
        <v>2874</v>
      </c>
      <c r="D1621" s="91" t="s">
        <v>103</v>
      </c>
      <c r="E1621" s="91"/>
      <c r="F1621">
        <v>960</v>
      </c>
      <c r="G1621">
        <v>20</v>
      </c>
      <c r="H1621" s="89">
        <v>46137</v>
      </c>
      <c r="I1621" s="89">
        <v>46142</v>
      </c>
      <c r="J1621" s="91" t="s">
        <v>2875</v>
      </c>
      <c r="K1621" s="91"/>
      <c r="M1621" s="91"/>
      <c r="N1621" s="91" t="s">
        <v>2766</v>
      </c>
    </row>
    <row r="1622" spans="1:14" x14ac:dyDescent="0.25">
      <c r="A1622" s="91" t="s">
        <v>1320</v>
      </c>
      <c r="B1622" s="91" t="s">
        <v>1334</v>
      </c>
      <c r="C1622" s="91" t="s">
        <v>2876</v>
      </c>
      <c r="D1622" s="91" t="s">
        <v>144</v>
      </c>
      <c r="E1622" s="91"/>
      <c r="F1622">
        <v>960</v>
      </c>
      <c r="G1622">
        <v>20</v>
      </c>
      <c r="H1622" s="89">
        <v>46137</v>
      </c>
      <c r="I1622" s="89">
        <v>46142</v>
      </c>
      <c r="J1622" s="91" t="s">
        <v>2877</v>
      </c>
      <c r="K1622" s="91"/>
      <c r="M1622" s="91"/>
      <c r="N1622" s="91" t="s">
        <v>2766</v>
      </c>
    </row>
    <row r="1623" spans="1:14" x14ac:dyDescent="0.25">
      <c r="A1623" s="91" t="s">
        <v>1320</v>
      </c>
      <c r="B1623" s="91" t="s">
        <v>1334</v>
      </c>
      <c r="C1623" s="91" t="s">
        <v>2878</v>
      </c>
      <c r="D1623" s="91" t="s">
        <v>13</v>
      </c>
      <c r="E1623" s="91"/>
      <c r="F1623">
        <v>960</v>
      </c>
      <c r="G1623">
        <v>20</v>
      </c>
      <c r="H1623" s="89">
        <v>46146</v>
      </c>
      <c r="I1623" s="89">
        <v>46150</v>
      </c>
      <c r="J1623" s="91" t="s">
        <v>2879</v>
      </c>
      <c r="K1623" s="91"/>
      <c r="M1623" s="91"/>
      <c r="N1623" s="91" t="s">
        <v>2880</v>
      </c>
    </row>
    <row r="1624" spans="1:14" x14ac:dyDescent="0.25">
      <c r="A1624" s="91" t="s">
        <v>1320</v>
      </c>
      <c r="B1624" s="91" t="s">
        <v>1334</v>
      </c>
      <c r="C1624" s="91" t="s">
        <v>2881</v>
      </c>
      <c r="D1624" s="91" t="s">
        <v>15</v>
      </c>
      <c r="E1624" s="91"/>
      <c r="F1624">
        <v>960</v>
      </c>
      <c r="G1624">
        <v>20</v>
      </c>
      <c r="H1624" s="89">
        <v>46146</v>
      </c>
      <c r="I1624" s="89">
        <v>46150</v>
      </c>
      <c r="J1624" s="91" t="s">
        <v>2882</v>
      </c>
      <c r="K1624" s="91"/>
      <c r="M1624" s="91"/>
      <c r="N1624" s="91" t="s">
        <v>2880</v>
      </c>
    </row>
    <row r="1625" spans="1:14" x14ac:dyDescent="0.25">
      <c r="A1625" s="91" t="s">
        <v>1313</v>
      </c>
      <c r="B1625" s="91" t="s">
        <v>1327</v>
      </c>
      <c r="C1625" s="91" t="s">
        <v>2881</v>
      </c>
      <c r="D1625" s="91" t="s">
        <v>15</v>
      </c>
      <c r="E1625" s="91"/>
      <c r="F1625">
        <v>96</v>
      </c>
      <c r="G1625">
        <v>8</v>
      </c>
      <c r="H1625" s="89">
        <v>46146</v>
      </c>
      <c r="I1625" s="89">
        <v>46148</v>
      </c>
      <c r="J1625" s="91"/>
      <c r="K1625" s="91"/>
      <c r="M1625" s="91"/>
      <c r="N1625" s="91" t="s">
        <v>2880</v>
      </c>
    </row>
    <row r="1626" spans="1:14" x14ac:dyDescent="0.25">
      <c r="A1626" s="91" t="s">
        <v>1315</v>
      </c>
      <c r="B1626" s="91" t="s">
        <v>1329</v>
      </c>
      <c r="C1626" s="91" t="s">
        <v>2881</v>
      </c>
      <c r="D1626" s="91" t="s">
        <v>15</v>
      </c>
      <c r="E1626" s="91"/>
      <c r="F1626">
        <v>17</v>
      </c>
      <c r="G1626" t="s">
        <v>1419</v>
      </c>
      <c r="H1626" s="89">
        <v>46146</v>
      </c>
      <c r="I1626" s="89">
        <v>46148</v>
      </c>
      <c r="J1626" s="91"/>
      <c r="K1626" s="91"/>
      <c r="M1626" s="91"/>
      <c r="N1626" s="91" t="s">
        <v>2880</v>
      </c>
    </row>
    <row r="1627" spans="1:14" x14ac:dyDescent="0.25">
      <c r="A1627" s="91" t="s">
        <v>1316</v>
      </c>
      <c r="B1627" s="91" t="s">
        <v>1330</v>
      </c>
      <c r="C1627" s="91" t="s">
        <v>2883</v>
      </c>
      <c r="D1627" s="91" t="s">
        <v>15</v>
      </c>
      <c r="E1627" s="91"/>
      <c r="F1627">
        <v>79</v>
      </c>
      <c r="G1627" t="s">
        <v>1419</v>
      </c>
      <c r="H1627" s="89">
        <v>46146</v>
      </c>
      <c r="I1627" s="89">
        <v>46148</v>
      </c>
      <c r="J1627" s="91"/>
      <c r="K1627" s="91"/>
      <c r="M1627" s="91"/>
      <c r="N1627" s="91" t="s">
        <v>2880</v>
      </c>
    </row>
    <row r="1628" spans="1:14" x14ac:dyDescent="0.25">
      <c r="A1628" s="91" t="s">
        <v>1317</v>
      </c>
      <c r="B1628" s="91" t="s">
        <v>1331</v>
      </c>
      <c r="C1628" s="91" t="s">
        <v>2884</v>
      </c>
      <c r="D1628" s="91" t="s">
        <v>15</v>
      </c>
      <c r="E1628" s="91"/>
      <c r="F1628">
        <v>12</v>
      </c>
      <c r="G1628" t="s">
        <v>1419</v>
      </c>
      <c r="H1628" s="89">
        <v>46146</v>
      </c>
      <c r="I1628" s="89">
        <v>46148</v>
      </c>
      <c r="J1628" s="91"/>
      <c r="K1628" s="91"/>
      <c r="M1628" s="91"/>
      <c r="N1628" s="91" t="s">
        <v>2880</v>
      </c>
    </row>
    <row r="1629" spans="1:14" x14ac:dyDescent="0.25">
      <c r="A1629" s="91" t="s">
        <v>1318</v>
      </c>
      <c r="B1629" s="91" t="s">
        <v>1332</v>
      </c>
      <c r="C1629" s="91" t="s">
        <v>2885</v>
      </c>
      <c r="D1629" s="91" t="s">
        <v>15</v>
      </c>
      <c r="E1629" s="91"/>
      <c r="F1629">
        <v>51</v>
      </c>
      <c r="G1629" t="s">
        <v>1419</v>
      </c>
      <c r="H1629" s="89">
        <v>46146</v>
      </c>
      <c r="I1629" s="89">
        <v>46148</v>
      </c>
      <c r="J1629" s="91"/>
      <c r="K1629" s="91"/>
      <c r="M1629" s="91"/>
      <c r="N1629" s="91" t="s">
        <v>2880</v>
      </c>
    </row>
    <row r="1630" spans="1:14" x14ac:dyDescent="0.25">
      <c r="A1630" s="91" t="s">
        <v>1313</v>
      </c>
      <c r="B1630" s="91" t="s">
        <v>1327</v>
      </c>
      <c r="C1630" s="91" t="s">
        <v>2886</v>
      </c>
      <c r="D1630" s="91" t="s">
        <v>21</v>
      </c>
      <c r="E1630" s="91"/>
      <c r="F1630">
        <v>1152</v>
      </c>
      <c r="G1630">
        <v>24</v>
      </c>
      <c r="H1630" s="89">
        <v>46146</v>
      </c>
      <c r="I1630" s="89">
        <v>46151</v>
      </c>
      <c r="J1630" s="91" t="s">
        <v>2887</v>
      </c>
      <c r="K1630" s="91"/>
      <c r="M1630" s="91"/>
      <c r="N1630" s="91" t="s">
        <v>2880</v>
      </c>
    </row>
    <row r="1631" spans="1:14" x14ac:dyDescent="0.25">
      <c r="A1631" s="91" t="s">
        <v>1315</v>
      </c>
      <c r="B1631" s="91" t="s">
        <v>1329</v>
      </c>
      <c r="C1631" s="91" t="s">
        <v>2886</v>
      </c>
      <c r="D1631" s="91" t="s">
        <v>21</v>
      </c>
      <c r="E1631" s="91"/>
      <c r="F1631">
        <v>80</v>
      </c>
      <c r="G1631" t="s">
        <v>1419</v>
      </c>
      <c r="H1631" s="89">
        <v>46146</v>
      </c>
      <c r="I1631" s="89">
        <v>46148</v>
      </c>
      <c r="J1631" s="91"/>
      <c r="K1631" s="91"/>
      <c r="M1631" s="91"/>
      <c r="N1631" s="91" t="s">
        <v>2880</v>
      </c>
    </row>
    <row r="1632" spans="1:14" x14ac:dyDescent="0.25">
      <c r="A1632" s="91" t="s">
        <v>1316</v>
      </c>
      <c r="B1632" s="91" t="s">
        <v>1330</v>
      </c>
      <c r="C1632" s="91" t="s">
        <v>2888</v>
      </c>
      <c r="D1632" s="91" t="s">
        <v>21</v>
      </c>
      <c r="E1632" s="91"/>
      <c r="F1632">
        <v>23</v>
      </c>
      <c r="G1632" t="s">
        <v>1419</v>
      </c>
      <c r="H1632" s="89">
        <v>46146</v>
      </c>
      <c r="I1632" s="89">
        <v>46148</v>
      </c>
      <c r="J1632" s="91"/>
      <c r="K1632" s="91"/>
      <c r="M1632" s="91"/>
      <c r="N1632" s="91" t="s">
        <v>2880</v>
      </c>
    </row>
    <row r="1633" spans="1:14" x14ac:dyDescent="0.25">
      <c r="A1633" s="91" t="s">
        <v>1317</v>
      </c>
      <c r="B1633" s="91" t="s">
        <v>1331</v>
      </c>
      <c r="C1633" s="91" t="s">
        <v>2889</v>
      </c>
      <c r="D1633" s="91" t="s">
        <v>21</v>
      </c>
      <c r="E1633" s="91"/>
      <c r="F1633">
        <v>10</v>
      </c>
      <c r="G1633" t="s">
        <v>1419</v>
      </c>
      <c r="H1633" s="89">
        <v>46146</v>
      </c>
      <c r="I1633" s="89">
        <v>46148</v>
      </c>
      <c r="J1633" s="91"/>
      <c r="K1633" s="91"/>
      <c r="M1633" s="91"/>
      <c r="N1633" s="91" t="s">
        <v>2880</v>
      </c>
    </row>
    <row r="1634" spans="1:14" x14ac:dyDescent="0.25">
      <c r="A1634" s="91" t="s">
        <v>1318</v>
      </c>
      <c r="B1634" s="91" t="s">
        <v>1332</v>
      </c>
      <c r="C1634" s="91" t="s">
        <v>2890</v>
      </c>
      <c r="D1634" s="91" t="s">
        <v>21</v>
      </c>
      <c r="E1634" s="91"/>
      <c r="F1634">
        <v>53</v>
      </c>
      <c r="G1634" t="s">
        <v>1419</v>
      </c>
      <c r="H1634" s="89">
        <v>46146</v>
      </c>
      <c r="I1634" s="89">
        <v>46148</v>
      </c>
      <c r="J1634" s="91"/>
      <c r="K1634" s="91"/>
      <c r="M1634" s="91"/>
      <c r="N1634" s="91" t="s">
        <v>2880</v>
      </c>
    </row>
    <row r="1635" spans="1:14" x14ac:dyDescent="0.25">
      <c r="A1635" s="91" t="s">
        <v>1313</v>
      </c>
      <c r="B1635" s="91" t="s">
        <v>1327</v>
      </c>
      <c r="C1635" s="91" t="s">
        <v>2891</v>
      </c>
      <c r="D1635" s="91" t="s">
        <v>20</v>
      </c>
      <c r="E1635" s="91"/>
      <c r="F1635">
        <v>1104</v>
      </c>
      <c r="G1635">
        <v>23</v>
      </c>
      <c r="H1635" s="89">
        <v>46146</v>
      </c>
      <c r="I1635" s="89">
        <v>46150</v>
      </c>
      <c r="J1635" s="91" t="s">
        <v>2892</v>
      </c>
      <c r="K1635" s="91"/>
      <c r="M1635" s="91"/>
      <c r="N1635" s="91" t="s">
        <v>2880</v>
      </c>
    </row>
    <row r="1636" spans="1:14" x14ac:dyDescent="0.25">
      <c r="A1636" s="91" t="s">
        <v>1319</v>
      </c>
      <c r="B1636" s="91" t="s">
        <v>1333</v>
      </c>
      <c r="C1636" s="91" t="s">
        <v>2891</v>
      </c>
      <c r="D1636" s="91" t="s">
        <v>20</v>
      </c>
      <c r="E1636" s="91"/>
      <c r="F1636">
        <v>48</v>
      </c>
      <c r="G1636">
        <v>1</v>
      </c>
      <c r="H1636" s="89">
        <v>46146</v>
      </c>
      <c r="I1636" s="89">
        <v>46150</v>
      </c>
      <c r="J1636" s="91" t="s">
        <v>2892</v>
      </c>
      <c r="K1636" s="91"/>
      <c r="M1636" s="91"/>
      <c r="N1636" s="91" t="s">
        <v>2880</v>
      </c>
    </row>
    <row r="1637" spans="1:14" x14ac:dyDescent="0.25">
      <c r="A1637" s="91" t="s">
        <v>1313</v>
      </c>
      <c r="B1637" s="91" t="s">
        <v>1327</v>
      </c>
      <c r="C1637" s="91" t="s">
        <v>2891</v>
      </c>
      <c r="D1637" s="91" t="s">
        <v>20</v>
      </c>
      <c r="E1637" s="91"/>
      <c r="F1637">
        <v>384</v>
      </c>
      <c r="G1637">
        <v>8</v>
      </c>
      <c r="H1637" s="89">
        <v>46146</v>
      </c>
      <c r="I1637" s="89">
        <v>46149</v>
      </c>
      <c r="J1637" s="91"/>
      <c r="K1637" s="91"/>
      <c r="M1637" s="91"/>
      <c r="N1637" s="91" t="s">
        <v>2880</v>
      </c>
    </row>
    <row r="1638" spans="1:14" x14ac:dyDescent="0.25">
      <c r="A1638" s="91" t="s">
        <v>1315</v>
      </c>
      <c r="B1638" s="91" t="s">
        <v>1329</v>
      </c>
      <c r="C1638" s="91" t="s">
        <v>2891</v>
      </c>
      <c r="D1638" s="91" t="s">
        <v>20</v>
      </c>
      <c r="E1638" s="91"/>
      <c r="F1638">
        <v>78</v>
      </c>
      <c r="G1638" t="s">
        <v>1419</v>
      </c>
      <c r="H1638" s="89">
        <v>46146</v>
      </c>
      <c r="I1638" s="89">
        <v>46148</v>
      </c>
      <c r="J1638" s="91"/>
      <c r="K1638" s="91"/>
      <c r="M1638" s="91"/>
      <c r="N1638" s="91" t="s">
        <v>2880</v>
      </c>
    </row>
    <row r="1639" spans="1:14" x14ac:dyDescent="0.25">
      <c r="A1639" s="91" t="s">
        <v>1316</v>
      </c>
      <c r="B1639" s="91" t="s">
        <v>1330</v>
      </c>
      <c r="C1639" s="91" t="s">
        <v>2893</v>
      </c>
      <c r="D1639" s="91" t="s">
        <v>20</v>
      </c>
      <c r="E1639" s="91"/>
      <c r="F1639">
        <v>278</v>
      </c>
      <c r="G1639" t="s">
        <v>1419</v>
      </c>
      <c r="H1639" s="89">
        <v>46146</v>
      </c>
      <c r="I1639" s="89">
        <v>46148</v>
      </c>
      <c r="J1639" s="91"/>
      <c r="K1639" s="91"/>
      <c r="M1639" s="91"/>
      <c r="N1639" s="91" t="s">
        <v>2880</v>
      </c>
    </row>
    <row r="1640" spans="1:14" x14ac:dyDescent="0.25">
      <c r="A1640" s="91" t="s">
        <v>1317</v>
      </c>
      <c r="B1640" s="91" t="s">
        <v>1331</v>
      </c>
      <c r="C1640" s="91" t="s">
        <v>2894</v>
      </c>
      <c r="D1640" s="91" t="s">
        <v>20</v>
      </c>
      <c r="E1640" s="91"/>
      <c r="F1640">
        <v>22</v>
      </c>
      <c r="G1640" t="s">
        <v>1419</v>
      </c>
      <c r="H1640" s="89">
        <v>46146</v>
      </c>
      <c r="I1640" s="89">
        <v>46148</v>
      </c>
      <c r="J1640" s="91"/>
      <c r="K1640" s="91"/>
      <c r="M1640" s="91"/>
      <c r="N1640" s="91" t="s">
        <v>2880</v>
      </c>
    </row>
    <row r="1641" spans="1:14" x14ac:dyDescent="0.25">
      <c r="A1641" s="91" t="s">
        <v>1318</v>
      </c>
      <c r="B1641" s="91" t="s">
        <v>1332</v>
      </c>
      <c r="C1641" s="91" t="s">
        <v>2895</v>
      </c>
      <c r="D1641" s="91" t="s">
        <v>20</v>
      </c>
      <c r="E1641" s="91"/>
      <c r="F1641">
        <v>94</v>
      </c>
      <c r="G1641" t="s">
        <v>1419</v>
      </c>
      <c r="H1641" s="89">
        <v>46146</v>
      </c>
      <c r="I1641" s="89">
        <v>46148</v>
      </c>
      <c r="J1641" s="91"/>
      <c r="K1641" s="91"/>
      <c r="M1641" s="91"/>
      <c r="N1641" s="91" t="s">
        <v>2880</v>
      </c>
    </row>
    <row r="1642" spans="1:14" x14ac:dyDescent="0.25">
      <c r="A1642" s="91" t="s">
        <v>1323</v>
      </c>
      <c r="B1642" s="91" t="s">
        <v>1337</v>
      </c>
      <c r="C1642" s="91" t="s">
        <v>2896</v>
      </c>
      <c r="D1642" s="91" t="s">
        <v>20</v>
      </c>
      <c r="E1642" s="91"/>
      <c r="F1642">
        <v>756</v>
      </c>
      <c r="G1642">
        <v>14</v>
      </c>
      <c r="H1642" s="89">
        <v>46147</v>
      </c>
      <c r="I1642" s="89">
        <v>46150</v>
      </c>
      <c r="J1642" s="91" t="s">
        <v>2897</v>
      </c>
      <c r="K1642" s="91"/>
      <c r="M1642" s="91"/>
      <c r="N1642" s="91" t="s">
        <v>2880</v>
      </c>
    </row>
    <row r="1643" spans="1:14" x14ac:dyDescent="0.25">
      <c r="A1643" s="91" t="s">
        <v>1322</v>
      </c>
      <c r="B1643" s="91" t="s">
        <v>1336</v>
      </c>
      <c r="C1643" s="91" t="s">
        <v>2896</v>
      </c>
      <c r="D1643" s="91" t="s">
        <v>20</v>
      </c>
      <c r="E1643" s="91"/>
      <c r="F1643">
        <v>324</v>
      </c>
      <c r="G1643">
        <v>6</v>
      </c>
      <c r="H1643" s="89">
        <v>46147</v>
      </c>
      <c r="I1643" s="89">
        <v>46150</v>
      </c>
      <c r="J1643" s="91" t="s">
        <v>2897</v>
      </c>
      <c r="K1643" s="91"/>
      <c r="M1643" s="91"/>
      <c r="N1643" s="91" t="s">
        <v>2880</v>
      </c>
    </row>
    <row r="1644" spans="1:14" x14ac:dyDescent="0.25">
      <c r="A1644" s="91" t="s">
        <v>1313</v>
      </c>
      <c r="B1644" s="91" t="s">
        <v>1327</v>
      </c>
      <c r="C1644" s="91" t="s">
        <v>2896</v>
      </c>
      <c r="D1644" s="91" t="s">
        <v>20</v>
      </c>
      <c r="E1644" s="91"/>
      <c r="F1644">
        <v>336</v>
      </c>
      <c r="G1644">
        <v>7</v>
      </c>
      <c r="H1644" s="89">
        <v>46147</v>
      </c>
      <c r="I1644" s="89">
        <v>46149</v>
      </c>
      <c r="J1644" s="91"/>
      <c r="K1644" s="91"/>
      <c r="M1644" s="91"/>
      <c r="N1644" s="91" t="s">
        <v>2880</v>
      </c>
    </row>
    <row r="1645" spans="1:14" x14ac:dyDescent="0.25">
      <c r="A1645" s="91" t="s">
        <v>1315</v>
      </c>
      <c r="B1645" s="91" t="s">
        <v>1329</v>
      </c>
      <c r="C1645" s="91" t="s">
        <v>2896</v>
      </c>
      <c r="D1645" s="91" t="s">
        <v>20</v>
      </c>
      <c r="E1645" s="91"/>
      <c r="F1645">
        <v>62</v>
      </c>
      <c r="G1645" t="s">
        <v>1419</v>
      </c>
      <c r="H1645" s="89">
        <v>46147</v>
      </c>
      <c r="I1645" s="89">
        <v>46149</v>
      </c>
      <c r="J1645" s="91"/>
      <c r="K1645" s="91"/>
      <c r="M1645" s="91"/>
      <c r="N1645" s="91" t="s">
        <v>2880</v>
      </c>
    </row>
    <row r="1646" spans="1:14" x14ac:dyDescent="0.25">
      <c r="A1646" s="91" t="s">
        <v>1316</v>
      </c>
      <c r="B1646" s="91" t="s">
        <v>1330</v>
      </c>
      <c r="C1646" s="91" t="s">
        <v>2898</v>
      </c>
      <c r="D1646" s="91" t="s">
        <v>20</v>
      </c>
      <c r="E1646" s="91"/>
      <c r="F1646">
        <v>106</v>
      </c>
      <c r="G1646" t="s">
        <v>1419</v>
      </c>
      <c r="H1646" s="89">
        <v>46147</v>
      </c>
      <c r="I1646" s="89">
        <v>46149</v>
      </c>
      <c r="J1646" s="91"/>
      <c r="K1646" s="91"/>
      <c r="M1646" s="91"/>
      <c r="N1646" s="91" t="s">
        <v>2880</v>
      </c>
    </row>
    <row r="1647" spans="1:14" x14ac:dyDescent="0.25">
      <c r="A1647" s="91" t="s">
        <v>1317</v>
      </c>
      <c r="B1647" s="91" t="s">
        <v>1331</v>
      </c>
      <c r="C1647" s="91" t="s">
        <v>2899</v>
      </c>
      <c r="D1647" s="91" t="s">
        <v>20</v>
      </c>
      <c r="E1647" s="91"/>
      <c r="F1647">
        <v>8</v>
      </c>
      <c r="G1647" t="s">
        <v>1419</v>
      </c>
      <c r="H1647" s="89">
        <v>46147</v>
      </c>
      <c r="I1647" s="89">
        <v>46149</v>
      </c>
      <c r="J1647" s="91"/>
      <c r="K1647" s="91"/>
      <c r="M1647" s="91"/>
      <c r="N1647" s="91" t="s">
        <v>2880</v>
      </c>
    </row>
    <row r="1648" spans="1:14" x14ac:dyDescent="0.25">
      <c r="A1648" s="91" t="s">
        <v>1318</v>
      </c>
      <c r="B1648" s="91" t="s">
        <v>1332</v>
      </c>
      <c r="C1648" s="91" t="s">
        <v>2900</v>
      </c>
      <c r="D1648" s="91" t="s">
        <v>20</v>
      </c>
      <c r="E1648" s="91"/>
      <c r="F1648">
        <v>66</v>
      </c>
      <c r="G1648" t="s">
        <v>1419</v>
      </c>
      <c r="H1648" s="89">
        <v>46147</v>
      </c>
      <c r="I1648" s="89">
        <v>46149</v>
      </c>
      <c r="J1648" s="91"/>
      <c r="K1648" s="91"/>
      <c r="M1648" s="91"/>
      <c r="N1648" s="91" t="s">
        <v>2880</v>
      </c>
    </row>
    <row r="1649" spans="1:14" x14ac:dyDescent="0.25">
      <c r="A1649" s="91" t="s">
        <v>1320</v>
      </c>
      <c r="B1649" s="91" t="s">
        <v>1334</v>
      </c>
      <c r="C1649" s="91" t="s">
        <v>2901</v>
      </c>
      <c r="D1649" s="91" t="s">
        <v>28</v>
      </c>
      <c r="E1649" s="91"/>
      <c r="F1649">
        <v>960</v>
      </c>
      <c r="G1649">
        <v>20</v>
      </c>
      <c r="H1649" s="89">
        <v>46147</v>
      </c>
      <c r="I1649" s="89">
        <v>46151</v>
      </c>
      <c r="J1649" s="91" t="s">
        <v>2902</v>
      </c>
      <c r="K1649" s="91"/>
      <c r="M1649" s="91"/>
      <c r="N1649" s="91" t="s">
        <v>2880</v>
      </c>
    </row>
    <row r="1650" spans="1:14" x14ac:dyDescent="0.25">
      <c r="A1650" s="91" t="s">
        <v>1313</v>
      </c>
      <c r="B1650" s="91" t="s">
        <v>1327</v>
      </c>
      <c r="C1650" s="91" t="s">
        <v>2901</v>
      </c>
      <c r="D1650" s="91" t="s">
        <v>28</v>
      </c>
      <c r="E1650" s="91"/>
      <c r="F1650">
        <v>96</v>
      </c>
      <c r="G1650">
        <v>2</v>
      </c>
      <c r="H1650" s="89">
        <v>46147</v>
      </c>
      <c r="I1650" s="89">
        <v>46149</v>
      </c>
      <c r="J1650" s="91"/>
      <c r="K1650" s="91"/>
      <c r="M1650" s="91"/>
      <c r="N1650" s="91" t="s">
        <v>2880</v>
      </c>
    </row>
    <row r="1651" spans="1:14" x14ac:dyDescent="0.25">
      <c r="A1651" s="91" t="s">
        <v>1324</v>
      </c>
      <c r="B1651" s="91" t="s">
        <v>1338</v>
      </c>
      <c r="C1651" s="91" t="s">
        <v>2901</v>
      </c>
      <c r="D1651" s="91" t="s">
        <v>28</v>
      </c>
      <c r="E1651" s="91"/>
      <c r="F1651">
        <v>480</v>
      </c>
      <c r="G1651">
        <v>10</v>
      </c>
      <c r="H1651" s="89">
        <v>46147</v>
      </c>
      <c r="I1651" s="89">
        <v>46149</v>
      </c>
      <c r="J1651" s="91"/>
      <c r="K1651" s="91"/>
      <c r="M1651" s="91"/>
      <c r="N1651" s="91" t="s">
        <v>2880</v>
      </c>
    </row>
    <row r="1652" spans="1:14" x14ac:dyDescent="0.25">
      <c r="A1652" s="91" t="s">
        <v>1315</v>
      </c>
      <c r="B1652" s="91" t="s">
        <v>1329</v>
      </c>
      <c r="C1652" s="91" t="s">
        <v>2901</v>
      </c>
      <c r="D1652" s="91" t="s">
        <v>28</v>
      </c>
      <c r="E1652" s="91"/>
      <c r="F1652">
        <v>124</v>
      </c>
      <c r="G1652" t="s">
        <v>1419</v>
      </c>
      <c r="H1652" s="89">
        <v>46147</v>
      </c>
      <c r="I1652" s="89">
        <v>46149</v>
      </c>
      <c r="J1652" s="91"/>
      <c r="K1652" s="91"/>
      <c r="M1652" s="91"/>
      <c r="N1652" s="91" t="s">
        <v>2880</v>
      </c>
    </row>
    <row r="1653" spans="1:14" x14ac:dyDescent="0.25">
      <c r="A1653" s="91" t="s">
        <v>1316</v>
      </c>
      <c r="B1653" s="91" t="s">
        <v>1330</v>
      </c>
      <c r="C1653" s="91" t="s">
        <v>2903</v>
      </c>
      <c r="D1653" s="91" t="s">
        <v>28</v>
      </c>
      <c r="E1653" s="91"/>
      <c r="F1653">
        <v>38</v>
      </c>
      <c r="G1653" t="s">
        <v>1419</v>
      </c>
      <c r="H1653" s="89">
        <v>46147</v>
      </c>
      <c r="I1653" s="89">
        <v>46149</v>
      </c>
      <c r="J1653" s="91"/>
      <c r="K1653" s="91"/>
      <c r="M1653" s="91"/>
      <c r="N1653" s="91" t="s">
        <v>2880</v>
      </c>
    </row>
    <row r="1654" spans="1:14" x14ac:dyDescent="0.25">
      <c r="A1654" s="91" t="s">
        <v>1317</v>
      </c>
      <c r="B1654" s="91" t="s">
        <v>1331</v>
      </c>
      <c r="C1654" s="91" t="s">
        <v>2904</v>
      </c>
      <c r="D1654" s="91" t="s">
        <v>28</v>
      </c>
      <c r="E1654" s="91"/>
      <c r="F1654">
        <v>6</v>
      </c>
      <c r="G1654" t="s">
        <v>1419</v>
      </c>
      <c r="H1654" s="89">
        <v>46147</v>
      </c>
      <c r="I1654" s="89">
        <v>46149</v>
      </c>
      <c r="J1654" s="91"/>
      <c r="K1654" s="91"/>
      <c r="M1654" s="91"/>
      <c r="N1654" s="91" t="s">
        <v>2880</v>
      </c>
    </row>
    <row r="1655" spans="1:14" x14ac:dyDescent="0.25">
      <c r="A1655" s="91" t="s">
        <v>1318</v>
      </c>
      <c r="B1655" s="91" t="s">
        <v>1332</v>
      </c>
      <c r="C1655" s="91" t="s">
        <v>2905</v>
      </c>
      <c r="D1655" s="91" t="s">
        <v>28</v>
      </c>
      <c r="E1655" s="91"/>
      <c r="F1655">
        <v>92</v>
      </c>
      <c r="G1655" t="s">
        <v>1419</v>
      </c>
      <c r="H1655" s="89">
        <v>46147</v>
      </c>
      <c r="I1655" s="89">
        <v>46149</v>
      </c>
      <c r="J1655" s="91"/>
      <c r="K1655" s="91"/>
      <c r="M1655" s="91"/>
      <c r="N1655" s="91" t="s">
        <v>2880</v>
      </c>
    </row>
    <row r="1656" spans="1:14" x14ac:dyDescent="0.25">
      <c r="A1656" s="91" t="s">
        <v>1320</v>
      </c>
      <c r="B1656" s="91" t="s">
        <v>1334</v>
      </c>
      <c r="C1656" s="91" t="s">
        <v>2906</v>
      </c>
      <c r="D1656" s="91" t="s">
        <v>15</v>
      </c>
      <c r="E1656" s="91"/>
      <c r="F1656">
        <v>960</v>
      </c>
      <c r="G1656">
        <v>20</v>
      </c>
      <c r="H1656" s="89">
        <v>46147</v>
      </c>
      <c r="I1656" s="89">
        <v>46151</v>
      </c>
      <c r="J1656" s="91" t="s">
        <v>2907</v>
      </c>
      <c r="K1656" s="91"/>
      <c r="M1656" s="91"/>
      <c r="N1656" s="91" t="s">
        <v>2880</v>
      </c>
    </row>
    <row r="1657" spans="1:14" x14ac:dyDescent="0.25">
      <c r="A1657" s="91" t="s">
        <v>1313</v>
      </c>
      <c r="B1657" s="91" t="s">
        <v>1327</v>
      </c>
      <c r="C1657" s="91" t="s">
        <v>2906</v>
      </c>
      <c r="D1657" s="91" t="s">
        <v>15</v>
      </c>
      <c r="E1657" s="91"/>
      <c r="F1657">
        <v>384</v>
      </c>
      <c r="G1657">
        <v>8</v>
      </c>
      <c r="H1657" s="89">
        <v>46147</v>
      </c>
      <c r="I1657" s="89">
        <v>46148</v>
      </c>
      <c r="J1657" s="91"/>
      <c r="K1657" s="91"/>
      <c r="M1657" s="91"/>
      <c r="N1657" s="91" t="s">
        <v>2880</v>
      </c>
    </row>
    <row r="1658" spans="1:14" x14ac:dyDescent="0.25">
      <c r="A1658" s="91" t="s">
        <v>1315</v>
      </c>
      <c r="B1658" s="91" t="s">
        <v>1329</v>
      </c>
      <c r="C1658" s="91" t="s">
        <v>2906</v>
      </c>
      <c r="D1658" s="91" t="s">
        <v>15</v>
      </c>
      <c r="E1658" s="91"/>
      <c r="F1658">
        <v>21</v>
      </c>
      <c r="G1658" t="s">
        <v>1419</v>
      </c>
      <c r="H1658" s="89">
        <v>46147</v>
      </c>
      <c r="I1658" s="89">
        <v>46149</v>
      </c>
      <c r="J1658" s="91"/>
      <c r="K1658" s="91"/>
      <c r="M1658" s="91"/>
      <c r="N1658" s="91" t="s">
        <v>2880</v>
      </c>
    </row>
    <row r="1659" spans="1:14" x14ac:dyDescent="0.25">
      <c r="A1659" s="91" t="s">
        <v>1316</v>
      </c>
      <c r="B1659" s="91" t="s">
        <v>1330</v>
      </c>
      <c r="C1659" s="91" t="s">
        <v>2908</v>
      </c>
      <c r="D1659" s="91" t="s">
        <v>15</v>
      </c>
      <c r="E1659" s="91"/>
      <c r="F1659">
        <v>70</v>
      </c>
      <c r="G1659" t="s">
        <v>1419</v>
      </c>
      <c r="H1659" s="89">
        <v>46147</v>
      </c>
      <c r="I1659" s="89">
        <v>46149</v>
      </c>
      <c r="J1659" s="91"/>
      <c r="K1659" s="91"/>
      <c r="M1659" s="91"/>
      <c r="N1659" s="91" t="s">
        <v>2880</v>
      </c>
    </row>
    <row r="1660" spans="1:14" x14ac:dyDescent="0.25">
      <c r="A1660" s="91" t="s">
        <v>1317</v>
      </c>
      <c r="B1660" s="91" t="s">
        <v>1331</v>
      </c>
      <c r="C1660" s="91" t="s">
        <v>2909</v>
      </c>
      <c r="D1660" s="91" t="s">
        <v>15</v>
      </c>
      <c r="E1660" s="91"/>
      <c r="F1660">
        <v>10</v>
      </c>
      <c r="G1660" t="s">
        <v>1419</v>
      </c>
      <c r="H1660" s="89">
        <v>46147</v>
      </c>
      <c r="I1660" s="89">
        <v>46149</v>
      </c>
      <c r="J1660" s="91"/>
      <c r="K1660" s="91"/>
      <c r="M1660" s="91"/>
      <c r="N1660" s="91" t="s">
        <v>2880</v>
      </c>
    </row>
    <row r="1661" spans="1:14" x14ac:dyDescent="0.25">
      <c r="A1661" s="91" t="s">
        <v>1318</v>
      </c>
      <c r="B1661" s="91" t="s">
        <v>1332</v>
      </c>
      <c r="C1661" s="91" t="s">
        <v>2910</v>
      </c>
      <c r="D1661" s="91" t="s">
        <v>15</v>
      </c>
      <c r="E1661" s="91"/>
      <c r="F1661">
        <v>42</v>
      </c>
      <c r="G1661" t="s">
        <v>1419</v>
      </c>
      <c r="H1661" s="89">
        <v>46147</v>
      </c>
      <c r="I1661" s="89">
        <v>46149</v>
      </c>
      <c r="J1661" s="91"/>
      <c r="K1661" s="91"/>
      <c r="M1661" s="91"/>
      <c r="N1661" s="91" t="s">
        <v>2880</v>
      </c>
    </row>
    <row r="1662" spans="1:14" x14ac:dyDescent="0.25">
      <c r="A1662" s="91" t="s">
        <v>1324</v>
      </c>
      <c r="B1662" s="91" t="s">
        <v>1338</v>
      </c>
      <c r="C1662" s="91" t="s">
        <v>2911</v>
      </c>
      <c r="D1662" s="91" t="s">
        <v>13</v>
      </c>
      <c r="E1662" s="91"/>
      <c r="F1662">
        <v>960</v>
      </c>
      <c r="G1662">
        <v>20</v>
      </c>
      <c r="H1662" s="89">
        <v>46147</v>
      </c>
      <c r="I1662" s="89">
        <v>46156</v>
      </c>
      <c r="J1662" s="91" t="s">
        <v>2912</v>
      </c>
      <c r="K1662" s="91"/>
      <c r="M1662" s="91"/>
      <c r="N1662" s="91" t="s">
        <v>2880</v>
      </c>
    </row>
    <row r="1663" spans="1:14" x14ac:dyDescent="0.25">
      <c r="A1663" s="91" t="s">
        <v>1324</v>
      </c>
      <c r="B1663" s="91" t="s">
        <v>1338</v>
      </c>
      <c r="C1663" s="91" t="s">
        <v>2913</v>
      </c>
      <c r="D1663" s="91" t="s">
        <v>23</v>
      </c>
      <c r="E1663" s="91"/>
      <c r="F1663">
        <v>960</v>
      </c>
      <c r="G1663">
        <v>20</v>
      </c>
      <c r="H1663" s="89">
        <v>46147</v>
      </c>
      <c r="I1663" s="89">
        <v>46156</v>
      </c>
      <c r="J1663" s="91" t="s">
        <v>2912</v>
      </c>
      <c r="K1663" s="91"/>
      <c r="M1663" s="91"/>
      <c r="N1663" s="91" t="s">
        <v>2880</v>
      </c>
    </row>
    <row r="1664" spans="1:14" x14ac:dyDescent="0.25">
      <c r="A1664" s="91" t="s">
        <v>1320</v>
      </c>
      <c r="B1664" s="91" t="s">
        <v>1334</v>
      </c>
      <c r="C1664" s="91" t="s">
        <v>2914</v>
      </c>
      <c r="D1664" s="91" t="s">
        <v>106</v>
      </c>
      <c r="E1664" s="91"/>
      <c r="F1664">
        <v>960</v>
      </c>
      <c r="G1664">
        <v>20</v>
      </c>
      <c r="H1664" s="89">
        <v>46147</v>
      </c>
      <c r="I1664" s="89">
        <v>46153</v>
      </c>
      <c r="J1664" s="91" t="s">
        <v>2915</v>
      </c>
      <c r="K1664" s="91"/>
      <c r="M1664" s="91"/>
      <c r="N1664" s="91" t="s">
        <v>2880</v>
      </c>
    </row>
    <row r="1665" spans="1:14" x14ac:dyDescent="0.25">
      <c r="A1665" s="91" t="s">
        <v>1325</v>
      </c>
      <c r="B1665" s="91" t="s">
        <v>1339</v>
      </c>
      <c r="C1665" s="91" t="s">
        <v>2916</v>
      </c>
      <c r="D1665" s="91" t="s">
        <v>138</v>
      </c>
      <c r="E1665" s="91"/>
      <c r="F1665">
        <v>192</v>
      </c>
      <c r="G1665">
        <v>4</v>
      </c>
      <c r="H1665" s="89">
        <v>46147</v>
      </c>
      <c r="I1665" s="89">
        <v>46150</v>
      </c>
      <c r="J1665" s="91"/>
      <c r="K1665" s="91"/>
      <c r="M1665" s="91"/>
      <c r="N1665" s="91" t="s">
        <v>2880</v>
      </c>
    </row>
    <row r="1666" spans="1:14" x14ac:dyDescent="0.25">
      <c r="A1666" s="91" t="s">
        <v>1320</v>
      </c>
      <c r="B1666" s="91" t="s">
        <v>1334</v>
      </c>
      <c r="C1666" s="91" t="s">
        <v>2917</v>
      </c>
      <c r="D1666" s="91" t="s">
        <v>21</v>
      </c>
      <c r="E1666" s="91"/>
      <c r="F1666">
        <v>960</v>
      </c>
      <c r="G1666">
        <v>20</v>
      </c>
      <c r="H1666" s="89">
        <v>46148</v>
      </c>
      <c r="I1666" s="89">
        <v>46153</v>
      </c>
      <c r="J1666" s="91" t="s">
        <v>2918</v>
      </c>
      <c r="K1666" s="91"/>
      <c r="M1666" s="91"/>
      <c r="N1666" s="91" t="s">
        <v>2880</v>
      </c>
    </row>
    <row r="1667" spans="1:14" x14ac:dyDescent="0.25">
      <c r="A1667" s="91" t="s">
        <v>1313</v>
      </c>
      <c r="B1667" s="91" t="s">
        <v>1327</v>
      </c>
      <c r="C1667" s="91" t="s">
        <v>2917</v>
      </c>
      <c r="D1667" s="91" t="s">
        <v>21</v>
      </c>
      <c r="E1667" s="91"/>
      <c r="F1667">
        <v>480</v>
      </c>
      <c r="G1667">
        <v>10</v>
      </c>
      <c r="H1667" s="89">
        <v>46148</v>
      </c>
      <c r="I1667" s="89">
        <v>46153</v>
      </c>
      <c r="J1667" s="91" t="s">
        <v>2919</v>
      </c>
      <c r="K1667" s="91"/>
      <c r="M1667" s="91"/>
      <c r="N1667" s="91" t="s">
        <v>2880</v>
      </c>
    </row>
    <row r="1668" spans="1:14" x14ac:dyDescent="0.25">
      <c r="A1668" s="91" t="s">
        <v>1315</v>
      </c>
      <c r="B1668" s="91" t="s">
        <v>1329</v>
      </c>
      <c r="C1668" s="91" t="s">
        <v>2917</v>
      </c>
      <c r="D1668" s="91" t="s">
        <v>21</v>
      </c>
      <c r="E1668" s="91"/>
      <c r="F1668">
        <v>96</v>
      </c>
      <c r="G1668" t="s">
        <v>1419</v>
      </c>
      <c r="H1668" s="89">
        <v>46148</v>
      </c>
      <c r="I1668" s="89">
        <v>46150</v>
      </c>
      <c r="J1668" s="91"/>
      <c r="K1668" s="91"/>
      <c r="M1668" s="91"/>
      <c r="N1668" s="91" t="s">
        <v>2880</v>
      </c>
    </row>
    <row r="1669" spans="1:14" x14ac:dyDescent="0.25">
      <c r="A1669" s="91" t="s">
        <v>1316</v>
      </c>
      <c r="B1669" s="91" t="s">
        <v>1330</v>
      </c>
      <c r="C1669" s="91" t="s">
        <v>2920</v>
      </c>
      <c r="D1669" s="91" t="s">
        <v>21</v>
      </c>
      <c r="E1669" s="91"/>
      <c r="F1669">
        <v>29</v>
      </c>
      <c r="G1669" t="s">
        <v>1419</v>
      </c>
      <c r="H1669" s="89">
        <v>46148</v>
      </c>
      <c r="I1669" s="89">
        <v>46150</v>
      </c>
      <c r="J1669" s="91"/>
      <c r="K1669" s="91"/>
      <c r="M1669" s="91"/>
      <c r="N1669" s="91" t="s">
        <v>2880</v>
      </c>
    </row>
    <row r="1670" spans="1:14" x14ac:dyDescent="0.25">
      <c r="A1670" s="91" t="s">
        <v>1317</v>
      </c>
      <c r="B1670" s="91" t="s">
        <v>1331</v>
      </c>
      <c r="C1670" s="91" t="s">
        <v>2921</v>
      </c>
      <c r="D1670" s="91" t="s">
        <v>21</v>
      </c>
      <c r="E1670" s="91"/>
      <c r="F1670">
        <v>10</v>
      </c>
      <c r="G1670" t="s">
        <v>1419</v>
      </c>
      <c r="H1670" s="89">
        <v>46148</v>
      </c>
      <c r="I1670" s="89">
        <v>46150</v>
      </c>
      <c r="J1670" s="91"/>
      <c r="K1670" s="91"/>
      <c r="M1670" s="91"/>
      <c r="N1670" s="91" t="s">
        <v>2880</v>
      </c>
    </row>
    <row r="1671" spans="1:14" x14ac:dyDescent="0.25">
      <c r="A1671" s="91" t="s">
        <v>1318</v>
      </c>
      <c r="B1671" s="91" t="s">
        <v>1332</v>
      </c>
      <c r="C1671" s="91" t="s">
        <v>2922</v>
      </c>
      <c r="D1671" s="91" t="s">
        <v>21</v>
      </c>
      <c r="E1671" s="91"/>
      <c r="F1671">
        <v>51</v>
      </c>
      <c r="G1671" t="s">
        <v>1419</v>
      </c>
      <c r="H1671" s="89">
        <v>46148</v>
      </c>
      <c r="I1671" s="89">
        <v>46150</v>
      </c>
      <c r="J1671" s="91"/>
      <c r="K1671" s="91"/>
      <c r="M1671" s="91"/>
      <c r="N1671" s="91" t="s">
        <v>2880</v>
      </c>
    </row>
    <row r="1672" spans="1:14" x14ac:dyDescent="0.25">
      <c r="A1672" s="91" t="s">
        <v>1324</v>
      </c>
      <c r="B1672" s="91" t="s">
        <v>1338</v>
      </c>
      <c r="C1672" s="91" t="s">
        <v>2923</v>
      </c>
      <c r="D1672" s="91" t="s">
        <v>23</v>
      </c>
      <c r="E1672" s="91"/>
      <c r="F1672">
        <v>960</v>
      </c>
      <c r="G1672">
        <v>20</v>
      </c>
      <c r="H1672" s="89">
        <v>46148</v>
      </c>
      <c r="I1672" s="89">
        <v>46154</v>
      </c>
      <c r="J1672" s="91" t="s">
        <v>2924</v>
      </c>
      <c r="K1672" s="91"/>
      <c r="M1672" s="91"/>
      <c r="N1672" s="91" t="s">
        <v>2880</v>
      </c>
    </row>
    <row r="1673" spans="1:14" x14ac:dyDescent="0.25">
      <c r="A1673" s="91" t="s">
        <v>1324</v>
      </c>
      <c r="B1673" s="91" t="s">
        <v>1338</v>
      </c>
      <c r="C1673" s="91" t="s">
        <v>2925</v>
      </c>
      <c r="D1673" s="91" t="s">
        <v>105</v>
      </c>
      <c r="E1673" s="91"/>
      <c r="F1673">
        <v>960</v>
      </c>
      <c r="G1673">
        <v>20</v>
      </c>
      <c r="H1673" s="89">
        <v>46148</v>
      </c>
      <c r="I1673" s="89">
        <v>46154</v>
      </c>
      <c r="J1673" s="91" t="s">
        <v>2924</v>
      </c>
      <c r="K1673" s="91"/>
      <c r="M1673" s="91"/>
      <c r="N1673" s="91" t="s">
        <v>2880</v>
      </c>
    </row>
    <row r="1674" spans="1:14" x14ac:dyDescent="0.25">
      <c r="A1674" s="91" t="s">
        <v>1314</v>
      </c>
      <c r="B1674" s="91" t="s">
        <v>1328</v>
      </c>
      <c r="C1674" s="91" t="s">
        <v>2926</v>
      </c>
      <c r="D1674" s="91" t="s">
        <v>15</v>
      </c>
      <c r="E1674" s="91"/>
      <c r="F1674">
        <v>288</v>
      </c>
      <c r="G1674">
        <v>6</v>
      </c>
      <c r="H1674" s="89">
        <v>46148</v>
      </c>
      <c r="I1674" s="89">
        <v>46152</v>
      </c>
      <c r="J1674" s="91" t="s">
        <v>2927</v>
      </c>
      <c r="K1674" s="91"/>
      <c r="M1674" s="91"/>
      <c r="N1674" s="91" t="s">
        <v>2880</v>
      </c>
    </row>
    <row r="1675" spans="1:14" x14ac:dyDescent="0.25">
      <c r="A1675" s="91" t="s">
        <v>1320</v>
      </c>
      <c r="B1675" s="91" t="s">
        <v>1334</v>
      </c>
      <c r="C1675" s="91" t="s">
        <v>2926</v>
      </c>
      <c r="D1675" s="91" t="s">
        <v>15</v>
      </c>
      <c r="E1675" s="91"/>
      <c r="F1675">
        <v>768</v>
      </c>
      <c r="G1675">
        <v>16</v>
      </c>
      <c r="H1675" s="89">
        <v>46148</v>
      </c>
      <c r="I1675" s="89">
        <v>46154</v>
      </c>
      <c r="J1675" s="91" t="s">
        <v>2928</v>
      </c>
      <c r="K1675" s="91"/>
      <c r="M1675" s="91"/>
      <c r="N1675" s="91" t="s">
        <v>2880</v>
      </c>
    </row>
    <row r="1676" spans="1:14" x14ac:dyDescent="0.25">
      <c r="A1676" s="91" t="s">
        <v>1320</v>
      </c>
      <c r="B1676" s="91" t="s">
        <v>1334</v>
      </c>
      <c r="C1676" s="91" t="s">
        <v>2926</v>
      </c>
      <c r="D1676" s="91" t="s">
        <v>15</v>
      </c>
      <c r="E1676" s="91"/>
      <c r="F1676">
        <v>192</v>
      </c>
      <c r="G1676">
        <v>4</v>
      </c>
      <c r="H1676" s="89">
        <v>46148</v>
      </c>
      <c r="I1676" s="89">
        <v>46153</v>
      </c>
      <c r="J1676" s="91" t="s">
        <v>2929</v>
      </c>
      <c r="K1676" s="91"/>
      <c r="M1676" s="91"/>
      <c r="N1676" s="91" t="s">
        <v>2880</v>
      </c>
    </row>
    <row r="1677" spans="1:14" x14ac:dyDescent="0.25">
      <c r="A1677" s="91" t="s">
        <v>1315</v>
      </c>
      <c r="B1677" s="91" t="s">
        <v>1329</v>
      </c>
      <c r="C1677" s="91" t="s">
        <v>2926</v>
      </c>
      <c r="D1677" s="91" t="s">
        <v>15</v>
      </c>
      <c r="E1677" s="91"/>
      <c r="F1677">
        <v>82</v>
      </c>
      <c r="G1677" t="s">
        <v>1419</v>
      </c>
      <c r="H1677" s="89">
        <v>46148</v>
      </c>
      <c r="I1677" s="89">
        <v>46150</v>
      </c>
      <c r="J1677" s="91"/>
      <c r="K1677" s="91"/>
      <c r="M1677" s="91"/>
      <c r="N1677" s="91" t="s">
        <v>2880</v>
      </c>
    </row>
    <row r="1678" spans="1:14" x14ac:dyDescent="0.25">
      <c r="A1678" s="91" t="s">
        <v>1316</v>
      </c>
      <c r="B1678" s="91" t="s">
        <v>1330</v>
      </c>
      <c r="C1678" s="91" t="s">
        <v>2930</v>
      </c>
      <c r="D1678" s="91" t="s">
        <v>15</v>
      </c>
      <c r="E1678" s="91"/>
      <c r="F1678">
        <v>132</v>
      </c>
      <c r="G1678" t="s">
        <v>1419</v>
      </c>
      <c r="H1678" s="89">
        <v>46148</v>
      </c>
      <c r="I1678" s="89">
        <v>46150</v>
      </c>
      <c r="J1678" s="91"/>
      <c r="K1678" s="91"/>
      <c r="M1678" s="91"/>
      <c r="N1678" s="91" t="s">
        <v>2880</v>
      </c>
    </row>
    <row r="1679" spans="1:14" x14ac:dyDescent="0.25">
      <c r="A1679" s="91" t="s">
        <v>1317</v>
      </c>
      <c r="B1679" s="91" t="s">
        <v>1331</v>
      </c>
      <c r="C1679" s="91" t="s">
        <v>2931</v>
      </c>
      <c r="D1679" s="91" t="s">
        <v>15</v>
      </c>
      <c r="E1679" s="91"/>
      <c r="F1679">
        <v>24</v>
      </c>
      <c r="G1679" t="s">
        <v>1419</v>
      </c>
      <c r="H1679" s="89">
        <v>46148</v>
      </c>
      <c r="I1679" s="89">
        <v>46150</v>
      </c>
      <c r="J1679" s="91"/>
      <c r="K1679" s="91"/>
      <c r="M1679" s="91"/>
      <c r="N1679" s="91" t="s">
        <v>2880</v>
      </c>
    </row>
    <row r="1680" spans="1:14" x14ac:dyDescent="0.25">
      <c r="A1680" s="91" t="s">
        <v>1318</v>
      </c>
      <c r="B1680" s="91" t="s">
        <v>1332</v>
      </c>
      <c r="C1680" s="91" t="s">
        <v>2932</v>
      </c>
      <c r="D1680" s="91" t="s">
        <v>15</v>
      </c>
      <c r="E1680" s="91"/>
      <c r="F1680">
        <v>50</v>
      </c>
      <c r="G1680" t="s">
        <v>1419</v>
      </c>
      <c r="H1680" s="89">
        <v>46148</v>
      </c>
      <c r="I1680" s="89">
        <v>46150</v>
      </c>
      <c r="J1680" s="91"/>
      <c r="K1680" s="91"/>
      <c r="M1680" s="91"/>
      <c r="N1680" s="91" t="s">
        <v>2880</v>
      </c>
    </row>
    <row r="1681" spans="1:14" x14ac:dyDescent="0.25">
      <c r="A1681" s="91" t="s">
        <v>1326</v>
      </c>
      <c r="B1681" s="91" t="s">
        <v>1340</v>
      </c>
      <c r="C1681" s="91" t="s">
        <v>2933</v>
      </c>
      <c r="D1681" s="91" t="s">
        <v>138</v>
      </c>
      <c r="E1681" s="91"/>
      <c r="F1681">
        <v>1008</v>
      </c>
      <c r="G1681">
        <v>24</v>
      </c>
      <c r="H1681" s="89">
        <v>46148</v>
      </c>
      <c r="I1681" s="89">
        <v>46154</v>
      </c>
      <c r="J1681" s="91" t="s">
        <v>2934</v>
      </c>
      <c r="K1681" s="91"/>
      <c r="M1681" s="91"/>
      <c r="N1681" s="91" t="s">
        <v>2880</v>
      </c>
    </row>
    <row r="1682" spans="1:14" x14ac:dyDescent="0.25">
      <c r="A1682" s="91" t="s">
        <v>1313</v>
      </c>
      <c r="B1682" s="91" t="s">
        <v>1327</v>
      </c>
      <c r="C1682" s="91" t="s">
        <v>2935</v>
      </c>
      <c r="D1682" s="91" t="s">
        <v>20</v>
      </c>
      <c r="E1682" s="91"/>
      <c r="F1682">
        <v>864</v>
      </c>
      <c r="G1682">
        <v>18</v>
      </c>
      <c r="H1682" s="89">
        <v>46148</v>
      </c>
      <c r="I1682" s="89">
        <v>46152</v>
      </c>
      <c r="J1682" s="91" t="s">
        <v>2936</v>
      </c>
      <c r="K1682" s="91"/>
      <c r="M1682" s="91"/>
      <c r="N1682" s="91" t="s">
        <v>2880</v>
      </c>
    </row>
    <row r="1683" spans="1:14" x14ac:dyDescent="0.25">
      <c r="A1683" s="91" t="s">
        <v>1313</v>
      </c>
      <c r="B1683" s="91" t="s">
        <v>1327</v>
      </c>
      <c r="C1683" s="91" t="s">
        <v>2935</v>
      </c>
      <c r="D1683" s="91" t="s">
        <v>20</v>
      </c>
      <c r="E1683" s="91"/>
      <c r="F1683">
        <v>672</v>
      </c>
      <c r="G1683">
        <v>14</v>
      </c>
      <c r="H1683" s="89">
        <v>46148</v>
      </c>
      <c r="I1683" s="89">
        <v>46153</v>
      </c>
      <c r="J1683" s="91" t="s">
        <v>2919</v>
      </c>
      <c r="K1683" s="91"/>
      <c r="M1683" s="91"/>
      <c r="N1683" s="91" t="s">
        <v>2880</v>
      </c>
    </row>
    <row r="1684" spans="1:14" x14ac:dyDescent="0.25">
      <c r="A1684" s="91" t="s">
        <v>1315</v>
      </c>
      <c r="B1684" s="91" t="s">
        <v>1329</v>
      </c>
      <c r="C1684" s="91" t="s">
        <v>2935</v>
      </c>
      <c r="D1684" s="91" t="s">
        <v>20</v>
      </c>
      <c r="E1684" s="91"/>
      <c r="F1684">
        <v>36</v>
      </c>
      <c r="G1684" t="s">
        <v>1419</v>
      </c>
      <c r="H1684" s="89">
        <v>46148</v>
      </c>
      <c r="I1684" s="89">
        <v>46150</v>
      </c>
      <c r="J1684" s="91"/>
      <c r="K1684" s="91"/>
      <c r="M1684" s="91"/>
      <c r="N1684" s="91" t="s">
        <v>2880</v>
      </c>
    </row>
    <row r="1685" spans="1:14" x14ac:dyDescent="0.25">
      <c r="A1685" s="91" t="s">
        <v>1316</v>
      </c>
      <c r="B1685" s="91" t="s">
        <v>1330</v>
      </c>
      <c r="C1685" s="91" t="s">
        <v>2937</v>
      </c>
      <c r="D1685" s="91" t="s">
        <v>20</v>
      </c>
      <c r="E1685" s="91"/>
      <c r="F1685">
        <v>195</v>
      </c>
      <c r="G1685" t="s">
        <v>1419</v>
      </c>
      <c r="H1685" s="89">
        <v>46148</v>
      </c>
      <c r="I1685" s="89">
        <v>46150</v>
      </c>
      <c r="J1685" s="91"/>
      <c r="K1685" s="91"/>
      <c r="M1685" s="91"/>
      <c r="N1685" s="91" t="s">
        <v>2880</v>
      </c>
    </row>
    <row r="1686" spans="1:14" x14ac:dyDescent="0.25">
      <c r="A1686" s="91" t="s">
        <v>1317</v>
      </c>
      <c r="B1686" s="91" t="s">
        <v>1331</v>
      </c>
      <c r="C1686" s="91" t="s">
        <v>2938</v>
      </c>
      <c r="D1686" s="91" t="s">
        <v>20</v>
      </c>
      <c r="E1686" s="91"/>
      <c r="F1686">
        <v>10</v>
      </c>
      <c r="G1686" t="s">
        <v>1419</v>
      </c>
      <c r="H1686" s="89">
        <v>46148</v>
      </c>
      <c r="I1686" s="89">
        <v>46150</v>
      </c>
      <c r="J1686" s="91"/>
      <c r="K1686" s="91"/>
      <c r="M1686" s="91"/>
      <c r="N1686" s="91" t="s">
        <v>2880</v>
      </c>
    </row>
    <row r="1687" spans="1:14" x14ac:dyDescent="0.25">
      <c r="A1687" s="91" t="s">
        <v>1318</v>
      </c>
      <c r="B1687" s="91" t="s">
        <v>1332</v>
      </c>
      <c r="C1687" s="91" t="s">
        <v>2939</v>
      </c>
      <c r="D1687" s="91" t="s">
        <v>20</v>
      </c>
      <c r="E1687" s="91"/>
      <c r="F1687">
        <v>81</v>
      </c>
      <c r="G1687" t="s">
        <v>1419</v>
      </c>
      <c r="H1687" s="89">
        <v>46148</v>
      </c>
      <c r="I1687" s="89">
        <v>46150</v>
      </c>
      <c r="J1687" s="91"/>
      <c r="K1687" s="91"/>
      <c r="M1687" s="91"/>
      <c r="N1687" s="91" t="s">
        <v>2880</v>
      </c>
    </row>
    <row r="1688" spans="1:14" x14ac:dyDescent="0.25">
      <c r="A1688" s="91" t="s">
        <v>1320</v>
      </c>
      <c r="B1688" s="91" t="s">
        <v>1334</v>
      </c>
      <c r="C1688" s="91" t="s">
        <v>2940</v>
      </c>
      <c r="D1688" s="91" t="s">
        <v>106</v>
      </c>
      <c r="E1688" s="91"/>
      <c r="F1688">
        <v>960</v>
      </c>
      <c r="G1688">
        <v>20</v>
      </c>
      <c r="H1688" s="89">
        <v>46149</v>
      </c>
      <c r="I1688" s="89">
        <v>46154</v>
      </c>
      <c r="J1688" s="91" t="s">
        <v>2941</v>
      </c>
      <c r="K1688" s="91"/>
      <c r="M1688" s="91"/>
      <c r="N1688" s="91" t="s">
        <v>2880</v>
      </c>
    </row>
    <row r="1689" spans="1:14" x14ac:dyDescent="0.25">
      <c r="A1689" s="91" t="s">
        <v>1324</v>
      </c>
      <c r="B1689" s="91" t="s">
        <v>1338</v>
      </c>
      <c r="C1689" s="91" t="s">
        <v>2942</v>
      </c>
      <c r="D1689" s="91" t="s">
        <v>23</v>
      </c>
      <c r="E1689" s="91"/>
      <c r="F1689">
        <v>960</v>
      </c>
      <c r="G1689">
        <v>20</v>
      </c>
      <c r="H1689" s="89">
        <v>46149</v>
      </c>
      <c r="I1689" s="89">
        <v>46156</v>
      </c>
      <c r="J1689" s="91" t="s">
        <v>2943</v>
      </c>
      <c r="K1689" s="91"/>
      <c r="M1689" s="91"/>
      <c r="N1689" s="91" t="s">
        <v>2880</v>
      </c>
    </row>
    <row r="1690" spans="1:14" x14ac:dyDescent="0.25">
      <c r="A1690" s="91" t="s">
        <v>1313</v>
      </c>
      <c r="B1690" s="91" t="s">
        <v>1327</v>
      </c>
      <c r="C1690" s="91" t="s">
        <v>2944</v>
      </c>
      <c r="D1690" s="91" t="s">
        <v>20</v>
      </c>
      <c r="E1690" s="91"/>
      <c r="F1690">
        <v>480</v>
      </c>
      <c r="G1690">
        <v>10</v>
      </c>
      <c r="H1690" s="89">
        <v>46149</v>
      </c>
      <c r="I1690" s="89">
        <v>46154</v>
      </c>
      <c r="J1690" s="91" t="s">
        <v>2945</v>
      </c>
      <c r="K1690" s="91"/>
      <c r="M1690" s="91"/>
      <c r="N1690" s="91" t="s">
        <v>2880</v>
      </c>
    </row>
    <row r="1691" spans="1:14" x14ac:dyDescent="0.25">
      <c r="A1691" s="91" t="s">
        <v>1320</v>
      </c>
      <c r="B1691" s="91" t="s">
        <v>1334</v>
      </c>
      <c r="C1691" s="91" t="s">
        <v>2944</v>
      </c>
      <c r="D1691" s="91" t="s">
        <v>20</v>
      </c>
      <c r="E1691" s="91"/>
      <c r="F1691">
        <v>192</v>
      </c>
      <c r="G1691">
        <v>4</v>
      </c>
      <c r="H1691" s="89">
        <v>46149</v>
      </c>
      <c r="I1691" s="89">
        <v>46154</v>
      </c>
      <c r="J1691" s="91" t="s">
        <v>2928</v>
      </c>
      <c r="K1691" s="91"/>
      <c r="M1691" s="91"/>
      <c r="N1691" s="91" t="s">
        <v>2880</v>
      </c>
    </row>
    <row r="1692" spans="1:14" x14ac:dyDescent="0.25">
      <c r="A1692" s="91" t="s">
        <v>1320</v>
      </c>
      <c r="B1692" s="91" t="s">
        <v>1334</v>
      </c>
      <c r="C1692" s="91" t="s">
        <v>2944</v>
      </c>
      <c r="D1692" s="91" t="s">
        <v>20</v>
      </c>
      <c r="E1692" s="91"/>
      <c r="F1692">
        <v>768</v>
      </c>
      <c r="G1692">
        <v>16</v>
      </c>
      <c r="H1692" s="89">
        <v>46149</v>
      </c>
      <c r="I1692" s="89">
        <v>46155</v>
      </c>
      <c r="J1692" s="91" t="s">
        <v>2946</v>
      </c>
      <c r="K1692" s="91"/>
      <c r="M1692" s="91"/>
      <c r="N1692" s="91" t="s">
        <v>2880</v>
      </c>
    </row>
    <row r="1693" spans="1:14" x14ac:dyDescent="0.25">
      <c r="A1693" s="91" t="s">
        <v>1315</v>
      </c>
      <c r="B1693" s="91" t="s">
        <v>1329</v>
      </c>
      <c r="C1693" s="91" t="s">
        <v>2944</v>
      </c>
      <c r="D1693" s="91" t="s">
        <v>20</v>
      </c>
      <c r="E1693" s="91"/>
      <c r="F1693">
        <v>60</v>
      </c>
      <c r="G1693" t="s">
        <v>1419</v>
      </c>
      <c r="H1693" s="89">
        <v>46149</v>
      </c>
      <c r="I1693" s="89">
        <v>46151</v>
      </c>
      <c r="J1693" s="91"/>
      <c r="K1693" s="91"/>
      <c r="M1693" s="91"/>
      <c r="N1693" s="91" t="s">
        <v>2880</v>
      </c>
    </row>
    <row r="1694" spans="1:14" x14ac:dyDescent="0.25">
      <c r="A1694" s="91" t="s">
        <v>1316</v>
      </c>
      <c r="B1694" s="91" t="s">
        <v>1330</v>
      </c>
      <c r="C1694" s="91" t="s">
        <v>2947</v>
      </c>
      <c r="D1694" s="91" t="s">
        <v>20</v>
      </c>
      <c r="E1694" s="91"/>
      <c r="F1694">
        <v>168</v>
      </c>
      <c r="G1694" t="s">
        <v>1419</v>
      </c>
      <c r="H1694" s="89">
        <v>46149</v>
      </c>
      <c r="I1694" s="89">
        <v>46151</v>
      </c>
      <c r="J1694" s="91"/>
      <c r="K1694" s="91"/>
      <c r="M1694" s="91"/>
      <c r="N1694" s="91" t="s">
        <v>2880</v>
      </c>
    </row>
    <row r="1695" spans="1:14" x14ac:dyDescent="0.25">
      <c r="A1695" s="91" t="s">
        <v>1317</v>
      </c>
      <c r="B1695" s="91" t="s">
        <v>1331</v>
      </c>
      <c r="C1695" s="91" t="s">
        <v>2948</v>
      </c>
      <c r="D1695" s="91" t="s">
        <v>20</v>
      </c>
      <c r="E1695" s="91"/>
      <c r="F1695">
        <v>3</v>
      </c>
      <c r="G1695" t="s">
        <v>1419</v>
      </c>
      <c r="H1695" s="89">
        <v>46149</v>
      </c>
      <c r="I1695" s="89">
        <v>46151</v>
      </c>
      <c r="J1695" s="91"/>
      <c r="K1695" s="91"/>
      <c r="M1695" s="91"/>
      <c r="N1695" s="91" t="s">
        <v>2880</v>
      </c>
    </row>
    <row r="1696" spans="1:14" x14ac:dyDescent="0.25">
      <c r="A1696" s="91" t="s">
        <v>1318</v>
      </c>
      <c r="B1696" s="91" t="s">
        <v>1332</v>
      </c>
      <c r="C1696" s="91" t="s">
        <v>2949</v>
      </c>
      <c r="D1696" s="91" t="s">
        <v>20</v>
      </c>
      <c r="E1696" s="91"/>
      <c r="F1696">
        <v>75</v>
      </c>
      <c r="G1696" t="s">
        <v>1419</v>
      </c>
      <c r="H1696" s="89">
        <v>46149</v>
      </c>
      <c r="I1696" s="89">
        <v>46151</v>
      </c>
      <c r="J1696" s="91"/>
      <c r="K1696" s="91"/>
      <c r="M1696" s="91"/>
      <c r="N1696" s="91" t="s">
        <v>2880</v>
      </c>
    </row>
    <row r="1697" spans="1:14" x14ac:dyDescent="0.25">
      <c r="A1697" s="91" t="s">
        <v>1313</v>
      </c>
      <c r="B1697" s="91" t="s">
        <v>1327</v>
      </c>
      <c r="C1697" s="91" t="s">
        <v>2950</v>
      </c>
      <c r="D1697" s="91" t="s">
        <v>15</v>
      </c>
      <c r="E1697" s="91"/>
      <c r="F1697">
        <v>480</v>
      </c>
      <c r="G1697">
        <v>10</v>
      </c>
      <c r="H1697" s="89">
        <v>46149</v>
      </c>
      <c r="I1697" s="89">
        <v>46155</v>
      </c>
      <c r="J1697" s="91" t="s">
        <v>2951</v>
      </c>
      <c r="K1697" s="91"/>
      <c r="M1697" s="91"/>
      <c r="N1697" s="91" t="s">
        <v>2880</v>
      </c>
    </row>
    <row r="1698" spans="1:14" x14ac:dyDescent="0.25">
      <c r="A1698" s="91" t="s">
        <v>1313</v>
      </c>
      <c r="B1698" s="91" t="s">
        <v>1327</v>
      </c>
      <c r="C1698" s="91" t="s">
        <v>2950</v>
      </c>
      <c r="D1698" s="91" t="s">
        <v>15</v>
      </c>
      <c r="E1698" s="91"/>
      <c r="F1698">
        <v>672</v>
      </c>
      <c r="G1698">
        <v>14</v>
      </c>
      <c r="H1698" s="89">
        <v>46149</v>
      </c>
      <c r="I1698" s="89">
        <v>46154</v>
      </c>
      <c r="J1698" s="91" t="s">
        <v>2945</v>
      </c>
      <c r="K1698" s="91"/>
      <c r="M1698" s="91"/>
      <c r="N1698" s="91" t="s">
        <v>2880</v>
      </c>
    </row>
    <row r="1699" spans="1:14" x14ac:dyDescent="0.25">
      <c r="A1699" s="91" t="s">
        <v>1315</v>
      </c>
      <c r="B1699" s="91" t="s">
        <v>1329</v>
      </c>
      <c r="C1699" s="91" t="s">
        <v>2950</v>
      </c>
      <c r="D1699" s="91" t="s">
        <v>15</v>
      </c>
      <c r="E1699" s="91"/>
      <c r="F1699">
        <v>30</v>
      </c>
      <c r="G1699" t="s">
        <v>1419</v>
      </c>
      <c r="H1699" s="89">
        <v>46149</v>
      </c>
      <c r="I1699" s="89">
        <v>46151</v>
      </c>
      <c r="J1699" s="91"/>
      <c r="K1699" s="91"/>
      <c r="M1699" s="91"/>
      <c r="N1699" s="91" t="s">
        <v>2880</v>
      </c>
    </row>
    <row r="1700" spans="1:14" x14ac:dyDescent="0.25">
      <c r="A1700" s="91" t="s">
        <v>1316</v>
      </c>
      <c r="B1700" s="91" t="s">
        <v>1330</v>
      </c>
      <c r="C1700" s="91" t="s">
        <v>2952</v>
      </c>
      <c r="D1700" s="91" t="s">
        <v>15</v>
      </c>
      <c r="E1700" s="91"/>
      <c r="F1700">
        <v>94</v>
      </c>
      <c r="G1700" t="s">
        <v>1419</v>
      </c>
      <c r="H1700" s="89">
        <v>46149</v>
      </c>
      <c r="I1700" s="89">
        <v>46151</v>
      </c>
      <c r="J1700" s="91"/>
      <c r="K1700" s="91"/>
      <c r="M1700" s="91"/>
      <c r="N1700" s="91" t="s">
        <v>2880</v>
      </c>
    </row>
    <row r="1701" spans="1:14" x14ac:dyDescent="0.25">
      <c r="A1701" s="91" t="s">
        <v>1317</v>
      </c>
      <c r="B1701" s="91" t="s">
        <v>1331</v>
      </c>
      <c r="C1701" s="91" t="s">
        <v>2953</v>
      </c>
      <c r="D1701" s="91" t="s">
        <v>15</v>
      </c>
      <c r="E1701" s="91"/>
      <c r="F1701">
        <v>22</v>
      </c>
      <c r="G1701" t="s">
        <v>1419</v>
      </c>
      <c r="H1701" s="89">
        <v>46149</v>
      </c>
      <c r="I1701" s="89">
        <v>46151</v>
      </c>
      <c r="J1701" s="91"/>
      <c r="K1701" s="91"/>
      <c r="M1701" s="91"/>
      <c r="N1701" s="91" t="s">
        <v>2880</v>
      </c>
    </row>
    <row r="1702" spans="1:14" x14ac:dyDescent="0.25">
      <c r="A1702" s="91" t="s">
        <v>1318</v>
      </c>
      <c r="B1702" s="91" t="s">
        <v>1332</v>
      </c>
      <c r="C1702" s="91" t="s">
        <v>2954</v>
      </c>
      <c r="D1702" s="91" t="s">
        <v>15</v>
      </c>
      <c r="E1702" s="91"/>
      <c r="F1702">
        <v>46</v>
      </c>
      <c r="G1702" t="s">
        <v>1419</v>
      </c>
      <c r="H1702" s="89">
        <v>46149</v>
      </c>
      <c r="I1702" s="89">
        <v>46151</v>
      </c>
      <c r="J1702" s="91"/>
      <c r="K1702" s="91"/>
      <c r="M1702" s="91"/>
      <c r="N1702" s="91" t="s">
        <v>2880</v>
      </c>
    </row>
    <row r="1703" spans="1:14" x14ac:dyDescent="0.25">
      <c r="A1703" s="91" t="s">
        <v>1324</v>
      </c>
      <c r="B1703" s="91" t="s">
        <v>1338</v>
      </c>
      <c r="C1703" s="91" t="s">
        <v>2955</v>
      </c>
      <c r="D1703" s="91" t="s">
        <v>21</v>
      </c>
      <c r="E1703" s="91"/>
      <c r="F1703">
        <v>960</v>
      </c>
      <c r="G1703">
        <v>20</v>
      </c>
      <c r="H1703" s="89">
        <v>46149</v>
      </c>
      <c r="I1703" s="89">
        <v>46156</v>
      </c>
      <c r="J1703" s="91" t="s">
        <v>2943</v>
      </c>
      <c r="K1703" s="91"/>
      <c r="M1703" s="91"/>
      <c r="N1703" s="91" t="s">
        <v>2880</v>
      </c>
    </row>
    <row r="1704" spans="1:14" x14ac:dyDescent="0.25">
      <c r="A1704" s="91" t="s">
        <v>1315</v>
      </c>
      <c r="B1704" s="91" t="s">
        <v>1329</v>
      </c>
      <c r="C1704" s="91" t="s">
        <v>2956</v>
      </c>
      <c r="D1704" s="91" t="s">
        <v>21</v>
      </c>
      <c r="E1704" s="91"/>
      <c r="F1704">
        <v>648</v>
      </c>
      <c r="G1704" t="s">
        <v>1419</v>
      </c>
      <c r="H1704" s="89">
        <v>46149</v>
      </c>
      <c r="I1704" s="89">
        <v>46151</v>
      </c>
      <c r="J1704" s="91"/>
      <c r="K1704" s="91"/>
      <c r="M1704" s="91"/>
      <c r="N1704" s="91" t="s">
        <v>2880</v>
      </c>
    </row>
    <row r="1705" spans="1:14" x14ac:dyDescent="0.25">
      <c r="A1705" s="91" t="s">
        <v>1316</v>
      </c>
      <c r="B1705" s="91" t="s">
        <v>1330</v>
      </c>
      <c r="C1705" s="91" t="s">
        <v>2956</v>
      </c>
      <c r="D1705" s="91" t="s">
        <v>21</v>
      </c>
      <c r="E1705" s="91"/>
      <c r="F1705">
        <v>34</v>
      </c>
      <c r="G1705" t="s">
        <v>1419</v>
      </c>
      <c r="H1705" s="89">
        <v>46149</v>
      </c>
      <c r="I1705" s="89">
        <v>46151</v>
      </c>
      <c r="J1705" s="91"/>
      <c r="K1705" s="91"/>
      <c r="M1705" s="91"/>
      <c r="N1705" s="91" t="s">
        <v>2880</v>
      </c>
    </row>
    <row r="1706" spans="1:14" x14ac:dyDescent="0.25">
      <c r="A1706" s="91" t="s">
        <v>1317</v>
      </c>
      <c r="B1706" s="91" t="s">
        <v>1331</v>
      </c>
      <c r="C1706" s="91" t="s">
        <v>2957</v>
      </c>
      <c r="D1706" s="91" t="s">
        <v>21</v>
      </c>
      <c r="E1706" s="91"/>
      <c r="F1706">
        <v>19</v>
      </c>
      <c r="G1706" t="s">
        <v>1419</v>
      </c>
      <c r="H1706" s="89">
        <v>46149</v>
      </c>
      <c r="I1706" s="89">
        <v>46151</v>
      </c>
      <c r="J1706" s="91"/>
      <c r="K1706" s="91"/>
      <c r="M1706" s="91"/>
      <c r="N1706" s="91" t="s">
        <v>2880</v>
      </c>
    </row>
    <row r="1707" spans="1:14" x14ac:dyDescent="0.25">
      <c r="A1707" s="91" t="s">
        <v>1318</v>
      </c>
      <c r="B1707" s="91" t="s">
        <v>1332</v>
      </c>
      <c r="C1707" s="91" t="s">
        <v>2958</v>
      </c>
      <c r="D1707" s="91" t="s">
        <v>21</v>
      </c>
      <c r="E1707" s="91"/>
      <c r="F1707">
        <v>79</v>
      </c>
      <c r="G1707" t="s">
        <v>1419</v>
      </c>
      <c r="H1707" s="89">
        <v>46149</v>
      </c>
      <c r="I1707" s="89">
        <v>46151</v>
      </c>
      <c r="J1707" s="91"/>
      <c r="K1707" s="91"/>
      <c r="M1707" s="91"/>
      <c r="N1707" s="91" t="s">
        <v>2880</v>
      </c>
    </row>
    <row r="1708" spans="1:14" x14ac:dyDescent="0.25">
      <c r="A1708" s="91" t="s">
        <v>1326</v>
      </c>
      <c r="B1708" s="91" t="s">
        <v>1340</v>
      </c>
      <c r="C1708" s="91" t="s">
        <v>2959</v>
      </c>
      <c r="D1708" s="91" t="s">
        <v>32</v>
      </c>
      <c r="E1708" s="91"/>
      <c r="F1708">
        <v>840</v>
      </c>
      <c r="G1708">
        <v>20</v>
      </c>
      <c r="H1708" s="89">
        <v>46150</v>
      </c>
      <c r="I1708" s="89">
        <v>46158</v>
      </c>
      <c r="J1708" s="91" t="s">
        <v>2960</v>
      </c>
      <c r="K1708" s="91"/>
      <c r="M1708" s="91"/>
      <c r="N1708" s="91" t="s">
        <v>2880</v>
      </c>
    </row>
    <row r="1709" spans="1:14" x14ac:dyDescent="0.25">
      <c r="A1709" s="91" t="s">
        <v>1320</v>
      </c>
      <c r="B1709" s="91" t="s">
        <v>1334</v>
      </c>
      <c r="C1709" s="91" t="s">
        <v>2961</v>
      </c>
      <c r="D1709" s="91" t="s">
        <v>71</v>
      </c>
      <c r="E1709" s="91"/>
      <c r="F1709">
        <v>960</v>
      </c>
      <c r="G1709">
        <v>20</v>
      </c>
      <c r="H1709" s="89">
        <v>46150</v>
      </c>
      <c r="I1709" s="89">
        <v>46155</v>
      </c>
      <c r="J1709" s="91" t="s">
        <v>2962</v>
      </c>
      <c r="K1709" s="91"/>
      <c r="M1709" s="91"/>
      <c r="N1709" s="91" t="s">
        <v>2880</v>
      </c>
    </row>
    <row r="1710" spans="1:14" x14ac:dyDescent="0.25">
      <c r="A1710" s="91" t="s">
        <v>1313</v>
      </c>
      <c r="B1710" s="91" t="s">
        <v>1327</v>
      </c>
      <c r="C1710" s="91" t="s">
        <v>2963</v>
      </c>
      <c r="D1710" s="91" t="s">
        <v>15</v>
      </c>
      <c r="E1710" s="91"/>
      <c r="F1710">
        <v>240</v>
      </c>
      <c r="G1710">
        <v>5</v>
      </c>
      <c r="H1710" s="89">
        <v>46150</v>
      </c>
      <c r="I1710" s="89">
        <v>46155</v>
      </c>
      <c r="J1710" s="91" t="s">
        <v>2951</v>
      </c>
      <c r="K1710" s="91"/>
      <c r="M1710" s="91"/>
      <c r="N1710" s="91" t="s">
        <v>2880</v>
      </c>
    </row>
    <row r="1711" spans="1:14" x14ac:dyDescent="0.25">
      <c r="A1711" s="91" t="s">
        <v>1313</v>
      </c>
      <c r="B1711" s="91" t="s">
        <v>1327</v>
      </c>
      <c r="C1711" s="91" t="s">
        <v>2963</v>
      </c>
      <c r="D1711" s="91" t="s">
        <v>15</v>
      </c>
      <c r="E1711" s="91"/>
      <c r="F1711">
        <v>48</v>
      </c>
      <c r="G1711">
        <v>1</v>
      </c>
      <c r="H1711" s="89">
        <v>46150</v>
      </c>
      <c r="I1711" s="89">
        <v>46156</v>
      </c>
      <c r="J1711" s="91"/>
      <c r="K1711" s="91"/>
      <c r="M1711" s="91"/>
      <c r="N1711" s="91" t="s">
        <v>2880</v>
      </c>
    </row>
    <row r="1712" spans="1:14" x14ac:dyDescent="0.25">
      <c r="A1712" s="91" t="s">
        <v>1313</v>
      </c>
      <c r="B1712" s="91" t="s">
        <v>1327</v>
      </c>
      <c r="C1712" s="91" t="s">
        <v>2963</v>
      </c>
      <c r="D1712" s="91" t="s">
        <v>15</v>
      </c>
      <c r="E1712" s="91"/>
      <c r="F1712">
        <v>864</v>
      </c>
      <c r="G1712">
        <v>18</v>
      </c>
      <c r="H1712" s="89">
        <v>46150</v>
      </c>
      <c r="I1712" s="89">
        <v>46154</v>
      </c>
      <c r="J1712" s="91" t="s">
        <v>2964</v>
      </c>
      <c r="K1712" s="91"/>
      <c r="M1712" s="91"/>
      <c r="N1712" s="91" t="s">
        <v>2880</v>
      </c>
    </row>
    <row r="1713" spans="1:14" x14ac:dyDescent="0.25">
      <c r="A1713" s="91" t="s">
        <v>1314</v>
      </c>
      <c r="B1713" s="91" t="s">
        <v>1328</v>
      </c>
      <c r="C1713" s="91" t="s">
        <v>2963</v>
      </c>
      <c r="D1713" s="91" t="s">
        <v>15</v>
      </c>
      <c r="E1713" s="91"/>
      <c r="F1713">
        <v>288</v>
      </c>
      <c r="G1713">
        <v>6</v>
      </c>
      <c r="H1713" s="89">
        <v>46150</v>
      </c>
      <c r="I1713" s="89">
        <v>46154</v>
      </c>
      <c r="J1713" s="91" t="s">
        <v>2965</v>
      </c>
      <c r="K1713" s="91"/>
      <c r="M1713" s="91"/>
      <c r="N1713" s="91" t="s">
        <v>2880</v>
      </c>
    </row>
    <row r="1714" spans="1:14" x14ac:dyDescent="0.25">
      <c r="A1714" s="91" t="s">
        <v>1315</v>
      </c>
      <c r="B1714" s="91" t="s">
        <v>1329</v>
      </c>
      <c r="C1714" s="91" t="s">
        <v>2963</v>
      </c>
      <c r="D1714" s="91" t="s">
        <v>15</v>
      </c>
      <c r="E1714" s="91"/>
      <c r="F1714">
        <v>47</v>
      </c>
      <c r="G1714" t="s">
        <v>1419</v>
      </c>
      <c r="H1714" s="89">
        <v>46150</v>
      </c>
      <c r="I1714" s="89">
        <v>46152</v>
      </c>
      <c r="J1714" s="91"/>
      <c r="K1714" s="91"/>
      <c r="M1714" s="91"/>
      <c r="N1714" s="91" t="s">
        <v>2880</v>
      </c>
    </row>
    <row r="1715" spans="1:14" x14ac:dyDescent="0.25">
      <c r="A1715" s="91" t="s">
        <v>1316</v>
      </c>
      <c r="B1715" s="91" t="s">
        <v>1330</v>
      </c>
      <c r="C1715" s="91" t="s">
        <v>2966</v>
      </c>
      <c r="D1715" s="91" t="s">
        <v>15</v>
      </c>
      <c r="E1715" s="91"/>
      <c r="F1715">
        <v>53</v>
      </c>
      <c r="G1715" t="s">
        <v>1419</v>
      </c>
      <c r="H1715" s="89">
        <v>46150</v>
      </c>
      <c r="I1715" s="89">
        <v>46152</v>
      </c>
      <c r="J1715" s="91"/>
      <c r="K1715" s="91"/>
      <c r="M1715" s="91"/>
      <c r="N1715" s="91" t="s">
        <v>2880</v>
      </c>
    </row>
    <row r="1716" spans="1:14" x14ac:dyDescent="0.25">
      <c r="A1716" s="91" t="s">
        <v>1317</v>
      </c>
      <c r="B1716" s="91" t="s">
        <v>1331</v>
      </c>
      <c r="C1716" s="91" t="s">
        <v>2967</v>
      </c>
      <c r="D1716" s="91" t="s">
        <v>15</v>
      </c>
      <c r="E1716" s="91"/>
      <c r="F1716">
        <v>6</v>
      </c>
      <c r="G1716" t="s">
        <v>1419</v>
      </c>
      <c r="H1716" s="89">
        <v>46150</v>
      </c>
      <c r="I1716" s="89">
        <v>46152</v>
      </c>
      <c r="J1716" s="91"/>
      <c r="K1716" s="91"/>
      <c r="M1716" s="91"/>
      <c r="N1716" s="91" t="s">
        <v>2880</v>
      </c>
    </row>
    <row r="1717" spans="1:14" x14ac:dyDescent="0.25">
      <c r="A1717" s="91" t="s">
        <v>1318</v>
      </c>
      <c r="B1717" s="91" t="s">
        <v>1332</v>
      </c>
      <c r="C1717" s="91" t="s">
        <v>2968</v>
      </c>
      <c r="D1717" s="91" t="s">
        <v>15</v>
      </c>
      <c r="E1717" s="91"/>
      <c r="F1717">
        <v>33</v>
      </c>
      <c r="G1717" t="s">
        <v>1419</v>
      </c>
      <c r="H1717" s="89">
        <v>46150</v>
      </c>
      <c r="I1717" s="89">
        <v>46152</v>
      </c>
      <c r="J1717" s="91"/>
      <c r="K1717" s="91"/>
      <c r="M1717" s="91"/>
      <c r="N1717" s="91" t="s">
        <v>2880</v>
      </c>
    </row>
    <row r="1718" spans="1:14" x14ac:dyDescent="0.25">
      <c r="A1718" s="91" t="s">
        <v>1324</v>
      </c>
      <c r="B1718" s="91" t="s">
        <v>1338</v>
      </c>
      <c r="C1718" s="91" t="s">
        <v>2969</v>
      </c>
      <c r="D1718" s="91" t="s">
        <v>105</v>
      </c>
      <c r="E1718" s="91"/>
      <c r="F1718">
        <v>960</v>
      </c>
      <c r="G1718">
        <v>20</v>
      </c>
      <c r="H1718" s="89">
        <v>46150</v>
      </c>
      <c r="I1718" s="89">
        <v>46158</v>
      </c>
      <c r="J1718" s="91" t="s">
        <v>2970</v>
      </c>
      <c r="K1718" s="91"/>
      <c r="M1718" s="91"/>
      <c r="N1718" s="91" t="s">
        <v>2880</v>
      </c>
    </row>
    <row r="1719" spans="1:14" x14ac:dyDescent="0.25">
      <c r="A1719" s="91" t="s">
        <v>1320</v>
      </c>
      <c r="B1719" s="91" t="s">
        <v>1334</v>
      </c>
      <c r="C1719" s="91" t="s">
        <v>2971</v>
      </c>
      <c r="D1719" s="91" t="s">
        <v>21</v>
      </c>
      <c r="E1719" s="91"/>
      <c r="F1719">
        <v>192</v>
      </c>
      <c r="G1719">
        <v>4</v>
      </c>
      <c r="H1719" s="89">
        <v>46150</v>
      </c>
      <c r="I1719" s="89">
        <v>46155</v>
      </c>
      <c r="J1719" s="91" t="s">
        <v>2946</v>
      </c>
      <c r="K1719" s="91"/>
      <c r="M1719" s="91"/>
      <c r="N1719" s="91" t="s">
        <v>2880</v>
      </c>
    </row>
    <row r="1720" spans="1:14" x14ac:dyDescent="0.25">
      <c r="A1720" s="91" t="s">
        <v>1324</v>
      </c>
      <c r="B1720" s="91" t="s">
        <v>1338</v>
      </c>
      <c r="C1720" s="91" t="s">
        <v>2971</v>
      </c>
      <c r="D1720" s="91" t="s">
        <v>21</v>
      </c>
      <c r="E1720" s="91"/>
      <c r="F1720">
        <v>768</v>
      </c>
      <c r="G1720">
        <v>16</v>
      </c>
      <c r="H1720" s="89">
        <v>46150</v>
      </c>
      <c r="I1720" s="89">
        <v>46152</v>
      </c>
      <c r="J1720" s="91"/>
      <c r="K1720" s="91"/>
      <c r="M1720" s="91"/>
      <c r="N1720" s="91" t="s">
        <v>2880</v>
      </c>
    </row>
    <row r="1721" spans="1:14" x14ac:dyDescent="0.25">
      <c r="A1721" s="91" t="s">
        <v>1315</v>
      </c>
      <c r="B1721" s="91" t="s">
        <v>1329</v>
      </c>
      <c r="C1721" s="91" t="s">
        <v>2971</v>
      </c>
      <c r="D1721" s="91" t="s">
        <v>21</v>
      </c>
      <c r="E1721" s="91"/>
      <c r="F1721">
        <v>139</v>
      </c>
      <c r="G1721" t="s">
        <v>1419</v>
      </c>
      <c r="H1721" s="89">
        <v>46150</v>
      </c>
      <c r="I1721" s="89">
        <v>46152</v>
      </c>
      <c r="J1721" s="91"/>
      <c r="K1721" s="91"/>
      <c r="M1721" s="91"/>
      <c r="N1721" s="91" t="s">
        <v>2880</v>
      </c>
    </row>
    <row r="1722" spans="1:14" x14ac:dyDescent="0.25">
      <c r="A1722" s="91" t="s">
        <v>1316</v>
      </c>
      <c r="B1722" s="91" t="s">
        <v>1330</v>
      </c>
      <c r="C1722" s="91" t="s">
        <v>2972</v>
      </c>
      <c r="D1722" s="91" t="s">
        <v>21</v>
      </c>
      <c r="E1722" s="91"/>
      <c r="F1722">
        <v>36</v>
      </c>
      <c r="G1722" t="s">
        <v>1419</v>
      </c>
      <c r="H1722" s="89">
        <v>46150</v>
      </c>
      <c r="I1722" s="89">
        <v>46152</v>
      </c>
      <c r="J1722" s="91"/>
      <c r="K1722" s="91"/>
      <c r="M1722" s="91"/>
      <c r="N1722" s="91" t="s">
        <v>2880</v>
      </c>
    </row>
    <row r="1723" spans="1:14" x14ac:dyDescent="0.25">
      <c r="A1723" s="91" t="s">
        <v>1317</v>
      </c>
      <c r="B1723" s="91" t="s">
        <v>1331</v>
      </c>
      <c r="C1723" s="91" t="s">
        <v>2973</v>
      </c>
      <c r="D1723" s="91" t="s">
        <v>21</v>
      </c>
      <c r="E1723" s="91"/>
      <c r="F1723">
        <v>4</v>
      </c>
      <c r="G1723" t="s">
        <v>1419</v>
      </c>
      <c r="H1723" s="89">
        <v>46150</v>
      </c>
      <c r="I1723" s="89">
        <v>46152</v>
      </c>
      <c r="J1723" s="91"/>
      <c r="K1723" s="91"/>
      <c r="M1723" s="91"/>
      <c r="N1723" s="91" t="s">
        <v>2880</v>
      </c>
    </row>
    <row r="1724" spans="1:14" x14ac:dyDescent="0.25">
      <c r="A1724" s="91" t="s">
        <v>1318</v>
      </c>
      <c r="B1724" s="91" t="s">
        <v>1332</v>
      </c>
      <c r="C1724" s="91" t="s">
        <v>2974</v>
      </c>
      <c r="D1724" s="91" t="s">
        <v>21</v>
      </c>
      <c r="E1724" s="91"/>
      <c r="F1724">
        <v>38</v>
      </c>
      <c r="G1724" t="s">
        <v>1419</v>
      </c>
      <c r="H1724" s="89">
        <v>46150</v>
      </c>
      <c r="I1724" s="89">
        <v>46152</v>
      </c>
      <c r="J1724" s="91"/>
      <c r="K1724" s="91"/>
      <c r="M1724" s="91"/>
      <c r="N1724" s="91" t="s">
        <v>2880</v>
      </c>
    </row>
    <row r="1725" spans="1:14" x14ac:dyDescent="0.25">
      <c r="A1725" s="91" t="s">
        <v>1325</v>
      </c>
      <c r="B1725" s="91" t="s">
        <v>1339</v>
      </c>
      <c r="C1725" s="91" t="s">
        <v>2975</v>
      </c>
      <c r="D1725" s="91" t="s">
        <v>138</v>
      </c>
      <c r="E1725" s="91"/>
      <c r="F1725">
        <v>192</v>
      </c>
      <c r="G1725">
        <v>4</v>
      </c>
      <c r="H1725" s="89">
        <v>46150</v>
      </c>
      <c r="I1725" s="89">
        <v>46153</v>
      </c>
      <c r="J1725" s="91"/>
      <c r="K1725" s="91"/>
      <c r="M1725" s="91"/>
      <c r="N1725" s="91" t="s">
        <v>2880</v>
      </c>
    </row>
    <row r="1726" spans="1:14" x14ac:dyDescent="0.25">
      <c r="A1726" s="91" t="s">
        <v>1324</v>
      </c>
      <c r="B1726" s="91" t="s">
        <v>1338</v>
      </c>
      <c r="C1726" s="91" t="s">
        <v>2976</v>
      </c>
      <c r="D1726" s="91" t="s">
        <v>88</v>
      </c>
      <c r="E1726" s="91"/>
      <c r="F1726">
        <v>960</v>
      </c>
      <c r="G1726">
        <v>20</v>
      </c>
      <c r="H1726" s="89">
        <v>46151</v>
      </c>
      <c r="I1726" s="89">
        <v>46158</v>
      </c>
      <c r="J1726" s="91" t="s">
        <v>2970</v>
      </c>
      <c r="K1726" s="91"/>
      <c r="M1726" s="91"/>
      <c r="N1726" s="91" t="s">
        <v>2880</v>
      </c>
    </row>
    <row r="1727" spans="1:14" x14ac:dyDescent="0.25">
      <c r="A1727" s="91" t="s">
        <v>1320</v>
      </c>
      <c r="B1727" s="91" t="s">
        <v>1334</v>
      </c>
      <c r="C1727" s="91" t="s">
        <v>2977</v>
      </c>
      <c r="D1727" s="91" t="s">
        <v>28</v>
      </c>
      <c r="E1727" s="91"/>
      <c r="F1727">
        <v>960</v>
      </c>
      <c r="G1727">
        <v>20</v>
      </c>
      <c r="H1727" s="89">
        <v>46151</v>
      </c>
      <c r="I1727" s="89">
        <v>46156</v>
      </c>
      <c r="J1727" s="91" t="s">
        <v>2978</v>
      </c>
      <c r="K1727" s="91"/>
      <c r="M1727" s="91"/>
      <c r="N1727" s="91" t="s">
        <v>2880</v>
      </c>
    </row>
    <row r="1728" spans="1:14" x14ac:dyDescent="0.25">
      <c r="A1728" s="91" t="s">
        <v>1313</v>
      </c>
      <c r="B1728" s="91" t="s">
        <v>1327</v>
      </c>
      <c r="C1728" s="91" t="s">
        <v>2977</v>
      </c>
      <c r="D1728" s="91" t="s">
        <v>28</v>
      </c>
      <c r="E1728" s="91"/>
      <c r="F1728">
        <v>144</v>
      </c>
      <c r="G1728">
        <v>3</v>
      </c>
      <c r="H1728" s="89">
        <v>46151</v>
      </c>
      <c r="I1728" s="89">
        <v>46156</v>
      </c>
      <c r="J1728" s="91"/>
      <c r="K1728" s="91"/>
      <c r="M1728" s="91"/>
      <c r="N1728" s="91" t="s">
        <v>2880</v>
      </c>
    </row>
    <row r="1729" spans="1:14" x14ac:dyDescent="0.25">
      <c r="A1729" s="91" t="s">
        <v>1315</v>
      </c>
      <c r="B1729" s="91" t="s">
        <v>1329</v>
      </c>
      <c r="C1729" s="91" t="s">
        <v>2977</v>
      </c>
      <c r="D1729" s="91" t="s">
        <v>28</v>
      </c>
      <c r="E1729" s="91"/>
      <c r="F1729">
        <v>163</v>
      </c>
      <c r="G1729" t="s">
        <v>1419</v>
      </c>
      <c r="H1729" s="89">
        <v>46151</v>
      </c>
      <c r="I1729" s="89">
        <v>46154</v>
      </c>
      <c r="J1729" s="91"/>
      <c r="K1729" s="91"/>
      <c r="M1729" s="91"/>
      <c r="N1729" s="91" t="s">
        <v>2880</v>
      </c>
    </row>
    <row r="1730" spans="1:14" x14ac:dyDescent="0.25">
      <c r="A1730" s="91" t="s">
        <v>1316</v>
      </c>
      <c r="B1730" s="91" t="s">
        <v>1330</v>
      </c>
      <c r="C1730" s="91" t="s">
        <v>2979</v>
      </c>
      <c r="D1730" s="91" t="s">
        <v>28</v>
      </c>
      <c r="E1730" s="91"/>
      <c r="F1730">
        <v>20</v>
      </c>
      <c r="G1730" t="s">
        <v>1419</v>
      </c>
      <c r="H1730" s="89">
        <v>46151</v>
      </c>
      <c r="I1730" s="89">
        <v>46153</v>
      </c>
      <c r="J1730" s="91"/>
      <c r="K1730" s="91"/>
      <c r="M1730" s="91"/>
      <c r="N1730" s="91" t="s">
        <v>2880</v>
      </c>
    </row>
    <row r="1731" spans="1:14" x14ac:dyDescent="0.25">
      <c r="A1731" s="91" t="s">
        <v>1317</v>
      </c>
      <c r="B1731" s="91" t="s">
        <v>1331</v>
      </c>
      <c r="C1731" s="91" t="s">
        <v>2980</v>
      </c>
      <c r="D1731" s="91" t="s">
        <v>28</v>
      </c>
      <c r="E1731" s="91"/>
      <c r="F1731">
        <v>12</v>
      </c>
      <c r="G1731" t="s">
        <v>1419</v>
      </c>
      <c r="H1731" s="89">
        <v>46151</v>
      </c>
      <c r="I1731" s="89">
        <v>46153</v>
      </c>
      <c r="J1731" s="91"/>
      <c r="K1731" s="91"/>
      <c r="M1731" s="91"/>
      <c r="N1731" s="91" t="s">
        <v>2880</v>
      </c>
    </row>
    <row r="1732" spans="1:14" x14ac:dyDescent="0.25">
      <c r="A1732" s="91" t="s">
        <v>1318</v>
      </c>
      <c r="B1732" s="91" t="s">
        <v>1332</v>
      </c>
      <c r="C1732" s="91" t="s">
        <v>2981</v>
      </c>
      <c r="D1732" s="91" t="s">
        <v>28</v>
      </c>
      <c r="E1732" s="91"/>
      <c r="F1732">
        <v>70</v>
      </c>
      <c r="G1732" t="s">
        <v>1419</v>
      </c>
      <c r="H1732" s="89">
        <v>46151</v>
      </c>
      <c r="I1732" s="89">
        <v>46153</v>
      </c>
      <c r="J1732" s="91"/>
      <c r="K1732" s="91"/>
      <c r="M1732" s="91"/>
      <c r="N1732" s="91" t="s">
        <v>2880</v>
      </c>
    </row>
    <row r="1733" spans="1:14" x14ac:dyDescent="0.25">
      <c r="A1733" s="91" t="s">
        <v>1324</v>
      </c>
      <c r="B1733" s="91" t="s">
        <v>1338</v>
      </c>
      <c r="C1733" s="91" t="s">
        <v>2982</v>
      </c>
      <c r="D1733" s="91" t="s">
        <v>15</v>
      </c>
      <c r="E1733" s="91"/>
      <c r="F1733">
        <v>1104</v>
      </c>
      <c r="G1733">
        <v>23</v>
      </c>
      <c r="H1733" s="89">
        <v>46151</v>
      </c>
      <c r="I1733" s="89">
        <v>46156</v>
      </c>
      <c r="J1733" s="91"/>
      <c r="K1733" s="91"/>
      <c r="M1733" s="91"/>
      <c r="N1733" s="91" t="s">
        <v>2880</v>
      </c>
    </row>
    <row r="1734" spans="1:14" x14ac:dyDescent="0.25">
      <c r="A1734" s="91" t="s">
        <v>1315</v>
      </c>
      <c r="B1734" s="91" t="s">
        <v>1329</v>
      </c>
      <c r="C1734" s="91" t="s">
        <v>2982</v>
      </c>
      <c r="D1734" s="91" t="s">
        <v>15</v>
      </c>
      <c r="E1734" s="91"/>
      <c r="F1734">
        <v>70</v>
      </c>
      <c r="G1734" t="s">
        <v>1419</v>
      </c>
      <c r="H1734" s="89">
        <v>46151</v>
      </c>
      <c r="I1734" s="89">
        <v>46154</v>
      </c>
      <c r="J1734" s="91"/>
      <c r="K1734" s="91"/>
      <c r="M1734" s="91"/>
      <c r="N1734" s="91" t="s">
        <v>2880</v>
      </c>
    </row>
    <row r="1735" spans="1:14" x14ac:dyDescent="0.25">
      <c r="A1735" s="91" t="s">
        <v>1316</v>
      </c>
      <c r="B1735" s="91" t="s">
        <v>1330</v>
      </c>
      <c r="C1735" s="91" t="s">
        <v>2983</v>
      </c>
      <c r="D1735" s="91" t="s">
        <v>15</v>
      </c>
      <c r="E1735" s="91"/>
      <c r="F1735">
        <v>66</v>
      </c>
      <c r="G1735" t="s">
        <v>1419</v>
      </c>
      <c r="H1735" s="89">
        <v>46151</v>
      </c>
      <c r="I1735" s="89">
        <v>46153</v>
      </c>
      <c r="J1735" s="91"/>
      <c r="K1735" s="91"/>
      <c r="M1735" s="91"/>
      <c r="N1735" s="91" t="s">
        <v>2880</v>
      </c>
    </row>
    <row r="1736" spans="1:14" x14ac:dyDescent="0.25">
      <c r="A1736" s="91" t="s">
        <v>1317</v>
      </c>
      <c r="B1736" s="91" t="s">
        <v>1331</v>
      </c>
      <c r="C1736" s="91" t="s">
        <v>2984</v>
      </c>
      <c r="D1736" s="91" t="s">
        <v>15</v>
      </c>
      <c r="E1736" s="91"/>
      <c r="F1736">
        <v>10</v>
      </c>
      <c r="G1736" t="s">
        <v>1419</v>
      </c>
      <c r="H1736" s="89">
        <v>46151</v>
      </c>
      <c r="I1736" s="89">
        <v>46153</v>
      </c>
      <c r="J1736" s="91"/>
      <c r="K1736" s="91"/>
      <c r="M1736" s="91"/>
      <c r="N1736" s="91" t="s">
        <v>2880</v>
      </c>
    </row>
    <row r="1737" spans="1:14" x14ac:dyDescent="0.25">
      <c r="A1737" s="91" t="s">
        <v>1318</v>
      </c>
      <c r="B1737" s="91" t="s">
        <v>1332</v>
      </c>
      <c r="C1737" s="91" t="s">
        <v>2985</v>
      </c>
      <c r="D1737" s="91" t="s">
        <v>15</v>
      </c>
      <c r="E1737" s="91"/>
      <c r="F1737">
        <v>37</v>
      </c>
      <c r="G1737" t="s">
        <v>1419</v>
      </c>
      <c r="H1737" s="89">
        <v>46151</v>
      </c>
      <c r="I1737" s="89">
        <v>46153</v>
      </c>
      <c r="J1737" s="91"/>
      <c r="K1737" s="91"/>
      <c r="M1737" s="91"/>
      <c r="N1737" s="91" t="s">
        <v>2880</v>
      </c>
    </row>
    <row r="1738" spans="1:14" x14ac:dyDescent="0.25">
      <c r="A1738" s="91" t="s">
        <v>1320</v>
      </c>
      <c r="B1738" s="91" t="s">
        <v>1334</v>
      </c>
      <c r="C1738" s="91" t="s">
        <v>2986</v>
      </c>
      <c r="D1738" s="91" t="s">
        <v>13</v>
      </c>
      <c r="E1738" s="91"/>
      <c r="F1738">
        <v>480</v>
      </c>
      <c r="G1738">
        <v>10</v>
      </c>
      <c r="H1738" s="89">
        <v>46153</v>
      </c>
      <c r="I1738" s="89">
        <v>46157</v>
      </c>
      <c r="J1738" s="91" t="s">
        <v>2987</v>
      </c>
      <c r="K1738" s="91"/>
      <c r="M1738" s="91"/>
      <c r="N1738" s="91" t="s">
        <v>2988</v>
      </c>
    </row>
    <row r="1739" spans="1:14" x14ac:dyDescent="0.25">
      <c r="A1739" s="91" t="s">
        <v>1320</v>
      </c>
      <c r="B1739" s="91" t="s">
        <v>1334</v>
      </c>
      <c r="C1739" s="91" t="s">
        <v>2989</v>
      </c>
      <c r="D1739" s="91" t="s">
        <v>118</v>
      </c>
      <c r="E1739" s="91"/>
      <c r="F1739">
        <v>960</v>
      </c>
      <c r="G1739">
        <v>20</v>
      </c>
      <c r="H1739" s="89">
        <v>46153</v>
      </c>
      <c r="I1739" s="89">
        <v>46157</v>
      </c>
      <c r="J1739" s="91" t="s">
        <v>2990</v>
      </c>
      <c r="K1739" s="91"/>
      <c r="M1739" s="91"/>
      <c r="N1739" s="91" t="s">
        <v>2988</v>
      </c>
    </row>
    <row r="1740" spans="1:14" x14ac:dyDescent="0.25">
      <c r="A1740" s="91" t="s">
        <v>1326</v>
      </c>
      <c r="B1740" s="91" t="s">
        <v>1340</v>
      </c>
      <c r="C1740" s="91" t="s">
        <v>2991</v>
      </c>
      <c r="D1740" s="91" t="s">
        <v>138</v>
      </c>
      <c r="E1740" s="91"/>
      <c r="F1740">
        <v>846</v>
      </c>
      <c r="G1740">
        <v>20.142857142857142</v>
      </c>
      <c r="H1740" s="89">
        <v>46153</v>
      </c>
      <c r="I1740" s="89">
        <v>46161</v>
      </c>
      <c r="J1740" s="91" t="s">
        <v>2992</v>
      </c>
      <c r="K1740" s="91"/>
      <c r="M1740" s="91"/>
      <c r="N1740" s="91" t="s">
        <v>2988</v>
      </c>
    </row>
    <row r="1741" spans="1:14" x14ac:dyDescent="0.25">
      <c r="A1741" s="91" t="s">
        <v>1313</v>
      </c>
      <c r="B1741" s="91" t="s">
        <v>1327</v>
      </c>
      <c r="C1741" s="91" t="s">
        <v>2993</v>
      </c>
      <c r="D1741" s="91" t="s">
        <v>20</v>
      </c>
      <c r="E1741" s="91"/>
      <c r="F1741">
        <v>1104</v>
      </c>
      <c r="G1741">
        <v>23</v>
      </c>
      <c r="H1741" s="89">
        <v>46153</v>
      </c>
      <c r="I1741" s="89">
        <v>46157</v>
      </c>
      <c r="J1741" s="91" t="s">
        <v>2994</v>
      </c>
      <c r="K1741" s="91"/>
      <c r="M1741" s="91"/>
      <c r="N1741" s="91" t="s">
        <v>2988</v>
      </c>
    </row>
    <row r="1742" spans="1:14" x14ac:dyDescent="0.25">
      <c r="A1742" s="91" t="s">
        <v>1319</v>
      </c>
      <c r="B1742" s="91" t="s">
        <v>1333</v>
      </c>
      <c r="C1742" s="91" t="s">
        <v>2993</v>
      </c>
      <c r="D1742" s="91" t="s">
        <v>20</v>
      </c>
      <c r="E1742" s="91"/>
      <c r="F1742">
        <v>48</v>
      </c>
      <c r="G1742">
        <v>1</v>
      </c>
      <c r="H1742" s="89">
        <v>46153</v>
      </c>
      <c r="I1742" s="89">
        <v>46157</v>
      </c>
      <c r="J1742" s="91" t="s">
        <v>2994</v>
      </c>
      <c r="K1742" s="91"/>
      <c r="M1742" s="91"/>
      <c r="N1742" s="91" t="s">
        <v>2988</v>
      </c>
    </row>
    <row r="1743" spans="1:14" x14ac:dyDescent="0.25">
      <c r="A1743" s="91" t="s">
        <v>1315</v>
      </c>
      <c r="B1743" s="91" t="s">
        <v>1329</v>
      </c>
      <c r="C1743" s="91" t="s">
        <v>2993</v>
      </c>
      <c r="D1743" s="91" t="s">
        <v>20</v>
      </c>
      <c r="E1743" s="91"/>
      <c r="F1743">
        <v>67</v>
      </c>
      <c r="G1743" t="s">
        <v>1419</v>
      </c>
      <c r="H1743" s="89">
        <v>46153</v>
      </c>
      <c r="I1743" s="89">
        <v>46156</v>
      </c>
      <c r="J1743" s="91"/>
      <c r="K1743" s="91"/>
      <c r="M1743" s="91"/>
      <c r="N1743" s="91" t="s">
        <v>2988</v>
      </c>
    </row>
    <row r="1744" spans="1:14" x14ac:dyDescent="0.25">
      <c r="A1744" s="91" t="s">
        <v>1316</v>
      </c>
      <c r="B1744" s="91" t="s">
        <v>1330</v>
      </c>
      <c r="C1744" s="91" t="s">
        <v>2995</v>
      </c>
      <c r="D1744" s="91" t="s">
        <v>20</v>
      </c>
      <c r="E1744" s="91"/>
      <c r="F1744">
        <v>163</v>
      </c>
      <c r="G1744" t="s">
        <v>1419</v>
      </c>
      <c r="H1744" s="89">
        <v>46153</v>
      </c>
      <c r="I1744" s="89">
        <v>46155</v>
      </c>
      <c r="J1744" s="91"/>
      <c r="K1744" s="91"/>
      <c r="M1744" s="91"/>
      <c r="N1744" s="91" t="s">
        <v>2988</v>
      </c>
    </row>
    <row r="1745" spans="1:14" x14ac:dyDescent="0.25">
      <c r="A1745" s="91" t="s">
        <v>1317</v>
      </c>
      <c r="B1745" s="91" t="s">
        <v>1331</v>
      </c>
      <c r="C1745" s="91" t="s">
        <v>2996</v>
      </c>
      <c r="D1745" s="91" t="s">
        <v>20</v>
      </c>
      <c r="E1745" s="91"/>
      <c r="F1745">
        <v>8</v>
      </c>
      <c r="G1745" t="s">
        <v>1419</v>
      </c>
      <c r="H1745" s="89">
        <v>46153</v>
      </c>
      <c r="I1745" s="89">
        <v>46155</v>
      </c>
      <c r="J1745" s="91"/>
      <c r="K1745" s="91"/>
      <c r="M1745" s="91"/>
      <c r="N1745" s="91" t="s">
        <v>2988</v>
      </c>
    </row>
    <row r="1746" spans="1:14" x14ac:dyDescent="0.25">
      <c r="A1746" s="91" t="s">
        <v>1318</v>
      </c>
      <c r="B1746" s="91" t="s">
        <v>1332</v>
      </c>
      <c r="C1746" s="91" t="s">
        <v>2997</v>
      </c>
      <c r="D1746" s="91" t="s">
        <v>20</v>
      </c>
      <c r="E1746" s="91"/>
      <c r="F1746">
        <v>67</v>
      </c>
      <c r="G1746" t="s">
        <v>1419</v>
      </c>
      <c r="H1746" s="89">
        <v>46153</v>
      </c>
      <c r="I1746" s="89">
        <v>46155</v>
      </c>
      <c r="J1746" s="91"/>
      <c r="K1746" s="91"/>
      <c r="M1746" s="91"/>
      <c r="N1746" s="91" t="s">
        <v>2988</v>
      </c>
    </row>
    <row r="1747" spans="1:14" x14ac:dyDescent="0.25">
      <c r="A1747" s="91" t="s">
        <v>1313</v>
      </c>
      <c r="B1747" s="91" t="s">
        <v>1327</v>
      </c>
      <c r="C1747" s="91" t="s">
        <v>2998</v>
      </c>
      <c r="D1747" s="91" t="s">
        <v>21</v>
      </c>
      <c r="E1747" s="91"/>
      <c r="F1747">
        <v>480</v>
      </c>
      <c r="G1747">
        <v>10</v>
      </c>
      <c r="H1747" s="89">
        <v>46153</v>
      </c>
      <c r="I1747" s="89">
        <v>46156</v>
      </c>
      <c r="J1747" s="91" t="s">
        <v>2999</v>
      </c>
      <c r="K1747" s="91"/>
      <c r="M1747" s="91"/>
      <c r="N1747" s="91" t="s">
        <v>2988</v>
      </c>
    </row>
    <row r="1748" spans="1:14" x14ac:dyDescent="0.25">
      <c r="A1748" s="91" t="s">
        <v>1320</v>
      </c>
      <c r="B1748" s="91" t="s">
        <v>1334</v>
      </c>
      <c r="C1748" s="91" t="s">
        <v>2998</v>
      </c>
      <c r="D1748" s="91" t="s">
        <v>21</v>
      </c>
      <c r="E1748" s="91"/>
      <c r="F1748">
        <v>768</v>
      </c>
      <c r="G1748">
        <v>16</v>
      </c>
      <c r="H1748" s="89">
        <v>46153</v>
      </c>
      <c r="I1748" s="89">
        <v>46156</v>
      </c>
      <c r="J1748" s="91" t="s">
        <v>3000</v>
      </c>
      <c r="K1748" s="91"/>
      <c r="M1748" s="91"/>
      <c r="N1748" s="91" t="s">
        <v>2988</v>
      </c>
    </row>
    <row r="1749" spans="1:14" x14ac:dyDescent="0.25">
      <c r="A1749" s="91" t="s">
        <v>1315</v>
      </c>
      <c r="B1749" s="91" t="s">
        <v>1329</v>
      </c>
      <c r="C1749" s="91" t="s">
        <v>2998</v>
      </c>
      <c r="D1749" s="91" t="s">
        <v>21</v>
      </c>
      <c r="E1749" s="91"/>
      <c r="F1749">
        <v>160</v>
      </c>
      <c r="G1749" t="s">
        <v>1419</v>
      </c>
      <c r="H1749" s="89">
        <v>46153</v>
      </c>
      <c r="I1749" s="89">
        <v>46156</v>
      </c>
      <c r="J1749" s="91"/>
      <c r="K1749" s="91"/>
      <c r="M1749" s="91"/>
      <c r="N1749" s="91" t="s">
        <v>2988</v>
      </c>
    </row>
    <row r="1750" spans="1:14" x14ac:dyDescent="0.25">
      <c r="A1750" s="91" t="s">
        <v>1316</v>
      </c>
      <c r="B1750" s="91" t="s">
        <v>1330</v>
      </c>
      <c r="C1750" s="91" t="s">
        <v>3001</v>
      </c>
      <c r="D1750" s="91" t="s">
        <v>21</v>
      </c>
      <c r="E1750" s="91"/>
      <c r="F1750">
        <v>6</v>
      </c>
      <c r="G1750" t="s">
        <v>1419</v>
      </c>
      <c r="H1750" s="89">
        <v>46153</v>
      </c>
      <c r="I1750" s="89">
        <v>46155</v>
      </c>
      <c r="J1750" s="91"/>
      <c r="K1750" s="91"/>
      <c r="M1750" s="91"/>
      <c r="N1750" s="91" t="s">
        <v>2988</v>
      </c>
    </row>
    <row r="1751" spans="1:14" x14ac:dyDescent="0.25">
      <c r="A1751" s="91" t="s">
        <v>1317</v>
      </c>
      <c r="B1751" s="91" t="s">
        <v>1331</v>
      </c>
      <c r="C1751" s="91" t="s">
        <v>3002</v>
      </c>
      <c r="D1751" s="91" t="s">
        <v>21</v>
      </c>
      <c r="E1751" s="91"/>
      <c r="F1751">
        <v>9</v>
      </c>
      <c r="G1751" t="s">
        <v>1419</v>
      </c>
      <c r="H1751" s="89">
        <v>46153</v>
      </c>
      <c r="I1751" s="89">
        <v>46155</v>
      </c>
      <c r="J1751" s="91"/>
      <c r="K1751" s="91"/>
      <c r="M1751" s="91"/>
      <c r="N1751" s="91" t="s">
        <v>2988</v>
      </c>
    </row>
    <row r="1752" spans="1:14" x14ac:dyDescent="0.25">
      <c r="A1752" s="91" t="s">
        <v>1318</v>
      </c>
      <c r="B1752" s="91" t="s">
        <v>1332</v>
      </c>
      <c r="C1752" s="91" t="s">
        <v>3003</v>
      </c>
      <c r="D1752" s="91" t="s">
        <v>21</v>
      </c>
      <c r="E1752" s="91"/>
      <c r="F1752">
        <v>60</v>
      </c>
      <c r="G1752" t="s">
        <v>1419</v>
      </c>
      <c r="H1752" s="89">
        <v>46153</v>
      </c>
      <c r="I1752" s="89">
        <v>46155</v>
      </c>
      <c r="J1752" s="91"/>
      <c r="K1752" s="91"/>
      <c r="M1752" s="91"/>
      <c r="N1752" s="91" t="s">
        <v>2988</v>
      </c>
    </row>
    <row r="1753" spans="1:14" x14ac:dyDescent="0.25">
      <c r="A1753" s="91" t="s">
        <v>1320</v>
      </c>
      <c r="B1753" s="91" t="s">
        <v>1334</v>
      </c>
      <c r="C1753" s="91" t="s">
        <v>3004</v>
      </c>
      <c r="D1753" s="91" t="s">
        <v>15</v>
      </c>
      <c r="E1753" s="91"/>
      <c r="F1753">
        <v>480</v>
      </c>
      <c r="G1753">
        <v>10</v>
      </c>
      <c r="H1753" s="89">
        <v>46153</v>
      </c>
      <c r="I1753" s="89">
        <v>46157</v>
      </c>
      <c r="J1753" s="91" t="s">
        <v>2987</v>
      </c>
      <c r="K1753" s="91"/>
      <c r="M1753" s="91"/>
      <c r="N1753" s="91" t="s">
        <v>2988</v>
      </c>
    </row>
    <row r="1754" spans="1:14" x14ac:dyDescent="0.25">
      <c r="A1754" s="91" t="s">
        <v>1314</v>
      </c>
      <c r="B1754" s="91" t="s">
        <v>1328</v>
      </c>
      <c r="C1754" s="91" t="s">
        <v>3004</v>
      </c>
      <c r="D1754" s="91" t="s">
        <v>15</v>
      </c>
      <c r="E1754" s="91"/>
      <c r="F1754">
        <v>336</v>
      </c>
      <c r="G1754">
        <v>7</v>
      </c>
      <c r="H1754" s="89">
        <v>46153</v>
      </c>
      <c r="I1754" s="89">
        <v>46156</v>
      </c>
      <c r="J1754" s="91" t="s">
        <v>3005</v>
      </c>
      <c r="K1754" s="91"/>
      <c r="M1754" s="91"/>
      <c r="N1754" s="91" t="s">
        <v>2988</v>
      </c>
    </row>
    <row r="1755" spans="1:14" x14ac:dyDescent="0.25">
      <c r="A1755" s="91" t="s">
        <v>1313</v>
      </c>
      <c r="B1755" s="91" t="s">
        <v>1327</v>
      </c>
      <c r="C1755" s="91" t="s">
        <v>3004</v>
      </c>
      <c r="D1755" s="91" t="s">
        <v>15</v>
      </c>
      <c r="E1755" s="91"/>
      <c r="F1755">
        <v>336</v>
      </c>
      <c r="G1755">
        <v>7</v>
      </c>
      <c r="H1755" s="89">
        <v>46153</v>
      </c>
      <c r="I1755" s="89">
        <v>46156</v>
      </c>
      <c r="J1755" s="91" t="s">
        <v>2999</v>
      </c>
      <c r="K1755" s="91"/>
      <c r="M1755" s="91"/>
      <c r="N1755" s="91" t="s">
        <v>2988</v>
      </c>
    </row>
    <row r="1756" spans="1:14" x14ac:dyDescent="0.25">
      <c r="A1756" s="91" t="s">
        <v>1315</v>
      </c>
      <c r="B1756" s="91" t="s">
        <v>1329</v>
      </c>
      <c r="C1756" s="91" t="s">
        <v>3004</v>
      </c>
      <c r="D1756" s="91" t="s">
        <v>15</v>
      </c>
      <c r="E1756" s="91"/>
      <c r="F1756">
        <v>77</v>
      </c>
      <c r="G1756" t="s">
        <v>1419</v>
      </c>
      <c r="H1756" s="89">
        <v>46153</v>
      </c>
      <c r="I1756" s="89">
        <v>46156</v>
      </c>
      <c r="J1756" s="91"/>
      <c r="K1756" s="91"/>
      <c r="M1756" s="91"/>
      <c r="N1756" s="91" t="s">
        <v>2988</v>
      </c>
    </row>
    <row r="1757" spans="1:14" x14ac:dyDescent="0.25">
      <c r="A1757" s="91" t="s">
        <v>1316</v>
      </c>
      <c r="B1757" s="91" t="s">
        <v>1330</v>
      </c>
      <c r="C1757" s="91" t="s">
        <v>3006</v>
      </c>
      <c r="D1757" s="91" t="s">
        <v>15</v>
      </c>
      <c r="E1757" s="91"/>
      <c r="F1757">
        <v>72</v>
      </c>
      <c r="G1757" t="s">
        <v>1419</v>
      </c>
      <c r="H1757" s="89">
        <v>46153</v>
      </c>
      <c r="I1757" s="89">
        <v>46155</v>
      </c>
      <c r="J1757" s="91"/>
      <c r="K1757" s="91"/>
      <c r="M1757" s="91"/>
      <c r="N1757" s="91" t="s">
        <v>2988</v>
      </c>
    </row>
    <row r="1758" spans="1:14" x14ac:dyDescent="0.25">
      <c r="A1758" s="91" t="s">
        <v>1317</v>
      </c>
      <c r="B1758" s="91" t="s">
        <v>1331</v>
      </c>
      <c r="C1758" s="91" t="s">
        <v>3007</v>
      </c>
      <c r="D1758" s="91" t="s">
        <v>15</v>
      </c>
      <c r="E1758" s="91"/>
      <c r="F1758">
        <v>13</v>
      </c>
      <c r="G1758" t="s">
        <v>1419</v>
      </c>
      <c r="H1758" s="89">
        <v>46153</v>
      </c>
      <c r="I1758" s="89">
        <v>46155</v>
      </c>
      <c r="J1758" s="91"/>
      <c r="K1758" s="91"/>
      <c r="M1758" s="91"/>
      <c r="N1758" s="91" t="s">
        <v>2988</v>
      </c>
    </row>
    <row r="1759" spans="1:14" x14ac:dyDescent="0.25">
      <c r="A1759" s="91" t="s">
        <v>1318</v>
      </c>
      <c r="B1759" s="91" t="s">
        <v>1332</v>
      </c>
      <c r="C1759" s="91" t="s">
        <v>3008</v>
      </c>
      <c r="D1759" s="91" t="s">
        <v>15</v>
      </c>
      <c r="E1759" s="91"/>
      <c r="F1759">
        <v>41</v>
      </c>
      <c r="G1759" t="s">
        <v>1419</v>
      </c>
      <c r="H1759" s="89">
        <v>46153</v>
      </c>
      <c r="I1759" s="89">
        <v>46155</v>
      </c>
      <c r="J1759" s="91"/>
      <c r="K1759" s="91"/>
      <c r="M1759" s="91"/>
      <c r="N1759" s="91" t="s">
        <v>2988</v>
      </c>
    </row>
    <row r="1760" spans="1:14" x14ac:dyDescent="0.25">
      <c r="A1760" s="91" t="s">
        <v>1326</v>
      </c>
      <c r="B1760" s="91" t="s">
        <v>1340</v>
      </c>
      <c r="C1760" s="91" t="s">
        <v>3009</v>
      </c>
      <c r="D1760" s="91" t="s">
        <v>138</v>
      </c>
      <c r="E1760" s="91"/>
      <c r="F1760">
        <v>162</v>
      </c>
      <c r="G1760">
        <v>3.8571428571428577</v>
      </c>
      <c r="H1760" s="89">
        <v>46154</v>
      </c>
      <c r="I1760" s="89">
        <v>46161</v>
      </c>
      <c r="J1760" s="91" t="s">
        <v>2992</v>
      </c>
      <c r="K1760" s="91"/>
      <c r="M1760" s="91"/>
      <c r="N1760" s="91" t="s">
        <v>2988</v>
      </c>
    </row>
    <row r="1761" spans="1:14" x14ac:dyDescent="0.25">
      <c r="A1761" s="91" t="s">
        <v>1324</v>
      </c>
      <c r="B1761" s="91" t="s">
        <v>1338</v>
      </c>
      <c r="C1761" s="91" t="s">
        <v>3010</v>
      </c>
      <c r="D1761" s="91" t="s">
        <v>118</v>
      </c>
      <c r="E1761" s="91"/>
      <c r="F1761">
        <v>480</v>
      </c>
      <c r="G1761">
        <v>10</v>
      </c>
      <c r="H1761" s="89">
        <v>46154</v>
      </c>
      <c r="I1761" s="89">
        <v>46161</v>
      </c>
      <c r="J1761" s="91" t="s">
        <v>3011</v>
      </c>
      <c r="K1761" s="91"/>
      <c r="M1761" s="91"/>
      <c r="N1761" s="91" t="s">
        <v>2988</v>
      </c>
    </row>
    <row r="1762" spans="1:14" x14ac:dyDescent="0.25">
      <c r="A1762" s="91" t="s">
        <v>1324</v>
      </c>
      <c r="B1762" s="91" t="s">
        <v>1338</v>
      </c>
      <c r="C1762" s="91" t="s">
        <v>3012</v>
      </c>
      <c r="D1762" s="91" t="s">
        <v>23</v>
      </c>
      <c r="E1762" s="91"/>
      <c r="F1762">
        <v>960</v>
      </c>
      <c r="G1762">
        <v>20</v>
      </c>
      <c r="H1762" s="89">
        <v>46154</v>
      </c>
      <c r="I1762" s="89">
        <v>46161</v>
      </c>
      <c r="J1762" s="91" t="s">
        <v>3011</v>
      </c>
      <c r="K1762" s="91"/>
      <c r="M1762" s="91"/>
      <c r="N1762" s="91" t="s">
        <v>2988</v>
      </c>
    </row>
    <row r="1763" spans="1:14" x14ac:dyDescent="0.25">
      <c r="A1763" s="91" t="s">
        <v>1323</v>
      </c>
      <c r="B1763" s="91" t="s">
        <v>1337</v>
      </c>
      <c r="C1763" s="91" t="s">
        <v>3013</v>
      </c>
      <c r="D1763" s="91" t="s">
        <v>20</v>
      </c>
      <c r="E1763" s="91"/>
      <c r="F1763">
        <v>918</v>
      </c>
      <c r="G1763">
        <v>17</v>
      </c>
      <c r="H1763" s="89">
        <v>46154</v>
      </c>
      <c r="I1763" s="89">
        <v>46157</v>
      </c>
      <c r="J1763" s="91" t="s">
        <v>3014</v>
      </c>
      <c r="K1763" s="91"/>
      <c r="M1763" s="91"/>
      <c r="N1763" s="91" t="s">
        <v>2988</v>
      </c>
    </row>
    <row r="1764" spans="1:14" x14ac:dyDescent="0.25">
      <c r="A1764" s="91" t="s">
        <v>1322</v>
      </c>
      <c r="B1764" s="91" t="s">
        <v>1336</v>
      </c>
      <c r="C1764" s="91" t="s">
        <v>3013</v>
      </c>
      <c r="D1764" s="91" t="s">
        <v>20</v>
      </c>
      <c r="E1764" s="91"/>
      <c r="F1764">
        <v>162</v>
      </c>
      <c r="G1764">
        <v>3</v>
      </c>
      <c r="H1764" s="89">
        <v>46154</v>
      </c>
      <c r="I1764" s="89">
        <v>46157</v>
      </c>
      <c r="J1764" s="91" t="s">
        <v>3014</v>
      </c>
      <c r="K1764" s="91"/>
      <c r="M1764" s="91"/>
      <c r="N1764" s="91" t="s">
        <v>2988</v>
      </c>
    </row>
    <row r="1765" spans="1:14" x14ac:dyDescent="0.25">
      <c r="A1765" s="91" t="s">
        <v>1313</v>
      </c>
      <c r="B1765" s="91" t="s">
        <v>1327</v>
      </c>
      <c r="C1765" s="91" t="s">
        <v>3013</v>
      </c>
      <c r="D1765" s="91" t="s">
        <v>20</v>
      </c>
      <c r="E1765" s="91"/>
      <c r="F1765">
        <v>192</v>
      </c>
      <c r="G1765">
        <v>4</v>
      </c>
      <c r="H1765" s="89">
        <v>46154</v>
      </c>
      <c r="I1765" s="89">
        <v>46159</v>
      </c>
      <c r="J1765" s="91" t="s">
        <v>3015</v>
      </c>
      <c r="K1765" s="91"/>
      <c r="M1765" s="91"/>
      <c r="N1765" s="91" t="s">
        <v>2988</v>
      </c>
    </row>
    <row r="1766" spans="1:14" x14ac:dyDescent="0.25">
      <c r="A1766" s="91" t="s">
        <v>1315</v>
      </c>
      <c r="B1766" s="91" t="s">
        <v>1329</v>
      </c>
      <c r="C1766" s="91" t="s">
        <v>3013</v>
      </c>
      <c r="D1766" s="91" t="s">
        <v>20</v>
      </c>
      <c r="E1766" s="91"/>
      <c r="F1766">
        <v>6</v>
      </c>
      <c r="G1766" t="s">
        <v>1419</v>
      </c>
      <c r="H1766" s="89">
        <v>46154</v>
      </c>
      <c r="I1766" s="89">
        <v>46156</v>
      </c>
      <c r="J1766" s="91"/>
      <c r="K1766" s="91"/>
      <c r="M1766" s="91"/>
      <c r="N1766" s="91" t="s">
        <v>2988</v>
      </c>
    </row>
    <row r="1767" spans="1:14" x14ac:dyDescent="0.25">
      <c r="A1767" s="91" t="s">
        <v>1316</v>
      </c>
      <c r="B1767" s="91" t="s">
        <v>1330</v>
      </c>
      <c r="C1767" s="91" t="s">
        <v>3016</v>
      </c>
      <c r="D1767" s="91" t="s">
        <v>20</v>
      </c>
      <c r="E1767" s="91"/>
      <c r="F1767">
        <v>95</v>
      </c>
      <c r="G1767" t="s">
        <v>1419</v>
      </c>
      <c r="H1767" s="89">
        <v>46154</v>
      </c>
      <c r="I1767" s="89">
        <v>46156</v>
      </c>
      <c r="J1767" s="91"/>
      <c r="K1767" s="91"/>
      <c r="M1767" s="91"/>
      <c r="N1767" s="91" t="s">
        <v>2988</v>
      </c>
    </row>
    <row r="1768" spans="1:14" x14ac:dyDescent="0.25">
      <c r="A1768" s="91" t="s">
        <v>1317</v>
      </c>
      <c r="B1768" s="91" t="s">
        <v>1331</v>
      </c>
      <c r="C1768" s="91" t="s">
        <v>3017</v>
      </c>
      <c r="D1768" s="91" t="s">
        <v>20</v>
      </c>
      <c r="E1768" s="91"/>
      <c r="F1768">
        <v>1</v>
      </c>
      <c r="G1768" t="s">
        <v>1419</v>
      </c>
      <c r="H1768" s="89">
        <v>46154</v>
      </c>
      <c r="I1768" s="89">
        <v>46156</v>
      </c>
      <c r="J1768" s="91"/>
      <c r="K1768" s="91"/>
      <c r="M1768" s="91"/>
      <c r="N1768" s="91" t="s">
        <v>2988</v>
      </c>
    </row>
    <row r="1769" spans="1:14" x14ac:dyDescent="0.25">
      <c r="A1769" s="91" t="s">
        <v>1318</v>
      </c>
      <c r="B1769" s="91" t="s">
        <v>1332</v>
      </c>
      <c r="C1769" s="91" t="s">
        <v>3018</v>
      </c>
      <c r="D1769" s="91" t="s">
        <v>20</v>
      </c>
      <c r="E1769" s="91"/>
      <c r="F1769">
        <v>48</v>
      </c>
      <c r="G1769" t="s">
        <v>1419</v>
      </c>
      <c r="H1769" s="89">
        <v>46154</v>
      </c>
      <c r="I1769" s="89">
        <v>46156</v>
      </c>
      <c r="J1769" s="91"/>
      <c r="K1769" s="91"/>
      <c r="M1769" s="91"/>
      <c r="N1769" s="91" t="s">
        <v>2988</v>
      </c>
    </row>
    <row r="1770" spans="1:14" x14ac:dyDescent="0.25">
      <c r="A1770" s="91" t="s">
        <v>1320</v>
      </c>
      <c r="B1770" s="91" t="s">
        <v>1334</v>
      </c>
      <c r="C1770" s="91" t="s">
        <v>3019</v>
      </c>
      <c r="D1770" s="91" t="s">
        <v>21</v>
      </c>
      <c r="E1770" s="91"/>
      <c r="F1770">
        <v>192</v>
      </c>
      <c r="G1770">
        <v>4</v>
      </c>
      <c r="H1770" s="89">
        <v>46154</v>
      </c>
      <c r="I1770" s="89">
        <v>46156</v>
      </c>
      <c r="J1770" s="91" t="s">
        <v>3000</v>
      </c>
      <c r="K1770" s="91"/>
      <c r="M1770" s="91"/>
      <c r="N1770" s="91" t="s">
        <v>2988</v>
      </c>
    </row>
    <row r="1771" spans="1:14" x14ac:dyDescent="0.25">
      <c r="A1771" s="91" t="s">
        <v>1320</v>
      </c>
      <c r="B1771" s="91" t="s">
        <v>1334</v>
      </c>
      <c r="C1771" s="91" t="s">
        <v>3019</v>
      </c>
      <c r="D1771" s="91" t="s">
        <v>21</v>
      </c>
      <c r="E1771" s="91"/>
      <c r="F1771">
        <v>960</v>
      </c>
      <c r="G1771">
        <v>20</v>
      </c>
      <c r="H1771" s="89">
        <v>46154</v>
      </c>
      <c r="I1771" s="89">
        <v>46158</v>
      </c>
      <c r="J1771" s="91" t="s">
        <v>3020</v>
      </c>
      <c r="K1771" s="91"/>
      <c r="M1771" s="91"/>
      <c r="N1771" s="91" t="s">
        <v>2988</v>
      </c>
    </row>
    <row r="1772" spans="1:14" x14ac:dyDescent="0.25">
      <c r="A1772" s="91" t="s">
        <v>1313</v>
      </c>
      <c r="B1772" s="91" t="s">
        <v>1327</v>
      </c>
      <c r="C1772" s="91" t="s">
        <v>3019</v>
      </c>
      <c r="D1772" s="91" t="s">
        <v>21</v>
      </c>
      <c r="E1772" s="91"/>
      <c r="F1772">
        <v>480</v>
      </c>
      <c r="G1772">
        <v>10</v>
      </c>
      <c r="H1772" s="89">
        <v>46154</v>
      </c>
      <c r="I1772" s="89">
        <v>46158</v>
      </c>
      <c r="J1772" s="91" t="s">
        <v>3021</v>
      </c>
      <c r="K1772" s="91"/>
      <c r="M1772" s="91"/>
      <c r="N1772" s="91" t="s">
        <v>2988</v>
      </c>
    </row>
    <row r="1773" spans="1:14" x14ac:dyDescent="0.25">
      <c r="A1773" s="91" t="s">
        <v>1315</v>
      </c>
      <c r="B1773" s="91" t="s">
        <v>1329</v>
      </c>
      <c r="C1773" s="91" t="s">
        <v>3019</v>
      </c>
      <c r="D1773" s="91" t="s">
        <v>21</v>
      </c>
      <c r="E1773" s="91"/>
      <c r="F1773">
        <v>231</v>
      </c>
      <c r="G1773" t="s">
        <v>1419</v>
      </c>
      <c r="H1773" s="89">
        <v>46154</v>
      </c>
      <c r="I1773" s="89">
        <v>46156</v>
      </c>
      <c r="J1773" s="91"/>
      <c r="K1773" s="91"/>
      <c r="M1773" s="91"/>
      <c r="N1773" s="91" t="s">
        <v>2988</v>
      </c>
    </row>
    <row r="1774" spans="1:14" x14ac:dyDescent="0.25">
      <c r="A1774" s="91" t="s">
        <v>1316</v>
      </c>
      <c r="B1774" s="91" t="s">
        <v>1330</v>
      </c>
      <c r="C1774" s="91" t="s">
        <v>3022</v>
      </c>
      <c r="D1774" s="91" t="s">
        <v>21</v>
      </c>
      <c r="E1774" s="91"/>
      <c r="F1774">
        <v>57</v>
      </c>
      <c r="G1774" t="s">
        <v>1419</v>
      </c>
      <c r="H1774" s="89">
        <v>46154</v>
      </c>
      <c r="I1774" s="89">
        <v>46156</v>
      </c>
      <c r="J1774" s="91"/>
      <c r="K1774" s="91"/>
      <c r="M1774" s="91"/>
      <c r="N1774" s="91" t="s">
        <v>2988</v>
      </c>
    </row>
    <row r="1775" spans="1:14" x14ac:dyDescent="0.25">
      <c r="A1775" s="91" t="s">
        <v>1317</v>
      </c>
      <c r="B1775" s="91" t="s">
        <v>1331</v>
      </c>
      <c r="C1775" s="91" t="s">
        <v>3023</v>
      </c>
      <c r="D1775" s="91" t="s">
        <v>21</v>
      </c>
      <c r="E1775" s="91"/>
      <c r="F1775">
        <v>16</v>
      </c>
      <c r="G1775" t="s">
        <v>1419</v>
      </c>
      <c r="H1775" s="89">
        <v>46154</v>
      </c>
      <c r="I1775" s="89">
        <v>46156</v>
      </c>
      <c r="J1775" s="91"/>
      <c r="K1775" s="91"/>
      <c r="M1775" s="91"/>
      <c r="N1775" s="91" t="s">
        <v>2988</v>
      </c>
    </row>
    <row r="1776" spans="1:14" x14ac:dyDescent="0.25">
      <c r="A1776" s="91" t="s">
        <v>1318</v>
      </c>
      <c r="B1776" s="91" t="s">
        <v>1332</v>
      </c>
      <c r="C1776" s="91" t="s">
        <v>3024</v>
      </c>
      <c r="D1776" s="91" t="s">
        <v>21</v>
      </c>
      <c r="E1776" s="91"/>
      <c r="F1776">
        <v>137</v>
      </c>
      <c r="G1776" t="s">
        <v>1419</v>
      </c>
      <c r="H1776" s="89">
        <v>46154</v>
      </c>
      <c r="I1776" s="89">
        <v>46156</v>
      </c>
      <c r="J1776" s="91"/>
      <c r="K1776" s="91"/>
      <c r="M1776" s="91"/>
      <c r="N1776" s="91" t="s">
        <v>2988</v>
      </c>
    </row>
    <row r="1777" spans="1:14" x14ac:dyDescent="0.25">
      <c r="A1777" s="91" t="s">
        <v>1320</v>
      </c>
      <c r="B1777" s="91" t="s">
        <v>1334</v>
      </c>
      <c r="C1777" s="91" t="s">
        <v>3025</v>
      </c>
      <c r="D1777" s="91" t="s">
        <v>15</v>
      </c>
      <c r="E1777" s="91"/>
      <c r="F1777">
        <v>960</v>
      </c>
      <c r="G1777">
        <v>20</v>
      </c>
      <c r="H1777" s="89">
        <v>46154</v>
      </c>
      <c r="I1777" s="89">
        <v>46158</v>
      </c>
      <c r="J1777" s="91" t="s">
        <v>3026</v>
      </c>
      <c r="K1777" s="91"/>
      <c r="M1777" s="91"/>
      <c r="N1777" s="91" t="s">
        <v>2988</v>
      </c>
    </row>
    <row r="1778" spans="1:14" x14ac:dyDescent="0.25">
      <c r="A1778" s="91" t="s">
        <v>1313</v>
      </c>
      <c r="B1778" s="91" t="s">
        <v>1327</v>
      </c>
      <c r="C1778" s="91" t="s">
        <v>3025</v>
      </c>
      <c r="D1778" s="91" t="s">
        <v>15</v>
      </c>
      <c r="E1778" s="91"/>
      <c r="F1778">
        <v>672</v>
      </c>
      <c r="G1778">
        <v>14</v>
      </c>
      <c r="H1778" s="89">
        <v>46154</v>
      </c>
      <c r="I1778" s="89">
        <v>46158</v>
      </c>
      <c r="J1778" s="91" t="s">
        <v>3021</v>
      </c>
      <c r="K1778" s="91"/>
      <c r="M1778" s="91"/>
      <c r="N1778" s="91" t="s">
        <v>2988</v>
      </c>
    </row>
    <row r="1779" spans="1:14" x14ac:dyDescent="0.25">
      <c r="A1779" s="91" t="s">
        <v>1315</v>
      </c>
      <c r="B1779" s="91" t="s">
        <v>1329</v>
      </c>
      <c r="C1779" s="91" t="s">
        <v>3025</v>
      </c>
      <c r="D1779" s="91" t="s">
        <v>15</v>
      </c>
      <c r="E1779" s="91"/>
      <c r="F1779">
        <v>11</v>
      </c>
      <c r="G1779" t="s">
        <v>1419</v>
      </c>
      <c r="H1779" s="89">
        <v>46154</v>
      </c>
      <c r="I1779" s="89">
        <v>46156</v>
      </c>
      <c r="J1779" s="91"/>
      <c r="K1779" s="91"/>
      <c r="M1779" s="91"/>
      <c r="N1779" s="91" t="s">
        <v>2988</v>
      </c>
    </row>
    <row r="1780" spans="1:14" x14ac:dyDescent="0.25">
      <c r="A1780" s="91" t="s">
        <v>1316</v>
      </c>
      <c r="B1780" s="91" t="s">
        <v>1330</v>
      </c>
      <c r="C1780" s="91" t="s">
        <v>3027</v>
      </c>
      <c r="D1780" s="91" t="s">
        <v>15</v>
      </c>
      <c r="E1780" s="91"/>
      <c r="F1780">
        <v>93</v>
      </c>
      <c r="G1780" t="s">
        <v>1419</v>
      </c>
      <c r="H1780" s="89">
        <v>46154</v>
      </c>
      <c r="I1780" s="89">
        <v>46156</v>
      </c>
      <c r="J1780" s="91"/>
      <c r="K1780" s="91"/>
      <c r="M1780" s="91"/>
      <c r="N1780" s="91" t="s">
        <v>2988</v>
      </c>
    </row>
    <row r="1781" spans="1:14" x14ac:dyDescent="0.25">
      <c r="A1781" s="91" t="s">
        <v>1317</v>
      </c>
      <c r="B1781" s="91" t="s">
        <v>1331</v>
      </c>
      <c r="C1781" s="91" t="s">
        <v>3028</v>
      </c>
      <c r="D1781" s="91" t="s">
        <v>15</v>
      </c>
      <c r="E1781" s="91"/>
      <c r="F1781">
        <v>13</v>
      </c>
      <c r="G1781" t="s">
        <v>1419</v>
      </c>
      <c r="H1781" s="89">
        <v>46154</v>
      </c>
      <c r="I1781" s="89">
        <v>46156</v>
      </c>
      <c r="J1781" s="91"/>
      <c r="K1781" s="91"/>
      <c r="M1781" s="91"/>
      <c r="N1781" s="91" t="s">
        <v>2988</v>
      </c>
    </row>
    <row r="1782" spans="1:14" x14ac:dyDescent="0.25">
      <c r="A1782" s="91" t="s">
        <v>1318</v>
      </c>
      <c r="B1782" s="91" t="s">
        <v>1332</v>
      </c>
      <c r="C1782" s="91" t="s">
        <v>3029</v>
      </c>
      <c r="D1782" s="91" t="s">
        <v>15</v>
      </c>
      <c r="E1782" s="91"/>
      <c r="F1782">
        <v>47</v>
      </c>
      <c r="G1782" t="s">
        <v>1419</v>
      </c>
      <c r="H1782" s="89">
        <v>46154</v>
      </c>
      <c r="I1782" s="89">
        <v>46156</v>
      </c>
      <c r="J1782" s="91"/>
      <c r="K1782" s="91"/>
      <c r="M1782" s="91"/>
      <c r="N1782" s="91" t="s">
        <v>2988</v>
      </c>
    </row>
    <row r="1783" spans="1:14" x14ac:dyDescent="0.25">
      <c r="A1783" s="91" t="s">
        <v>1324</v>
      </c>
      <c r="B1783" s="91" t="s">
        <v>1338</v>
      </c>
      <c r="C1783" s="91" t="s">
        <v>3030</v>
      </c>
      <c r="D1783" s="91" t="s">
        <v>23</v>
      </c>
      <c r="E1783" s="91"/>
      <c r="F1783">
        <v>480</v>
      </c>
      <c r="G1783">
        <v>10</v>
      </c>
      <c r="H1783" s="89">
        <v>46155</v>
      </c>
      <c r="I1783" s="89">
        <v>46161</v>
      </c>
      <c r="J1783" s="91" t="s">
        <v>3011</v>
      </c>
      <c r="K1783" s="91"/>
      <c r="M1783" s="91"/>
      <c r="N1783" s="91" t="s">
        <v>2988</v>
      </c>
    </row>
    <row r="1784" spans="1:14" x14ac:dyDescent="0.25">
      <c r="A1784" s="91" t="s">
        <v>1320</v>
      </c>
      <c r="B1784" s="91" t="s">
        <v>1334</v>
      </c>
      <c r="C1784" s="91" t="s">
        <v>3030</v>
      </c>
      <c r="D1784" s="91" t="s">
        <v>23</v>
      </c>
      <c r="E1784" s="91"/>
      <c r="F1784">
        <v>480</v>
      </c>
      <c r="G1784">
        <v>10</v>
      </c>
      <c r="H1784" s="89">
        <v>46155</v>
      </c>
      <c r="I1784" s="89">
        <v>46160</v>
      </c>
      <c r="J1784" s="91" t="s">
        <v>3031</v>
      </c>
      <c r="K1784" s="91"/>
      <c r="M1784" s="91"/>
      <c r="N1784" s="91" t="s">
        <v>2988</v>
      </c>
    </row>
    <row r="1785" spans="1:14" x14ac:dyDescent="0.25">
      <c r="A1785" s="91" t="s">
        <v>1325</v>
      </c>
      <c r="B1785" s="91" t="s">
        <v>1339</v>
      </c>
      <c r="C1785" s="91" t="s">
        <v>3032</v>
      </c>
      <c r="D1785" s="91" t="s">
        <v>138</v>
      </c>
      <c r="E1785" s="91"/>
      <c r="F1785">
        <v>384</v>
      </c>
      <c r="G1785">
        <v>8</v>
      </c>
      <c r="H1785" s="89">
        <v>46155</v>
      </c>
      <c r="I1785" s="89">
        <v>46159</v>
      </c>
      <c r="J1785" s="91"/>
      <c r="K1785" s="91"/>
      <c r="M1785" s="91"/>
      <c r="N1785" s="91" t="s">
        <v>2988</v>
      </c>
    </row>
    <row r="1786" spans="1:14" x14ac:dyDescent="0.25">
      <c r="A1786" s="91" t="s">
        <v>1320</v>
      </c>
      <c r="B1786" s="91" t="s">
        <v>1334</v>
      </c>
      <c r="C1786" s="91" t="s">
        <v>3033</v>
      </c>
      <c r="D1786" s="91" t="s">
        <v>106</v>
      </c>
      <c r="E1786" s="91"/>
      <c r="F1786">
        <v>960</v>
      </c>
      <c r="G1786">
        <v>20</v>
      </c>
      <c r="H1786" s="89">
        <v>46155</v>
      </c>
      <c r="I1786" s="89">
        <v>46160</v>
      </c>
      <c r="J1786" s="91" t="s">
        <v>3034</v>
      </c>
      <c r="K1786" s="91"/>
      <c r="M1786" s="91"/>
      <c r="N1786" s="91" t="s">
        <v>2988</v>
      </c>
    </row>
    <row r="1787" spans="1:14" x14ac:dyDescent="0.25">
      <c r="A1787" s="91" t="s">
        <v>1324</v>
      </c>
      <c r="B1787" s="91" t="s">
        <v>1338</v>
      </c>
      <c r="C1787" s="91" t="s">
        <v>3035</v>
      </c>
      <c r="D1787" s="91" t="s">
        <v>28</v>
      </c>
      <c r="E1787" s="91"/>
      <c r="F1787">
        <v>480</v>
      </c>
      <c r="G1787">
        <v>20</v>
      </c>
      <c r="H1787" s="89">
        <v>46155</v>
      </c>
      <c r="I1787" s="89">
        <v>46161</v>
      </c>
      <c r="J1787" s="91" t="s">
        <v>3036</v>
      </c>
      <c r="K1787" s="91"/>
      <c r="M1787" s="91"/>
      <c r="N1787" s="91" t="s">
        <v>2988</v>
      </c>
    </row>
    <row r="1788" spans="1:14" x14ac:dyDescent="0.25">
      <c r="A1788" s="91" t="s">
        <v>1320</v>
      </c>
      <c r="B1788" s="91" t="s">
        <v>1334</v>
      </c>
      <c r="C1788" s="91" t="s">
        <v>3035</v>
      </c>
      <c r="D1788" s="91" t="s">
        <v>28</v>
      </c>
      <c r="E1788" s="91"/>
      <c r="F1788">
        <v>240</v>
      </c>
      <c r="G1788">
        <v>5</v>
      </c>
      <c r="H1788" s="89">
        <v>46155</v>
      </c>
      <c r="I1788" s="89">
        <v>46161</v>
      </c>
      <c r="J1788" s="91" t="s">
        <v>3037</v>
      </c>
      <c r="K1788" s="91"/>
      <c r="M1788" s="91"/>
      <c r="N1788" s="91" t="s">
        <v>2988</v>
      </c>
    </row>
    <row r="1789" spans="1:14" x14ac:dyDescent="0.25">
      <c r="A1789" s="91" t="s">
        <v>1315</v>
      </c>
      <c r="B1789" s="91" t="s">
        <v>1329</v>
      </c>
      <c r="C1789" s="91" t="s">
        <v>3035</v>
      </c>
      <c r="D1789" s="91" t="s">
        <v>28</v>
      </c>
      <c r="E1789" s="91"/>
      <c r="F1789">
        <v>179</v>
      </c>
      <c r="G1789" t="s">
        <v>1419</v>
      </c>
      <c r="H1789" s="89">
        <v>46155</v>
      </c>
      <c r="I1789" s="89">
        <v>46156</v>
      </c>
      <c r="J1789" s="91"/>
      <c r="K1789" s="91"/>
      <c r="M1789" s="91"/>
      <c r="N1789" s="91" t="s">
        <v>2988</v>
      </c>
    </row>
    <row r="1790" spans="1:14" x14ac:dyDescent="0.25">
      <c r="A1790" s="91" t="s">
        <v>1316</v>
      </c>
      <c r="B1790" s="91" t="s">
        <v>1330</v>
      </c>
      <c r="C1790" s="91" t="s">
        <v>3038</v>
      </c>
      <c r="D1790" s="91" t="s">
        <v>28</v>
      </c>
      <c r="E1790" s="91"/>
      <c r="F1790">
        <v>39</v>
      </c>
      <c r="G1790" t="s">
        <v>1419</v>
      </c>
      <c r="H1790" s="89">
        <v>46155</v>
      </c>
      <c r="I1790" s="89">
        <v>46157</v>
      </c>
      <c r="J1790" s="91"/>
      <c r="K1790" s="91"/>
      <c r="M1790" s="91"/>
      <c r="N1790" s="91" t="s">
        <v>2988</v>
      </c>
    </row>
    <row r="1791" spans="1:14" x14ac:dyDescent="0.25">
      <c r="A1791" s="91" t="s">
        <v>1317</v>
      </c>
      <c r="B1791" s="91" t="s">
        <v>1331</v>
      </c>
      <c r="C1791" s="91" t="s">
        <v>3039</v>
      </c>
      <c r="D1791" s="91" t="s">
        <v>28</v>
      </c>
      <c r="E1791" s="91"/>
      <c r="F1791">
        <v>0</v>
      </c>
      <c r="G1791" t="s">
        <v>1419</v>
      </c>
      <c r="H1791" s="89">
        <v>46155</v>
      </c>
      <c r="I1791" s="89">
        <v>46157</v>
      </c>
      <c r="J1791" s="91"/>
      <c r="K1791" s="91"/>
      <c r="M1791" s="91"/>
      <c r="N1791" s="91" t="s">
        <v>2988</v>
      </c>
    </row>
    <row r="1792" spans="1:14" x14ac:dyDescent="0.25">
      <c r="A1792" s="91" t="s">
        <v>1318</v>
      </c>
      <c r="B1792" s="91" t="s">
        <v>1332</v>
      </c>
      <c r="C1792" s="91" t="s">
        <v>3040</v>
      </c>
      <c r="D1792" s="91" t="s">
        <v>28</v>
      </c>
      <c r="E1792" s="91"/>
      <c r="F1792">
        <v>83</v>
      </c>
      <c r="G1792" t="s">
        <v>1419</v>
      </c>
      <c r="H1792" s="89">
        <v>46155</v>
      </c>
      <c r="I1792" s="89">
        <v>46157</v>
      </c>
      <c r="J1792" s="91"/>
      <c r="K1792" s="91"/>
      <c r="M1792" s="91"/>
      <c r="N1792" s="91" t="s">
        <v>2988</v>
      </c>
    </row>
    <row r="1793" spans="1:14" x14ac:dyDescent="0.25">
      <c r="A1793" s="91" t="s">
        <v>1324</v>
      </c>
      <c r="B1793" s="91" t="s">
        <v>1338</v>
      </c>
      <c r="C1793" s="91" t="s">
        <v>3041</v>
      </c>
      <c r="D1793" s="91" t="s">
        <v>15</v>
      </c>
      <c r="E1793" s="91"/>
      <c r="F1793">
        <v>960</v>
      </c>
      <c r="G1793">
        <v>20</v>
      </c>
      <c r="H1793" s="89">
        <v>46155</v>
      </c>
      <c r="I1793" s="89">
        <v>46161</v>
      </c>
      <c r="J1793" s="91" t="s">
        <v>3036</v>
      </c>
      <c r="K1793" s="91"/>
      <c r="M1793" s="91"/>
      <c r="N1793" s="91" t="s">
        <v>2988</v>
      </c>
    </row>
    <row r="1794" spans="1:14" x14ac:dyDescent="0.25">
      <c r="A1794" s="91" t="s">
        <v>1313</v>
      </c>
      <c r="B1794" s="91" t="s">
        <v>1327</v>
      </c>
      <c r="C1794" s="91" t="s">
        <v>3041</v>
      </c>
      <c r="D1794" s="91" t="s">
        <v>15</v>
      </c>
      <c r="E1794" s="91"/>
      <c r="F1794">
        <v>384</v>
      </c>
      <c r="G1794">
        <v>8</v>
      </c>
      <c r="H1794" s="89">
        <v>46155</v>
      </c>
      <c r="I1794" s="89">
        <v>46159</v>
      </c>
      <c r="J1794" s="91" t="s">
        <v>3015</v>
      </c>
      <c r="K1794" s="91"/>
      <c r="M1794" s="91"/>
      <c r="N1794" s="91" t="s">
        <v>2988</v>
      </c>
    </row>
    <row r="1795" spans="1:14" x14ac:dyDescent="0.25">
      <c r="A1795" s="91" t="s">
        <v>1314</v>
      </c>
      <c r="B1795" s="91" t="s">
        <v>1328</v>
      </c>
      <c r="C1795" s="91" t="s">
        <v>3041</v>
      </c>
      <c r="D1795" s="91" t="s">
        <v>15</v>
      </c>
      <c r="E1795" s="91"/>
      <c r="F1795">
        <v>288</v>
      </c>
      <c r="G1795">
        <v>6</v>
      </c>
      <c r="H1795" s="89">
        <v>46155</v>
      </c>
      <c r="I1795" s="89">
        <v>46159</v>
      </c>
      <c r="J1795" s="91" t="s">
        <v>3042</v>
      </c>
      <c r="K1795" s="91"/>
      <c r="M1795" s="91"/>
      <c r="N1795" s="91" t="s">
        <v>2988</v>
      </c>
    </row>
    <row r="1796" spans="1:14" x14ac:dyDescent="0.25">
      <c r="A1796" s="91" t="s">
        <v>1315</v>
      </c>
      <c r="B1796" s="91" t="s">
        <v>1329</v>
      </c>
      <c r="C1796" s="91" t="s">
        <v>3041</v>
      </c>
      <c r="D1796" s="91" t="s">
        <v>15</v>
      </c>
      <c r="E1796" s="91"/>
      <c r="F1796">
        <v>30</v>
      </c>
      <c r="G1796" t="s">
        <v>1419</v>
      </c>
      <c r="H1796" s="89">
        <v>46155</v>
      </c>
      <c r="I1796" s="89">
        <v>46156</v>
      </c>
      <c r="J1796" s="91"/>
      <c r="K1796" s="91"/>
      <c r="M1796" s="91"/>
      <c r="N1796" s="91" t="s">
        <v>2988</v>
      </c>
    </row>
    <row r="1797" spans="1:14" x14ac:dyDescent="0.25">
      <c r="A1797" s="91" t="s">
        <v>1316</v>
      </c>
      <c r="B1797" s="91" t="s">
        <v>1330</v>
      </c>
      <c r="C1797" s="91" t="s">
        <v>3043</v>
      </c>
      <c r="D1797" s="91" t="s">
        <v>15</v>
      </c>
      <c r="E1797" s="91"/>
      <c r="F1797">
        <v>94</v>
      </c>
      <c r="G1797" t="s">
        <v>1419</v>
      </c>
      <c r="H1797" s="89">
        <v>46155</v>
      </c>
      <c r="I1797" s="89">
        <v>46157</v>
      </c>
      <c r="J1797" s="91"/>
      <c r="K1797" s="91"/>
      <c r="M1797" s="91"/>
      <c r="N1797" s="91" t="s">
        <v>2988</v>
      </c>
    </row>
    <row r="1798" spans="1:14" x14ac:dyDescent="0.25">
      <c r="A1798" s="91" t="s">
        <v>1317</v>
      </c>
      <c r="B1798" s="91" t="s">
        <v>1331</v>
      </c>
      <c r="C1798" s="91" t="s">
        <v>3044</v>
      </c>
      <c r="D1798" s="91" t="s">
        <v>15</v>
      </c>
      <c r="E1798" s="91"/>
      <c r="F1798">
        <v>11</v>
      </c>
      <c r="G1798" t="s">
        <v>1419</v>
      </c>
      <c r="H1798" s="89">
        <v>46155</v>
      </c>
      <c r="I1798" s="89">
        <v>46157</v>
      </c>
      <c r="J1798" s="91"/>
      <c r="K1798" s="91"/>
      <c r="M1798" s="91"/>
      <c r="N1798" s="91" t="s">
        <v>2988</v>
      </c>
    </row>
    <row r="1799" spans="1:14" x14ac:dyDescent="0.25">
      <c r="A1799" s="91" t="s">
        <v>1318</v>
      </c>
      <c r="B1799" s="91" t="s">
        <v>1332</v>
      </c>
      <c r="C1799" s="91" t="s">
        <v>3045</v>
      </c>
      <c r="D1799" s="91" t="s">
        <v>15</v>
      </c>
      <c r="E1799" s="91"/>
      <c r="F1799">
        <v>45</v>
      </c>
      <c r="G1799" t="s">
        <v>1419</v>
      </c>
      <c r="H1799" s="89">
        <v>46155</v>
      </c>
      <c r="I1799" s="89">
        <v>46157</v>
      </c>
      <c r="J1799" s="91"/>
      <c r="K1799" s="91"/>
      <c r="M1799" s="91"/>
      <c r="N1799" s="91" t="s">
        <v>2988</v>
      </c>
    </row>
    <row r="1800" spans="1:14" x14ac:dyDescent="0.25">
      <c r="A1800" s="91" t="s">
        <v>1313</v>
      </c>
      <c r="B1800" s="91" t="s">
        <v>1327</v>
      </c>
      <c r="C1800" s="91" t="s">
        <v>3046</v>
      </c>
      <c r="D1800" s="91" t="s">
        <v>20</v>
      </c>
      <c r="E1800" s="91"/>
      <c r="F1800">
        <v>1104</v>
      </c>
      <c r="G1800">
        <v>23</v>
      </c>
      <c r="H1800" s="89">
        <v>46155</v>
      </c>
      <c r="I1800" s="89">
        <v>46160</v>
      </c>
      <c r="J1800" s="91" t="s">
        <v>3047</v>
      </c>
      <c r="K1800" s="91"/>
      <c r="M1800" s="91"/>
      <c r="N1800" s="91" t="s">
        <v>2988</v>
      </c>
    </row>
    <row r="1801" spans="1:14" x14ac:dyDescent="0.25">
      <c r="A1801" s="91" t="s">
        <v>1319</v>
      </c>
      <c r="B1801" s="91" t="s">
        <v>1333</v>
      </c>
      <c r="C1801" s="91" t="s">
        <v>3046</v>
      </c>
      <c r="D1801" s="91" t="s">
        <v>20</v>
      </c>
      <c r="E1801" s="91"/>
      <c r="F1801">
        <v>48</v>
      </c>
      <c r="G1801">
        <v>1</v>
      </c>
      <c r="H1801" s="89">
        <v>46155</v>
      </c>
      <c r="I1801" s="89">
        <v>46160</v>
      </c>
      <c r="J1801" s="91" t="s">
        <v>3047</v>
      </c>
      <c r="K1801" s="91"/>
      <c r="M1801" s="91"/>
      <c r="N1801" s="91" t="s">
        <v>2988</v>
      </c>
    </row>
    <row r="1802" spans="1:14" x14ac:dyDescent="0.25">
      <c r="A1802" s="91" t="s">
        <v>1313</v>
      </c>
      <c r="B1802" s="91" t="s">
        <v>1327</v>
      </c>
      <c r="C1802" s="91" t="s">
        <v>3046</v>
      </c>
      <c r="D1802" s="91" t="s">
        <v>20</v>
      </c>
      <c r="E1802" s="91"/>
      <c r="F1802">
        <v>288</v>
      </c>
      <c r="G1802">
        <v>6</v>
      </c>
      <c r="H1802" s="89">
        <v>46155</v>
      </c>
      <c r="I1802" s="89">
        <v>46159</v>
      </c>
      <c r="J1802" s="91" t="s">
        <v>3015</v>
      </c>
      <c r="K1802" s="91"/>
      <c r="M1802" s="91"/>
      <c r="N1802" s="91" t="s">
        <v>2988</v>
      </c>
    </row>
    <row r="1803" spans="1:14" x14ac:dyDescent="0.25">
      <c r="A1803" s="91" t="s">
        <v>1315</v>
      </c>
      <c r="B1803" s="91" t="s">
        <v>1329</v>
      </c>
      <c r="C1803" s="91" t="s">
        <v>3046</v>
      </c>
      <c r="D1803" s="91" t="s">
        <v>20</v>
      </c>
      <c r="E1803" s="91"/>
      <c r="F1803">
        <v>59</v>
      </c>
      <c r="G1803" t="s">
        <v>1419</v>
      </c>
      <c r="H1803" s="89">
        <v>46155</v>
      </c>
      <c r="I1803" s="89">
        <v>46156</v>
      </c>
      <c r="J1803" s="91"/>
      <c r="K1803" s="91"/>
      <c r="M1803" s="91"/>
      <c r="N1803" s="91" t="s">
        <v>2988</v>
      </c>
    </row>
    <row r="1804" spans="1:14" x14ac:dyDescent="0.25">
      <c r="A1804" s="91" t="s">
        <v>1316</v>
      </c>
      <c r="B1804" s="91" t="s">
        <v>1330</v>
      </c>
      <c r="C1804" s="91" t="s">
        <v>3048</v>
      </c>
      <c r="D1804" s="91" t="s">
        <v>20</v>
      </c>
      <c r="E1804" s="91"/>
      <c r="F1804">
        <v>142</v>
      </c>
      <c r="G1804" t="s">
        <v>1419</v>
      </c>
      <c r="H1804" s="89">
        <v>46155</v>
      </c>
      <c r="I1804" s="89">
        <v>46157</v>
      </c>
      <c r="J1804" s="91"/>
      <c r="K1804" s="91"/>
      <c r="M1804" s="91"/>
      <c r="N1804" s="91" t="s">
        <v>2988</v>
      </c>
    </row>
    <row r="1805" spans="1:14" x14ac:dyDescent="0.25">
      <c r="A1805" s="91" t="s">
        <v>1317</v>
      </c>
      <c r="B1805" s="91" t="s">
        <v>1331</v>
      </c>
      <c r="C1805" s="91" t="s">
        <v>3049</v>
      </c>
      <c r="D1805" s="91" t="s">
        <v>20</v>
      </c>
      <c r="E1805" s="91"/>
      <c r="F1805">
        <v>12</v>
      </c>
      <c r="G1805" t="s">
        <v>1419</v>
      </c>
      <c r="H1805" s="89">
        <v>46155</v>
      </c>
      <c r="I1805" s="89">
        <v>46157</v>
      </c>
      <c r="J1805" s="91"/>
      <c r="K1805" s="91"/>
      <c r="M1805" s="91"/>
      <c r="N1805" s="91" t="s">
        <v>2988</v>
      </c>
    </row>
    <row r="1806" spans="1:14" x14ac:dyDescent="0.25">
      <c r="A1806" s="91" t="s">
        <v>1318</v>
      </c>
      <c r="B1806" s="91" t="s">
        <v>1332</v>
      </c>
      <c r="C1806" s="91" t="s">
        <v>3050</v>
      </c>
      <c r="D1806" s="91" t="s">
        <v>20</v>
      </c>
      <c r="E1806" s="91"/>
      <c r="F1806">
        <v>78</v>
      </c>
      <c r="G1806" t="s">
        <v>1419</v>
      </c>
      <c r="H1806" s="89">
        <v>46155</v>
      </c>
      <c r="I1806" s="89">
        <v>46157</v>
      </c>
      <c r="J1806" s="91"/>
      <c r="K1806" s="91"/>
      <c r="M1806" s="91"/>
      <c r="N1806" s="91" t="s">
        <v>2988</v>
      </c>
    </row>
    <row r="1807" spans="1:14" x14ac:dyDescent="0.25">
      <c r="A1807" s="91" t="s">
        <v>1324</v>
      </c>
      <c r="B1807" s="91" t="s">
        <v>1338</v>
      </c>
      <c r="C1807" s="91" t="s">
        <v>3051</v>
      </c>
      <c r="D1807" s="91" t="s">
        <v>106</v>
      </c>
      <c r="E1807" s="91"/>
      <c r="F1807">
        <v>960</v>
      </c>
      <c r="G1807">
        <v>20</v>
      </c>
      <c r="H1807" s="89">
        <v>46156</v>
      </c>
      <c r="I1807" s="89">
        <v>46163</v>
      </c>
      <c r="J1807" s="91" t="s">
        <v>3052</v>
      </c>
      <c r="K1807" s="91"/>
      <c r="M1807" s="91"/>
      <c r="N1807" s="91" t="s">
        <v>2988</v>
      </c>
    </row>
    <row r="1808" spans="1:14" x14ac:dyDescent="0.25">
      <c r="A1808" s="91" t="s">
        <v>1313</v>
      </c>
      <c r="B1808" s="91" t="s">
        <v>1327</v>
      </c>
      <c r="C1808" s="91" t="s">
        <v>3053</v>
      </c>
      <c r="D1808" s="91" t="s">
        <v>20</v>
      </c>
      <c r="E1808" s="91"/>
      <c r="F1808">
        <v>192</v>
      </c>
      <c r="G1808">
        <v>4</v>
      </c>
      <c r="H1808" s="89">
        <v>46156</v>
      </c>
      <c r="I1808" s="89">
        <v>46160</v>
      </c>
      <c r="J1808" s="91" t="s">
        <v>3054</v>
      </c>
      <c r="K1808" s="91"/>
      <c r="M1808" s="91"/>
      <c r="N1808" s="91" t="s">
        <v>2988</v>
      </c>
    </row>
    <row r="1809" spans="1:14" x14ac:dyDescent="0.25">
      <c r="A1809" s="91" t="s">
        <v>1320</v>
      </c>
      <c r="B1809" s="91" t="s">
        <v>1334</v>
      </c>
      <c r="C1809" s="91" t="s">
        <v>3053</v>
      </c>
      <c r="D1809" s="91" t="s">
        <v>20</v>
      </c>
      <c r="E1809" s="91"/>
      <c r="F1809">
        <v>960</v>
      </c>
      <c r="G1809">
        <v>20</v>
      </c>
      <c r="H1809" s="89">
        <v>46156</v>
      </c>
      <c r="I1809" s="89">
        <v>46161</v>
      </c>
      <c r="J1809" s="91" t="s">
        <v>3055</v>
      </c>
      <c r="K1809" s="91"/>
      <c r="M1809" s="91"/>
      <c r="N1809" s="91" t="s">
        <v>2988</v>
      </c>
    </row>
    <row r="1810" spans="1:14" x14ac:dyDescent="0.25">
      <c r="A1810" s="91" t="s">
        <v>1315</v>
      </c>
      <c r="B1810" s="91" t="s">
        <v>1329</v>
      </c>
      <c r="C1810" s="91" t="s">
        <v>3053</v>
      </c>
      <c r="D1810" s="91" t="s">
        <v>20</v>
      </c>
      <c r="E1810" s="91"/>
      <c r="F1810">
        <v>78</v>
      </c>
      <c r="G1810" t="s">
        <v>1419</v>
      </c>
      <c r="H1810" s="89">
        <v>46156</v>
      </c>
      <c r="I1810" s="89">
        <v>46156</v>
      </c>
      <c r="J1810" s="91"/>
      <c r="K1810" s="91"/>
      <c r="M1810" s="91"/>
      <c r="N1810" s="91" t="s">
        <v>2988</v>
      </c>
    </row>
    <row r="1811" spans="1:14" x14ac:dyDescent="0.25">
      <c r="A1811" s="91" t="s">
        <v>1316</v>
      </c>
      <c r="B1811" s="91" t="s">
        <v>1330</v>
      </c>
      <c r="C1811" s="91" t="s">
        <v>3056</v>
      </c>
      <c r="D1811" s="91" t="s">
        <v>20</v>
      </c>
      <c r="E1811" s="91"/>
      <c r="F1811">
        <v>118</v>
      </c>
      <c r="G1811" t="s">
        <v>1419</v>
      </c>
      <c r="H1811" s="89">
        <v>46156</v>
      </c>
      <c r="I1811" s="89">
        <v>46158</v>
      </c>
      <c r="J1811" s="91"/>
      <c r="K1811" s="91"/>
      <c r="M1811" s="91"/>
      <c r="N1811" s="91" t="s">
        <v>2988</v>
      </c>
    </row>
    <row r="1812" spans="1:14" x14ac:dyDescent="0.25">
      <c r="A1812" s="91" t="s">
        <v>1317</v>
      </c>
      <c r="B1812" s="91" t="s">
        <v>1331</v>
      </c>
      <c r="C1812" s="91" t="s">
        <v>3057</v>
      </c>
      <c r="D1812" s="91" t="s">
        <v>20</v>
      </c>
      <c r="E1812" s="91"/>
      <c r="F1812">
        <v>10</v>
      </c>
      <c r="G1812" t="s">
        <v>1419</v>
      </c>
      <c r="H1812" s="89">
        <v>46156</v>
      </c>
      <c r="I1812" s="89">
        <v>46158</v>
      </c>
      <c r="J1812" s="91"/>
      <c r="K1812" s="91"/>
      <c r="M1812" s="91"/>
      <c r="N1812" s="91" t="s">
        <v>2988</v>
      </c>
    </row>
    <row r="1813" spans="1:14" x14ac:dyDescent="0.25">
      <c r="A1813" s="91" t="s">
        <v>1318</v>
      </c>
      <c r="B1813" s="91" t="s">
        <v>1332</v>
      </c>
      <c r="C1813" s="91" t="s">
        <v>3058</v>
      </c>
      <c r="D1813" s="91" t="s">
        <v>20</v>
      </c>
      <c r="E1813" s="91"/>
      <c r="F1813">
        <v>56</v>
      </c>
      <c r="G1813" t="s">
        <v>1419</v>
      </c>
      <c r="H1813" s="89">
        <v>46156</v>
      </c>
      <c r="I1813" s="89">
        <v>46158</v>
      </c>
      <c r="J1813" s="91"/>
      <c r="K1813" s="91"/>
      <c r="M1813" s="91"/>
      <c r="N1813" s="91" t="s">
        <v>2988</v>
      </c>
    </row>
    <row r="1814" spans="1:14" x14ac:dyDescent="0.25">
      <c r="A1814" s="91" t="s">
        <v>1320</v>
      </c>
      <c r="B1814" s="91" t="s">
        <v>1334</v>
      </c>
      <c r="C1814" s="91" t="s">
        <v>3059</v>
      </c>
      <c r="D1814" s="91" t="s">
        <v>15</v>
      </c>
      <c r="E1814" s="91"/>
      <c r="F1814">
        <v>480</v>
      </c>
      <c r="G1814">
        <v>10</v>
      </c>
      <c r="H1814" s="89">
        <v>46156</v>
      </c>
      <c r="I1814" s="89">
        <v>46160</v>
      </c>
      <c r="J1814" s="91" t="s">
        <v>3031</v>
      </c>
      <c r="K1814" s="91"/>
      <c r="M1814" s="91"/>
      <c r="N1814" s="91" t="s">
        <v>2988</v>
      </c>
    </row>
    <row r="1815" spans="1:14" x14ac:dyDescent="0.25">
      <c r="A1815" s="91" t="s">
        <v>1313</v>
      </c>
      <c r="B1815" s="91" t="s">
        <v>1327</v>
      </c>
      <c r="C1815" s="91" t="s">
        <v>3059</v>
      </c>
      <c r="D1815" s="91" t="s">
        <v>15</v>
      </c>
      <c r="E1815" s="91"/>
      <c r="F1815">
        <v>960</v>
      </c>
      <c r="G1815">
        <v>20</v>
      </c>
      <c r="H1815" s="89">
        <v>46156</v>
      </c>
      <c r="I1815" s="89">
        <v>46160</v>
      </c>
      <c r="J1815" s="91" t="s">
        <v>3054</v>
      </c>
      <c r="K1815" s="91"/>
      <c r="M1815" s="91"/>
      <c r="N1815" s="91" t="s">
        <v>2988</v>
      </c>
    </row>
    <row r="1816" spans="1:14" x14ac:dyDescent="0.25">
      <c r="A1816" s="91" t="s">
        <v>1315</v>
      </c>
      <c r="B1816" s="91" t="s">
        <v>1329</v>
      </c>
      <c r="C1816" s="91" t="s">
        <v>3059</v>
      </c>
      <c r="D1816" s="91" t="s">
        <v>15</v>
      </c>
      <c r="E1816" s="91"/>
      <c r="F1816">
        <v>36</v>
      </c>
      <c r="G1816" t="s">
        <v>1419</v>
      </c>
      <c r="H1816" s="89">
        <v>46156</v>
      </c>
      <c r="I1816" s="89">
        <v>46156</v>
      </c>
      <c r="J1816" s="91"/>
      <c r="K1816" s="91"/>
      <c r="M1816" s="91"/>
      <c r="N1816" s="91" t="s">
        <v>2988</v>
      </c>
    </row>
    <row r="1817" spans="1:14" x14ac:dyDescent="0.25">
      <c r="A1817" s="91" t="s">
        <v>1316</v>
      </c>
      <c r="B1817" s="91" t="s">
        <v>1330</v>
      </c>
      <c r="C1817" s="91" t="s">
        <v>3060</v>
      </c>
      <c r="D1817" s="91" t="s">
        <v>15</v>
      </c>
      <c r="E1817" s="91"/>
      <c r="F1817">
        <v>72</v>
      </c>
      <c r="G1817" t="s">
        <v>1419</v>
      </c>
      <c r="H1817" s="89">
        <v>46156</v>
      </c>
      <c r="I1817" s="89">
        <v>46158</v>
      </c>
      <c r="J1817" s="91"/>
      <c r="K1817" s="91"/>
      <c r="M1817" s="91"/>
      <c r="N1817" s="91" t="s">
        <v>2988</v>
      </c>
    </row>
    <row r="1818" spans="1:14" x14ac:dyDescent="0.25">
      <c r="A1818" s="91" t="s">
        <v>1317</v>
      </c>
      <c r="B1818" s="91" t="s">
        <v>1331</v>
      </c>
      <c r="C1818" s="91" t="s">
        <v>3061</v>
      </c>
      <c r="D1818" s="91" t="s">
        <v>15</v>
      </c>
      <c r="E1818" s="91"/>
      <c r="F1818">
        <v>13</v>
      </c>
      <c r="G1818" t="s">
        <v>1419</v>
      </c>
      <c r="H1818" s="89">
        <v>46156</v>
      </c>
      <c r="I1818" s="89">
        <v>46158</v>
      </c>
      <c r="J1818" s="91"/>
      <c r="K1818" s="91"/>
      <c r="M1818" s="91"/>
      <c r="N1818" s="91" t="s">
        <v>2988</v>
      </c>
    </row>
    <row r="1819" spans="1:14" x14ac:dyDescent="0.25">
      <c r="A1819" s="91" t="s">
        <v>1318</v>
      </c>
      <c r="B1819" s="91" t="s">
        <v>1332</v>
      </c>
      <c r="C1819" s="91" t="s">
        <v>3062</v>
      </c>
      <c r="D1819" s="91" t="s">
        <v>15</v>
      </c>
      <c r="E1819" s="91"/>
      <c r="F1819">
        <v>39</v>
      </c>
      <c r="G1819" t="s">
        <v>1419</v>
      </c>
      <c r="H1819" s="89">
        <v>46156</v>
      </c>
      <c r="I1819" s="89">
        <v>46158</v>
      </c>
      <c r="J1819" s="91"/>
      <c r="K1819" s="91"/>
      <c r="M1819" s="91"/>
      <c r="N1819" s="91" t="s">
        <v>2988</v>
      </c>
    </row>
    <row r="1820" spans="1:14" x14ac:dyDescent="0.25">
      <c r="A1820" s="91" t="s">
        <v>1320</v>
      </c>
      <c r="B1820" s="91" t="s">
        <v>1334</v>
      </c>
      <c r="C1820" s="91" t="s">
        <v>3063</v>
      </c>
      <c r="D1820" s="91" t="s">
        <v>21</v>
      </c>
      <c r="E1820" s="91"/>
      <c r="F1820">
        <v>720</v>
      </c>
      <c r="G1820">
        <v>15</v>
      </c>
      <c r="H1820" s="89">
        <v>46156</v>
      </c>
      <c r="I1820" s="89">
        <v>46161</v>
      </c>
      <c r="J1820" s="91" t="s">
        <v>3037</v>
      </c>
      <c r="K1820" s="91"/>
      <c r="M1820" s="91"/>
      <c r="N1820" s="91" t="s">
        <v>2988</v>
      </c>
    </row>
    <row r="1821" spans="1:14" x14ac:dyDescent="0.25">
      <c r="A1821" s="91" t="s">
        <v>1313</v>
      </c>
      <c r="B1821" s="91" t="s">
        <v>1327</v>
      </c>
      <c r="C1821" s="91" t="s">
        <v>3063</v>
      </c>
      <c r="D1821" s="91" t="s">
        <v>21</v>
      </c>
      <c r="E1821" s="91"/>
      <c r="F1821">
        <v>720</v>
      </c>
      <c r="G1821">
        <v>15</v>
      </c>
      <c r="H1821" s="89">
        <v>46156</v>
      </c>
      <c r="I1821" s="89">
        <v>46161</v>
      </c>
      <c r="J1821" s="91" t="s">
        <v>3064</v>
      </c>
      <c r="K1821" s="91"/>
      <c r="M1821" s="91"/>
      <c r="N1821" s="91" t="s">
        <v>2988</v>
      </c>
    </row>
    <row r="1822" spans="1:14" x14ac:dyDescent="0.25">
      <c r="A1822" s="91" t="s">
        <v>1315</v>
      </c>
      <c r="B1822" s="91" t="s">
        <v>1329</v>
      </c>
      <c r="C1822" s="91" t="s">
        <v>3063</v>
      </c>
      <c r="D1822" s="91" t="s">
        <v>21</v>
      </c>
      <c r="E1822" s="91"/>
      <c r="F1822">
        <v>218</v>
      </c>
      <c r="G1822" t="s">
        <v>1419</v>
      </c>
      <c r="H1822" s="89">
        <v>46156</v>
      </c>
      <c r="I1822" s="89">
        <v>46156</v>
      </c>
      <c r="J1822" s="91"/>
      <c r="K1822" s="91"/>
      <c r="M1822" s="91"/>
      <c r="N1822" s="91" t="s">
        <v>2988</v>
      </c>
    </row>
    <row r="1823" spans="1:14" x14ac:dyDescent="0.25">
      <c r="A1823" s="91" t="s">
        <v>1316</v>
      </c>
      <c r="B1823" s="91" t="s">
        <v>1330</v>
      </c>
      <c r="C1823" s="91" t="s">
        <v>3065</v>
      </c>
      <c r="D1823" s="91" t="s">
        <v>21</v>
      </c>
      <c r="E1823" s="91"/>
      <c r="F1823">
        <v>30</v>
      </c>
      <c r="G1823" t="s">
        <v>1419</v>
      </c>
      <c r="H1823" s="89">
        <v>46156</v>
      </c>
      <c r="I1823" s="89">
        <v>46158</v>
      </c>
      <c r="J1823" s="91"/>
      <c r="K1823" s="91"/>
      <c r="M1823" s="91"/>
      <c r="N1823" s="91" t="s">
        <v>2988</v>
      </c>
    </row>
    <row r="1824" spans="1:14" x14ac:dyDescent="0.25">
      <c r="A1824" s="91" t="s">
        <v>1317</v>
      </c>
      <c r="B1824" s="91" t="s">
        <v>1331</v>
      </c>
      <c r="C1824" s="91" t="s">
        <v>3066</v>
      </c>
      <c r="D1824" s="91" t="s">
        <v>21</v>
      </c>
      <c r="E1824" s="91"/>
      <c r="F1824">
        <v>15</v>
      </c>
      <c r="G1824" t="s">
        <v>1419</v>
      </c>
      <c r="H1824" s="89">
        <v>46156</v>
      </c>
      <c r="I1824" s="89">
        <v>46158</v>
      </c>
      <c r="J1824" s="91"/>
      <c r="K1824" s="91"/>
      <c r="M1824" s="91"/>
      <c r="N1824" s="91" t="s">
        <v>2988</v>
      </c>
    </row>
    <row r="1825" spans="1:14" x14ac:dyDescent="0.25">
      <c r="A1825" s="91" t="s">
        <v>1318</v>
      </c>
      <c r="B1825" s="91" t="s">
        <v>1332</v>
      </c>
      <c r="C1825" s="91" t="s">
        <v>3067</v>
      </c>
      <c r="D1825" s="91" t="s">
        <v>21</v>
      </c>
      <c r="E1825" s="91"/>
      <c r="F1825">
        <v>113</v>
      </c>
      <c r="G1825" t="s">
        <v>1419</v>
      </c>
      <c r="H1825" s="89">
        <v>46156</v>
      </c>
      <c r="I1825" s="89">
        <v>46158</v>
      </c>
      <c r="J1825" s="91"/>
      <c r="K1825" s="91"/>
      <c r="M1825" s="91"/>
      <c r="N1825" s="91" t="s">
        <v>2988</v>
      </c>
    </row>
    <row r="1826" spans="1:14" x14ac:dyDescent="0.25">
      <c r="A1826" s="91" t="s">
        <v>1324</v>
      </c>
      <c r="B1826" s="91" t="s">
        <v>1338</v>
      </c>
      <c r="C1826" s="91" t="s">
        <v>3068</v>
      </c>
      <c r="D1826" s="91" t="s">
        <v>23</v>
      </c>
      <c r="E1826" s="91"/>
      <c r="F1826">
        <v>960</v>
      </c>
      <c r="G1826">
        <v>20</v>
      </c>
      <c r="H1826" s="89">
        <v>46156</v>
      </c>
      <c r="I1826" s="89">
        <v>46163</v>
      </c>
      <c r="J1826" s="91" t="s">
        <v>3052</v>
      </c>
      <c r="K1826" s="91"/>
      <c r="M1826" s="91"/>
      <c r="N1826" s="91" t="s">
        <v>2988</v>
      </c>
    </row>
    <row r="1827" spans="1:14" x14ac:dyDescent="0.25">
      <c r="A1827" s="91" t="s">
        <v>1326</v>
      </c>
      <c r="B1827" s="91" t="s">
        <v>1340</v>
      </c>
      <c r="C1827" s="91" t="s">
        <v>3069</v>
      </c>
      <c r="D1827" s="91" t="s">
        <v>32</v>
      </c>
      <c r="E1827" s="91"/>
      <c r="F1827">
        <v>840</v>
      </c>
      <c r="G1827">
        <v>20</v>
      </c>
      <c r="H1827" s="89">
        <v>46157</v>
      </c>
      <c r="I1827" s="89">
        <v>46165</v>
      </c>
      <c r="J1827" s="91" t="s">
        <v>3070</v>
      </c>
      <c r="K1827" s="91"/>
      <c r="M1827" s="91"/>
      <c r="N1827" s="91" t="s">
        <v>2988</v>
      </c>
    </row>
    <row r="1828" spans="1:14" x14ac:dyDescent="0.25">
      <c r="A1828" s="91" t="s">
        <v>1320</v>
      </c>
      <c r="B1828" s="91" t="s">
        <v>1334</v>
      </c>
      <c r="C1828" s="91" t="s">
        <v>3071</v>
      </c>
      <c r="D1828" s="91" t="s">
        <v>71</v>
      </c>
      <c r="E1828" s="91"/>
      <c r="F1828">
        <v>960</v>
      </c>
      <c r="G1828">
        <v>20</v>
      </c>
      <c r="H1828" s="89">
        <v>46157</v>
      </c>
      <c r="I1828" s="89">
        <v>46163</v>
      </c>
      <c r="J1828" s="91" t="s">
        <v>3072</v>
      </c>
      <c r="K1828" s="91"/>
      <c r="M1828" s="91"/>
      <c r="N1828" s="91" t="s">
        <v>2988</v>
      </c>
    </row>
    <row r="1829" spans="1:14" x14ac:dyDescent="0.25">
      <c r="A1829" s="91" t="s">
        <v>1313</v>
      </c>
      <c r="B1829" s="91" t="s">
        <v>1327</v>
      </c>
      <c r="C1829" s="91" t="s">
        <v>3073</v>
      </c>
      <c r="D1829" s="91" t="s">
        <v>129</v>
      </c>
      <c r="E1829" s="91"/>
      <c r="F1829">
        <v>720</v>
      </c>
      <c r="G1829">
        <v>15</v>
      </c>
      <c r="H1829" s="89">
        <v>46157</v>
      </c>
      <c r="I1829" s="89">
        <v>46162</v>
      </c>
      <c r="J1829" s="91" t="s">
        <v>3074</v>
      </c>
      <c r="K1829" s="91"/>
      <c r="M1829" s="91"/>
      <c r="N1829" s="91" t="s">
        <v>2988</v>
      </c>
    </row>
    <row r="1830" spans="1:14" x14ac:dyDescent="0.25">
      <c r="A1830" s="91" t="s">
        <v>1320</v>
      </c>
      <c r="B1830" s="91" t="s">
        <v>1334</v>
      </c>
      <c r="C1830" s="91" t="s">
        <v>3075</v>
      </c>
      <c r="D1830" s="91" t="s">
        <v>15</v>
      </c>
      <c r="E1830" s="91"/>
      <c r="F1830">
        <v>960</v>
      </c>
      <c r="G1830">
        <v>20</v>
      </c>
      <c r="H1830" s="89">
        <v>46157</v>
      </c>
      <c r="I1830" s="89">
        <v>46162</v>
      </c>
      <c r="J1830" s="91" t="s">
        <v>3076</v>
      </c>
      <c r="K1830" s="91"/>
      <c r="M1830" s="91"/>
      <c r="N1830" s="91" t="s">
        <v>2988</v>
      </c>
    </row>
    <row r="1831" spans="1:14" x14ac:dyDescent="0.25">
      <c r="A1831" s="91" t="s">
        <v>1313</v>
      </c>
      <c r="B1831" s="91" t="s">
        <v>1327</v>
      </c>
      <c r="C1831" s="91" t="s">
        <v>3075</v>
      </c>
      <c r="D1831" s="91" t="s">
        <v>15</v>
      </c>
      <c r="E1831" s="91"/>
      <c r="F1831">
        <v>144</v>
      </c>
      <c r="G1831">
        <v>3</v>
      </c>
      <c r="H1831" s="89">
        <v>46157</v>
      </c>
      <c r="I1831" s="89">
        <v>46161</v>
      </c>
      <c r="J1831" s="91" t="s">
        <v>3064</v>
      </c>
      <c r="K1831" s="91"/>
      <c r="M1831" s="91"/>
      <c r="N1831" s="91" t="s">
        <v>2988</v>
      </c>
    </row>
    <row r="1832" spans="1:14" x14ac:dyDescent="0.25">
      <c r="A1832" s="91" t="s">
        <v>1313</v>
      </c>
      <c r="B1832" s="91" t="s">
        <v>1327</v>
      </c>
      <c r="C1832" s="91" t="s">
        <v>3075</v>
      </c>
      <c r="D1832" s="91" t="s">
        <v>15</v>
      </c>
      <c r="E1832" s="91"/>
      <c r="F1832">
        <v>144</v>
      </c>
      <c r="G1832">
        <v>3</v>
      </c>
      <c r="H1832" s="89">
        <v>46157</v>
      </c>
      <c r="I1832" s="89">
        <v>46159</v>
      </c>
      <c r="J1832" s="91"/>
      <c r="K1832" s="91"/>
      <c r="M1832" s="91"/>
      <c r="N1832" s="91" t="s">
        <v>2988</v>
      </c>
    </row>
    <row r="1833" spans="1:14" x14ac:dyDescent="0.25">
      <c r="A1833" s="91" t="s">
        <v>1315</v>
      </c>
      <c r="B1833" s="91" t="s">
        <v>1329</v>
      </c>
      <c r="C1833" s="91" t="s">
        <v>3075</v>
      </c>
      <c r="D1833" s="91" t="s">
        <v>15</v>
      </c>
      <c r="E1833" s="91"/>
      <c r="F1833">
        <v>48</v>
      </c>
      <c r="G1833" t="s">
        <v>1419</v>
      </c>
      <c r="H1833" s="89">
        <v>46157</v>
      </c>
      <c r="I1833" s="89">
        <v>46159</v>
      </c>
      <c r="J1833" s="91"/>
      <c r="K1833" s="91"/>
      <c r="M1833" s="91"/>
      <c r="N1833" s="91" t="s">
        <v>2988</v>
      </c>
    </row>
    <row r="1834" spans="1:14" x14ac:dyDescent="0.25">
      <c r="A1834" s="91" t="s">
        <v>1316</v>
      </c>
      <c r="B1834" s="91" t="s">
        <v>1330</v>
      </c>
      <c r="C1834" s="91" t="s">
        <v>3077</v>
      </c>
      <c r="D1834" s="91" t="s">
        <v>15</v>
      </c>
      <c r="E1834" s="91"/>
      <c r="F1834">
        <v>65</v>
      </c>
      <c r="G1834" t="s">
        <v>1419</v>
      </c>
      <c r="H1834" s="89">
        <v>46157</v>
      </c>
      <c r="I1834" s="89">
        <v>46159</v>
      </c>
      <c r="J1834" s="91"/>
      <c r="K1834" s="91"/>
      <c r="M1834" s="91"/>
      <c r="N1834" s="91" t="s">
        <v>2988</v>
      </c>
    </row>
    <row r="1835" spans="1:14" x14ac:dyDescent="0.25">
      <c r="A1835" s="91" t="s">
        <v>1317</v>
      </c>
      <c r="B1835" s="91" t="s">
        <v>1331</v>
      </c>
      <c r="C1835" s="91" t="s">
        <v>3078</v>
      </c>
      <c r="D1835" s="91" t="s">
        <v>15</v>
      </c>
      <c r="E1835" s="91"/>
      <c r="F1835">
        <v>15</v>
      </c>
      <c r="G1835" t="s">
        <v>1419</v>
      </c>
      <c r="H1835" s="89">
        <v>46157</v>
      </c>
      <c r="I1835" s="89">
        <v>46159</v>
      </c>
      <c r="J1835" s="91"/>
      <c r="K1835" s="91"/>
      <c r="M1835" s="91"/>
      <c r="N1835" s="91" t="s">
        <v>2988</v>
      </c>
    </row>
    <row r="1836" spans="1:14" x14ac:dyDescent="0.25">
      <c r="A1836" s="91" t="s">
        <v>1318</v>
      </c>
      <c r="B1836" s="91" t="s">
        <v>1332</v>
      </c>
      <c r="C1836" s="91" t="s">
        <v>3079</v>
      </c>
      <c r="D1836" s="91" t="s">
        <v>15</v>
      </c>
      <c r="E1836" s="91"/>
      <c r="F1836">
        <v>39</v>
      </c>
      <c r="G1836" t="s">
        <v>1419</v>
      </c>
      <c r="H1836" s="89">
        <v>46157</v>
      </c>
      <c r="I1836" s="89">
        <v>46159</v>
      </c>
      <c r="J1836" s="91"/>
      <c r="K1836" s="91"/>
      <c r="M1836" s="91"/>
      <c r="N1836" s="91" t="s">
        <v>2988</v>
      </c>
    </row>
    <row r="1837" spans="1:14" x14ac:dyDescent="0.25">
      <c r="A1837" s="91" t="s">
        <v>1320</v>
      </c>
      <c r="B1837" s="91" t="s">
        <v>1334</v>
      </c>
      <c r="C1837" s="91" t="s">
        <v>3080</v>
      </c>
      <c r="D1837" s="91" t="s">
        <v>21</v>
      </c>
      <c r="E1837" s="91"/>
      <c r="F1837">
        <v>960</v>
      </c>
      <c r="G1837">
        <v>20</v>
      </c>
      <c r="H1837" s="89">
        <v>46157</v>
      </c>
      <c r="I1837" s="89">
        <v>46162</v>
      </c>
      <c r="J1837" s="91" t="s">
        <v>3081</v>
      </c>
      <c r="K1837" s="91"/>
      <c r="M1837" s="91"/>
      <c r="N1837" s="91" t="s">
        <v>2988</v>
      </c>
    </row>
    <row r="1838" spans="1:14" x14ac:dyDescent="0.25">
      <c r="A1838" s="91" t="s">
        <v>1314</v>
      </c>
      <c r="B1838" s="91" t="s">
        <v>1328</v>
      </c>
      <c r="C1838" s="91" t="s">
        <v>3080</v>
      </c>
      <c r="D1838" s="91" t="s">
        <v>21</v>
      </c>
      <c r="E1838" s="91"/>
      <c r="F1838">
        <v>288</v>
      </c>
      <c r="G1838">
        <v>6</v>
      </c>
      <c r="H1838" s="89">
        <v>46157</v>
      </c>
      <c r="I1838" s="89">
        <v>46161</v>
      </c>
      <c r="J1838" s="91" t="s">
        <v>3082</v>
      </c>
      <c r="K1838" s="91"/>
      <c r="M1838" s="91"/>
      <c r="N1838" s="91" t="s">
        <v>2988</v>
      </c>
    </row>
    <row r="1839" spans="1:14" x14ac:dyDescent="0.25">
      <c r="A1839" s="91" t="s">
        <v>1315</v>
      </c>
      <c r="B1839" s="91" t="s">
        <v>1329</v>
      </c>
      <c r="C1839" s="91" t="s">
        <v>3080</v>
      </c>
      <c r="D1839" s="91" t="s">
        <v>21</v>
      </c>
      <c r="E1839" s="91"/>
      <c r="F1839">
        <v>96</v>
      </c>
      <c r="G1839" t="s">
        <v>1419</v>
      </c>
      <c r="H1839" s="89">
        <v>46157</v>
      </c>
      <c r="I1839" s="89">
        <v>46159</v>
      </c>
      <c r="J1839" s="91"/>
      <c r="K1839" s="91"/>
      <c r="M1839" s="91"/>
      <c r="N1839" s="91" t="s">
        <v>2988</v>
      </c>
    </row>
    <row r="1840" spans="1:14" x14ac:dyDescent="0.25">
      <c r="A1840" s="91" t="s">
        <v>1316</v>
      </c>
      <c r="B1840" s="91" t="s">
        <v>1330</v>
      </c>
      <c r="C1840" s="91" t="s">
        <v>3083</v>
      </c>
      <c r="D1840" s="91" t="s">
        <v>21</v>
      </c>
      <c r="E1840" s="91"/>
      <c r="F1840">
        <v>42</v>
      </c>
      <c r="G1840" t="s">
        <v>1419</v>
      </c>
      <c r="H1840" s="89">
        <v>46157</v>
      </c>
      <c r="I1840" s="89">
        <v>46159</v>
      </c>
      <c r="J1840" s="91"/>
      <c r="K1840" s="91"/>
      <c r="M1840" s="91"/>
      <c r="N1840" s="91" t="s">
        <v>2988</v>
      </c>
    </row>
    <row r="1841" spans="1:14" x14ac:dyDescent="0.25">
      <c r="A1841" s="91" t="s">
        <v>1317</v>
      </c>
      <c r="B1841" s="91" t="s">
        <v>1331</v>
      </c>
      <c r="C1841" s="91" t="s">
        <v>3084</v>
      </c>
      <c r="D1841" s="91" t="s">
        <v>21</v>
      </c>
      <c r="E1841" s="91"/>
      <c r="F1841">
        <v>14</v>
      </c>
      <c r="G1841" t="s">
        <v>1419</v>
      </c>
      <c r="H1841" s="89">
        <v>46157</v>
      </c>
      <c r="I1841" s="89">
        <v>46159</v>
      </c>
      <c r="J1841" s="91"/>
      <c r="K1841" s="91"/>
      <c r="M1841" s="91"/>
      <c r="N1841" s="91" t="s">
        <v>2988</v>
      </c>
    </row>
    <row r="1842" spans="1:14" x14ac:dyDescent="0.25">
      <c r="A1842" s="91" t="s">
        <v>1318</v>
      </c>
      <c r="B1842" s="91" t="s">
        <v>1332</v>
      </c>
      <c r="C1842" s="91" t="s">
        <v>3085</v>
      </c>
      <c r="D1842" s="91" t="s">
        <v>21</v>
      </c>
      <c r="E1842" s="91"/>
      <c r="F1842">
        <v>40</v>
      </c>
      <c r="G1842" t="s">
        <v>1419</v>
      </c>
      <c r="H1842" s="89">
        <v>46157</v>
      </c>
      <c r="I1842" s="89">
        <v>46159</v>
      </c>
      <c r="J1842" s="91"/>
      <c r="K1842" s="91"/>
      <c r="M1842" s="91"/>
      <c r="N1842" s="91" t="s">
        <v>2988</v>
      </c>
    </row>
    <row r="1843" spans="1:14" x14ac:dyDescent="0.25">
      <c r="A1843" s="91" t="s">
        <v>1324</v>
      </c>
      <c r="B1843" s="91" t="s">
        <v>1338</v>
      </c>
      <c r="C1843" s="91" t="s">
        <v>3086</v>
      </c>
      <c r="D1843" s="91" t="s">
        <v>20</v>
      </c>
      <c r="E1843" s="91"/>
      <c r="F1843">
        <v>1104</v>
      </c>
      <c r="G1843">
        <v>23</v>
      </c>
      <c r="H1843" s="89">
        <v>46157</v>
      </c>
      <c r="I1843" s="89">
        <v>46159</v>
      </c>
      <c r="J1843" s="91"/>
      <c r="K1843" s="91"/>
      <c r="M1843" s="91"/>
      <c r="N1843" s="91" t="s">
        <v>2988</v>
      </c>
    </row>
    <row r="1844" spans="1:14" x14ac:dyDescent="0.25">
      <c r="A1844" s="91" t="s">
        <v>1313</v>
      </c>
      <c r="B1844" s="91" t="s">
        <v>1327</v>
      </c>
      <c r="C1844" s="91" t="s">
        <v>3086</v>
      </c>
      <c r="D1844" s="91" t="s">
        <v>20</v>
      </c>
      <c r="E1844" s="91"/>
      <c r="F1844">
        <v>48</v>
      </c>
      <c r="G1844">
        <v>1</v>
      </c>
      <c r="H1844" s="89">
        <v>46157</v>
      </c>
      <c r="I1844" s="89">
        <v>46159</v>
      </c>
      <c r="J1844" s="91"/>
      <c r="K1844" s="91"/>
      <c r="M1844" s="91"/>
      <c r="N1844" s="91" t="s">
        <v>2988</v>
      </c>
    </row>
    <row r="1845" spans="1:14" x14ac:dyDescent="0.25">
      <c r="A1845" s="91" t="s">
        <v>1315</v>
      </c>
      <c r="B1845" s="91" t="s">
        <v>1329</v>
      </c>
      <c r="C1845" s="91" t="s">
        <v>3086</v>
      </c>
      <c r="D1845" s="91" t="s">
        <v>20</v>
      </c>
      <c r="E1845" s="91"/>
      <c r="F1845">
        <v>85</v>
      </c>
      <c r="G1845" t="s">
        <v>1419</v>
      </c>
      <c r="H1845" s="89">
        <v>46157</v>
      </c>
      <c r="I1845" s="89">
        <v>46159</v>
      </c>
      <c r="J1845" s="91"/>
      <c r="K1845" s="91"/>
      <c r="M1845" s="91"/>
      <c r="N1845" s="91" t="s">
        <v>2988</v>
      </c>
    </row>
    <row r="1846" spans="1:14" x14ac:dyDescent="0.25">
      <c r="A1846" s="91" t="s">
        <v>1316</v>
      </c>
      <c r="B1846" s="91" t="s">
        <v>1330</v>
      </c>
      <c r="C1846" s="91" t="s">
        <v>3087</v>
      </c>
      <c r="D1846" s="91" t="s">
        <v>20</v>
      </c>
      <c r="E1846" s="91"/>
      <c r="F1846">
        <v>83</v>
      </c>
      <c r="G1846" t="s">
        <v>1419</v>
      </c>
      <c r="H1846" s="89">
        <v>46157</v>
      </c>
      <c r="I1846" s="89">
        <v>46159</v>
      </c>
      <c r="J1846" s="91"/>
      <c r="K1846" s="91"/>
      <c r="M1846" s="91"/>
      <c r="N1846" s="91" t="s">
        <v>2988</v>
      </c>
    </row>
    <row r="1847" spans="1:14" x14ac:dyDescent="0.25">
      <c r="A1847" s="91" t="s">
        <v>1317</v>
      </c>
      <c r="B1847" s="91" t="s">
        <v>1331</v>
      </c>
      <c r="C1847" s="91" t="s">
        <v>3088</v>
      </c>
      <c r="D1847" s="91" t="s">
        <v>20</v>
      </c>
      <c r="E1847" s="91"/>
      <c r="F1847">
        <v>4</v>
      </c>
      <c r="G1847" t="s">
        <v>1419</v>
      </c>
      <c r="H1847" s="89">
        <v>46157</v>
      </c>
      <c r="I1847" s="89">
        <v>46159</v>
      </c>
      <c r="J1847" s="91"/>
      <c r="K1847" s="91"/>
      <c r="M1847" s="91"/>
      <c r="N1847" s="91" t="s">
        <v>2988</v>
      </c>
    </row>
    <row r="1848" spans="1:14" x14ac:dyDescent="0.25">
      <c r="A1848" s="91" t="s">
        <v>1318</v>
      </c>
      <c r="B1848" s="91" t="s">
        <v>1332</v>
      </c>
      <c r="C1848" s="91" t="s">
        <v>3089</v>
      </c>
      <c r="D1848" s="91" t="s">
        <v>20</v>
      </c>
      <c r="E1848" s="91"/>
      <c r="F1848">
        <v>54</v>
      </c>
      <c r="G1848" t="s">
        <v>1419</v>
      </c>
      <c r="H1848" s="89">
        <v>46157</v>
      </c>
      <c r="I1848" s="89">
        <v>46159</v>
      </c>
      <c r="J1848" s="91"/>
      <c r="K1848" s="91"/>
      <c r="M1848" s="91"/>
      <c r="N1848" s="91" t="s">
        <v>2988</v>
      </c>
    </row>
    <row r="1849" spans="1:14" x14ac:dyDescent="0.25">
      <c r="A1849" s="91" t="s">
        <v>1313</v>
      </c>
      <c r="B1849" s="91" t="s">
        <v>1327</v>
      </c>
      <c r="C1849" s="91" t="s">
        <v>3090</v>
      </c>
      <c r="D1849" s="91" t="s">
        <v>129</v>
      </c>
      <c r="E1849" s="91"/>
      <c r="F1849">
        <v>432</v>
      </c>
      <c r="G1849">
        <v>9</v>
      </c>
      <c r="H1849" s="89">
        <v>46158</v>
      </c>
      <c r="I1849" s="89">
        <v>46162</v>
      </c>
      <c r="J1849" s="91" t="s">
        <v>3074</v>
      </c>
      <c r="K1849" s="91"/>
      <c r="M1849" s="91"/>
      <c r="N1849" s="91" t="s">
        <v>2988</v>
      </c>
    </row>
    <row r="1850" spans="1:14" x14ac:dyDescent="0.25">
      <c r="A1850" s="91" t="s">
        <v>1324</v>
      </c>
      <c r="B1850" s="91" t="s">
        <v>1338</v>
      </c>
      <c r="C1850" s="91" t="s">
        <v>3091</v>
      </c>
      <c r="D1850" s="91" t="s">
        <v>88</v>
      </c>
      <c r="E1850" s="91"/>
      <c r="F1850">
        <v>960</v>
      </c>
      <c r="G1850">
        <v>20</v>
      </c>
      <c r="H1850" s="89">
        <v>46158</v>
      </c>
      <c r="I1850" s="89">
        <v>46165</v>
      </c>
      <c r="J1850" s="91" t="s">
        <v>3092</v>
      </c>
      <c r="K1850" s="91"/>
      <c r="M1850" s="91"/>
      <c r="N1850" s="91" t="s">
        <v>2988</v>
      </c>
    </row>
    <row r="1851" spans="1:14" x14ac:dyDescent="0.25">
      <c r="A1851" s="91" t="s">
        <v>1324</v>
      </c>
      <c r="B1851" s="91" t="s">
        <v>1338</v>
      </c>
      <c r="C1851" s="91" t="s">
        <v>3093</v>
      </c>
      <c r="D1851" s="91" t="s">
        <v>21</v>
      </c>
      <c r="E1851" s="91"/>
      <c r="F1851">
        <v>960</v>
      </c>
      <c r="G1851">
        <v>20</v>
      </c>
      <c r="H1851" s="89">
        <v>46158</v>
      </c>
      <c r="I1851" s="89">
        <v>46165</v>
      </c>
      <c r="J1851" s="91" t="s">
        <v>3092</v>
      </c>
      <c r="K1851" s="91"/>
      <c r="M1851" s="91"/>
      <c r="N1851" s="91" t="s">
        <v>2988</v>
      </c>
    </row>
    <row r="1852" spans="1:14" x14ac:dyDescent="0.25">
      <c r="A1852" s="91" t="s">
        <v>1315</v>
      </c>
      <c r="B1852" s="91" t="s">
        <v>1329</v>
      </c>
      <c r="C1852" s="91" t="s">
        <v>3093</v>
      </c>
      <c r="D1852" s="91" t="s">
        <v>21</v>
      </c>
      <c r="E1852" s="91"/>
      <c r="F1852">
        <v>165</v>
      </c>
      <c r="G1852" t="s">
        <v>1419</v>
      </c>
      <c r="H1852" s="89">
        <v>46158</v>
      </c>
      <c r="I1852" s="89">
        <v>46160</v>
      </c>
      <c r="J1852" s="91"/>
      <c r="K1852" s="91"/>
      <c r="M1852" s="91"/>
      <c r="N1852" s="91" t="s">
        <v>2988</v>
      </c>
    </row>
    <row r="1853" spans="1:14" x14ac:dyDescent="0.25">
      <c r="A1853" s="91" t="s">
        <v>1316</v>
      </c>
      <c r="B1853" s="91" t="s">
        <v>1330</v>
      </c>
      <c r="C1853" s="91" t="s">
        <v>3094</v>
      </c>
      <c r="D1853" s="91" t="s">
        <v>21</v>
      </c>
      <c r="E1853" s="91"/>
      <c r="F1853">
        <v>29</v>
      </c>
      <c r="G1853" t="s">
        <v>1419</v>
      </c>
      <c r="H1853" s="89">
        <v>46158</v>
      </c>
      <c r="I1853" s="89">
        <v>46160</v>
      </c>
      <c r="J1853" s="91"/>
      <c r="K1853" s="91"/>
      <c r="M1853" s="91"/>
      <c r="N1853" s="91" t="s">
        <v>2988</v>
      </c>
    </row>
    <row r="1854" spans="1:14" x14ac:dyDescent="0.25">
      <c r="A1854" s="91" t="s">
        <v>1317</v>
      </c>
      <c r="B1854" s="91" t="s">
        <v>1331</v>
      </c>
      <c r="C1854" s="91" t="s">
        <v>3095</v>
      </c>
      <c r="D1854" s="91" t="s">
        <v>21</v>
      </c>
      <c r="E1854" s="91"/>
      <c r="F1854">
        <v>14</v>
      </c>
      <c r="G1854" t="s">
        <v>1419</v>
      </c>
      <c r="H1854" s="89">
        <v>46158</v>
      </c>
      <c r="I1854" s="89">
        <v>46160</v>
      </c>
      <c r="J1854" s="91"/>
      <c r="K1854" s="91"/>
      <c r="M1854" s="91"/>
      <c r="N1854" s="91" t="s">
        <v>2988</v>
      </c>
    </row>
    <row r="1855" spans="1:14" x14ac:dyDescent="0.25">
      <c r="A1855" s="91" t="s">
        <v>1318</v>
      </c>
      <c r="B1855" s="91" t="s">
        <v>1332</v>
      </c>
      <c r="C1855" s="91" t="s">
        <v>3096</v>
      </c>
      <c r="D1855" s="91" t="s">
        <v>21</v>
      </c>
      <c r="E1855" s="91"/>
      <c r="F1855">
        <v>75</v>
      </c>
      <c r="G1855" t="s">
        <v>1419</v>
      </c>
      <c r="H1855" s="89">
        <v>46158</v>
      </c>
      <c r="I1855" s="89">
        <v>46160</v>
      </c>
      <c r="J1855" s="91"/>
      <c r="K1855" s="91"/>
      <c r="M1855" s="91"/>
      <c r="N1855" s="91" t="s">
        <v>2988</v>
      </c>
    </row>
    <row r="1856" spans="1:14" x14ac:dyDescent="0.25">
      <c r="A1856" s="91" t="s">
        <v>1320</v>
      </c>
      <c r="B1856" s="91" t="s">
        <v>1334</v>
      </c>
      <c r="C1856" s="91" t="s">
        <v>3097</v>
      </c>
      <c r="D1856" s="91" t="s">
        <v>13</v>
      </c>
      <c r="E1856" s="91"/>
      <c r="F1856">
        <v>960</v>
      </c>
      <c r="G1856">
        <v>20</v>
      </c>
      <c r="H1856" s="89">
        <v>46160</v>
      </c>
      <c r="I1856" s="89">
        <v>46163</v>
      </c>
      <c r="J1856" s="91" t="s">
        <v>3098</v>
      </c>
      <c r="K1856" s="91"/>
      <c r="M1856" s="91"/>
      <c r="N1856" s="91" t="s">
        <v>3099</v>
      </c>
    </row>
    <row r="1857" spans="1:14" x14ac:dyDescent="0.25">
      <c r="A1857" s="91" t="s">
        <v>1320</v>
      </c>
      <c r="B1857" s="91" t="s">
        <v>1334</v>
      </c>
      <c r="C1857" s="91" t="s">
        <v>3097</v>
      </c>
      <c r="D1857" s="91" t="s">
        <v>13</v>
      </c>
      <c r="E1857" s="91"/>
      <c r="F1857">
        <v>480</v>
      </c>
      <c r="G1857">
        <v>10</v>
      </c>
      <c r="H1857" s="89">
        <v>46160</v>
      </c>
      <c r="I1857" s="89">
        <v>46165</v>
      </c>
      <c r="J1857" s="91" t="s">
        <v>3100</v>
      </c>
      <c r="K1857" s="91"/>
      <c r="M1857" s="91"/>
      <c r="N1857" s="91" t="s">
        <v>3099</v>
      </c>
    </row>
    <row r="1858" spans="1:14" x14ac:dyDescent="0.25">
      <c r="A1858" s="91" t="s">
        <v>1313</v>
      </c>
      <c r="B1858" s="91" t="s">
        <v>1327</v>
      </c>
      <c r="C1858" s="91" t="s">
        <v>3101</v>
      </c>
      <c r="D1858" s="91" t="s">
        <v>20</v>
      </c>
      <c r="E1858" s="91"/>
      <c r="F1858">
        <v>1104</v>
      </c>
      <c r="G1858">
        <v>23</v>
      </c>
      <c r="H1858" s="89">
        <v>46160</v>
      </c>
      <c r="I1858" s="89">
        <v>46164</v>
      </c>
      <c r="J1858" s="91" t="s">
        <v>3102</v>
      </c>
      <c r="K1858" s="91"/>
      <c r="M1858" s="91"/>
      <c r="N1858" s="91" t="s">
        <v>3099</v>
      </c>
    </row>
    <row r="1859" spans="1:14" x14ac:dyDescent="0.25">
      <c r="A1859" s="91" t="s">
        <v>1319</v>
      </c>
      <c r="B1859" s="91" t="s">
        <v>1333</v>
      </c>
      <c r="C1859" s="91" t="s">
        <v>3101</v>
      </c>
      <c r="D1859" s="91" t="s">
        <v>20</v>
      </c>
      <c r="E1859" s="91"/>
      <c r="F1859">
        <v>48</v>
      </c>
      <c r="G1859">
        <v>1</v>
      </c>
      <c r="H1859" s="89">
        <v>46160</v>
      </c>
      <c r="I1859" s="89">
        <v>46164</v>
      </c>
      <c r="J1859" s="91" t="s">
        <v>3102</v>
      </c>
      <c r="K1859" s="91"/>
      <c r="M1859" s="91"/>
      <c r="N1859" s="91" t="s">
        <v>3099</v>
      </c>
    </row>
    <row r="1860" spans="1:14" x14ac:dyDescent="0.25">
      <c r="A1860" s="91" t="s">
        <v>1313</v>
      </c>
      <c r="B1860" s="91" t="s">
        <v>1327</v>
      </c>
      <c r="C1860" s="91" t="s">
        <v>3101</v>
      </c>
      <c r="D1860" s="91" t="s">
        <v>20</v>
      </c>
      <c r="E1860" s="91"/>
      <c r="F1860">
        <v>144</v>
      </c>
      <c r="G1860">
        <v>3</v>
      </c>
      <c r="H1860" s="89">
        <v>46160</v>
      </c>
      <c r="I1860" s="89">
        <v>46163</v>
      </c>
      <c r="J1860" s="91" t="s">
        <v>3103</v>
      </c>
      <c r="K1860" s="91"/>
      <c r="M1860" s="91"/>
      <c r="N1860" s="91" t="s">
        <v>3099</v>
      </c>
    </row>
    <row r="1861" spans="1:14" x14ac:dyDescent="0.25">
      <c r="A1861" s="91" t="s">
        <v>1315</v>
      </c>
      <c r="B1861" s="91" t="s">
        <v>1329</v>
      </c>
      <c r="C1861" s="91" t="s">
        <v>3101</v>
      </c>
      <c r="D1861" s="91" t="s">
        <v>20</v>
      </c>
      <c r="E1861" s="91"/>
      <c r="F1861">
        <v>141</v>
      </c>
      <c r="G1861" t="s">
        <v>1419</v>
      </c>
      <c r="H1861" s="89">
        <v>46160</v>
      </c>
      <c r="I1861" s="89">
        <v>46163</v>
      </c>
      <c r="J1861" s="91"/>
      <c r="K1861" s="91"/>
      <c r="M1861" s="91"/>
      <c r="N1861" s="91" t="s">
        <v>3099</v>
      </c>
    </row>
    <row r="1862" spans="1:14" x14ac:dyDescent="0.25">
      <c r="A1862" s="91" t="s">
        <v>1316</v>
      </c>
      <c r="B1862" s="91" t="s">
        <v>1330</v>
      </c>
      <c r="C1862" s="91" t="s">
        <v>3104</v>
      </c>
      <c r="D1862" s="91" t="s">
        <v>20</v>
      </c>
      <c r="E1862" s="91"/>
      <c r="F1862">
        <v>112</v>
      </c>
      <c r="G1862" t="s">
        <v>1419</v>
      </c>
      <c r="H1862" s="89">
        <v>46160</v>
      </c>
      <c r="I1862" s="89">
        <v>46162</v>
      </c>
      <c r="J1862" s="91"/>
      <c r="K1862" s="91"/>
      <c r="M1862" s="91"/>
      <c r="N1862" s="91" t="s">
        <v>3099</v>
      </c>
    </row>
    <row r="1863" spans="1:14" x14ac:dyDescent="0.25">
      <c r="A1863" s="91" t="s">
        <v>1317</v>
      </c>
      <c r="B1863" s="91" t="s">
        <v>1331</v>
      </c>
      <c r="C1863" s="91" t="s">
        <v>3105</v>
      </c>
      <c r="D1863" s="91" t="s">
        <v>20</v>
      </c>
      <c r="E1863" s="91"/>
      <c r="F1863">
        <v>12</v>
      </c>
      <c r="G1863" t="s">
        <v>1419</v>
      </c>
      <c r="H1863" s="89">
        <v>46160</v>
      </c>
      <c r="I1863" s="89">
        <v>46162</v>
      </c>
      <c r="J1863" s="91"/>
      <c r="K1863" s="91"/>
      <c r="M1863" s="91"/>
      <c r="N1863" s="91" t="s">
        <v>3099</v>
      </c>
    </row>
    <row r="1864" spans="1:14" x14ac:dyDescent="0.25">
      <c r="A1864" s="91" t="s">
        <v>1318</v>
      </c>
      <c r="B1864" s="91" t="s">
        <v>1332</v>
      </c>
      <c r="C1864" s="91" t="s">
        <v>3106</v>
      </c>
      <c r="D1864" s="91" t="s">
        <v>20</v>
      </c>
      <c r="E1864" s="91"/>
      <c r="F1864">
        <v>53</v>
      </c>
      <c r="G1864" t="s">
        <v>1419</v>
      </c>
      <c r="H1864" s="89">
        <v>46160</v>
      </c>
      <c r="I1864" s="89">
        <v>46162</v>
      </c>
      <c r="J1864" s="91"/>
      <c r="K1864" s="91"/>
      <c r="M1864" s="91"/>
      <c r="N1864" s="91" t="s">
        <v>3099</v>
      </c>
    </row>
    <row r="1865" spans="1:14" x14ac:dyDescent="0.25">
      <c r="A1865" s="91" t="s">
        <v>1320</v>
      </c>
      <c r="B1865" s="91" t="s">
        <v>1334</v>
      </c>
      <c r="C1865" s="91" t="s">
        <v>3107</v>
      </c>
      <c r="D1865" s="91" t="s">
        <v>28</v>
      </c>
      <c r="E1865" s="91"/>
      <c r="F1865">
        <v>960</v>
      </c>
      <c r="G1865">
        <v>20</v>
      </c>
      <c r="H1865" s="89">
        <v>46160</v>
      </c>
      <c r="I1865" s="89">
        <v>46164</v>
      </c>
      <c r="J1865" s="91" t="s">
        <v>3108</v>
      </c>
      <c r="K1865" s="91"/>
      <c r="M1865" s="91"/>
      <c r="N1865" s="91" t="s">
        <v>3099</v>
      </c>
    </row>
    <row r="1866" spans="1:14" x14ac:dyDescent="0.25">
      <c r="A1866" s="91" t="s">
        <v>1313</v>
      </c>
      <c r="B1866" s="91" t="s">
        <v>1327</v>
      </c>
      <c r="C1866" s="91" t="s">
        <v>3107</v>
      </c>
      <c r="D1866" s="91" t="s">
        <v>28</v>
      </c>
      <c r="E1866" s="91"/>
      <c r="F1866">
        <v>192</v>
      </c>
      <c r="G1866">
        <v>4</v>
      </c>
      <c r="H1866" s="89">
        <v>46160</v>
      </c>
      <c r="I1866" s="89">
        <v>46163</v>
      </c>
      <c r="J1866" s="91" t="s">
        <v>3103</v>
      </c>
      <c r="K1866" s="91"/>
      <c r="M1866" s="91"/>
      <c r="N1866" s="91" t="s">
        <v>3099</v>
      </c>
    </row>
    <row r="1867" spans="1:14" x14ac:dyDescent="0.25">
      <c r="A1867" s="91" t="s">
        <v>1315</v>
      </c>
      <c r="B1867" s="91" t="s">
        <v>1329</v>
      </c>
      <c r="C1867" s="91" t="s">
        <v>3107</v>
      </c>
      <c r="D1867" s="91" t="s">
        <v>28</v>
      </c>
      <c r="E1867" s="91"/>
      <c r="F1867">
        <v>144</v>
      </c>
      <c r="G1867" t="s">
        <v>1419</v>
      </c>
      <c r="H1867" s="89">
        <v>46160</v>
      </c>
      <c r="I1867" s="89">
        <v>46163</v>
      </c>
      <c r="J1867" s="91"/>
      <c r="K1867" s="91"/>
      <c r="M1867" s="91"/>
      <c r="N1867" s="91" t="s">
        <v>3099</v>
      </c>
    </row>
    <row r="1868" spans="1:14" x14ac:dyDescent="0.25">
      <c r="A1868" s="91" t="s">
        <v>1316</v>
      </c>
      <c r="B1868" s="91" t="s">
        <v>1330</v>
      </c>
      <c r="C1868" s="91" t="s">
        <v>3109</v>
      </c>
      <c r="D1868" s="91" t="s">
        <v>28</v>
      </c>
      <c r="E1868" s="91"/>
      <c r="F1868">
        <v>41</v>
      </c>
      <c r="G1868" t="s">
        <v>1419</v>
      </c>
      <c r="H1868" s="89">
        <v>46160</v>
      </c>
      <c r="I1868" s="89">
        <v>46162</v>
      </c>
      <c r="J1868" s="91"/>
      <c r="K1868" s="91"/>
      <c r="M1868" s="91"/>
      <c r="N1868" s="91" t="s">
        <v>3099</v>
      </c>
    </row>
    <row r="1869" spans="1:14" x14ac:dyDescent="0.25">
      <c r="A1869" s="91" t="s">
        <v>1317</v>
      </c>
      <c r="B1869" s="91" t="s">
        <v>1331</v>
      </c>
      <c r="C1869" s="91" t="s">
        <v>3110</v>
      </c>
      <c r="D1869" s="91" t="s">
        <v>28</v>
      </c>
      <c r="E1869" s="91"/>
      <c r="F1869">
        <v>4</v>
      </c>
      <c r="G1869" t="s">
        <v>1419</v>
      </c>
      <c r="H1869" s="89">
        <v>46160</v>
      </c>
      <c r="I1869" s="89">
        <v>46162</v>
      </c>
      <c r="J1869" s="91"/>
      <c r="K1869" s="91"/>
      <c r="M1869" s="91"/>
      <c r="N1869" s="91" t="s">
        <v>3099</v>
      </c>
    </row>
    <row r="1870" spans="1:14" x14ac:dyDescent="0.25">
      <c r="A1870" s="91" t="s">
        <v>1318</v>
      </c>
      <c r="B1870" s="91" t="s">
        <v>1332</v>
      </c>
      <c r="C1870" s="91" t="s">
        <v>3111</v>
      </c>
      <c r="D1870" s="91" t="s">
        <v>28</v>
      </c>
      <c r="E1870" s="91"/>
      <c r="F1870">
        <v>81</v>
      </c>
      <c r="G1870" t="s">
        <v>1419</v>
      </c>
      <c r="H1870" s="89">
        <v>46160</v>
      </c>
      <c r="I1870" s="89">
        <v>46162</v>
      </c>
      <c r="J1870" s="91"/>
      <c r="K1870" s="91"/>
      <c r="M1870" s="91"/>
      <c r="N1870" s="91" t="s">
        <v>3099</v>
      </c>
    </row>
    <row r="1871" spans="1:14" x14ac:dyDescent="0.25">
      <c r="A1871" s="91" t="s">
        <v>1314</v>
      </c>
      <c r="B1871" s="91" t="s">
        <v>1328</v>
      </c>
      <c r="C1871" s="91" t="s">
        <v>3112</v>
      </c>
      <c r="D1871" s="91" t="s">
        <v>15</v>
      </c>
      <c r="E1871" s="91"/>
      <c r="F1871">
        <v>336</v>
      </c>
      <c r="G1871">
        <v>7</v>
      </c>
      <c r="H1871" s="89">
        <v>46160</v>
      </c>
      <c r="I1871" s="89">
        <v>46163</v>
      </c>
      <c r="J1871" s="91" t="s">
        <v>3113</v>
      </c>
      <c r="K1871" s="91"/>
      <c r="M1871" s="91"/>
      <c r="N1871" s="91" t="s">
        <v>3099</v>
      </c>
    </row>
    <row r="1872" spans="1:14" x14ac:dyDescent="0.25">
      <c r="A1872" s="91" t="s">
        <v>1313</v>
      </c>
      <c r="B1872" s="91" t="s">
        <v>1327</v>
      </c>
      <c r="C1872" s="91" t="s">
        <v>3112</v>
      </c>
      <c r="D1872" s="91" t="s">
        <v>15</v>
      </c>
      <c r="E1872" s="91"/>
      <c r="F1872">
        <v>480</v>
      </c>
      <c r="G1872">
        <v>10</v>
      </c>
      <c r="H1872" s="89">
        <v>46160</v>
      </c>
      <c r="I1872" s="89">
        <v>46163</v>
      </c>
      <c r="J1872" s="91" t="s">
        <v>3103</v>
      </c>
      <c r="K1872" s="91"/>
      <c r="M1872" s="91"/>
      <c r="N1872" s="91" t="s">
        <v>3099</v>
      </c>
    </row>
    <row r="1873" spans="1:14" x14ac:dyDescent="0.25">
      <c r="A1873" s="91" t="s">
        <v>1320</v>
      </c>
      <c r="B1873" s="91" t="s">
        <v>1334</v>
      </c>
      <c r="C1873" s="91" t="s">
        <v>3112</v>
      </c>
      <c r="D1873" s="91" t="s">
        <v>15</v>
      </c>
      <c r="E1873" s="91"/>
      <c r="F1873">
        <v>480</v>
      </c>
      <c r="G1873">
        <v>10</v>
      </c>
      <c r="H1873" s="89">
        <v>46160</v>
      </c>
      <c r="I1873" s="89">
        <v>46164</v>
      </c>
      <c r="J1873" s="91" t="s">
        <v>3114</v>
      </c>
      <c r="K1873" s="91"/>
      <c r="M1873" s="91"/>
      <c r="N1873" s="91" t="s">
        <v>3099</v>
      </c>
    </row>
    <row r="1874" spans="1:14" x14ac:dyDescent="0.25">
      <c r="A1874" s="91" t="s">
        <v>1315</v>
      </c>
      <c r="B1874" s="91" t="s">
        <v>1329</v>
      </c>
      <c r="C1874" s="91" t="s">
        <v>3112</v>
      </c>
      <c r="D1874" s="91" t="s">
        <v>15</v>
      </c>
      <c r="E1874" s="91"/>
      <c r="F1874">
        <v>18</v>
      </c>
      <c r="G1874" t="s">
        <v>1419</v>
      </c>
      <c r="H1874" s="89">
        <v>46160</v>
      </c>
      <c r="I1874" s="89">
        <v>46163</v>
      </c>
      <c r="J1874" s="91"/>
      <c r="K1874" s="91"/>
      <c r="M1874" s="91"/>
      <c r="N1874" s="91" t="s">
        <v>3099</v>
      </c>
    </row>
    <row r="1875" spans="1:14" x14ac:dyDescent="0.25">
      <c r="A1875" s="91" t="s">
        <v>1316</v>
      </c>
      <c r="B1875" s="91" t="s">
        <v>1330</v>
      </c>
      <c r="C1875" s="91" t="s">
        <v>3115</v>
      </c>
      <c r="D1875" s="91" t="s">
        <v>15</v>
      </c>
      <c r="E1875" s="91"/>
      <c r="F1875">
        <v>74</v>
      </c>
      <c r="G1875" t="s">
        <v>1419</v>
      </c>
      <c r="H1875" s="89">
        <v>46160</v>
      </c>
      <c r="I1875" s="89">
        <v>46162</v>
      </c>
      <c r="J1875" s="91"/>
      <c r="K1875" s="91"/>
      <c r="M1875" s="91"/>
      <c r="N1875" s="91" t="s">
        <v>3099</v>
      </c>
    </row>
    <row r="1876" spans="1:14" x14ac:dyDescent="0.25">
      <c r="A1876" s="91" t="s">
        <v>1317</v>
      </c>
      <c r="B1876" s="91" t="s">
        <v>1331</v>
      </c>
      <c r="C1876" s="91" t="s">
        <v>3116</v>
      </c>
      <c r="D1876" s="91" t="s">
        <v>15</v>
      </c>
      <c r="E1876" s="91"/>
      <c r="F1876">
        <v>6</v>
      </c>
      <c r="G1876" t="s">
        <v>1419</v>
      </c>
      <c r="H1876" s="89">
        <v>46160</v>
      </c>
      <c r="I1876" s="89">
        <v>46162</v>
      </c>
      <c r="J1876" s="91"/>
      <c r="K1876" s="91"/>
      <c r="M1876" s="91"/>
      <c r="N1876" s="91" t="s">
        <v>3099</v>
      </c>
    </row>
    <row r="1877" spans="1:14" x14ac:dyDescent="0.25">
      <c r="A1877" s="91" t="s">
        <v>1318</v>
      </c>
      <c r="B1877" s="91" t="s">
        <v>1332</v>
      </c>
      <c r="C1877" s="91" t="s">
        <v>3117</v>
      </c>
      <c r="D1877" s="91" t="s">
        <v>15</v>
      </c>
      <c r="E1877" s="91"/>
      <c r="F1877">
        <v>28</v>
      </c>
      <c r="G1877" t="s">
        <v>1419</v>
      </c>
      <c r="H1877" s="89">
        <v>46160</v>
      </c>
      <c r="I1877" s="89">
        <v>46162</v>
      </c>
      <c r="J1877" s="91"/>
      <c r="K1877" s="91"/>
      <c r="M1877" s="91"/>
      <c r="N1877" s="91" t="s">
        <v>3099</v>
      </c>
    </row>
    <row r="1878" spans="1:14" x14ac:dyDescent="0.25">
      <c r="A1878" s="91" t="s">
        <v>1326</v>
      </c>
      <c r="B1878" s="91" t="s">
        <v>1340</v>
      </c>
      <c r="C1878" s="91" t="s">
        <v>3118</v>
      </c>
      <c r="D1878" s="91" t="s">
        <v>156</v>
      </c>
      <c r="E1878" s="91"/>
      <c r="F1878">
        <v>1008</v>
      </c>
      <c r="G1878">
        <v>24</v>
      </c>
      <c r="H1878" s="89">
        <v>46161</v>
      </c>
      <c r="I1878" s="89">
        <v>46168</v>
      </c>
      <c r="J1878" s="91" t="s">
        <v>3119</v>
      </c>
      <c r="K1878" s="91"/>
      <c r="M1878" s="91"/>
      <c r="N1878" s="91" t="s">
        <v>3099</v>
      </c>
    </row>
    <row r="1879" spans="1:14" x14ac:dyDescent="0.25">
      <c r="A1879" s="91" t="s">
        <v>1324</v>
      </c>
      <c r="B1879" s="91" t="s">
        <v>1338</v>
      </c>
      <c r="C1879" s="91" t="s">
        <v>3120</v>
      </c>
      <c r="D1879" s="91" t="s">
        <v>23</v>
      </c>
      <c r="E1879" s="91"/>
      <c r="F1879">
        <v>960</v>
      </c>
      <c r="G1879">
        <v>20</v>
      </c>
      <c r="H1879" s="89">
        <v>46161</v>
      </c>
      <c r="I1879" s="89">
        <v>46168</v>
      </c>
      <c r="J1879" s="91" t="s">
        <v>3121</v>
      </c>
      <c r="K1879" s="91"/>
      <c r="M1879" s="91"/>
      <c r="N1879" s="91" t="s">
        <v>3099</v>
      </c>
    </row>
    <row r="1880" spans="1:14" x14ac:dyDescent="0.25">
      <c r="A1880" s="91" t="s">
        <v>1320</v>
      </c>
      <c r="B1880" s="91" t="s">
        <v>1334</v>
      </c>
      <c r="C1880" s="91" t="s">
        <v>3122</v>
      </c>
      <c r="D1880" s="91" t="s">
        <v>13</v>
      </c>
      <c r="E1880" s="91"/>
      <c r="F1880">
        <v>480</v>
      </c>
      <c r="G1880">
        <v>10</v>
      </c>
      <c r="H1880" s="89">
        <v>46161</v>
      </c>
      <c r="I1880" s="89">
        <v>46165</v>
      </c>
      <c r="J1880" s="91" t="s">
        <v>3100</v>
      </c>
      <c r="K1880" s="91"/>
      <c r="M1880" s="91"/>
      <c r="N1880" s="91" t="s">
        <v>3099</v>
      </c>
    </row>
    <row r="1881" spans="1:14" x14ac:dyDescent="0.25">
      <c r="A1881" s="91" t="s">
        <v>1323</v>
      </c>
      <c r="B1881" s="91" t="s">
        <v>1337</v>
      </c>
      <c r="C1881" s="91" t="s">
        <v>3123</v>
      </c>
      <c r="D1881" s="91" t="s">
        <v>20</v>
      </c>
      <c r="E1881" s="91"/>
      <c r="F1881">
        <v>756</v>
      </c>
      <c r="G1881">
        <v>14</v>
      </c>
      <c r="H1881" s="89">
        <v>46161</v>
      </c>
      <c r="I1881" s="89">
        <v>46164</v>
      </c>
      <c r="J1881" s="91" t="s">
        <v>3124</v>
      </c>
      <c r="K1881" s="91"/>
      <c r="M1881" s="91"/>
      <c r="N1881" s="91" t="s">
        <v>3099</v>
      </c>
    </row>
    <row r="1882" spans="1:14" x14ac:dyDescent="0.25">
      <c r="A1882" s="91" t="s">
        <v>1322</v>
      </c>
      <c r="B1882" s="91" t="s">
        <v>1336</v>
      </c>
      <c r="C1882" s="91" t="s">
        <v>3123</v>
      </c>
      <c r="D1882" s="91" t="s">
        <v>20</v>
      </c>
      <c r="E1882" s="91"/>
      <c r="F1882">
        <v>324</v>
      </c>
      <c r="G1882">
        <v>6</v>
      </c>
      <c r="H1882" s="89">
        <v>46161</v>
      </c>
      <c r="I1882" s="89">
        <v>46164</v>
      </c>
      <c r="J1882" s="91" t="s">
        <v>3124</v>
      </c>
      <c r="K1882" s="91"/>
      <c r="M1882" s="91"/>
      <c r="N1882" s="91" t="s">
        <v>3099</v>
      </c>
    </row>
    <row r="1883" spans="1:14" x14ac:dyDescent="0.25">
      <c r="A1883" s="91" t="s">
        <v>1313</v>
      </c>
      <c r="B1883" s="91" t="s">
        <v>1327</v>
      </c>
      <c r="C1883" s="91" t="s">
        <v>3123</v>
      </c>
      <c r="D1883" s="91" t="s">
        <v>20</v>
      </c>
      <c r="E1883" s="91"/>
      <c r="F1883">
        <v>192</v>
      </c>
      <c r="G1883">
        <v>4</v>
      </c>
      <c r="H1883" s="89">
        <v>46161</v>
      </c>
      <c r="I1883" s="89">
        <v>46167</v>
      </c>
      <c r="J1883" s="91" t="s">
        <v>3125</v>
      </c>
      <c r="K1883" s="91"/>
      <c r="M1883" s="91"/>
      <c r="N1883" s="91" t="s">
        <v>3099</v>
      </c>
    </row>
    <row r="1884" spans="1:14" x14ac:dyDescent="0.25">
      <c r="A1884" s="91" t="s">
        <v>1315</v>
      </c>
      <c r="B1884" s="91" t="s">
        <v>1329</v>
      </c>
      <c r="C1884" s="91" t="s">
        <v>3123</v>
      </c>
      <c r="D1884" s="91" t="s">
        <v>20</v>
      </c>
      <c r="E1884" s="91"/>
      <c r="F1884">
        <v>3</v>
      </c>
      <c r="G1884" t="s">
        <v>1419</v>
      </c>
      <c r="H1884" s="89">
        <v>46161</v>
      </c>
      <c r="I1884" s="89">
        <v>46163</v>
      </c>
      <c r="J1884" s="91"/>
      <c r="K1884" s="91"/>
      <c r="M1884" s="91"/>
      <c r="N1884" s="91" t="s">
        <v>3099</v>
      </c>
    </row>
    <row r="1885" spans="1:14" x14ac:dyDescent="0.25">
      <c r="A1885" s="91" t="s">
        <v>1316</v>
      </c>
      <c r="B1885" s="91" t="s">
        <v>1330</v>
      </c>
      <c r="C1885" s="91" t="s">
        <v>3126</v>
      </c>
      <c r="D1885" s="91" t="s">
        <v>20</v>
      </c>
      <c r="E1885" s="91"/>
      <c r="F1885">
        <v>51</v>
      </c>
      <c r="G1885" t="s">
        <v>1419</v>
      </c>
      <c r="H1885" s="89">
        <v>46161</v>
      </c>
      <c r="I1885" s="89">
        <v>46163</v>
      </c>
      <c r="J1885" s="91"/>
      <c r="K1885" s="91"/>
      <c r="M1885" s="91"/>
      <c r="N1885" s="91" t="s">
        <v>3099</v>
      </c>
    </row>
    <row r="1886" spans="1:14" x14ac:dyDescent="0.25">
      <c r="A1886" s="91" t="s">
        <v>1317</v>
      </c>
      <c r="B1886" s="91" t="s">
        <v>1331</v>
      </c>
      <c r="C1886" s="91" t="s">
        <v>3127</v>
      </c>
      <c r="D1886" s="91" t="s">
        <v>20</v>
      </c>
      <c r="E1886" s="91"/>
      <c r="F1886">
        <v>4</v>
      </c>
      <c r="G1886" t="s">
        <v>1419</v>
      </c>
      <c r="H1886" s="89">
        <v>46161</v>
      </c>
      <c r="I1886" s="89">
        <v>46163</v>
      </c>
      <c r="J1886" s="91"/>
      <c r="K1886" s="91"/>
      <c r="M1886" s="91"/>
      <c r="N1886" s="91" t="s">
        <v>3099</v>
      </c>
    </row>
    <row r="1887" spans="1:14" x14ac:dyDescent="0.25">
      <c r="A1887" s="91" t="s">
        <v>1318</v>
      </c>
      <c r="B1887" s="91" t="s">
        <v>1332</v>
      </c>
      <c r="C1887" s="91" t="s">
        <v>3128</v>
      </c>
      <c r="D1887" s="91" t="s">
        <v>20</v>
      </c>
      <c r="E1887" s="91"/>
      <c r="F1887">
        <v>24</v>
      </c>
      <c r="G1887" t="s">
        <v>1419</v>
      </c>
      <c r="H1887" s="89">
        <v>46161</v>
      </c>
      <c r="I1887" s="89">
        <v>46163</v>
      </c>
      <c r="J1887" s="91"/>
      <c r="K1887" s="91"/>
      <c r="M1887" s="91"/>
      <c r="N1887" s="91" t="s">
        <v>3099</v>
      </c>
    </row>
    <row r="1888" spans="1:14" x14ac:dyDescent="0.25">
      <c r="A1888" s="91" t="s">
        <v>1320</v>
      </c>
      <c r="B1888" s="91" t="s">
        <v>1334</v>
      </c>
      <c r="C1888" s="91" t="s">
        <v>3129</v>
      </c>
      <c r="D1888" s="91" t="s">
        <v>21</v>
      </c>
      <c r="E1888" s="91"/>
      <c r="F1888">
        <v>960</v>
      </c>
      <c r="G1888">
        <v>20</v>
      </c>
      <c r="H1888" s="89">
        <v>46161</v>
      </c>
      <c r="I1888" s="89">
        <v>46165</v>
      </c>
      <c r="J1888" s="91" t="s">
        <v>3130</v>
      </c>
      <c r="K1888" s="91"/>
      <c r="M1888" s="91"/>
      <c r="N1888" s="91" t="s">
        <v>3099</v>
      </c>
    </row>
    <row r="1889" spans="1:14" x14ac:dyDescent="0.25">
      <c r="A1889" s="91" t="s">
        <v>1313</v>
      </c>
      <c r="B1889" s="91" t="s">
        <v>1327</v>
      </c>
      <c r="C1889" s="91" t="s">
        <v>3129</v>
      </c>
      <c r="D1889" s="91" t="s">
        <v>21</v>
      </c>
      <c r="E1889" s="91"/>
      <c r="F1889">
        <v>480</v>
      </c>
      <c r="G1889">
        <v>10</v>
      </c>
      <c r="H1889" s="89">
        <v>46161</v>
      </c>
      <c r="I1889" s="89">
        <v>46167</v>
      </c>
      <c r="J1889" s="91" t="s">
        <v>3125</v>
      </c>
      <c r="K1889" s="91"/>
      <c r="M1889" s="91"/>
      <c r="N1889" s="91" t="s">
        <v>3099</v>
      </c>
    </row>
    <row r="1890" spans="1:14" x14ac:dyDescent="0.25">
      <c r="A1890" s="91" t="s">
        <v>1313</v>
      </c>
      <c r="B1890" s="91" t="s">
        <v>1327</v>
      </c>
      <c r="C1890" s="91" t="s">
        <v>3129</v>
      </c>
      <c r="D1890" s="91" t="s">
        <v>21</v>
      </c>
      <c r="E1890" s="91"/>
      <c r="F1890">
        <v>48</v>
      </c>
      <c r="G1890">
        <v>1</v>
      </c>
      <c r="H1890" s="89">
        <v>46161</v>
      </c>
      <c r="I1890" s="89">
        <v>46166</v>
      </c>
      <c r="J1890" s="91" t="s">
        <v>3131</v>
      </c>
      <c r="K1890" s="91"/>
      <c r="M1890" s="91"/>
      <c r="N1890" s="91" t="s">
        <v>3099</v>
      </c>
    </row>
    <row r="1891" spans="1:14" x14ac:dyDescent="0.25">
      <c r="A1891" s="91" t="s">
        <v>1315</v>
      </c>
      <c r="B1891" s="91" t="s">
        <v>1329</v>
      </c>
      <c r="C1891" s="91" t="s">
        <v>3129</v>
      </c>
      <c r="D1891" s="91" t="s">
        <v>21</v>
      </c>
      <c r="E1891" s="91"/>
      <c r="F1891">
        <v>40</v>
      </c>
      <c r="G1891" t="s">
        <v>1419</v>
      </c>
      <c r="H1891" s="89">
        <v>46161</v>
      </c>
      <c r="I1891" s="89">
        <v>46163</v>
      </c>
      <c r="J1891" s="91"/>
      <c r="K1891" s="91"/>
      <c r="M1891" s="91"/>
      <c r="N1891" s="91" t="s">
        <v>3099</v>
      </c>
    </row>
    <row r="1892" spans="1:14" x14ac:dyDescent="0.25">
      <c r="A1892" s="91" t="s">
        <v>1316</v>
      </c>
      <c r="B1892" s="91" t="s">
        <v>1330</v>
      </c>
      <c r="C1892" s="91" t="s">
        <v>3132</v>
      </c>
      <c r="D1892" s="91" t="s">
        <v>21</v>
      </c>
      <c r="E1892" s="91"/>
      <c r="F1892">
        <v>58</v>
      </c>
      <c r="G1892" t="s">
        <v>1419</v>
      </c>
      <c r="H1892" s="89">
        <v>46161</v>
      </c>
      <c r="I1892" s="89">
        <v>46163</v>
      </c>
      <c r="J1892" s="91"/>
      <c r="K1892" s="91"/>
      <c r="M1892" s="91"/>
      <c r="N1892" s="91" t="s">
        <v>3099</v>
      </c>
    </row>
    <row r="1893" spans="1:14" x14ac:dyDescent="0.25">
      <c r="A1893" s="91" t="s">
        <v>1317</v>
      </c>
      <c r="B1893" s="91" t="s">
        <v>1331</v>
      </c>
      <c r="C1893" s="91" t="s">
        <v>3133</v>
      </c>
      <c r="D1893" s="91" t="s">
        <v>21</v>
      </c>
      <c r="E1893" s="91"/>
      <c r="F1893">
        <v>17</v>
      </c>
      <c r="G1893" t="s">
        <v>1419</v>
      </c>
      <c r="H1893" s="89">
        <v>46161</v>
      </c>
      <c r="I1893" s="89">
        <v>46163</v>
      </c>
      <c r="J1893" s="91"/>
      <c r="K1893" s="91"/>
      <c r="M1893" s="91"/>
      <c r="N1893" s="91" t="s">
        <v>3099</v>
      </c>
    </row>
    <row r="1894" spans="1:14" x14ac:dyDescent="0.25">
      <c r="A1894" s="91" t="s">
        <v>1318</v>
      </c>
      <c r="B1894" s="91" t="s">
        <v>1332</v>
      </c>
      <c r="C1894" s="91" t="s">
        <v>3134</v>
      </c>
      <c r="D1894" s="91" t="s">
        <v>21</v>
      </c>
      <c r="E1894" s="91"/>
      <c r="F1894">
        <v>7</v>
      </c>
      <c r="G1894" t="s">
        <v>1419</v>
      </c>
      <c r="H1894" s="89">
        <v>46161</v>
      </c>
      <c r="I1894" s="89">
        <v>46163</v>
      </c>
      <c r="J1894" s="91"/>
      <c r="K1894" s="91"/>
      <c r="M1894" s="91"/>
      <c r="N1894" s="91" t="s">
        <v>3099</v>
      </c>
    </row>
    <row r="1895" spans="1:14" x14ac:dyDescent="0.25">
      <c r="A1895" s="91" t="s">
        <v>1320</v>
      </c>
      <c r="B1895" s="91" t="s">
        <v>1334</v>
      </c>
      <c r="C1895" s="91" t="s">
        <v>3135</v>
      </c>
      <c r="D1895" s="91" t="s">
        <v>15</v>
      </c>
      <c r="E1895" s="91"/>
      <c r="F1895">
        <v>480</v>
      </c>
      <c r="G1895">
        <v>10</v>
      </c>
      <c r="H1895" s="89">
        <v>46161</v>
      </c>
      <c r="I1895" s="89">
        <v>46164</v>
      </c>
      <c r="J1895" s="91" t="s">
        <v>3114</v>
      </c>
      <c r="K1895" s="91"/>
      <c r="M1895" s="91"/>
      <c r="N1895" s="91" t="s">
        <v>3099</v>
      </c>
    </row>
    <row r="1896" spans="1:14" x14ac:dyDescent="0.25">
      <c r="A1896" s="91" t="s">
        <v>1313</v>
      </c>
      <c r="B1896" s="91" t="s">
        <v>1327</v>
      </c>
      <c r="C1896" s="91" t="s">
        <v>3135</v>
      </c>
      <c r="D1896" s="91" t="s">
        <v>15</v>
      </c>
      <c r="E1896" s="91"/>
      <c r="F1896">
        <v>1149</v>
      </c>
      <c r="G1896">
        <v>23.9375</v>
      </c>
      <c r="H1896" s="89">
        <v>46161</v>
      </c>
      <c r="I1896" s="89">
        <v>46165</v>
      </c>
      <c r="J1896" s="91" t="s">
        <v>3136</v>
      </c>
      <c r="K1896" s="91"/>
      <c r="M1896" s="91"/>
      <c r="N1896" s="91" t="s">
        <v>3099</v>
      </c>
    </row>
    <row r="1897" spans="1:14" x14ac:dyDescent="0.25">
      <c r="A1897" s="91" t="s">
        <v>1316</v>
      </c>
      <c r="B1897" s="91" t="s">
        <v>1330</v>
      </c>
      <c r="C1897" s="91" t="s">
        <v>3137</v>
      </c>
      <c r="D1897" s="91" t="s">
        <v>15</v>
      </c>
      <c r="E1897" s="91"/>
      <c r="F1897">
        <v>81</v>
      </c>
      <c r="G1897" t="s">
        <v>1419</v>
      </c>
      <c r="H1897" s="89">
        <v>46161</v>
      </c>
      <c r="I1897" s="89">
        <v>46163</v>
      </c>
      <c r="J1897" s="91"/>
      <c r="K1897" s="91"/>
      <c r="M1897" s="91"/>
      <c r="N1897" s="91" t="s">
        <v>3099</v>
      </c>
    </row>
    <row r="1898" spans="1:14" x14ac:dyDescent="0.25">
      <c r="A1898" s="91" t="s">
        <v>1317</v>
      </c>
      <c r="B1898" s="91" t="s">
        <v>1331</v>
      </c>
      <c r="C1898" s="91" t="s">
        <v>3138</v>
      </c>
      <c r="D1898" s="91" t="s">
        <v>15</v>
      </c>
      <c r="E1898" s="91"/>
      <c r="F1898">
        <v>22</v>
      </c>
      <c r="G1898" t="s">
        <v>1419</v>
      </c>
      <c r="H1898" s="89">
        <v>46161</v>
      </c>
      <c r="I1898" s="89">
        <v>46163</v>
      </c>
      <c r="J1898" s="91"/>
      <c r="K1898" s="91"/>
      <c r="M1898" s="91"/>
      <c r="N1898" s="91" t="s">
        <v>3099</v>
      </c>
    </row>
    <row r="1899" spans="1:14" x14ac:dyDescent="0.25">
      <c r="A1899" s="91" t="s">
        <v>1318</v>
      </c>
      <c r="B1899" s="91" t="s">
        <v>1332</v>
      </c>
      <c r="C1899" s="91" t="s">
        <v>3139</v>
      </c>
      <c r="D1899" s="91" t="s">
        <v>15</v>
      </c>
      <c r="E1899" s="91"/>
      <c r="F1899">
        <v>32</v>
      </c>
      <c r="G1899" t="s">
        <v>1419</v>
      </c>
      <c r="H1899" s="89">
        <v>46161</v>
      </c>
      <c r="I1899" s="89">
        <v>46163</v>
      </c>
      <c r="J1899" s="91"/>
      <c r="K1899" s="91"/>
      <c r="M1899" s="91"/>
      <c r="N1899" s="91" t="s">
        <v>3099</v>
      </c>
    </row>
    <row r="1900" spans="1:14" x14ac:dyDescent="0.25">
      <c r="A1900" s="91" t="s">
        <v>1324</v>
      </c>
      <c r="B1900" s="91" t="s">
        <v>1338</v>
      </c>
      <c r="C1900" s="91" t="s">
        <v>3140</v>
      </c>
      <c r="D1900" s="91" t="s">
        <v>158</v>
      </c>
      <c r="E1900" s="91"/>
      <c r="F1900">
        <v>960</v>
      </c>
      <c r="G1900">
        <v>20</v>
      </c>
      <c r="H1900" s="89">
        <v>46162</v>
      </c>
      <c r="I1900" s="89">
        <v>46168</v>
      </c>
      <c r="J1900" s="91" t="s">
        <v>3141</v>
      </c>
      <c r="K1900" s="91"/>
      <c r="M1900" s="91"/>
      <c r="N1900" s="91" t="s">
        <v>3099</v>
      </c>
    </row>
    <row r="1901" spans="1:14" x14ac:dyDescent="0.25">
      <c r="A1901" s="91" t="s">
        <v>1324</v>
      </c>
      <c r="B1901" s="91" t="s">
        <v>1338</v>
      </c>
      <c r="C1901" s="91" t="s">
        <v>3142</v>
      </c>
      <c r="D1901" s="91" t="s">
        <v>23</v>
      </c>
      <c r="E1901" s="91"/>
      <c r="F1901">
        <v>960</v>
      </c>
      <c r="G1901">
        <v>20</v>
      </c>
      <c r="H1901" s="89">
        <v>46162</v>
      </c>
      <c r="I1901" s="89">
        <v>46168</v>
      </c>
      <c r="J1901" s="91" t="s">
        <v>3121</v>
      </c>
      <c r="K1901" s="91"/>
      <c r="M1901" s="91"/>
      <c r="N1901" s="91" t="s">
        <v>3099</v>
      </c>
    </row>
    <row r="1902" spans="1:14" x14ac:dyDescent="0.25">
      <c r="A1902" s="91" t="s">
        <v>1325</v>
      </c>
      <c r="B1902" s="91" t="s">
        <v>1339</v>
      </c>
      <c r="C1902" s="91" t="s">
        <v>3143</v>
      </c>
      <c r="D1902" s="91" t="s">
        <v>138</v>
      </c>
      <c r="E1902" s="91"/>
      <c r="F1902">
        <v>384</v>
      </c>
      <c r="G1902">
        <v>8</v>
      </c>
      <c r="H1902" s="89">
        <v>46162</v>
      </c>
      <c r="I1902" s="89">
        <v>46164</v>
      </c>
      <c r="J1902" s="91"/>
      <c r="K1902" s="91"/>
      <c r="M1902" s="91"/>
      <c r="N1902" s="91" t="s">
        <v>3099</v>
      </c>
    </row>
    <row r="1903" spans="1:14" x14ac:dyDescent="0.25">
      <c r="A1903" s="91" t="s">
        <v>1320</v>
      </c>
      <c r="B1903" s="91" t="s">
        <v>1334</v>
      </c>
      <c r="C1903" s="91" t="s">
        <v>3144</v>
      </c>
      <c r="D1903" s="91" t="s">
        <v>106</v>
      </c>
      <c r="E1903" s="91"/>
      <c r="F1903">
        <v>960</v>
      </c>
      <c r="G1903">
        <v>20</v>
      </c>
      <c r="H1903" s="89">
        <v>46162</v>
      </c>
      <c r="I1903" s="89">
        <v>46168</v>
      </c>
      <c r="J1903" s="91" t="s">
        <v>3145</v>
      </c>
      <c r="K1903" s="91"/>
      <c r="M1903" s="91"/>
      <c r="N1903" s="91" t="s">
        <v>3099</v>
      </c>
    </row>
    <row r="1904" spans="1:14" x14ac:dyDescent="0.25">
      <c r="A1904" s="91" t="s">
        <v>1324</v>
      </c>
      <c r="B1904" s="91" t="s">
        <v>1338</v>
      </c>
      <c r="C1904" s="91" t="s">
        <v>3146</v>
      </c>
      <c r="D1904" s="91" t="s">
        <v>21</v>
      </c>
      <c r="E1904" s="91"/>
      <c r="F1904">
        <v>960</v>
      </c>
      <c r="G1904">
        <v>20</v>
      </c>
      <c r="H1904" s="89">
        <v>46162</v>
      </c>
      <c r="I1904" s="89">
        <v>46168</v>
      </c>
      <c r="J1904" s="91" t="s">
        <v>3141</v>
      </c>
      <c r="K1904" s="91"/>
      <c r="M1904" s="91"/>
      <c r="N1904" s="91" t="s">
        <v>3099</v>
      </c>
    </row>
    <row r="1905" spans="1:14" x14ac:dyDescent="0.25">
      <c r="A1905" s="91" t="s">
        <v>1313</v>
      </c>
      <c r="B1905" s="91" t="s">
        <v>1327</v>
      </c>
      <c r="C1905" s="91" t="s">
        <v>3146</v>
      </c>
      <c r="D1905" s="91" t="s">
        <v>21</v>
      </c>
      <c r="E1905" s="91"/>
      <c r="F1905">
        <v>528</v>
      </c>
      <c r="G1905">
        <v>11</v>
      </c>
      <c r="H1905" s="89">
        <v>46162</v>
      </c>
      <c r="I1905" s="89">
        <v>46166</v>
      </c>
      <c r="J1905" s="91" t="s">
        <v>3131</v>
      </c>
      <c r="K1905" s="91"/>
      <c r="M1905" s="91"/>
      <c r="N1905" s="91" t="s">
        <v>3099</v>
      </c>
    </row>
    <row r="1906" spans="1:14" x14ac:dyDescent="0.25">
      <c r="A1906" s="91" t="s">
        <v>1315</v>
      </c>
      <c r="B1906" s="91" t="s">
        <v>1329</v>
      </c>
      <c r="C1906" s="91" t="s">
        <v>3146</v>
      </c>
      <c r="D1906" s="91" t="s">
        <v>21</v>
      </c>
      <c r="E1906" s="91"/>
      <c r="F1906">
        <v>131</v>
      </c>
      <c r="G1906" t="s">
        <v>1419</v>
      </c>
      <c r="H1906" s="89">
        <v>46162</v>
      </c>
      <c r="I1906" s="89">
        <v>46163</v>
      </c>
      <c r="J1906" s="91"/>
      <c r="K1906" s="91"/>
      <c r="M1906" s="91"/>
      <c r="N1906" s="91" t="s">
        <v>3099</v>
      </c>
    </row>
    <row r="1907" spans="1:14" x14ac:dyDescent="0.25">
      <c r="A1907" s="91" t="s">
        <v>1316</v>
      </c>
      <c r="B1907" s="91" t="s">
        <v>1330</v>
      </c>
      <c r="C1907" s="91" t="s">
        <v>3147</v>
      </c>
      <c r="D1907" s="91" t="s">
        <v>21</v>
      </c>
      <c r="E1907" s="91"/>
      <c r="F1907">
        <v>23</v>
      </c>
      <c r="G1907" t="s">
        <v>1419</v>
      </c>
      <c r="H1907" s="89">
        <v>46162</v>
      </c>
      <c r="I1907" s="89">
        <v>46164</v>
      </c>
      <c r="J1907" s="91"/>
      <c r="K1907" s="91"/>
      <c r="M1907" s="91"/>
      <c r="N1907" s="91" t="s">
        <v>3099</v>
      </c>
    </row>
    <row r="1908" spans="1:14" x14ac:dyDescent="0.25">
      <c r="A1908" s="91" t="s">
        <v>1317</v>
      </c>
      <c r="B1908" s="91" t="s">
        <v>1331</v>
      </c>
      <c r="C1908" s="91" t="s">
        <v>3148</v>
      </c>
      <c r="D1908" s="91" t="s">
        <v>21</v>
      </c>
      <c r="E1908" s="91"/>
      <c r="F1908">
        <v>4</v>
      </c>
      <c r="G1908" t="s">
        <v>1419</v>
      </c>
      <c r="H1908" s="89">
        <v>46162</v>
      </c>
      <c r="I1908" s="89">
        <v>46164</v>
      </c>
      <c r="J1908" s="91"/>
      <c r="K1908" s="91"/>
      <c r="M1908" s="91"/>
      <c r="N1908" s="91" t="s">
        <v>3099</v>
      </c>
    </row>
    <row r="1909" spans="1:14" x14ac:dyDescent="0.25">
      <c r="A1909" s="91" t="s">
        <v>1318</v>
      </c>
      <c r="B1909" s="91" t="s">
        <v>1332</v>
      </c>
      <c r="C1909" s="91" t="s">
        <v>3149</v>
      </c>
      <c r="D1909" s="91" t="s">
        <v>21</v>
      </c>
      <c r="E1909" s="91"/>
      <c r="F1909">
        <v>86</v>
      </c>
      <c r="G1909" t="s">
        <v>1419</v>
      </c>
      <c r="H1909" s="89">
        <v>46162</v>
      </c>
      <c r="I1909" s="89">
        <v>46164</v>
      </c>
      <c r="J1909" s="91"/>
      <c r="K1909" s="91"/>
      <c r="M1909" s="91"/>
      <c r="N1909" s="91" t="s">
        <v>3099</v>
      </c>
    </row>
    <row r="1910" spans="1:14" x14ac:dyDescent="0.25">
      <c r="A1910" s="91" t="s">
        <v>1320</v>
      </c>
      <c r="B1910" s="91" t="s">
        <v>1334</v>
      </c>
      <c r="C1910" s="91" t="s">
        <v>3150</v>
      </c>
      <c r="D1910" s="91" t="s">
        <v>15</v>
      </c>
      <c r="E1910" s="91"/>
      <c r="F1910">
        <v>960</v>
      </c>
      <c r="G1910">
        <v>20</v>
      </c>
      <c r="H1910" s="89">
        <v>46162</v>
      </c>
      <c r="I1910" s="89">
        <v>46167</v>
      </c>
      <c r="J1910" s="91" t="s">
        <v>3151</v>
      </c>
      <c r="K1910" s="91"/>
      <c r="M1910" s="91"/>
      <c r="N1910" s="91" t="s">
        <v>3099</v>
      </c>
    </row>
    <row r="1911" spans="1:14" x14ac:dyDescent="0.25">
      <c r="A1911" s="91" t="s">
        <v>1313</v>
      </c>
      <c r="B1911" s="91" t="s">
        <v>1327</v>
      </c>
      <c r="C1911" s="91" t="s">
        <v>3150</v>
      </c>
      <c r="D1911" s="91" t="s">
        <v>15</v>
      </c>
      <c r="E1911" s="91"/>
      <c r="F1911">
        <v>3</v>
      </c>
      <c r="G1911">
        <v>6.25E-2</v>
      </c>
      <c r="H1911" s="89">
        <v>46162</v>
      </c>
      <c r="I1911" s="89">
        <v>46165</v>
      </c>
      <c r="J1911" s="91" t="s">
        <v>3136</v>
      </c>
      <c r="K1911" s="91"/>
      <c r="M1911" s="91"/>
      <c r="N1911" s="91" t="s">
        <v>3099</v>
      </c>
    </row>
    <row r="1912" spans="1:14" x14ac:dyDescent="0.25">
      <c r="A1912" s="91" t="s">
        <v>1313</v>
      </c>
      <c r="B1912" s="91" t="s">
        <v>1327</v>
      </c>
      <c r="C1912" s="91" t="s">
        <v>3150</v>
      </c>
      <c r="D1912" s="91" t="s">
        <v>15</v>
      </c>
      <c r="E1912" s="91"/>
      <c r="F1912">
        <v>288</v>
      </c>
      <c r="G1912">
        <v>6</v>
      </c>
      <c r="H1912" s="89">
        <v>46162</v>
      </c>
      <c r="I1912" s="89">
        <v>46166</v>
      </c>
      <c r="J1912" s="91" t="s">
        <v>3131</v>
      </c>
      <c r="K1912" s="91"/>
      <c r="M1912" s="91"/>
      <c r="N1912" s="91" t="s">
        <v>3099</v>
      </c>
    </row>
    <row r="1913" spans="1:14" x14ac:dyDescent="0.25">
      <c r="A1913" s="91" t="s">
        <v>1314</v>
      </c>
      <c r="B1913" s="91" t="s">
        <v>1328</v>
      </c>
      <c r="C1913" s="91" t="s">
        <v>3150</v>
      </c>
      <c r="D1913" s="91" t="s">
        <v>15</v>
      </c>
      <c r="E1913" s="91"/>
      <c r="F1913">
        <v>288</v>
      </c>
      <c r="G1913">
        <v>6</v>
      </c>
      <c r="H1913" s="89">
        <v>46162</v>
      </c>
      <c r="I1913" s="89">
        <v>46166</v>
      </c>
      <c r="J1913" s="91" t="s">
        <v>3152</v>
      </c>
      <c r="K1913" s="91"/>
      <c r="M1913" s="91"/>
      <c r="N1913" s="91" t="s">
        <v>3099</v>
      </c>
    </row>
    <row r="1914" spans="1:14" x14ac:dyDescent="0.25">
      <c r="A1914" s="91" t="s">
        <v>1315</v>
      </c>
      <c r="B1914" s="91" t="s">
        <v>1329</v>
      </c>
      <c r="C1914" s="91" t="s">
        <v>3150</v>
      </c>
      <c r="D1914" s="91" t="s">
        <v>15</v>
      </c>
      <c r="E1914" s="91"/>
      <c r="F1914">
        <v>26</v>
      </c>
      <c r="G1914" t="s">
        <v>1419</v>
      </c>
      <c r="H1914" s="89">
        <v>46162</v>
      </c>
      <c r="I1914" s="89">
        <v>46163</v>
      </c>
      <c r="J1914" s="91"/>
      <c r="K1914" s="91"/>
      <c r="M1914" s="91"/>
      <c r="N1914" s="91" t="s">
        <v>3099</v>
      </c>
    </row>
    <row r="1915" spans="1:14" x14ac:dyDescent="0.25">
      <c r="A1915" s="91" t="s">
        <v>1316</v>
      </c>
      <c r="B1915" s="91" t="s">
        <v>1330</v>
      </c>
      <c r="C1915" s="91" t="s">
        <v>3153</v>
      </c>
      <c r="D1915" s="91" t="s">
        <v>15</v>
      </c>
      <c r="E1915" s="91"/>
      <c r="F1915">
        <v>88</v>
      </c>
      <c r="G1915" t="s">
        <v>1419</v>
      </c>
      <c r="H1915" s="89">
        <v>46162</v>
      </c>
      <c r="I1915" s="89">
        <v>46164</v>
      </c>
      <c r="J1915" s="91"/>
      <c r="K1915" s="91"/>
      <c r="M1915" s="91"/>
      <c r="N1915" s="91" t="s">
        <v>3099</v>
      </c>
    </row>
    <row r="1916" spans="1:14" x14ac:dyDescent="0.25">
      <c r="A1916" s="91" t="s">
        <v>1317</v>
      </c>
      <c r="B1916" s="91" t="s">
        <v>1331</v>
      </c>
      <c r="C1916" s="91" t="s">
        <v>3154</v>
      </c>
      <c r="D1916" s="91" t="s">
        <v>15</v>
      </c>
      <c r="E1916" s="91"/>
      <c r="F1916">
        <v>19</v>
      </c>
      <c r="G1916" t="s">
        <v>1419</v>
      </c>
      <c r="H1916" s="89">
        <v>46162</v>
      </c>
      <c r="I1916" s="89">
        <v>46164</v>
      </c>
      <c r="J1916" s="91"/>
      <c r="K1916" s="91"/>
      <c r="M1916" s="91"/>
      <c r="N1916" s="91" t="s">
        <v>3099</v>
      </c>
    </row>
    <row r="1917" spans="1:14" x14ac:dyDescent="0.25">
      <c r="A1917" s="91" t="s">
        <v>1318</v>
      </c>
      <c r="B1917" s="91" t="s">
        <v>1332</v>
      </c>
      <c r="C1917" s="91" t="s">
        <v>3155</v>
      </c>
      <c r="D1917" s="91" t="s">
        <v>15</v>
      </c>
      <c r="E1917" s="91"/>
      <c r="F1917">
        <v>24</v>
      </c>
      <c r="G1917" t="s">
        <v>1419</v>
      </c>
      <c r="H1917" s="89">
        <v>46162</v>
      </c>
      <c r="I1917" s="89">
        <v>46164</v>
      </c>
      <c r="J1917" s="91"/>
      <c r="K1917" s="91"/>
      <c r="M1917" s="91"/>
      <c r="N1917" s="91" t="s">
        <v>3099</v>
      </c>
    </row>
    <row r="1918" spans="1:14" x14ac:dyDescent="0.25">
      <c r="A1918" s="91" t="s">
        <v>1320</v>
      </c>
      <c r="B1918" s="91" t="s">
        <v>1334</v>
      </c>
      <c r="C1918" s="91" t="s">
        <v>3156</v>
      </c>
      <c r="D1918" s="91" t="s">
        <v>20</v>
      </c>
      <c r="E1918" s="91"/>
      <c r="F1918">
        <v>960</v>
      </c>
      <c r="G1918">
        <v>20</v>
      </c>
      <c r="H1918" s="89">
        <v>46162</v>
      </c>
      <c r="I1918" s="89">
        <v>46167</v>
      </c>
      <c r="J1918" s="91" t="s">
        <v>3157</v>
      </c>
      <c r="K1918" s="91"/>
      <c r="M1918" s="91"/>
      <c r="N1918" s="91" t="s">
        <v>3099</v>
      </c>
    </row>
    <row r="1919" spans="1:14" x14ac:dyDescent="0.25">
      <c r="A1919" s="91" t="s">
        <v>1313</v>
      </c>
      <c r="B1919" s="91" t="s">
        <v>1327</v>
      </c>
      <c r="C1919" s="91" t="s">
        <v>3156</v>
      </c>
      <c r="D1919" s="91" t="s">
        <v>20</v>
      </c>
      <c r="E1919" s="91"/>
      <c r="F1919">
        <v>480</v>
      </c>
      <c r="G1919">
        <v>10</v>
      </c>
      <c r="H1919" s="89">
        <v>46162</v>
      </c>
      <c r="I1919" s="89">
        <v>46167</v>
      </c>
      <c r="J1919" s="91" t="s">
        <v>3125</v>
      </c>
      <c r="K1919" s="91"/>
      <c r="M1919" s="91"/>
      <c r="N1919" s="91" t="s">
        <v>3099</v>
      </c>
    </row>
    <row r="1920" spans="1:14" x14ac:dyDescent="0.25">
      <c r="A1920" s="91" t="s">
        <v>1315</v>
      </c>
      <c r="B1920" s="91" t="s">
        <v>1329</v>
      </c>
      <c r="C1920" s="91" t="s">
        <v>3156</v>
      </c>
      <c r="D1920" s="91" t="s">
        <v>20</v>
      </c>
      <c r="E1920" s="91"/>
      <c r="F1920">
        <v>178</v>
      </c>
      <c r="G1920" t="s">
        <v>1419</v>
      </c>
      <c r="H1920" s="89">
        <v>46162</v>
      </c>
      <c r="I1920" s="89">
        <v>46163</v>
      </c>
      <c r="J1920" s="91"/>
      <c r="K1920" s="91"/>
      <c r="M1920" s="91"/>
      <c r="N1920" s="91" t="s">
        <v>3099</v>
      </c>
    </row>
    <row r="1921" spans="1:14" x14ac:dyDescent="0.25">
      <c r="A1921" s="91" t="s">
        <v>1316</v>
      </c>
      <c r="B1921" s="91" t="s">
        <v>1330</v>
      </c>
      <c r="C1921" s="91" t="s">
        <v>3158</v>
      </c>
      <c r="D1921" s="91" t="s">
        <v>20</v>
      </c>
      <c r="E1921" s="91"/>
      <c r="F1921">
        <v>78</v>
      </c>
      <c r="G1921" t="s">
        <v>1419</v>
      </c>
      <c r="H1921" s="89">
        <v>46162</v>
      </c>
      <c r="I1921" s="89">
        <v>46164</v>
      </c>
      <c r="J1921" s="91"/>
      <c r="K1921" s="91"/>
      <c r="M1921" s="91"/>
      <c r="N1921" s="91" t="s">
        <v>3099</v>
      </c>
    </row>
    <row r="1922" spans="1:14" x14ac:dyDescent="0.25">
      <c r="A1922" s="91" t="s">
        <v>1317</v>
      </c>
      <c r="B1922" s="91" t="s">
        <v>1331</v>
      </c>
      <c r="C1922" s="91" t="s">
        <v>3159</v>
      </c>
      <c r="D1922" s="91" t="s">
        <v>20</v>
      </c>
      <c r="E1922" s="91"/>
      <c r="F1922">
        <v>4</v>
      </c>
      <c r="G1922" t="s">
        <v>1419</v>
      </c>
      <c r="H1922" s="89">
        <v>46162</v>
      </c>
      <c r="I1922" s="89">
        <v>46164</v>
      </c>
      <c r="J1922" s="91"/>
      <c r="K1922" s="91"/>
      <c r="M1922" s="91"/>
      <c r="N1922" s="91" t="s">
        <v>3099</v>
      </c>
    </row>
    <row r="1923" spans="1:14" x14ac:dyDescent="0.25">
      <c r="A1923" s="91" t="s">
        <v>1318</v>
      </c>
      <c r="B1923" s="91" t="s">
        <v>1332</v>
      </c>
      <c r="C1923" s="91" t="s">
        <v>3160</v>
      </c>
      <c r="D1923" s="91" t="s">
        <v>20</v>
      </c>
      <c r="E1923" s="91"/>
      <c r="F1923">
        <v>37</v>
      </c>
      <c r="G1923" t="s">
        <v>1419</v>
      </c>
      <c r="H1923" s="89">
        <v>46162</v>
      </c>
      <c r="I1923" s="89">
        <v>46164</v>
      </c>
      <c r="J1923" s="91"/>
      <c r="K1923" s="91"/>
      <c r="M1923" s="91"/>
      <c r="N1923" s="91" t="s">
        <v>3099</v>
      </c>
    </row>
    <row r="1924" spans="1:14" x14ac:dyDescent="0.25">
      <c r="A1924" s="91" t="s">
        <v>1324</v>
      </c>
      <c r="B1924" s="91" t="s">
        <v>1338</v>
      </c>
      <c r="C1924" s="91" t="s">
        <v>3161</v>
      </c>
      <c r="D1924" s="91" t="s">
        <v>23</v>
      </c>
      <c r="E1924" s="91"/>
      <c r="F1924">
        <v>960</v>
      </c>
      <c r="G1924">
        <v>20</v>
      </c>
      <c r="H1924" s="89">
        <v>46163</v>
      </c>
      <c r="I1924" s="89">
        <v>46170</v>
      </c>
      <c r="J1924" s="91" t="s">
        <v>3162</v>
      </c>
      <c r="K1924" s="91"/>
      <c r="M1924" s="91"/>
      <c r="N1924" s="91" t="s">
        <v>3099</v>
      </c>
    </row>
    <row r="1925" spans="1:14" x14ac:dyDescent="0.25">
      <c r="A1925" s="91" t="s">
        <v>1313</v>
      </c>
      <c r="B1925" s="91" t="s">
        <v>1327</v>
      </c>
      <c r="C1925" s="91" t="s">
        <v>3163</v>
      </c>
      <c r="D1925" s="91" t="s">
        <v>129</v>
      </c>
      <c r="E1925" s="91"/>
      <c r="F1925">
        <v>1152</v>
      </c>
      <c r="G1925">
        <v>24</v>
      </c>
      <c r="H1925" s="89">
        <v>46163</v>
      </c>
      <c r="I1925" s="89">
        <v>46168</v>
      </c>
      <c r="J1925" s="91" t="s">
        <v>3164</v>
      </c>
      <c r="K1925" s="91"/>
      <c r="M1925" s="91"/>
      <c r="N1925" s="91" t="s">
        <v>3099</v>
      </c>
    </row>
    <row r="1926" spans="1:14" x14ac:dyDescent="0.25">
      <c r="A1926" s="91" t="s">
        <v>1313</v>
      </c>
      <c r="B1926" s="91" t="s">
        <v>1327</v>
      </c>
      <c r="C1926" s="91" t="s">
        <v>3165</v>
      </c>
      <c r="D1926" s="91" t="s">
        <v>20</v>
      </c>
      <c r="E1926" s="91"/>
      <c r="F1926">
        <v>1104</v>
      </c>
      <c r="G1926">
        <v>23</v>
      </c>
      <c r="H1926" s="89">
        <v>46163</v>
      </c>
      <c r="I1926" s="89">
        <v>46167</v>
      </c>
      <c r="J1926" s="91" t="s">
        <v>3166</v>
      </c>
      <c r="K1926" s="91"/>
      <c r="M1926" s="91"/>
      <c r="N1926" s="91" t="s">
        <v>3099</v>
      </c>
    </row>
    <row r="1927" spans="1:14" x14ac:dyDescent="0.25">
      <c r="A1927" s="91" t="s">
        <v>1319</v>
      </c>
      <c r="B1927" s="91" t="s">
        <v>1333</v>
      </c>
      <c r="C1927" s="91" t="s">
        <v>3165</v>
      </c>
      <c r="D1927" s="91" t="s">
        <v>20</v>
      </c>
      <c r="E1927" s="91"/>
      <c r="F1927">
        <v>48</v>
      </c>
      <c r="G1927">
        <v>1</v>
      </c>
      <c r="H1927" s="89">
        <v>46163</v>
      </c>
      <c r="I1927" s="89">
        <v>46167</v>
      </c>
      <c r="J1927" s="91" t="s">
        <v>3166</v>
      </c>
      <c r="K1927" s="91"/>
      <c r="M1927" s="91"/>
      <c r="N1927" s="91" t="s">
        <v>3099</v>
      </c>
    </row>
    <row r="1928" spans="1:14" x14ac:dyDescent="0.25">
      <c r="A1928" s="91" t="s">
        <v>1315</v>
      </c>
      <c r="B1928" s="91" t="s">
        <v>1329</v>
      </c>
      <c r="C1928" s="91" t="s">
        <v>3165</v>
      </c>
      <c r="D1928" s="91" t="s">
        <v>20</v>
      </c>
      <c r="E1928" s="91"/>
      <c r="F1928">
        <v>138</v>
      </c>
      <c r="G1928" t="s">
        <v>1419</v>
      </c>
      <c r="H1928" s="89">
        <v>46163</v>
      </c>
      <c r="I1928" s="89">
        <v>46163</v>
      </c>
      <c r="J1928" s="91"/>
      <c r="K1928" s="91"/>
      <c r="M1928" s="91"/>
      <c r="N1928" s="91" t="s">
        <v>3099</v>
      </c>
    </row>
    <row r="1929" spans="1:14" x14ac:dyDescent="0.25">
      <c r="A1929" s="91" t="s">
        <v>1316</v>
      </c>
      <c r="B1929" s="91" t="s">
        <v>1330</v>
      </c>
      <c r="C1929" s="91" t="s">
        <v>3167</v>
      </c>
      <c r="D1929" s="91" t="s">
        <v>20</v>
      </c>
      <c r="E1929" s="91"/>
      <c r="F1929">
        <v>64</v>
      </c>
      <c r="G1929" t="s">
        <v>1419</v>
      </c>
      <c r="H1929" s="89">
        <v>46163</v>
      </c>
      <c r="I1929" s="89">
        <v>46165</v>
      </c>
      <c r="J1929" s="91"/>
      <c r="K1929" s="91"/>
      <c r="M1929" s="91"/>
      <c r="N1929" s="91" t="s">
        <v>3099</v>
      </c>
    </row>
    <row r="1930" spans="1:14" x14ac:dyDescent="0.25">
      <c r="A1930" s="91" t="s">
        <v>1317</v>
      </c>
      <c r="B1930" s="91" t="s">
        <v>1331</v>
      </c>
      <c r="C1930" s="91" t="s">
        <v>3168</v>
      </c>
      <c r="D1930" s="91" t="s">
        <v>20</v>
      </c>
      <c r="E1930" s="91"/>
      <c r="F1930">
        <v>7</v>
      </c>
      <c r="G1930" t="s">
        <v>1419</v>
      </c>
      <c r="H1930" s="89">
        <v>46163</v>
      </c>
      <c r="I1930" s="89">
        <v>46165</v>
      </c>
      <c r="J1930" s="91"/>
      <c r="K1930" s="91"/>
      <c r="M1930" s="91"/>
      <c r="N1930" s="91" t="s">
        <v>3099</v>
      </c>
    </row>
    <row r="1931" spans="1:14" x14ac:dyDescent="0.25">
      <c r="A1931" s="91" t="s">
        <v>1318</v>
      </c>
      <c r="B1931" s="91" t="s">
        <v>1332</v>
      </c>
      <c r="C1931" s="91" t="s">
        <v>3169</v>
      </c>
      <c r="D1931" s="91" t="s">
        <v>20</v>
      </c>
      <c r="E1931" s="91"/>
      <c r="F1931">
        <v>31</v>
      </c>
      <c r="G1931" t="s">
        <v>1419</v>
      </c>
      <c r="H1931" s="89">
        <v>46163</v>
      </c>
      <c r="I1931" s="89">
        <v>46165</v>
      </c>
      <c r="J1931" s="91"/>
      <c r="K1931" s="91"/>
      <c r="M1931" s="91"/>
      <c r="N1931" s="91" t="s">
        <v>3099</v>
      </c>
    </row>
    <row r="1932" spans="1:14" x14ac:dyDescent="0.25">
      <c r="A1932" s="91" t="s">
        <v>1324</v>
      </c>
      <c r="B1932" s="91" t="s">
        <v>1338</v>
      </c>
      <c r="C1932" s="91" t="s">
        <v>3170</v>
      </c>
      <c r="D1932" s="91" t="s">
        <v>21</v>
      </c>
      <c r="E1932" s="91"/>
      <c r="F1932">
        <v>960</v>
      </c>
      <c r="G1932">
        <v>20</v>
      </c>
      <c r="H1932" s="89">
        <v>46163</v>
      </c>
      <c r="I1932" s="89">
        <v>46170</v>
      </c>
      <c r="J1932" s="91" t="s">
        <v>3162</v>
      </c>
      <c r="K1932" s="91"/>
      <c r="M1932" s="91"/>
      <c r="N1932" s="91" t="s">
        <v>3099</v>
      </c>
    </row>
    <row r="1933" spans="1:14" x14ac:dyDescent="0.25">
      <c r="A1933" s="91" t="s">
        <v>1324</v>
      </c>
      <c r="B1933" s="91" t="s">
        <v>1338</v>
      </c>
      <c r="C1933" s="91" t="s">
        <v>3170</v>
      </c>
      <c r="D1933" s="91" t="s">
        <v>21</v>
      </c>
      <c r="E1933" s="91"/>
      <c r="F1933">
        <v>432</v>
      </c>
      <c r="G1933">
        <v>9</v>
      </c>
      <c r="H1933" s="89">
        <v>46163</v>
      </c>
      <c r="I1933" s="89">
        <v>46165</v>
      </c>
      <c r="J1933" s="91"/>
      <c r="K1933" s="91"/>
      <c r="M1933" s="91"/>
      <c r="N1933" s="91" t="s">
        <v>3099</v>
      </c>
    </row>
    <row r="1934" spans="1:14" x14ac:dyDescent="0.25">
      <c r="A1934" s="91" t="s">
        <v>1315</v>
      </c>
      <c r="B1934" s="91" t="s">
        <v>1329</v>
      </c>
      <c r="C1934" s="91" t="s">
        <v>3170</v>
      </c>
      <c r="D1934" s="91" t="s">
        <v>21</v>
      </c>
      <c r="E1934" s="91"/>
      <c r="F1934">
        <v>145</v>
      </c>
      <c r="G1934" t="s">
        <v>1419</v>
      </c>
      <c r="H1934" s="89">
        <v>46163</v>
      </c>
      <c r="I1934" s="89">
        <v>46163</v>
      </c>
      <c r="J1934" s="91"/>
      <c r="K1934" s="91"/>
      <c r="M1934" s="91"/>
      <c r="N1934" s="91" t="s">
        <v>3099</v>
      </c>
    </row>
    <row r="1935" spans="1:14" x14ac:dyDescent="0.25">
      <c r="A1935" s="91" t="s">
        <v>1316</v>
      </c>
      <c r="B1935" s="91" t="s">
        <v>1330</v>
      </c>
      <c r="C1935" s="91" t="s">
        <v>3171</v>
      </c>
      <c r="D1935" s="91" t="s">
        <v>21</v>
      </c>
      <c r="E1935" s="91"/>
      <c r="F1935">
        <v>18</v>
      </c>
      <c r="G1935" t="s">
        <v>1419</v>
      </c>
      <c r="H1935" s="89">
        <v>46163</v>
      </c>
      <c r="I1935" s="89">
        <v>46165</v>
      </c>
      <c r="J1935" s="91"/>
      <c r="K1935" s="91"/>
      <c r="M1935" s="91"/>
      <c r="N1935" s="91" t="s">
        <v>3099</v>
      </c>
    </row>
    <row r="1936" spans="1:14" x14ac:dyDescent="0.25">
      <c r="A1936" s="91" t="s">
        <v>1317</v>
      </c>
      <c r="B1936" s="91" t="s">
        <v>1331</v>
      </c>
      <c r="C1936" s="91" t="s">
        <v>3172</v>
      </c>
      <c r="D1936" s="91" t="s">
        <v>21</v>
      </c>
      <c r="E1936" s="91"/>
      <c r="F1936">
        <v>2</v>
      </c>
      <c r="G1936" t="s">
        <v>1419</v>
      </c>
      <c r="H1936" s="89">
        <v>46163</v>
      </c>
      <c r="I1936" s="89">
        <v>46165</v>
      </c>
      <c r="J1936" s="91"/>
      <c r="K1936" s="91"/>
      <c r="M1936" s="91"/>
      <c r="N1936" s="91" t="s">
        <v>3099</v>
      </c>
    </row>
    <row r="1937" spans="1:14" x14ac:dyDescent="0.25">
      <c r="A1937" s="91" t="s">
        <v>1318</v>
      </c>
      <c r="B1937" s="91" t="s">
        <v>1332</v>
      </c>
      <c r="C1937" s="91" t="s">
        <v>3173</v>
      </c>
      <c r="D1937" s="91" t="s">
        <v>21</v>
      </c>
      <c r="E1937" s="91"/>
      <c r="F1937">
        <v>86</v>
      </c>
      <c r="G1937" t="s">
        <v>1419</v>
      </c>
      <c r="H1937" s="89">
        <v>46163</v>
      </c>
      <c r="I1937" s="89">
        <v>46165</v>
      </c>
      <c r="J1937" s="91"/>
      <c r="K1937" s="91"/>
      <c r="M1937" s="91"/>
      <c r="N1937" s="91" t="s">
        <v>3099</v>
      </c>
    </row>
    <row r="1938" spans="1:14" x14ac:dyDescent="0.25">
      <c r="A1938" s="91" t="s">
        <v>1324</v>
      </c>
      <c r="B1938" s="91" t="s">
        <v>1338</v>
      </c>
      <c r="C1938" s="91" t="s">
        <v>3174</v>
      </c>
      <c r="D1938" s="91" t="s">
        <v>15</v>
      </c>
      <c r="E1938" s="91"/>
      <c r="F1938">
        <v>720</v>
      </c>
      <c r="G1938">
        <v>15</v>
      </c>
      <c r="H1938" s="89">
        <v>46163</v>
      </c>
      <c r="I1938" s="89">
        <v>46165</v>
      </c>
      <c r="J1938" s="91"/>
      <c r="K1938" s="91"/>
      <c r="M1938" s="91"/>
      <c r="N1938" s="91" t="s">
        <v>3099</v>
      </c>
    </row>
    <row r="1939" spans="1:14" x14ac:dyDescent="0.25">
      <c r="A1939" s="91" t="s">
        <v>1320</v>
      </c>
      <c r="B1939" s="91" t="s">
        <v>1334</v>
      </c>
      <c r="C1939" s="91" t="s">
        <v>3174</v>
      </c>
      <c r="D1939" s="91" t="s">
        <v>15</v>
      </c>
      <c r="E1939" s="91"/>
      <c r="F1939">
        <v>960</v>
      </c>
      <c r="G1939">
        <v>20</v>
      </c>
      <c r="H1939" s="89">
        <v>46163</v>
      </c>
      <c r="I1939" s="89">
        <v>46168</v>
      </c>
      <c r="J1939" s="91" t="s">
        <v>3175</v>
      </c>
      <c r="K1939" s="91"/>
      <c r="M1939" s="91"/>
      <c r="N1939" s="91" t="s">
        <v>3099</v>
      </c>
    </row>
    <row r="1940" spans="1:14" x14ac:dyDescent="0.25">
      <c r="A1940" s="91" t="s">
        <v>1315</v>
      </c>
      <c r="B1940" s="91" t="s">
        <v>1329</v>
      </c>
      <c r="C1940" s="91" t="s">
        <v>3174</v>
      </c>
      <c r="D1940" s="91" t="s">
        <v>15</v>
      </c>
      <c r="E1940" s="91"/>
      <c r="F1940">
        <v>3</v>
      </c>
      <c r="G1940" t="s">
        <v>1419</v>
      </c>
      <c r="H1940" s="89">
        <v>46163</v>
      </c>
      <c r="I1940" s="89">
        <v>46163</v>
      </c>
      <c r="J1940" s="91"/>
      <c r="K1940" s="91"/>
      <c r="M1940" s="91"/>
      <c r="N1940" s="91" t="s">
        <v>3099</v>
      </c>
    </row>
    <row r="1941" spans="1:14" x14ac:dyDescent="0.25">
      <c r="A1941" s="91" t="s">
        <v>1316</v>
      </c>
      <c r="B1941" s="91" t="s">
        <v>1330</v>
      </c>
      <c r="C1941" s="91" t="s">
        <v>3176</v>
      </c>
      <c r="D1941" s="91" t="s">
        <v>15</v>
      </c>
      <c r="E1941" s="91"/>
      <c r="F1941">
        <v>106</v>
      </c>
      <c r="G1941" t="s">
        <v>1419</v>
      </c>
      <c r="H1941" s="89">
        <v>46163</v>
      </c>
      <c r="I1941" s="89">
        <v>46165</v>
      </c>
      <c r="J1941" s="91"/>
      <c r="K1941" s="91"/>
      <c r="M1941" s="91"/>
      <c r="N1941" s="91" t="s">
        <v>3099</v>
      </c>
    </row>
    <row r="1942" spans="1:14" x14ac:dyDescent="0.25">
      <c r="A1942" s="91" t="s">
        <v>1317</v>
      </c>
      <c r="B1942" s="91" t="s">
        <v>1331</v>
      </c>
      <c r="C1942" s="91" t="s">
        <v>3177</v>
      </c>
      <c r="D1942" s="91" t="s">
        <v>15</v>
      </c>
      <c r="E1942" s="91"/>
      <c r="F1942">
        <v>19</v>
      </c>
      <c r="G1942" t="s">
        <v>1419</v>
      </c>
      <c r="H1942" s="89">
        <v>46163</v>
      </c>
      <c r="I1942" s="89">
        <v>46165</v>
      </c>
      <c r="J1942" s="91"/>
      <c r="K1942" s="91"/>
      <c r="M1942" s="91"/>
      <c r="N1942" s="91" t="s">
        <v>3099</v>
      </c>
    </row>
    <row r="1943" spans="1:14" x14ac:dyDescent="0.25">
      <c r="A1943" s="91" t="s">
        <v>1318</v>
      </c>
      <c r="B1943" s="91" t="s">
        <v>1332</v>
      </c>
      <c r="C1943" s="91" t="s">
        <v>3178</v>
      </c>
      <c r="D1943" s="91" t="s">
        <v>15</v>
      </c>
      <c r="E1943" s="91"/>
      <c r="F1943">
        <v>31</v>
      </c>
      <c r="G1943" t="s">
        <v>1419</v>
      </c>
      <c r="H1943" s="89">
        <v>46163</v>
      </c>
      <c r="I1943" s="89">
        <v>46165</v>
      </c>
      <c r="J1943" s="91"/>
      <c r="K1943" s="91"/>
      <c r="M1943" s="91"/>
      <c r="N1943" s="91" t="s">
        <v>3099</v>
      </c>
    </row>
    <row r="1944" spans="1:14" x14ac:dyDescent="0.25">
      <c r="A1944" s="91" t="s">
        <v>1326</v>
      </c>
      <c r="B1944" s="91" t="s">
        <v>1340</v>
      </c>
      <c r="C1944" s="91" t="s">
        <v>3179</v>
      </c>
      <c r="D1944" s="91" t="s">
        <v>32</v>
      </c>
      <c r="E1944" s="91"/>
      <c r="F1944">
        <v>840</v>
      </c>
      <c r="G1944">
        <v>20</v>
      </c>
      <c r="H1944" s="89">
        <v>46164</v>
      </c>
      <c r="I1944" s="89">
        <v>46172</v>
      </c>
      <c r="J1944" s="91" t="s">
        <v>3180</v>
      </c>
      <c r="K1944" s="91"/>
      <c r="M1944" s="91"/>
      <c r="N1944" s="91" t="s">
        <v>3099</v>
      </c>
    </row>
    <row r="1945" spans="1:14" x14ac:dyDescent="0.25">
      <c r="A1945" s="91" t="s">
        <v>1320</v>
      </c>
      <c r="B1945" s="91" t="s">
        <v>1334</v>
      </c>
      <c r="C1945" s="91" t="s">
        <v>3181</v>
      </c>
      <c r="D1945" s="91" t="s">
        <v>30</v>
      </c>
      <c r="E1945" s="91"/>
      <c r="F1945">
        <v>528</v>
      </c>
      <c r="G1945">
        <v>11</v>
      </c>
      <c r="H1945" s="89">
        <v>46164</v>
      </c>
      <c r="I1945" s="89">
        <v>46169</v>
      </c>
      <c r="J1945" s="91" t="s">
        <v>3182</v>
      </c>
      <c r="K1945" s="91"/>
      <c r="M1945" s="91"/>
      <c r="N1945" s="91" t="s">
        <v>3099</v>
      </c>
    </row>
    <row r="1946" spans="1:14" x14ac:dyDescent="0.25">
      <c r="A1946" s="91" t="s">
        <v>1320</v>
      </c>
      <c r="B1946" s="91" t="s">
        <v>1334</v>
      </c>
      <c r="C1946" s="91" t="s">
        <v>3183</v>
      </c>
      <c r="D1946" s="91" t="s">
        <v>23</v>
      </c>
      <c r="E1946" s="91"/>
      <c r="F1946">
        <v>960</v>
      </c>
      <c r="G1946">
        <v>20</v>
      </c>
      <c r="H1946" s="89">
        <v>46164</v>
      </c>
      <c r="I1946" s="89">
        <v>46169</v>
      </c>
      <c r="J1946" s="91" t="s">
        <v>3184</v>
      </c>
      <c r="K1946" s="91"/>
      <c r="M1946" s="91"/>
      <c r="N1946" s="91" t="s">
        <v>3099</v>
      </c>
    </row>
    <row r="1947" spans="1:14" x14ac:dyDescent="0.25">
      <c r="A1947" s="91" t="s">
        <v>1313</v>
      </c>
      <c r="B1947" s="91" t="s">
        <v>1327</v>
      </c>
      <c r="C1947" s="91" t="s">
        <v>3185</v>
      </c>
      <c r="D1947" s="91" t="s">
        <v>20</v>
      </c>
      <c r="E1947" s="91"/>
      <c r="F1947">
        <v>1152</v>
      </c>
      <c r="G1947">
        <v>24</v>
      </c>
      <c r="H1947" s="89">
        <v>46164</v>
      </c>
      <c r="I1947" s="89">
        <v>46169</v>
      </c>
      <c r="J1947" s="91" t="s">
        <v>3186</v>
      </c>
      <c r="K1947" s="91"/>
      <c r="M1947" s="91"/>
      <c r="N1947" s="91" t="s">
        <v>3099</v>
      </c>
    </row>
    <row r="1948" spans="1:14" x14ac:dyDescent="0.25">
      <c r="A1948" s="91" t="s">
        <v>1315</v>
      </c>
      <c r="B1948" s="91" t="s">
        <v>1329</v>
      </c>
      <c r="C1948" s="91" t="s">
        <v>3185</v>
      </c>
      <c r="D1948" s="91" t="s">
        <v>20</v>
      </c>
      <c r="E1948" s="91"/>
      <c r="F1948">
        <v>43</v>
      </c>
      <c r="G1948" t="s">
        <v>1419</v>
      </c>
      <c r="H1948" s="89">
        <v>46164</v>
      </c>
      <c r="I1948" s="89">
        <v>46166</v>
      </c>
      <c r="J1948" s="91"/>
      <c r="K1948" s="91"/>
      <c r="M1948" s="91"/>
      <c r="N1948" s="91" t="s">
        <v>3099</v>
      </c>
    </row>
    <row r="1949" spans="1:14" x14ac:dyDescent="0.25">
      <c r="A1949" s="91" t="s">
        <v>1316</v>
      </c>
      <c r="B1949" s="91" t="s">
        <v>1330</v>
      </c>
      <c r="C1949" s="91" t="s">
        <v>3187</v>
      </c>
      <c r="D1949" s="91" t="s">
        <v>20</v>
      </c>
      <c r="E1949" s="91"/>
      <c r="F1949">
        <v>29</v>
      </c>
      <c r="G1949" t="s">
        <v>1419</v>
      </c>
      <c r="H1949" s="89">
        <v>46164</v>
      </c>
      <c r="I1949" s="89">
        <v>46166</v>
      </c>
      <c r="J1949" s="91"/>
      <c r="K1949" s="91"/>
      <c r="M1949" s="91"/>
      <c r="N1949" s="91" t="s">
        <v>3099</v>
      </c>
    </row>
    <row r="1950" spans="1:14" x14ac:dyDescent="0.25">
      <c r="A1950" s="91" t="s">
        <v>1317</v>
      </c>
      <c r="B1950" s="91" t="s">
        <v>1331</v>
      </c>
      <c r="C1950" s="91" t="s">
        <v>3188</v>
      </c>
      <c r="D1950" s="91" t="s">
        <v>20</v>
      </c>
      <c r="E1950" s="91"/>
      <c r="F1950">
        <v>7</v>
      </c>
      <c r="G1950" t="s">
        <v>1419</v>
      </c>
      <c r="H1950" s="89">
        <v>46164</v>
      </c>
      <c r="I1950" s="89">
        <v>46166</v>
      </c>
      <c r="J1950" s="91"/>
      <c r="K1950" s="91"/>
      <c r="M1950" s="91"/>
      <c r="N1950" s="91" t="s">
        <v>3099</v>
      </c>
    </row>
    <row r="1951" spans="1:14" x14ac:dyDescent="0.25">
      <c r="A1951" s="91" t="s">
        <v>1318</v>
      </c>
      <c r="B1951" s="91" t="s">
        <v>1332</v>
      </c>
      <c r="C1951" s="91" t="s">
        <v>3189</v>
      </c>
      <c r="D1951" s="91" t="s">
        <v>20</v>
      </c>
      <c r="E1951" s="91"/>
      <c r="F1951">
        <v>16</v>
      </c>
      <c r="G1951" t="s">
        <v>1419</v>
      </c>
      <c r="H1951" s="89">
        <v>46164</v>
      </c>
      <c r="I1951" s="89">
        <v>46166</v>
      </c>
      <c r="J1951" s="91"/>
      <c r="K1951" s="91"/>
      <c r="M1951" s="91"/>
      <c r="N1951" s="91" t="s">
        <v>3099</v>
      </c>
    </row>
    <row r="1952" spans="1:14" x14ac:dyDescent="0.25">
      <c r="A1952" s="91" t="s">
        <v>1313</v>
      </c>
      <c r="B1952" s="91" t="s">
        <v>1327</v>
      </c>
      <c r="C1952" s="91" t="s">
        <v>3190</v>
      </c>
      <c r="D1952" s="91" t="s">
        <v>21</v>
      </c>
      <c r="E1952" s="91"/>
      <c r="F1952">
        <v>432</v>
      </c>
      <c r="G1952">
        <v>9</v>
      </c>
      <c r="H1952" s="89">
        <v>46164</v>
      </c>
      <c r="I1952" s="89">
        <v>46168</v>
      </c>
      <c r="J1952" s="91" t="s">
        <v>3191</v>
      </c>
      <c r="K1952" s="91"/>
      <c r="M1952" s="91"/>
      <c r="N1952" s="91" t="s">
        <v>3099</v>
      </c>
    </row>
    <row r="1953" spans="1:14" x14ac:dyDescent="0.25">
      <c r="A1953" s="91" t="s">
        <v>1320</v>
      </c>
      <c r="B1953" s="91" t="s">
        <v>1334</v>
      </c>
      <c r="C1953" s="91" t="s">
        <v>3190</v>
      </c>
      <c r="D1953" s="91" t="s">
        <v>21</v>
      </c>
      <c r="E1953" s="91"/>
      <c r="F1953">
        <v>960</v>
      </c>
      <c r="G1953">
        <v>20</v>
      </c>
      <c r="H1953" s="89">
        <v>46164</v>
      </c>
      <c r="I1953" s="89">
        <v>46170</v>
      </c>
      <c r="J1953" s="91" t="s">
        <v>3192</v>
      </c>
      <c r="K1953" s="91"/>
      <c r="M1953" s="91"/>
      <c r="N1953" s="91" t="s">
        <v>3099</v>
      </c>
    </row>
    <row r="1954" spans="1:14" x14ac:dyDescent="0.25">
      <c r="A1954" s="91" t="s">
        <v>1315</v>
      </c>
      <c r="B1954" s="91" t="s">
        <v>1329</v>
      </c>
      <c r="C1954" s="91" t="s">
        <v>3190</v>
      </c>
      <c r="D1954" s="91" t="s">
        <v>21</v>
      </c>
      <c r="E1954" s="91"/>
      <c r="F1954">
        <v>47</v>
      </c>
      <c r="G1954" t="s">
        <v>1419</v>
      </c>
      <c r="H1954" s="89">
        <v>46164</v>
      </c>
      <c r="I1954" s="89">
        <v>46166</v>
      </c>
      <c r="J1954" s="91"/>
      <c r="K1954" s="91"/>
      <c r="M1954" s="91"/>
      <c r="N1954" s="91" t="s">
        <v>3099</v>
      </c>
    </row>
    <row r="1955" spans="1:14" x14ac:dyDescent="0.25">
      <c r="A1955" s="91" t="s">
        <v>1316</v>
      </c>
      <c r="B1955" s="91" t="s">
        <v>1330</v>
      </c>
      <c r="C1955" s="91" t="s">
        <v>3193</v>
      </c>
      <c r="D1955" s="91" t="s">
        <v>21</v>
      </c>
      <c r="E1955" s="91"/>
      <c r="F1955">
        <v>9</v>
      </c>
      <c r="G1955" t="s">
        <v>1419</v>
      </c>
      <c r="H1955" s="89">
        <v>46164</v>
      </c>
      <c r="I1955" s="89">
        <v>46166</v>
      </c>
      <c r="J1955" s="91"/>
      <c r="K1955" s="91"/>
      <c r="M1955" s="91"/>
      <c r="N1955" s="91" t="s">
        <v>3099</v>
      </c>
    </row>
    <row r="1956" spans="1:14" x14ac:dyDescent="0.25">
      <c r="A1956" s="91" t="s">
        <v>1317</v>
      </c>
      <c r="B1956" s="91" t="s">
        <v>1331</v>
      </c>
      <c r="C1956" s="91" t="s">
        <v>3194</v>
      </c>
      <c r="D1956" s="91" t="s">
        <v>21</v>
      </c>
      <c r="E1956" s="91"/>
      <c r="F1956">
        <v>16</v>
      </c>
      <c r="G1956" t="s">
        <v>1419</v>
      </c>
      <c r="H1956" s="89">
        <v>46164</v>
      </c>
      <c r="I1956" s="89">
        <v>46166</v>
      </c>
      <c r="J1956" s="91"/>
      <c r="K1956" s="91"/>
      <c r="M1956" s="91"/>
      <c r="N1956" s="91" t="s">
        <v>3099</v>
      </c>
    </row>
    <row r="1957" spans="1:14" x14ac:dyDescent="0.25">
      <c r="A1957" s="91" t="s">
        <v>1318</v>
      </c>
      <c r="B1957" s="91" t="s">
        <v>1332</v>
      </c>
      <c r="C1957" s="91" t="s">
        <v>3195</v>
      </c>
      <c r="D1957" s="91" t="s">
        <v>21</v>
      </c>
      <c r="E1957" s="91"/>
      <c r="F1957">
        <v>76</v>
      </c>
      <c r="G1957" t="s">
        <v>1419</v>
      </c>
      <c r="H1957" s="89">
        <v>46164</v>
      </c>
      <c r="I1957" s="89">
        <v>46166</v>
      </c>
      <c r="J1957" s="91"/>
      <c r="K1957" s="91"/>
      <c r="M1957" s="91"/>
      <c r="N1957" s="91" t="s">
        <v>3099</v>
      </c>
    </row>
    <row r="1958" spans="1:14" x14ac:dyDescent="0.25">
      <c r="A1958" s="91" t="s">
        <v>1320</v>
      </c>
      <c r="B1958" s="91" t="s">
        <v>1334</v>
      </c>
      <c r="C1958" s="91" t="s">
        <v>3196</v>
      </c>
      <c r="D1958" s="91" t="s">
        <v>15</v>
      </c>
      <c r="E1958" s="91"/>
      <c r="F1958">
        <v>960</v>
      </c>
      <c r="G1958">
        <v>20</v>
      </c>
      <c r="H1958" s="89">
        <v>46164</v>
      </c>
      <c r="I1958" s="89">
        <v>46170</v>
      </c>
      <c r="J1958" s="91" t="s">
        <v>3197</v>
      </c>
      <c r="K1958" s="91"/>
      <c r="M1958" s="91"/>
      <c r="N1958" s="91" t="s">
        <v>3099</v>
      </c>
    </row>
    <row r="1959" spans="1:14" x14ac:dyDescent="0.25">
      <c r="A1959" s="91" t="s">
        <v>1313</v>
      </c>
      <c r="B1959" s="91" t="s">
        <v>1327</v>
      </c>
      <c r="C1959" s="91" t="s">
        <v>3196</v>
      </c>
      <c r="D1959" s="91" t="s">
        <v>15</v>
      </c>
      <c r="E1959" s="91"/>
      <c r="F1959">
        <v>432</v>
      </c>
      <c r="G1959">
        <v>9</v>
      </c>
      <c r="H1959" s="89">
        <v>46164</v>
      </c>
      <c r="I1959" s="89">
        <v>46168</v>
      </c>
      <c r="J1959" s="91" t="s">
        <v>3191</v>
      </c>
      <c r="K1959" s="91"/>
      <c r="M1959" s="91"/>
      <c r="N1959" s="91" t="s">
        <v>3099</v>
      </c>
    </row>
    <row r="1960" spans="1:14" x14ac:dyDescent="0.25">
      <c r="A1960" s="91" t="s">
        <v>1314</v>
      </c>
      <c r="B1960" s="91" t="s">
        <v>1328</v>
      </c>
      <c r="C1960" s="91" t="s">
        <v>3196</v>
      </c>
      <c r="D1960" s="91" t="s">
        <v>15</v>
      </c>
      <c r="E1960" s="91"/>
      <c r="F1960">
        <v>288</v>
      </c>
      <c r="G1960">
        <v>6</v>
      </c>
      <c r="H1960" s="89">
        <v>46164</v>
      </c>
      <c r="I1960" s="89">
        <v>46168</v>
      </c>
      <c r="J1960" s="91" t="s">
        <v>3198</v>
      </c>
      <c r="K1960" s="91"/>
      <c r="M1960" s="91"/>
      <c r="N1960" s="91" t="s">
        <v>3099</v>
      </c>
    </row>
    <row r="1961" spans="1:14" x14ac:dyDescent="0.25">
      <c r="A1961" s="91" t="s">
        <v>1315</v>
      </c>
      <c r="B1961" s="91" t="s">
        <v>1329</v>
      </c>
      <c r="C1961" s="91" t="s">
        <v>3196</v>
      </c>
      <c r="D1961" s="91" t="s">
        <v>15</v>
      </c>
      <c r="E1961" s="91"/>
      <c r="F1961">
        <v>31</v>
      </c>
      <c r="G1961" t="s">
        <v>1419</v>
      </c>
      <c r="H1961" s="89">
        <v>46164</v>
      </c>
      <c r="I1961" s="89">
        <v>46166</v>
      </c>
      <c r="J1961" s="91"/>
      <c r="K1961" s="91"/>
      <c r="M1961" s="91"/>
      <c r="N1961" s="91" t="s">
        <v>3099</v>
      </c>
    </row>
    <row r="1962" spans="1:14" x14ac:dyDescent="0.25">
      <c r="A1962" s="91" t="s">
        <v>1316</v>
      </c>
      <c r="B1962" s="91" t="s">
        <v>1330</v>
      </c>
      <c r="C1962" s="91" t="s">
        <v>3199</v>
      </c>
      <c r="D1962" s="91" t="s">
        <v>15</v>
      </c>
      <c r="E1962" s="91"/>
      <c r="F1962">
        <v>76</v>
      </c>
      <c r="G1962" t="s">
        <v>1419</v>
      </c>
      <c r="H1962" s="89">
        <v>46164</v>
      </c>
      <c r="I1962" s="89">
        <v>46166</v>
      </c>
      <c r="J1962" s="91"/>
      <c r="K1962" s="91"/>
      <c r="M1962" s="91"/>
      <c r="N1962" s="91" t="s">
        <v>3099</v>
      </c>
    </row>
    <row r="1963" spans="1:14" x14ac:dyDescent="0.25">
      <c r="A1963" s="91" t="s">
        <v>1317</v>
      </c>
      <c r="B1963" s="91" t="s">
        <v>1331</v>
      </c>
      <c r="C1963" s="91" t="s">
        <v>3200</v>
      </c>
      <c r="D1963" s="91" t="s">
        <v>15</v>
      </c>
      <c r="E1963" s="91"/>
      <c r="F1963">
        <v>18</v>
      </c>
      <c r="G1963" t="s">
        <v>1419</v>
      </c>
      <c r="H1963" s="89">
        <v>46164</v>
      </c>
      <c r="I1963" s="89">
        <v>46166</v>
      </c>
      <c r="J1963" s="91"/>
      <c r="K1963" s="91"/>
      <c r="M1963" s="91"/>
      <c r="N1963" s="91" t="s">
        <v>3099</v>
      </c>
    </row>
    <row r="1964" spans="1:14" x14ac:dyDescent="0.25">
      <c r="A1964" s="91" t="s">
        <v>1318</v>
      </c>
      <c r="B1964" s="91" t="s">
        <v>1332</v>
      </c>
      <c r="C1964" s="91" t="s">
        <v>3201</v>
      </c>
      <c r="D1964" s="91" t="s">
        <v>15</v>
      </c>
      <c r="E1964" s="91"/>
      <c r="F1964">
        <v>29</v>
      </c>
      <c r="G1964" t="s">
        <v>1419</v>
      </c>
      <c r="H1964" s="89">
        <v>46164</v>
      </c>
      <c r="I1964" s="89">
        <v>46166</v>
      </c>
      <c r="J1964" s="91"/>
      <c r="K1964" s="91"/>
      <c r="M1964" s="91"/>
      <c r="N1964" s="91" t="s">
        <v>3099</v>
      </c>
    </row>
    <row r="1965" spans="1:14" x14ac:dyDescent="0.25">
      <c r="A1965" s="91" t="s">
        <v>1320</v>
      </c>
      <c r="B1965" s="91" t="s">
        <v>1334</v>
      </c>
      <c r="C1965" s="91" t="s">
        <v>3202</v>
      </c>
      <c r="D1965" s="91" t="s">
        <v>30</v>
      </c>
      <c r="E1965" s="91"/>
      <c r="F1965">
        <v>432</v>
      </c>
      <c r="G1965">
        <v>9</v>
      </c>
      <c r="H1965" s="89">
        <v>46165</v>
      </c>
      <c r="I1965" s="89">
        <v>46169</v>
      </c>
      <c r="J1965" s="91" t="s">
        <v>3182</v>
      </c>
      <c r="K1965" s="91"/>
      <c r="M1965" s="91"/>
      <c r="N1965" s="91" t="s">
        <v>3099</v>
      </c>
    </row>
    <row r="1966" spans="1:14" x14ac:dyDescent="0.25">
      <c r="A1966" s="91" t="s">
        <v>1324</v>
      </c>
      <c r="B1966" s="91" t="s">
        <v>1338</v>
      </c>
      <c r="C1966" s="91" t="s">
        <v>3203</v>
      </c>
      <c r="D1966" s="91" t="s">
        <v>15</v>
      </c>
      <c r="E1966" s="91"/>
      <c r="F1966">
        <v>960</v>
      </c>
      <c r="G1966">
        <v>20</v>
      </c>
      <c r="H1966" s="89">
        <v>46165</v>
      </c>
      <c r="I1966" s="89">
        <v>46172</v>
      </c>
      <c r="J1966" s="91" t="s">
        <v>3204</v>
      </c>
      <c r="K1966" s="91"/>
      <c r="M1966" s="91"/>
      <c r="N1966" s="91" t="s">
        <v>3099</v>
      </c>
    </row>
    <row r="1967" spans="1:14" x14ac:dyDescent="0.25">
      <c r="A1967" s="91" t="s">
        <v>1315</v>
      </c>
      <c r="B1967" s="91" t="s">
        <v>1329</v>
      </c>
      <c r="C1967" s="91" t="s">
        <v>3203</v>
      </c>
      <c r="D1967" s="91" t="s">
        <v>15</v>
      </c>
      <c r="E1967" s="91"/>
      <c r="F1967">
        <v>110</v>
      </c>
      <c r="G1967" t="s">
        <v>1419</v>
      </c>
      <c r="H1967" s="89">
        <v>46165</v>
      </c>
      <c r="I1967" s="89">
        <v>46167</v>
      </c>
      <c r="J1967" s="91"/>
      <c r="K1967" s="91"/>
      <c r="M1967" s="91"/>
      <c r="N1967" s="91" t="s">
        <v>3099</v>
      </c>
    </row>
    <row r="1968" spans="1:14" x14ac:dyDescent="0.25">
      <c r="A1968" s="91" t="s">
        <v>1316</v>
      </c>
      <c r="B1968" s="91" t="s">
        <v>1330</v>
      </c>
      <c r="C1968" s="91" t="s">
        <v>3205</v>
      </c>
      <c r="D1968" s="91" t="s">
        <v>15</v>
      </c>
      <c r="E1968" s="91"/>
      <c r="F1968">
        <v>42</v>
      </c>
      <c r="G1968" t="s">
        <v>1419</v>
      </c>
      <c r="H1968" s="89">
        <v>46165</v>
      </c>
      <c r="I1968" s="89">
        <v>46167</v>
      </c>
      <c r="J1968" s="91"/>
      <c r="K1968" s="91"/>
      <c r="M1968" s="91"/>
      <c r="N1968" s="91" t="s">
        <v>3099</v>
      </c>
    </row>
    <row r="1969" spans="1:14" x14ac:dyDescent="0.25">
      <c r="A1969" s="91" t="s">
        <v>1317</v>
      </c>
      <c r="B1969" s="91" t="s">
        <v>1331</v>
      </c>
      <c r="C1969" s="91" t="s">
        <v>3206</v>
      </c>
      <c r="D1969" s="91" t="s">
        <v>15</v>
      </c>
      <c r="E1969" s="91"/>
      <c r="F1969">
        <v>16</v>
      </c>
      <c r="G1969" t="s">
        <v>1419</v>
      </c>
      <c r="H1969" s="89">
        <v>46165</v>
      </c>
      <c r="I1969" s="89">
        <v>46167</v>
      </c>
      <c r="J1969" s="91"/>
      <c r="K1969" s="91"/>
      <c r="M1969" s="91"/>
      <c r="N1969" s="91" t="s">
        <v>3099</v>
      </c>
    </row>
    <row r="1970" spans="1:14" x14ac:dyDescent="0.25">
      <c r="A1970" s="91" t="s">
        <v>1318</v>
      </c>
      <c r="B1970" s="91" t="s">
        <v>1332</v>
      </c>
      <c r="C1970" s="91" t="s">
        <v>3207</v>
      </c>
      <c r="D1970" s="91" t="s">
        <v>15</v>
      </c>
      <c r="E1970" s="91"/>
      <c r="F1970">
        <v>9</v>
      </c>
      <c r="G1970" t="s">
        <v>1419</v>
      </c>
      <c r="H1970" s="89">
        <v>46165</v>
      </c>
      <c r="I1970" s="89">
        <v>46167</v>
      </c>
      <c r="J1970" s="91"/>
      <c r="K1970" s="91"/>
      <c r="M1970" s="91"/>
      <c r="N1970" s="91" t="s">
        <v>3099</v>
      </c>
    </row>
    <row r="1971" spans="1:14" x14ac:dyDescent="0.25">
      <c r="A1971" s="91" t="s">
        <v>1324</v>
      </c>
      <c r="B1971" s="91" t="s">
        <v>1338</v>
      </c>
      <c r="C1971" s="91" t="s">
        <v>3208</v>
      </c>
      <c r="D1971" s="91" t="s">
        <v>28</v>
      </c>
      <c r="E1971" s="91"/>
      <c r="F1971">
        <v>960</v>
      </c>
      <c r="G1971">
        <v>20</v>
      </c>
      <c r="H1971" s="89">
        <v>46165</v>
      </c>
      <c r="I1971" s="89">
        <v>46172</v>
      </c>
      <c r="J1971" s="91" t="s">
        <v>3204</v>
      </c>
      <c r="K1971" s="91"/>
      <c r="M1971" s="91"/>
      <c r="N1971" s="91" t="s">
        <v>3099</v>
      </c>
    </row>
    <row r="1972" spans="1:14" x14ac:dyDescent="0.25">
      <c r="A1972" s="91" t="s">
        <v>1313</v>
      </c>
      <c r="B1972" s="91" t="s">
        <v>1327</v>
      </c>
      <c r="C1972" s="91" t="s">
        <v>3208</v>
      </c>
      <c r="D1972" s="91" t="s">
        <v>28</v>
      </c>
      <c r="E1972" s="91"/>
      <c r="F1972">
        <v>192</v>
      </c>
      <c r="G1972">
        <v>4</v>
      </c>
      <c r="H1972" s="89">
        <v>46165</v>
      </c>
      <c r="I1972" s="89">
        <v>46168</v>
      </c>
      <c r="J1972" s="91"/>
      <c r="K1972" s="91"/>
      <c r="M1972" s="91"/>
      <c r="N1972" s="91" t="s">
        <v>3099</v>
      </c>
    </row>
    <row r="1973" spans="1:14" x14ac:dyDescent="0.25">
      <c r="A1973" s="91" t="s">
        <v>1315</v>
      </c>
      <c r="B1973" s="91" t="s">
        <v>1329</v>
      </c>
      <c r="C1973" s="91" t="s">
        <v>3208</v>
      </c>
      <c r="D1973" s="91" t="s">
        <v>28</v>
      </c>
      <c r="E1973" s="91"/>
      <c r="F1973">
        <v>69</v>
      </c>
      <c r="G1973" t="s">
        <v>1419</v>
      </c>
      <c r="H1973" s="89">
        <v>46165</v>
      </c>
      <c r="I1973" s="89">
        <v>46167</v>
      </c>
      <c r="J1973" s="91"/>
      <c r="K1973" s="91"/>
      <c r="M1973" s="91"/>
      <c r="N1973" s="91" t="s">
        <v>3099</v>
      </c>
    </row>
    <row r="1974" spans="1:14" x14ac:dyDescent="0.25">
      <c r="A1974" s="91" t="s">
        <v>1316</v>
      </c>
      <c r="B1974" s="91" t="s">
        <v>1330</v>
      </c>
      <c r="C1974" s="91" t="s">
        <v>3209</v>
      </c>
      <c r="D1974" s="91" t="s">
        <v>28</v>
      </c>
      <c r="E1974" s="91"/>
      <c r="F1974">
        <v>25</v>
      </c>
      <c r="G1974" t="s">
        <v>1419</v>
      </c>
      <c r="H1974" s="89">
        <v>46165</v>
      </c>
      <c r="I1974" s="89">
        <v>46167</v>
      </c>
      <c r="J1974" s="91"/>
      <c r="K1974" s="91"/>
      <c r="M1974" s="91"/>
      <c r="N1974" s="91" t="s">
        <v>3099</v>
      </c>
    </row>
    <row r="1975" spans="1:14" x14ac:dyDescent="0.25">
      <c r="A1975" s="91" t="s">
        <v>1317</v>
      </c>
      <c r="B1975" s="91" t="s">
        <v>1331</v>
      </c>
      <c r="C1975" s="91" t="s">
        <v>3210</v>
      </c>
      <c r="D1975" s="91" t="s">
        <v>28</v>
      </c>
      <c r="E1975" s="91"/>
      <c r="F1975">
        <v>3</v>
      </c>
      <c r="G1975" t="s">
        <v>1419</v>
      </c>
      <c r="H1975" s="89">
        <v>46165</v>
      </c>
      <c r="I1975" s="89">
        <v>46167</v>
      </c>
      <c r="J1975" s="91"/>
      <c r="K1975" s="91"/>
      <c r="M1975" s="91"/>
      <c r="N1975" s="91" t="s">
        <v>3099</v>
      </c>
    </row>
    <row r="1976" spans="1:14" x14ac:dyDescent="0.25">
      <c r="A1976" s="91" t="s">
        <v>1318</v>
      </c>
      <c r="B1976" s="91" t="s">
        <v>1332</v>
      </c>
      <c r="C1976" s="91" t="s">
        <v>3211</v>
      </c>
      <c r="D1976" s="91" t="s">
        <v>28</v>
      </c>
      <c r="E1976" s="91"/>
      <c r="F1976">
        <v>62</v>
      </c>
      <c r="G1976" t="s">
        <v>1419</v>
      </c>
      <c r="H1976" s="89">
        <v>46165</v>
      </c>
      <c r="I1976" s="89">
        <v>46167</v>
      </c>
      <c r="J1976" s="91"/>
      <c r="K1976" s="91"/>
      <c r="M1976" s="91"/>
      <c r="N1976" s="91" t="s">
        <v>3099</v>
      </c>
    </row>
    <row r="1977" spans="1:14" x14ac:dyDescent="0.25">
      <c r="A1977" s="91" t="s">
        <v>1326</v>
      </c>
      <c r="B1977" s="91" t="s">
        <v>1340</v>
      </c>
      <c r="C1977" s="91" t="s">
        <v>3212</v>
      </c>
      <c r="D1977" s="91" t="s">
        <v>32</v>
      </c>
      <c r="E1977" s="91"/>
      <c r="F1977">
        <v>1008</v>
      </c>
      <c r="G1977">
        <v>24</v>
      </c>
      <c r="H1977" s="89">
        <v>46167</v>
      </c>
      <c r="I1977" s="89">
        <v>46175</v>
      </c>
      <c r="J1977" s="91" t="s">
        <v>3213</v>
      </c>
      <c r="K1977" s="91"/>
      <c r="M1977" s="91"/>
      <c r="N1977" s="91" t="s">
        <v>3214</v>
      </c>
    </row>
    <row r="1978" spans="1:14" x14ac:dyDescent="0.25">
      <c r="A1978" s="91" t="s">
        <v>1321</v>
      </c>
      <c r="B1978" s="91" t="s">
        <v>1335</v>
      </c>
      <c r="C1978" s="91" t="s">
        <v>3215</v>
      </c>
      <c r="D1978" s="91" t="s">
        <v>138</v>
      </c>
      <c r="E1978" s="91"/>
      <c r="F1978">
        <v>96</v>
      </c>
      <c r="G1978">
        <v>2</v>
      </c>
      <c r="H1978" s="89">
        <v>46167</v>
      </c>
      <c r="I1978" s="89">
        <v>46174</v>
      </c>
      <c r="J1978" s="91" t="s">
        <v>3216</v>
      </c>
      <c r="K1978" s="91"/>
      <c r="M1978" s="91"/>
      <c r="N1978" s="91" t="s">
        <v>3214</v>
      </c>
    </row>
    <row r="1979" spans="1:14" x14ac:dyDescent="0.25">
      <c r="A1979" s="91" t="s">
        <v>1325</v>
      </c>
      <c r="B1979" s="91" t="s">
        <v>1339</v>
      </c>
      <c r="C1979" s="91" t="s">
        <v>3215</v>
      </c>
      <c r="D1979" s="91" t="s">
        <v>138</v>
      </c>
      <c r="E1979" s="91"/>
      <c r="F1979">
        <v>384</v>
      </c>
      <c r="G1979">
        <v>8</v>
      </c>
      <c r="H1979" s="89">
        <v>46167</v>
      </c>
      <c r="I1979" s="89">
        <v>46169</v>
      </c>
      <c r="J1979" s="91"/>
      <c r="K1979" s="91"/>
      <c r="M1979" s="91"/>
      <c r="N1979" s="91" t="s">
        <v>3214</v>
      </c>
    </row>
    <row r="1980" spans="1:14" x14ac:dyDescent="0.25">
      <c r="A1980" s="91" t="s">
        <v>1313</v>
      </c>
      <c r="B1980" s="91" t="s">
        <v>1327</v>
      </c>
      <c r="C1980" s="91" t="s">
        <v>3217</v>
      </c>
      <c r="D1980" s="91" t="s">
        <v>20</v>
      </c>
      <c r="E1980" s="91"/>
      <c r="F1980">
        <v>1104</v>
      </c>
      <c r="G1980">
        <v>23</v>
      </c>
      <c r="H1980" s="89">
        <v>46167</v>
      </c>
      <c r="I1980" s="89">
        <v>46171</v>
      </c>
      <c r="J1980" s="91" t="s">
        <v>3218</v>
      </c>
      <c r="K1980" s="91"/>
      <c r="M1980" s="91"/>
      <c r="N1980" s="91" t="s">
        <v>3214</v>
      </c>
    </row>
    <row r="1981" spans="1:14" x14ac:dyDescent="0.25">
      <c r="A1981" s="91" t="s">
        <v>1319</v>
      </c>
      <c r="B1981" s="91" t="s">
        <v>1333</v>
      </c>
      <c r="C1981" s="91" t="s">
        <v>3217</v>
      </c>
      <c r="D1981" s="91" t="s">
        <v>20</v>
      </c>
      <c r="E1981" s="91"/>
      <c r="F1981">
        <v>48</v>
      </c>
      <c r="G1981">
        <v>1</v>
      </c>
      <c r="H1981" s="89">
        <v>46167</v>
      </c>
      <c r="I1981" s="89">
        <v>46171</v>
      </c>
      <c r="J1981" s="91" t="s">
        <v>3218</v>
      </c>
      <c r="K1981" s="91"/>
      <c r="M1981" s="91"/>
      <c r="N1981" s="91" t="s">
        <v>3214</v>
      </c>
    </row>
    <row r="1982" spans="1:14" x14ac:dyDescent="0.25">
      <c r="A1982" s="91" t="s">
        <v>1313</v>
      </c>
      <c r="B1982" s="91" t="s">
        <v>1327</v>
      </c>
      <c r="C1982" s="91" t="s">
        <v>3217</v>
      </c>
      <c r="D1982" s="91" t="s">
        <v>20</v>
      </c>
      <c r="E1982" s="91"/>
      <c r="F1982">
        <v>240</v>
      </c>
      <c r="G1982">
        <v>5</v>
      </c>
      <c r="H1982" s="89">
        <v>46167</v>
      </c>
      <c r="I1982" s="89">
        <v>46169</v>
      </c>
      <c r="J1982" s="91"/>
      <c r="K1982" s="91"/>
      <c r="M1982" s="91"/>
      <c r="N1982" s="91" t="s">
        <v>3214</v>
      </c>
    </row>
    <row r="1983" spans="1:14" x14ac:dyDescent="0.25">
      <c r="A1983" s="91" t="s">
        <v>1315</v>
      </c>
      <c r="B1983" s="91" t="s">
        <v>1329</v>
      </c>
      <c r="C1983" s="91" t="s">
        <v>3217</v>
      </c>
      <c r="D1983" s="91" t="s">
        <v>20</v>
      </c>
      <c r="E1983" s="91"/>
      <c r="F1983">
        <v>178</v>
      </c>
      <c r="G1983" t="s">
        <v>1419</v>
      </c>
      <c r="H1983" s="89">
        <v>46167</v>
      </c>
      <c r="I1983" s="89">
        <v>46169</v>
      </c>
      <c r="J1983" s="91"/>
      <c r="K1983" s="91"/>
      <c r="M1983" s="91"/>
      <c r="N1983" s="91" t="s">
        <v>3214</v>
      </c>
    </row>
    <row r="1984" spans="1:14" x14ac:dyDescent="0.25">
      <c r="A1984" s="91" t="s">
        <v>1316</v>
      </c>
      <c r="B1984" s="91" t="s">
        <v>1330</v>
      </c>
      <c r="C1984" s="91" t="s">
        <v>3219</v>
      </c>
      <c r="D1984" s="91" t="s">
        <v>20</v>
      </c>
      <c r="E1984" s="91"/>
      <c r="F1984">
        <v>83</v>
      </c>
      <c r="G1984" t="s">
        <v>1419</v>
      </c>
      <c r="H1984" s="89">
        <v>46167</v>
      </c>
      <c r="I1984" s="89">
        <v>46169</v>
      </c>
      <c r="J1984" s="91"/>
      <c r="K1984" s="91"/>
      <c r="M1984" s="91"/>
      <c r="N1984" s="91" t="s">
        <v>3214</v>
      </c>
    </row>
    <row r="1985" spans="1:14" x14ac:dyDescent="0.25">
      <c r="A1985" s="91" t="s">
        <v>1317</v>
      </c>
      <c r="B1985" s="91" t="s">
        <v>1331</v>
      </c>
      <c r="C1985" s="91" t="s">
        <v>3220</v>
      </c>
      <c r="D1985" s="91" t="s">
        <v>20</v>
      </c>
      <c r="E1985" s="91"/>
      <c r="F1985">
        <v>14</v>
      </c>
      <c r="G1985" t="s">
        <v>1419</v>
      </c>
      <c r="H1985" s="89">
        <v>46167</v>
      </c>
      <c r="I1985" s="89">
        <v>46169</v>
      </c>
      <c r="J1985" s="91"/>
      <c r="K1985" s="91"/>
      <c r="M1985" s="91"/>
      <c r="N1985" s="91" t="s">
        <v>3214</v>
      </c>
    </row>
    <row r="1986" spans="1:14" x14ac:dyDescent="0.25">
      <c r="A1986" s="91" t="s">
        <v>1318</v>
      </c>
      <c r="B1986" s="91" t="s">
        <v>1332</v>
      </c>
      <c r="C1986" s="91" t="s">
        <v>3221</v>
      </c>
      <c r="D1986" s="91" t="s">
        <v>20</v>
      </c>
      <c r="E1986" s="91"/>
      <c r="F1986">
        <v>42</v>
      </c>
      <c r="G1986" t="s">
        <v>1419</v>
      </c>
      <c r="H1986" s="89">
        <v>46167</v>
      </c>
      <c r="I1986" s="89">
        <v>46169</v>
      </c>
      <c r="J1986" s="91"/>
      <c r="K1986" s="91"/>
      <c r="M1986" s="91"/>
      <c r="N1986" s="91" t="s">
        <v>3214</v>
      </c>
    </row>
    <row r="1987" spans="1:14" x14ac:dyDescent="0.25">
      <c r="A1987" s="91" t="s">
        <v>1313</v>
      </c>
      <c r="B1987" s="91" t="s">
        <v>1327</v>
      </c>
      <c r="C1987" s="91" t="s">
        <v>3222</v>
      </c>
      <c r="D1987" s="91" t="s">
        <v>21</v>
      </c>
      <c r="E1987" s="91"/>
      <c r="F1987">
        <v>816</v>
      </c>
      <c r="G1987">
        <v>17</v>
      </c>
      <c r="H1987" s="89">
        <v>46167</v>
      </c>
      <c r="I1987" s="89">
        <v>46170</v>
      </c>
      <c r="J1987" s="91" t="s">
        <v>3223</v>
      </c>
      <c r="K1987" s="91"/>
      <c r="M1987" s="91"/>
      <c r="N1987" s="91" t="s">
        <v>3214</v>
      </c>
    </row>
    <row r="1988" spans="1:14" x14ac:dyDescent="0.25">
      <c r="A1988" s="91" t="s">
        <v>1314</v>
      </c>
      <c r="B1988" s="91" t="s">
        <v>1328</v>
      </c>
      <c r="C1988" s="91" t="s">
        <v>3222</v>
      </c>
      <c r="D1988" s="91" t="s">
        <v>21</v>
      </c>
      <c r="E1988" s="91"/>
      <c r="F1988">
        <v>336</v>
      </c>
      <c r="G1988">
        <v>7</v>
      </c>
      <c r="H1988" s="89">
        <v>46167</v>
      </c>
      <c r="I1988" s="89">
        <v>46170</v>
      </c>
      <c r="J1988" s="91" t="s">
        <v>3224</v>
      </c>
      <c r="K1988" s="91"/>
      <c r="M1988" s="91"/>
      <c r="N1988" s="91" t="s">
        <v>3214</v>
      </c>
    </row>
    <row r="1989" spans="1:14" x14ac:dyDescent="0.25">
      <c r="A1989" s="91" t="s">
        <v>1315</v>
      </c>
      <c r="B1989" s="91" t="s">
        <v>1329</v>
      </c>
      <c r="C1989" s="91" t="s">
        <v>3222</v>
      </c>
      <c r="D1989" s="91" t="s">
        <v>21</v>
      </c>
      <c r="E1989" s="91"/>
      <c r="F1989">
        <v>32</v>
      </c>
      <c r="G1989" t="s">
        <v>1419</v>
      </c>
      <c r="H1989" s="89">
        <v>46167</v>
      </c>
      <c r="I1989" s="89">
        <v>46169</v>
      </c>
      <c r="J1989" s="91"/>
      <c r="K1989" s="91"/>
      <c r="M1989" s="91"/>
      <c r="N1989" s="91" t="s">
        <v>3214</v>
      </c>
    </row>
    <row r="1990" spans="1:14" x14ac:dyDescent="0.25">
      <c r="A1990" s="91" t="s">
        <v>1316</v>
      </c>
      <c r="B1990" s="91" t="s">
        <v>1330</v>
      </c>
      <c r="C1990" s="91" t="s">
        <v>3225</v>
      </c>
      <c r="D1990" s="91" t="s">
        <v>21</v>
      </c>
      <c r="E1990" s="91"/>
      <c r="F1990">
        <v>51</v>
      </c>
      <c r="G1990" t="s">
        <v>1419</v>
      </c>
      <c r="H1990" s="89">
        <v>46167</v>
      </c>
      <c r="I1990" s="89">
        <v>46169</v>
      </c>
      <c r="J1990" s="91"/>
      <c r="K1990" s="91"/>
      <c r="M1990" s="91"/>
      <c r="N1990" s="91" t="s">
        <v>3214</v>
      </c>
    </row>
    <row r="1991" spans="1:14" x14ac:dyDescent="0.25">
      <c r="A1991" s="91" t="s">
        <v>1317</v>
      </c>
      <c r="B1991" s="91" t="s">
        <v>1331</v>
      </c>
      <c r="C1991" s="91" t="s">
        <v>3226</v>
      </c>
      <c r="D1991" s="91" t="s">
        <v>21</v>
      </c>
      <c r="E1991" s="91"/>
      <c r="F1991">
        <v>5</v>
      </c>
      <c r="G1991" t="s">
        <v>1419</v>
      </c>
      <c r="H1991" s="89">
        <v>46167</v>
      </c>
      <c r="I1991" s="89">
        <v>46169</v>
      </c>
      <c r="J1991" s="91"/>
      <c r="K1991" s="91"/>
      <c r="M1991" s="91"/>
      <c r="N1991" s="91" t="s">
        <v>3214</v>
      </c>
    </row>
    <row r="1992" spans="1:14" x14ac:dyDescent="0.25">
      <c r="A1992" s="91" t="s">
        <v>1318</v>
      </c>
      <c r="B1992" s="91" t="s">
        <v>1332</v>
      </c>
      <c r="C1992" s="91" t="s">
        <v>3227</v>
      </c>
      <c r="D1992" s="91" t="s">
        <v>21</v>
      </c>
      <c r="E1992" s="91"/>
      <c r="F1992">
        <v>52</v>
      </c>
      <c r="G1992" t="s">
        <v>1419</v>
      </c>
      <c r="H1992" s="89">
        <v>46167</v>
      </c>
      <c r="I1992" s="89">
        <v>46169</v>
      </c>
      <c r="J1992" s="91"/>
      <c r="K1992" s="91"/>
      <c r="M1992" s="91"/>
      <c r="N1992" s="91" t="s">
        <v>3214</v>
      </c>
    </row>
    <row r="1993" spans="1:14" x14ac:dyDescent="0.25">
      <c r="A1993" s="91" t="s">
        <v>1320</v>
      </c>
      <c r="B1993" s="91" t="s">
        <v>1334</v>
      </c>
      <c r="C1993" s="91" t="s">
        <v>3228</v>
      </c>
      <c r="D1993" s="91" t="s">
        <v>15</v>
      </c>
      <c r="E1993" s="91"/>
      <c r="F1993">
        <v>960</v>
      </c>
      <c r="G1993">
        <v>20</v>
      </c>
      <c r="H1993" s="89">
        <v>46167</v>
      </c>
      <c r="I1993" s="89">
        <v>46171</v>
      </c>
      <c r="J1993" s="91" t="s">
        <v>3229</v>
      </c>
      <c r="K1993" s="91"/>
      <c r="M1993" s="91"/>
      <c r="N1993" s="91" t="s">
        <v>3214</v>
      </c>
    </row>
    <row r="1994" spans="1:14" x14ac:dyDescent="0.25">
      <c r="A1994" s="91" t="s">
        <v>1313</v>
      </c>
      <c r="B1994" s="91" t="s">
        <v>1327</v>
      </c>
      <c r="C1994" s="91" t="s">
        <v>3228</v>
      </c>
      <c r="D1994" s="91" t="s">
        <v>15</v>
      </c>
      <c r="E1994" s="91"/>
      <c r="F1994">
        <v>480</v>
      </c>
      <c r="G1994">
        <v>10</v>
      </c>
      <c r="H1994" s="89">
        <v>46167</v>
      </c>
      <c r="I1994" s="89">
        <v>46174</v>
      </c>
      <c r="J1994" s="91" t="s">
        <v>3230</v>
      </c>
      <c r="K1994" s="91"/>
      <c r="M1994" s="91"/>
      <c r="N1994" s="91" t="s">
        <v>3214</v>
      </c>
    </row>
    <row r="1995" spans="1:14" x14ac:dyDescent="0.25">
      <c r="A1995" s="91" t="s">
        <v>1315</v>
      </c>
      <c r="B1995" s="91" t="s">
        <v>1329</v>
      </c>
      <c r="C1995" s="91" t="s">
        <v>3228</v>
      </c>
      <c r="D1995" s="91" t="s">
        <v>15</v>
      </c>
      <c r="E1995" s="91"/>
      <c r="F1995">
        <v>37</v>
      </c>
      <c r="G1995" t="s">
        <v>1419</v>
      </c>
      <c r="H1995" s="89">
        <v>46167</v>
      </c>
      <c r="I1995" s="89">
        <v>46169</v>
      </c>
      <c r="J1995" s="91"/>
      <c r="K1995" s="91"/>
      <c r="M1995" s="91"/>
      <c r="N1995" s="91" t="s">
        <v>3214</v>
      </c>
    </row>
    <row r="1996" spans="1:14" x14ac:dyDescent="0.25">
      <c r="A1996" s="91" t="s">
        <v>1316</v>
      </c>
      <c r="B1996" s="91" t="s">
        <v>1330</v>
      </c>
      <c r="C1996" s="91" t="s">
        <v>3231</v>
      </c>
      <c r="D1996" s="91" t="s">
        <v>15</v>
      </c>
      <c r="E1996" s="91"/>
      <c r="F1996">
        <v>97</v>
      </c>
      <c r="G1996" t="s">
        <v>1419</v>
      </c>
      <c r="H1996" s="89">
        <v>46167</v>
      </c>
      <c r="I1996" s="89">
        <v>46169</v>
      </c>
      <c r="J1996" s="91"/>
      <c r="K1996" s="91"/>
      <c r="M1996" s="91"/>
      <c r="N1996" s="91" t="s">
        <v>3214</v>
      </c>
    </row>
    <row r="1997" spans="1:14" x14ac:dyDescent="0.25">
      <c r="A1997" s="91" t="s">
        <v>1317</v>
      </c>
      <c r="B1997" s="91" t="s">
        <v>1331</v>
      </c>
      <c r="C1997" s="91" t="s">
        <v>3232</v>
      </c>
      <c r="D1997" s="91" t="s">
        <v>15</v>
      </c>
      <c r="E1997" s="91"/>
      <c r="F1997">
        <v>22</v>
      </c>
      <c r="G1997" t="s">
        <v>1419</v>
      </c>
      <c r="H1997" s="89">
        <v>46167</v>
      </c>
      <c r="I1997" s="89">
        <v>46169</v>
      </c>
      <c r="J1997" s="91"/>
      <c r="K1997" s="91"/>
      <c r="M1997" s="91"/>
      <c r="N1997" s="91" t="s">
        <v>3214</v>
      </c>
    </row>
    <row r="1998" spans="1:14" x14ac:dyDescent="0.25">
      <c r="A1998" s="91" t="s">
        <v>1318</v>
      </c>
      <c r="B1998" s="91" t="s">
        <v>1332</v>
      </c>
      <c r="C1998" s="91" t="s">
        <v>3233</v>
      </c>
      <c r="D1998" s="91" t="s">
        <v>15</v>
      </c>
      <c r="E1998" s="91"/>
      <c r="F1998">
        <v>28</v>
      </c>
      <c r="G1998" t="s">
        <v>1419</v>
      </c>
      <c r="H1998" s="89">
        <v>46167</v>
      </c>
      <c r="I1998" s="89">
        <v>46169</v>
      </c>
      <c r="J1998" s="91"/>
      <c r="K1998" s="91"/>
      <c r="M1998" s="91"/>
      <c r="N1998" s="91" t="s">
        <v>3214</v>
      </c>
    </row>
    <row r="1999" spans="1:14" x14ac:dyDescent="0.25">
      <c r="A1999" s="91" t="s">
        <v>1324</v>
      </c>
      <c r="B1999" s="91" t="s">
        <v>1338</v>
      </c>
      <c r="C1999" s="91" t="s">
        <v>3234</v>
      </c>
      <c r="D1999" s="91" t="s">
        <v>13</v>
      </c>
      <c r="E1999" s="91"/>
      <c r="F1999">
        <v>960</v>
      </c>
      <c r="G1999">
        <v>20</v>
      </c>
      <c r="H1999" s="89">
        <v>46168</v>
      </c>
      <c r="I1999" s="89">
        <v>46174</v>
      </c>
      <c r="J1999" s="91" t="s">
        <v>3216</v>
      </c>
      <c r="K1999" s="91"/>
      <c r="M1999" s="91"/>
      <c r="N1999" s="91" t="s">
        <v>3214</v>
      </c>
    </row>
    <row r="2000" spans="1:14" x14ac:dyDescent="0.25">
      <c r="A2000" s="91" t="s">
        <v>1324</v>
      </c>
      <c r="B2000" s="91" t="s">
        <v>1338</v>
      </c>
      <c r="C2000" s="91" t="s">
        <v>3235</v>
      </c>
      <c r="D2000" s="91" t="s">
        <v>23</v>
      </c>
      <c r="E2000" s="91"/>
      <c r="F2000">
        <v>864</v>
      </c>
      <c r="G2000">
        <v>18</v>
      </c>
      <c r="H2000" s="89">
        <v>46168</v>
      </c>
      <c r="I2000" s="89">
        <v>46174</v>
      </c>
      <c r="J2000" s="91" t="s">
        <v>3216</v>
      </c>
      <c r="K2000" s="91"/>
      <c r="M2000" s="91"/>
      <c r="N2000" s="91" t="s">
        <v>3214</v>
      </c>
    </row>
    <row r="2001" spans="1:14" x14ac:dyDescent="0.25">
      <c r="A2001" s="91" t="s">
        <v>1320</v>
      </c>
      <c r="B2001" s="91" t="s">
        <v>1334</v>
      </c>
      <c r="C2001" s="91" t="s">
        <v>3236</v>
      </c>
      <c r="D2001" s="91" t="s">
        <v>103</v>
      </c>
      <c r="E2001" s="91"/>
      <c r="F2001">
        <v>960</v>
      </c>
      <c r="G2001">
        <v>20</v>
      </c>
      <c r="H2001" s="89">
        <v>46168</v>
      </c>
      <c r="I2001" s="89">
        <v>46171</v>
      </c>
      <c r="J2001" s="91" t="s">
        <v>3237</v>
      </c>
      <c r="K2001" s="91"/>
      <c r="M2001" s="91"/>
      <c r="N2001" s="91" t="s">
        <v>3214</v>
      </c>
    </row>
    <row r="2002" spans="1:14" x14ac:dyDescent="0.25">
      <c r="A2002" s="91" t="s">
        <v>1320</v>
      </c>
      <c r="B2002" s="91" t="s">
        <v>1334</v>
      </c>
      <c r="C2002" s="91" t="s">
        <v>3238</v>
      </c>
      <c r="D2002" s="91" t="s">
        <v>118</v>
      </c>
      <c r="E2002" s="91"/>
      <c r="F2002">
        <v>480</v>
      </c>
      <c r="G2002">
        <v>10</v>
      </c>
      <c r="H2002" s="89">
        <v>46168</v>
      </c>
      <c r="I2002" s="89">
        <v>46174</v>
      </c>
      <c r="J2002" s="91" t="s">
        <v>3239</v>
      </c>
      <c r="K2002" s="91"/>
      <c r="M2002" s="91"/>
      <c r="N2002" s="91" t="s">
        <v>3214</v>
      </c>
    </row>
    <row r="2003" spans="1:14" x14ac:dyDescent="0.25">
      <c r="A2003" s="91" t="s">
        <v>1323</v>
      </c>
      <c r="B2003" s="91" t="s">
        <v>1337</v>
      </c>
      <c r="C2003" s="91" t="s">
        <v>3240</v>
      </c>
      <c r="D2003" s="91" t="s">
        <v>20</v>
      </c>
      <c r="E2003" s="91"/>
      <c r="F2003">
        <v>918</v>
      </c>
      <c r="G2003">
        <v>17</v>
      </c>
      <c r="H2003" s="89">
        <v>46168</v>
      </c>
      <c r="I2003" s="89">
        <v>46170</v>
      </c>
      <c r="J2003" s="91" t="s">
        <v>3241</v>
      </c>
      <c r="K2003" s="91"/>
      <c r="M2003" s="91"/>
      <c r="N2003" s="91" t="s">
        <v>3214</v>
      </c>
    </row>
    <row r="2004" spans="1:14" x14ac:dyDescent="0.25">
      <c r="A2004" s="91" t="s">
        <v>1322</v>
      </c>
      <c r="B2004" s="91" t="s">
        <v>1336</v>
      </c>
      <c r="C2004" s="91" t="s">
        <v>3240</v>
      </c>
      <c r="D2004" s="91" t="s">
        <v>20</v>
      </c>
      <c r="E2004" s="91"/>
      <c r="F2004">
        <v>162</v>
      </c>
      <c r="G2004">
        <v>3</v>
      </c>
      <c r="H2004" s="89">
        <v>46168</v>
      </c>
      <c r="I2004" s="89">
        <v>46170</v>
      </c>
      <c r="J2004" s="91" t="s">
        <v>3241</v>
      </c>
      <c r="K2004" s="91"/>
      <c r="M2004" s="91"/>
      <c r="N2004" s="91" t="s">
        <v>3214</v>
      </c>
    </row>
    <row r="2005" spans="1:14" x14ac:dyDescent="0.25">
      <c r="A2005" s="91" t="s">
        <v>1313</v>
      </c>
      <c r="B2005" s="91" t="s">
        <v>1327</v>
      </c>
      <c r="C2005" s="91" t="s">
        <v>3240</v>
      </c>
      <c r="D2005" s="91" t="s">
        <v>20</v>
      </c>
      <c r="E2005" s="91"/>
      <c r="F2005">
        <v>144</v>
      </c>
      <c r="G2005">
        <v>3</v>
      </c>
      <c r="H2005" s="89">
        <v>46168</v>
      </c>
      <c r="I2005" s="89">
        <v>46174</v>
      </c>
      <c r="J2005" s="91" t="s">
        <v>3230</v>
      </c>
      <c r="K2005" s="91"/>
      <c r="M2005" s="91"/>
      <c r="N2005" s="91" t="s">
        <v>3214</v>
      </c>
    </row>
    <row r="2006" spans="1:14" x14ac:dyDescent="0.25">
      <c r="A2006" s="91" t="s">
        <v>1313</v>
      </c>
      <c r="B2006" s="91" t="s">
        <v>1327</v>
      </c>
      <c r="C2006" s="91" t="s">
        <v>3240</v>
      </c>
      <c r="D2006" s="91" t="s">
        <v>20</v>
      </c>
      <c r="E2006" s="91"/>
      <c r="F2006">
        <v>48</v>
      </c>
      <c r="G2006">
        <v>1</v>
      </c>
      <c r="H2006" s="89">
        <v>46168</v>
      </c>
      <c r="I2006" s="89">
        <v>46170</v>
      </c>
      <c r="J2006" s="91"/>
      <c r="K2006" s="91"/>
      <c r="M2006" s="91"/>
      <c r="N2006" s="91" t="s">
        <v>3214</v>
      </c>
    </row>
    <row r="2007" spans="1:14" x14ac:dyDescent="0.25">
      <c r="A2007" s="91" t="s">
        <v>1316</v>
      </c>
      <c r="B2007" s="91" t="s">
        <v>1330</v>
      </c>
      <c r="C2007" s="91" t="s">
        <v>3242</v>
      </c>
      <c r="D2007" s="91" t="s">
        <v>20</v>
      </c>
      <c r="E2007" s="91"/>
      <c r="F2007">
        <v>56</v>
      </c>
      <c r="G2007" t="s">
        <v>1419</v>
      </c>
      <c r="H2007" s="89">
        <v>46168</v>
      </c>
      <c r="I2007" s="89">
        <v>46170</v>
      </c>
      <c r="J2007" s="91"/>
      <c r="K2007" s="91"/>
      <c r="M2007" s="91"/>
      <c r="N2007" s="91" t="s">
        <v>3214</v>
      </c>
    </row>
    <row r="2008" spans="1:14" x14ac:dyDescent="0.25">
      <c r="A2008" s="91" t="s">
        <v>1317</v>
      </c>
      <c r="B2008" s="91" t="s">
        <v>1331</v>
      </c>
      <c r="C2008" s="91" t="s">
        <v>3243</v>
      </c>
      <c r="D2008" s="91" t="s">
        <v>20</v>
      </c>
      <c r="E2008" s="91"/>
      <c r="F2008">
        <v>1</v>
      </c>
      <c r="G2008" t="s">
        <v>1419</v>
      </c>
      <c r="H2008" s="89">
        <v>46168</v>
      </c>
      <c r="I2008" s="89">
        <v>46170</v>
      </c>
      <c r="J2008" s="91"/>
      <c r="K2008" s="91"/>
      <c r="M2008" s="91"/>
      <c r="N2008" s="91" t="s">
        <v>3214</v>
      </c>
    </row>
    <row r="2009" spans="1:14" x14ac:dyDescent="0.25">
      <c r="A2009" s="91" t="s">
        <v>1318</v>
      </c>
      <c r="B2009" s="91" t="s">
        <v>1332</v>
      </c>
      <c r="C2009" s="91" t="s">
        <v>3244</v>
      </c>
      <c r="D2009" s="91" t="s">
        <v>20</v>
      </c>
      <c r="E2009" s="91"/>
      <c r="F2009">
        <v>30</v>
      </c>
      <c r="G2009" t="s">
        <v>1419</v>
      </c>
      <c r="H2009" s="89">
        <v>46168</v>
      </c>
      <c r="I2009" s="89">
        <v>46170</v>
      </c>
      <c r="J2009" s="91"/>
      <c r="K2009" s="91"/>
      <c r="M2009" s="91"/>
      <c r="N2009" s="91" t="s">
        <v>3214</v>
      </c>
    </row>
    <row r="2010" spans="1:14" x14ac:dyDescent="0.25">
      <c r="A2010" s="91" t="s">
        <v>1313</v>
      </c>
      <c r="B2010" s="91" t="s">
        <v>1327</v>
      </c>
      <c r="C2010" s="91" t="s">
        <v>3245</v>
      </c>
      <c r="D2010" s="91" t="s">
        <v>15</v>
      </c>
      <c r="E2010" s="91"/>
      <c r="F2010">
        <v>528</v>
      </c>
      <c r="G2010">
        <v>11</v>
      </c>
      <c r="H2010" s="89">
        <v>46168</v>
      </c>
      <c r="I2010" s="89">
        <v>46174</v>
      </c>
      <c r="J2010" s="91" t="s">
        <v>3230</v>
      </c>
      <c r="K2010" s="91"/>
      <c r="M2010" s="91"/>
      <c r="N2010" s="91" t="s">
        <v>3214</v>
      </c>
    </row>
    <row r="2011" spans="1:14" x14ac:dyDescent="0.25">
      <c r="A2011" s="91" t="s">
        <v>1313</v>
      </c>
      <c r="B2011" s="91" t="s">
        <v>1327</v>
      </c>
      <c r="C2011" s="91" t="s">
        <v>3245</v>
      </c>
      <c r="D2011" s="91" t="s">
        <v>15</v>
      </c>
      <c r="E2011" s="91"/>
      <c r="F2011">
        <v>864</v>
      </c>
      <c r="G2011">
        <v>18</v>
      </c>
      <c r="H2011" s="89">
        <v>46168</v>
      </c>
      <c r="I2011" s="89">
        <v>46173</v>
      </c>
      <c r="J2011" s="91" t="s">
        <v>3246</v>
      </c>
      <c r="K2011" s="91"/>
      <c r="M2011" s="91"/>
      <c r="N2011" s="91" t="s">
        <v>3214</v>
      </c>
    </row>
    <row r="2012" spans="1:14" x14ac:dyDescent="0.25">
      <c r="A2012" s="91" t="s">
        <v>1314</v>
      </c>
      <c r="B2012" s="91" t="s">
        <v>1328</v>
      </c>
      <c r="C2012" s="91" t="s">
        <v>3245</v>
      </c>
      <c r="D2012" s="91" t="s">
        <v>15</v>
      </c>
      <c r="E2012" s="91"/>
      <c r="F2012">
        <v>288</v>
      </c>
      <c r="G2012">
        <v>6</v>
      </c>
      <c r="H2012" s="89">
        <v>46168</v>
      </c>
      <c r="I2012" s="89">
        <v>46173</v>
      </c>
      <c r="J2012" s="91" t="s">
        <v>3247</v>
      </c>
      <c r="K2012" s="91"/>
      <c r="M2012" s="91"/>
      <c r="N2012" s="91" t="s">
        <v>3214</v>
      </c>
    </row>
    <row r="2013" spans="1:14" x14ac:dyDescent="0.25">
      <c r="A2013" s="91" t="s">
        <v>1313</v>
      </c>
      <c r="B2013" s="91" t="s">
        <v>1327</v>
      </c>
      <c r="C2013" s="91" t="s">
        <v>3245</v>
      </c>
      <c r="D2013" s="91" t="s">
        <v>15</v>
      </c>
      <c r="E2013" s="91"/>
      <c r="F2013">
        <v>48</v>
      </c>
      <c r="G2013">
        <v>1</v>
      </c>
      <c r="H2013" s="89">
        <v>46168</v>
      </c>
      <c r="I2013" s="89">
        <v>46170</v>
      </c>
      <c r="J2013" s="91"/>
      <c r="K2013" s="91"/>
      <c r="M2013" s="91"/>
      <c r="N2013" s="91" t="s">
        <v>3214</v>
      </c>
    </row>
    <row r="2014" spans="1:14" x14ac:dyDescent="0.25">
      <c r="A2014" s="91" t="s">
        <v>1315</v>
      </c>
      <c r="B2014" s="91" t="s">
        <v>1329</v>
      </c>
      <c r="C2014" s="91" t="s">
        <v>3245</v>
      </c>
      <c r="D2014" s="91" t="s">
        <v>15</v>
      </c>
      <c r="E2014" s="91"/>
      <c r="F2014">
        <v>29</v>
      </c>
      <c r="G2014" t="s">
        <v>1419</v>
      </c>
      <c r="H2014" s="89">
        <v>46168</v>
      </c>
      <c r="I2014" s="89">
        <v>46170</v>
      </c>
      <c r="J2014" s="91"/>
      <c r="K2014" s="91"/>
      <c r="M2014" s="91"/>
      <c r="N2014" s="91" t="s">
        <v>3214</v>
      </c>
    </row>
    <row r="2015" spans="1:14" x14ac:dyDescent="0.25">
      <c r="A2015" s="91" t="s">
        <v>1316</v>
      </c>
      <c r="B2015" s="91" t="s">
        <v>1330</v>
      </c>
      <c r="C2015" s="91" t="s">
        <v>3248</v>
      </c>
      <c r="D2015" s="91" t="s">
        <v>15</v>
      </c>
      <c r="E2015" s="91"/>
      <c r="F2015">
        <v>58</v>
      </c>
      <c r="G2015" t="s">
        <v>1419</v>
      </c>
      <c r="H2015" s="89">
        <v>46168</v>
      </c>
      <c r="I2015" s="89">
        <v>46170</v>
      </c>
      <c r="J2015" s="91"/>
      <c r="K2015" s="91"/>
      <c r="M2015" s="91"/>
      <c r="N2015" s="91" t="s">
        <v>3214</v>
      </c>
    </row>
    <row r="2016" spans="1:14" x14ac:dyDescent="0.25">
      <c r="A2016" s="91" t="s">
        <v>1317</v>
      </c>
      <c r="B2016" s="91" t="s">
        <v>1331</v>
      </c>
      <c r="C2016" s="91" t="s">
        <v>3249</v>
      </c>
      <c r="D2016" s="91" t="s">
        <v>15</v>
      </c>
      <c r="E2016" s="91"/>
      <c r="F2016">
        <v>19</v>
      </c>
      <c r="G2016" t="s">
        <v>1419</v>
      </c>
      <c r="H2016" s="89">
        <v>46168</v>
      </c>
      <c r="I2016" s="89">
        <v>46170</v>
      </c>
      <c r="J2016" s="91"/>
      <c r="K2016" s="91"/>
      <c r="M2016" s="91"/>
      <c r="N2016" s="91" t="s">
        <v>3214</v>
      </c>
    </row>
    <row r="2017" spans="1:14" x14ac:dyDescent="0.25">
      <c r="A2017" s="91" t="s">
        <v>1318</v>
      </c>
      <c r="B2017" s="91" t="s">
        <v>1332</v>
      </c>
      <c r="C2017" s="91" t="s">
        <v>3250</v>
      </c>
      <c r="D2017" s="91" t="s">
        <v>15</v>
      </c>
      <c r="E2017" s="91"/>
      <c r="F2017">
        <v>21</v>
      </c>
      <c r="G2017" t="s">
        <v>1419</v>
      </c>
      <c r="H2017" s="89">
        <v>46168</v>
      </c>
      <c r="I2017" s="89">
        <v>46170</v>
      </c>
      <c r="J2017" s="91"/>
      <c r="K2017" s="91"/>
      <c r="M2017" s="91"/>
      <c r="N2017" s="91" t="s">
        <v>3214</v>
      </c>
    </row>
    <row r="2018" spans="1:14" x14ac:dyDescent="0.25">
      <c r="A2018" s="91" t="s">
        <v>1313</v>
      </c>
      <c r="B2018" s="91" t="s">
        <v>1327</v>
      </c>
      <c r="C2018" s="91" t="s">
        <v>3251</v>
      </c>
      <c r="D2018" s="91" t="s">
        <v>28</v>
      </c>
      <c r="E2018" s="91"/>
      <c r="F2018">
        <v>1152</v>
      </c>
      <c r="G2018">
        <v>24</v>
      </c>
      <c r="H2018" s="89">
        <v>46168</v>
      </c>
      <c r="I2018" s="89">
        <v>46172</v>
      </c>
      <c r="J2018" s="91" t="s">
        <v>3252</v>
      </c>
      <c r="K2018" s="91"/>
      <c r="M2018" s="91"/>
      <c r="N2018" s="91" t="s">
        <v>3214</v>
      </c>
    </row>
    <row r="2019" spans="1:14" x14ac:dyDescent="0.25">
      <c r="A2019" s="91" t="s">
        <v>1324</v>
      </c>
      <c r="B2019" s="91" t="s">
        <v>1338</v>
      </c>
      <c r="C2019" s="91" t="s">
        <v>3251</v>
      </c>
      <c r="D2019" s="91" t="s">
        <v>28</v>
      </c>
      <c r="E2019" s="91"/>
      <c r="F2019">
        <v>384</v>
      </c>
      <c r="G2019">
        <v>8</v>
      </c>
      <c r="H2019" s="89">
        <v>46168</v>
      </c>
      <c r="I2019" s="89">
        <v>46172</v>
      </c>
      <c r="J2019" s="91"/>
      <c r="K2019" s="91"/>
      <c r="M2019" s="91"/>
      <c r="N2019" s="91" t="s">
        <v>3214</v>
      </c>
    </row>
    <row r="2020" spans="1:14" x14ac:dyDescent="0.25">
      <c r="A2020" s="91" t="s">
        <v>1315</v>
      </c>
      <c r="B2020" s="91" t="s">
        <v>1329</v>
      </c>
      <c r="C2020" s="91" t="s">
        <v>3251</v>
      </c>
      <c r="D2020" s="91" t="s">
        <v>28</v>
      </c>
      <c r="E2020" s="91"/>
      <c r="F2020">
        <v>48</v>
      </c>
      <c r="G2020" t="s">
        <v>1419</v>
      </c>
      <c r="H2020" s="89">
        <v>46168</v>
      </c>
      <c r="I2020" s="89">
        <v>46170</v>
      </c>
      <c r="J2020" s="91"/>
      <c r="K2020" s="91"/>
      <c r="M2020" s="91"/>
      <c r="N2020" s="91" t="s">
        <v>3214</v>
      </c>
    </row>
    <row r="2021" spans="1:14" x14ac:dyDescent="0.25">
      <c r="A2021" s="91" t="s">
        <v>1316</v>
      </c>
      <c r="B2021" s="91" t="s">
        <v>1330</v>
      </c>
      <c r="C2021" s="91" t="s">
        <v>3253</v>
      </c>
      <c r="D2021" s="91" t="s">
        <v>28</v>
      </c>
      <c r="E2021" s="91"/>
      <c r="F2021">
        <v>51</v>
      </c>
      <c r="G2021" t="s">
        <v>1419</v>
      </c>
      <c r="H2021" s="89">
        <v>46168</v>
      </c>
      <c r="I2021" s="89">
        <v>46170</v>
      </c>
      <c r="J2021" s="91"/>
      <c r="K2021" s="91"/>
      <c r="M2021" s="91"/>
      <c r="N2021" s="91" t="s">
        <v>3214</v>
      </c>
    </row>
    <row r="2022" spans="1:14" x14ac:dyDescent="0.25">
      <c r="A2022" s="91" t="s">
        <v>1317</v>
      </c>
      <c r="B2022" s="91" t="s">
        <v>1331</v>
      </c>
      <c r="C2022" s="91" t="s">
        <v>3254</v>
      </c>
      <c r="D2022" s="91" t="s">
        <v>28</v>
      </c>
      <c r="E2022" s="91"/>
      <c r="F2022">
        <v>0</v>
      </c>
      <c r="G2022" t="s">
        <v>1419</v>
      </c>
      <c r="H2022" s="89">
        <v>46168</v>
      </c>
      <c r="I2022" s="89">
        <v>46170</v>
      </c>
      <c r="J2022" s="91"/>
      <c r="K2022" s="91"/>
      <c r="M2022" s="91"/>
      <c r="N2022" s="91" t="s">
        <v>3214</v>
      </c>
    </row>
    <row r="2023" spans="1:14" x14ac:dyDescent="0.25">
      <c r="A2023" s="91" t="s">
        <v>1318</v>
      </c>
      <c r="B2023" s="91" t="s">
        <v>1332</v>
      </c>
      <c r="C2023" s="91" t="s">
        <v>3255</v>
      </c>
      <c r="D2023" s="91" t="s">
        <v>28</v>
      </c>
      <c r="E2023" s="91"/>
      <c r="F2023">
        <v>74</v>
      </c>
      <c r="G2023" t="s">
        <v>1419</v>
      </c>
      <c r="H2023" s="89">
        <v>46168</v>
      </c>
      <c r="I2023" s="89">
        <v>46170</v>
      </c>
      <c r="J2023" s="91"/>
      <c r="K2023" s="91"/>
      <c r="M2023" s="91"/>
      <c r="N2023" s="91" t="s">
        <v>3214</v>
      </c>
    </row>
    <row r="2024" spans="1:14" x14ac:dyDescent="0.25">
      <c r="A2024" s="91" t="s">
        <v>1313</v>
      </c>
      <c r="B2024" s="91" t="s">
        <v>1327</v>
      </c>
      <c r="C2024" s="91" t="s">
        <v>3256</v>
      </c>
      <c r="D2024" s="91" t="s">
        <v>23</v>
      </c>
      <c r="E2024" s="91"/>
      <c r="F2024">
        <v>960</v>
      </c>
      <c r="G2024">
        <v>20</v>
      </c>
      <c r="H2024" s="89">
        <v>46169</v>
      </c>
      <c r="I2024" s="89">
        <v>46172</v>
      </c>
      <c r="J2024" s="91"/>
      <c r="K2024" s="91"/>
      <c r="M2024" s="91"/>
      <c r="N2024" s="91" t="s">
        <v>3214</v>
      </c>
    </row>
    <row r="2025" spans="1:14" x14ac:dyDescent="0.25">
      <c r="A2025" s="91" t="s">
        <v>1320</v>
      </c>
      <c r="B2025" s="91" t="s">
        <v>1334</v>
      </c>
      <c r="C2025" s="91" t="s">
        <v>3257</v>
      </c>
      <c r="D2025" s="91" t="s">
        <v>13</v>
      </c>
      <c r="E2025" s="91"/>
      <c r="F2025">
        <v>480</v>
      </c>
      <c r="G2025">
        <v>10</v>
      </c>
      <c r="H2025" s="89">
        <v>46169</v>
      </c>
      <c r="I2025" s="89">
        <v>46174</v>
      </c>
      <c r="J2025" s="91" t="s">
        <v>3239</v>
      </c>
      <c r="K2025" s="91"/>
      <c r="M2025" s="91"/>
      <c r="N2025" s="91" t="s">
        <v>3214</v>
      </c>
    </row>
    <row r="2026" spans="1:14" x14ac:dyDescent="0.25">
      <c r="A2026" s="91" t="s">
        <v>1320</v>
      </c>
      <c r="B2026" s="91" t="s">
        <v>1334</v>
      </c>
      <c r="C2026" s="91" t="s">
        <v>3258</v>
      </c>
      <c r="D2026" s="91" t="s">
        <v>99</v>
      </c>
      <c r="E2026" s="91"/>
      <c r="F2026">
        <v>960</v>
      </c>
      <c r="G2026">
        <v>20</v>
      </c>
      <c r="H2026" s="89">
        <v>46169</v>
      </c>
      <c r="I2026" s="89">
        <v>46174</v>
      </c>
      <c r="J2026" s="91" t="s">
        <v>3259</v>
      </c>
      <c r="K2026" s="91"/>
      <c r="M2026" s="91"/>
      <c r="N2026" s="91" t="s">
        <v>3214</v>
      </c>
    </row>
    <row r="2027" spans="1:14" x14ac:dyDescent="0.25">
      <c r="A2027" s="91" t="s">
        <v>1313</v>
      </c>
      <c r="B2027" s="91" t="s">
        <v>1327</v>
      </c>
      <c r="C2027" s="91" t="s">
        <v>3260</v>
      </c>
      <c r="D2027" s="91" t="s">
        <v>15</v>
      </c>
      <c r="E2027" s="91"/>
      <c r="F2027">
        <v>1152</v>
      </c>
      <c r="G2027">
        <v>24</v>
      </c>
      <c r="H2027" s="89">
        <v>46169</v>
      </c>
      <c r="I2027" s="89">
        <v>46175</v>
      </c>
      <c r="J2027" s="91" t="s">
        <v>3261</v>
      </c>
      <c r="K2027" s="91"/>
      <c r="M2027" s="91"/>
      <c r="N2027" s="91" t="s">
        <v>3214</v>
      </c>
    </row>
    <row r="2028" spans="1:14" x14ac:dyDescent="0.25">
      <c r="A2028" s="91" t="s">
        <v>1313</v>
      </c>
      <c r="B2028" s="91" t="s">
        <v>1327</v>
      </c>
      <c r="C2028" s="91" t="s">
        <v>3260</v>
      </c>
      <c r="D2028" s="91" t="s">
        <v>15</v>
      </c>
      <c r="E2028" s="91"/>
      <c r="F2028">
        <v>480</v>
      </c>
      <c r="G2028">
        <v>10</v>
      </c>
      <c r="H2028" s="89">
        <v>46169</v>
      </c>
      <c r="I2028" s="89">
        <v>46175</v>
      </c>
      <c r="J2028" s="91" t="s">
        <v>3262</v>
      </c>
      <c r="K2028" s="91"/>
      <c r="M2028" s="91"/>
      <c r="N2028" s="91" t="s">
        <v>3214</v>
      </c>
    </row>
    <row r="2029" spans="1:14" x14ac:dyDescent="0.25">
      <c r="A2029" s="91" t="s">
        <v>1315</v>
      </c>
      <c r="B2029" s="91" t="s">
        <v>1329</v>
      </c>
      <c r="C2029" s="91" t="s">
        <v>3260</v>
      </c>
      <c r="D2029" s="91" t="s">
        <v>15</v>
      </c>
      <c r="E2029" s="91"/>
      <c r="F2029">
        <v>15</v>
      </c>
      <c r="G2029" t="s">
        <v>1419</v>
      </c>
      <c r="H2029" s="89">
        <v>46169</v>
      </c>
      <c r="I2029" s="89">
        <v>46170</v>
      </c>
      <c r="J2029" s="91"/>
      <c r="K2029" s="91"/>
      <c r="M2029" s="91"/>
      <c r="N2029" s="91" t="s">
        <v>3214</v>
      </c>
    </row>
    <row r="2030" spans="1:14" x14ac:dyDescent="0.25">
      <c r="A2030" s="91" t="s">
        <v>1316</v>
      </c>
      <c r="B2030" s="91" t="s">
        <v>1330</v>
      </c>
      <c r="C2030" s="91" t="s">
        <v>3263</v>
      </c>
      <c r="D2030" s="91" t="s">
        <v>15</v>
      </c>
      <c r="E2030" s="91"/>
      <c r="F2030">
        <v>59</v>
      </c>
      <c r="G2030" t="s">
        <v>1419</v>
      </c>
      <c r="H2030" s="89">
        <v>46169</v>
      </c>
      <c r="I2030" s="89">
        <v>46171</v>
      </c>
      <c r="J2030" s="91"/>
      <c r="K2030" s="91"/>
      <c r="M2030" s="91"/>
      <c r="N2030" s="91" t="s">
        <v>3214</v>
      </c>
    </row>
    <row r="2031" spans="1:14" x14ac:dyDescent="0.25">
      <c r="A2031" s="91" t="s">
        <v>1317</v>
      </c>
      <c r="B2031" s="91" t="s">
        <v>1331</v>
      </c>
      <c r="C2031" s="91" t="s">
        <v>3264</v>
      </c>
      <c r="D2031" s="91" t="s">
        <v>15</v>
      </c>
      <c r="E2031" s="91"/>
      <c r="F2031">
        <v>14</v>
      </c>
      <c r="G2031" t="s">
        <v>1419</v>
      </c>
      <c r="H2031" s="89">
        <v>46169</v>
      </c>
      <c r="I2031" s="89">
        <v>46171</v>
      </c>
      <c r="J2031" s="91"/>
      <c r="K2031" s="91"/>
      <c r="M2031" s="91"/>
      <c r="N2031" s="91" t="s">
        <v>3214</v>
      </c>
    </row>
    <row r="2032" spans="1:14" x14ac:dyDescent="0.25">
      <c r="A2032" s="91" t="s">
        <v>1318</v>
      </c>
      <c r="B2032" s="91" t="s">
        <v>1332</v>
      </c>
      <c r="C2032" s="91" t="s">
        <v>3265</v>
      </c>
      <c r="D2032" s="91" t="s">
        <v>15</v>
      </c>
      <c r="E2032" s="91"/>
      <c r="F2032">
        <v>27</v>
      </c>
      <c r="G2032" t="s">
        <v>1419</v>
      </c>
      <c r="H2032" s="89">
        <v>46169</v>
      </c>
      <c r="I2032" s="89">
        <v>46171</v>
      </c>
      <c r="J2032" s="91"/>
      <c r="K2032" s="91"/>
      <c r="M2032" s="91"/>
      <c r="N2032" s="91" t="s">
        <v>3214</v>
      </c>
    </row>
    <row r="2033" spans="1:14" x14ac:dyDescent="0.25">
      <c r="A2033" s="91" t="s">
        <v>1324</v>
      </c>
      <c r="B2033" s="91" t="s">
        <v>1338</v>
      </c>
      <c r="C2033" s="91" t="s">
        <v>3266</v>
      </c>
      <c r="D2033" s="91" t="s">
        <v>28</v>
      </c>
      <c r="E2033" s="91"/>
      <c r="F2033">
        <v>912</v>
      </c>
      <c r="G2033">
        <v>19</v>
      </c>
      <c r="H2033" s="89">
        <v>46169</v>
      </c>
      <c r="I2033" s="89">
        <v>46172</v>
      </c>
      <c r="J2033" s="91"/>
      <c r="K2033" s="91"/>
      <c r="M2033" s="91"/>
      <c r="N2033" s="91" t="s">
        <v>3214</v>
      </c>
    </row>
    <row r="2034" spans="1:14" x14ac:dyDescent="0.25">
      <c r="A2034" s="91" t="s">
        <v>1324</v>
      </c>
      <c r="B2034" s="91" t="s">
        <v>1338</v>
      </c>
      <c r="C2034" s="91" t="s">
        <v>3266</v>
      </c>
      <c r="D2034" s="91" t="s">
        <v>28</v>
      </c>
      <c r="E2034" s="91"/>
      <c r="F2034">
        <v>192</v>
      </c>
      <c r="G2034">
        <v>4</v>
      </c>
      <c r="H2034" s="89">
        <v>46169</v>
      </c>
      <c r="I2034" s="89">
        <v>46176</v>
      </c>
      <c r="J2034" s="91" t="s">
        <v>3267</v>
      </c>
      <c r="K2034" s="91"/>
      <c r="M2034" s="91"/>
      <c r="N2034" s="91" t="s">
        <v>3214</v>
      </c>
    </row>
    <row r="2035" spans="1:14" x14ac:dyDescent="0.25">
      <c r="A2035" s="91" t="s">
        <v>1313</v>
      </c>
      <c r="B2035" s="91" t="s">
        <v>1327</v>
      </c>
      <c r="C2035" s="91" t="s">
        <v>3266</v>
      </c>
      <c r="D2035" s="91" t="s">
        <v>28</v>
      </c>
      <c r="E2035" s="91"/>
      <c r="F2035">
        <v>384</v>
      </c>
      <c r="G2035">
        <v>8</v>
      </c>
      <c r="H2035" s="89">
        <v>46169</v>
      </c>
      <c r="I2035" s="89">
        <v>46175</v>
      </c>
      <c r="J2035" s="91" t="s">
        <v>3262</v>
      </c>
      <c r="K2035" s="91"/>
      <c r="M2035" s="91"/>
      <c r="N2035" s="91" t="s">
        <v>3214</v>
      </c>
    </row>
    <row r="2036" spans="1:14" x14ac:dyDescent="0.25">
      <c r="A2036" s="91" t="s">
        <v>1315</v>
      </c>
      <c r="B2036" s="91" t="s">
        <v>1329</v>
      </c>
      <c r="C2036" s="91" t="s">
        <v>3266</v>
      </c>
      <c r="D2036" s="91" t="s">
        <v>28</v>
      </c>
      <c r="E2036" s="91"/>
      <c r="F2036">
        <v>3</v>
      </c>
      <c r="G2036" t="s">
        <v>1419</v>
      </c>
      <c r="H2036" s="89">
        <v>46169</v>
      </c>
      <c r="I2036" s="89">
        <v>46171</v>
      </c>
      <c r="J2036" s="91"/>
      <c r="K2036" s="91"/>
      <c r="M2036" s="91"/>
      <c r="N2036" s="91" t="s">
        <v>3214</v>
      </c>
    </row>
    <row r="2037" spans="1:14" x14ac:dyDescent="0.25">
      <c r="A2037" s="91" t="s">
        <v>1316</v>
      </c>
      <c r="B2037" s="91" t="s">
        <v>1330</v>
      </c>
      <c r="C2037" s="91" t="s">
        <v>3268</v>
      </c>
      <c r="D2037" s="91" t="s">
        <v>28</v>
      </c>
      <c r="E2037" s="91"/>
      <c r="F2037">
        <v>39</v>
      </c>
      <c r="G2037" t="s">
        <v>1419</v>
      </c>
      <c r="H2037" s="89">
        <v>46169</v>
      </c>
      <c r="I2037" s="89">
        <v>46171</v>
      </c>
      <c r="J2037" s="91"/>
      <c r="K2037" s="91"/>
      <c r="M2037" s="91"/>
      <c r="N2037" s="91" t="s">
        <v>3214</v>
      </c>
    </row>
    <row r="2038" spans="1:14" x14ac:dyDescent="0.25">
      <c r="A2038" s="91" t="s">
        <v>1317</v>
      </c>
      <c r="B2038" s="91" t="s">
        <v>1331</v>
      </c>
      <c r="C2038" s="91" t="s">
        <v>3269</v>
      </c>
      <c r="D2038" s="91" t="s">
        <v>28</v>
      </c>
      <c r="E2038" s="91"/>
      <c r="F2038">
        <v>1</v>
      </c>
      <c r="G2038" t="s">
        <v>1419</v>
      </c>
      <c r="H2038" s="89">
        <v>46169</v>
      </c>
      <c r="I2038" s="89">
        <v>46171</v>
      </c>
      <c r="J2038" s="91"/>
      <c r="K2038" s="91"/>
      <c r="M2038" s="91"/>
      <c r="N2038" s="91" t="s">
        <v>3214</v>
      </c>
    </row>
    <row r="2039" spans="1:14" x14ac:dyDescent="0.25">
      <c r="A2039" s="91" t="s">
        <v>1318</v>
      </c>
      <c r="B2039" s="91" t="s">
        <v>1332</v>
      </c>
      <c r="C2039" s="91" t="s">
        <v>3270</v>
      </c>
      <c r="D2039" s="91" t="s">
        <v>28</v>
      </c>
      <c r="E2039" s="91"/>
      <c r="F2039">
        <v>61</v>
      </c>
      <c r="G2039" t="s">
        <v>1419</v>
      </c>
      <c r="H2039" s="89">
        <v>46169</v>
      </c>
      <c r="I2039" s="89">
        <v>46171</v>
      </c>
      <c r="J2039" s="91"/>
      <c r="K2039" s="91"/>
      <c r="M2039" s="91"/>
      <c r="N2039" s="91" t="s">
        <v>3214</v>
      </c>
    </row>
    <row r="2040" spans="1:14" x14ac:dyDescent="0.25">
      <c r="A2040" s="91" t="s">
        <v>1313</v>
      </c>
      <c r="B2040" s="91" t="s">
        <v>1327</v>
      </c>
      <c r="C2040" s="91" t="s">
        <v>3271</v>
      </c>
      <c r="D2040" s="91" t="s">
        <v>20</v>
      </c>
      <c r="E2040" s="91"/>
      <c r="F2040">
        <v>1104</v>
      </c>
      <c r="G2040">
        <v>23</v>
      </c>
      <c r="H2040" s="89">
        <v>46169</v>
      </c>
      <c r="I2040" s="89">
        <v>46174</v>
      </c>
      <c r="J2040" s="91" t="s">
        <v>3272</v>
      </c>
      <c r="K2040" s="91"/>
      <c r="M2040" s="91"/>
      <c r="N2040" s="91" t="s">
        <v>3214</v>
      </c>
    </row>
    <row r="2041" spans="1:14" x14ac:dyDescent="0.25">
      <c r="A2041" s="91" t="s">
        <v>1319</v>
      </c>
      <c r="B2041" s="91" t="s">
        <v>1333</v>
      </c>
      <c r="C2041" s="91" t="s">
        <v>3271</v>
      </c>
      <c r="D2041" s="91" t="s">
        <v>20</v>
      </c>
      <c r="E2041" s="91"/>
      <c r="F2041">
        <v>48</v>
      </c>
      <c r="G2041">
        <v>1</v>
      </c>
      <c r="H2041" s="89">
        <v>46169</v>
      </c>
      <c r="I2041" s="89">
        <v>46174</v>
      </c>
      <c r="J2041" s="91" t="s">
        <v>3272</v>
      </c>
      <c r="K2041" s="91"/>
      <c r="M2041" s="91"/>
      <c r="N2041" s="91" t="s">
        <v>3214</v>
      </c>
    </row>
    <row r="2042" spans="1:14" x14ac:dyDescent="0.25">
      <c r="A2042" s="91" t="s">
        <v>1313</v>
      </c>
      <c r="B2042" s="91" t="s">
        <v>1327</v>
      </c>
      <c r="C2042" s="91" t="s">
        <v>3271</v>
      </c>
      <c r="D2042" s="91" t="s">
        <v>20</v>
      </c>
      <c r="E2042" s="91"/>
      <c r="F2042">
        <v>336</v>
      </c>
      <c r="G2042">
        <v>7</v>
      </c>
      <c r="H2042" s="89">
        <v>46169</v>
      </c>
      <c r="I2042" s="89">
        <v>46171</v>
      </c>
      <c r="J2042" s="91"/>
      <c r="K2042" s="91"/>
      <c r="M2042" s="91"/>
      <c r="N2042" s="91" t="s">
        <v>3214</v>
      </c>
    </row>
    <row r="2043" spans="1:14" x14ac:dyDescent="0.25">
      <c r="A2043" s="91" t="s">
        <v>1315</v>
      </c>
      <c r="B2043" s="91" t="s">
        <v>1329</v>
      </c>
      <c r="C2043" s="91" t="s">
        <v>3271</v>
      </c>
      <c r="D2043" s="91" t="s">
        <v>20</v>
      </c>
      <c r="E2043" s="91"/>
      <c r="F2043">
        <v>14</v>
      </c>
      <c r="G2043" t="s">
        <v>1419</v>
      </c>
      <c r="H2043" s="89">
        <v>46169</v>
      </c>
      <c r="I2043" s="89">
        <v>46171</v>
      </c>
      <c r="J2043" s="91"/>
      <c r="K2043" s="91"/>
      <c r="M2043" s="91"/>
      <c r="N2043" s="91" t="s">
        <v>3214</v>
      </c>
    </row>
    <row r="2044" spans="1:14" x14ac:dyDescent="0.25">
      <c r="A2044" s="91" t="s">
        <v>1316</v>
      </c>
      <c r="B2044" s="91" t="s">
        <v>1330</v>
      </c>
      <c r="C2044" s="91" t="s">
        <v>3273</v>
      </c>
      <c r="D2044" s="91" t="s">
        <v>20</v>
      </c>
      <c r="E2044" s="91"/>
      <c r="F2044">
        <v>81</v>
      </c>
      <c r="G2044" t="s">
        <v>1419</v>
      </c>
      <c r="H2044" s="89">
        <v>46169</v>
      </c>
      <c r="I2044" s="89">
        <v>46171</v>
      </c>
      <c r="J2044" s="91"/>
      <c r="K2044" s="91"/>
      <c r="M2044" s="91"/>
      <c r="N2044" s="91" t="s">
        <v>3214</v>
      </c>
    </row>
    <row r="2045" spans="1:14" x14ac:dyDescent="0.25">
      <c r="A2045" s="91" t="s">
        <v>1317</v>
      </c>
      <c r="B2045" s="91" t="s">
        <v>1331</v>
      </c>
      <c r="C2045" s="91" t="s">
        <v>3274</v>
      </c>
      <c r="D2045" s="91" t="s">
        <v>20</v>
      </c>
      <c r="E2045" s="91"/>
      <c r="F2045">
        <v>9</v>
      </c>
      <c r="G2045" t="s">
        <v>1419</v>
      </c>
      <c r="H2045" s="89">
        <v>46169</v>
      </c>
      <c r="I2045" s="89">
        <v>46171</v>
      </c>
      <c r="J2045" s="91"/>
      <c r="K2045" s="91"/>
      <c r="M2045" s="91"/>
      <c r="N2045" s="91" t="s">
        <v>3214</v>
      </c>
    </row>
    <row r="2046" spans="1:14" x14ac:dyDescent="0.25">
      <c r="A2046" s="91" t="s">
        <v>1318</v>
      </c>
      <c r="B2046" s="91" t="s">
        <v>1332</v>
      </c>
      <c r="C2046" s="91" t="s">
        <v>3275</v>
      </c>
      <c r="D2046" s="91" t="s">
        <v>20</v>
      </c>
      <c r="E2046" s="91"/>
      <c r="F2046">
        <v>41</v>
      </c>
      <c r="G2046" t="s">
        <v>1419</v>
      </c>
      <c r="H2046" s="89">
        <v>46169</v>
      </c>
      <c r="I2046" s="89">
        <v>46171</v>
      </c>
      <c r="J2046" s="91"/>
      <c r="K2046" s="91"/>
      <c r="M2046" s="91"/>
      <c r="N2046" s="91" t="s">
        <v>3214</v>
      </c>
    </row>
    <row r="2047" spans="1:14" x14ac:dyDescent="0.25">
      <c r="A2047" s="91" t="s">
        <v>1324</v>
      </c>
      <c r="B2047" s="91" t="s">
        <v>1338</v>
      </c>
      <c r="C2047" s="91" t="s">
        <v>3276</v>
      </c>
      <c r="D2047" s="91" t="s">
        <v>23</v>
      </c>
      <c r="E2047" s="91"/>
      <c r="F2047">
        <v>960</v>
      </c>
      <c r="G2047">
        <v>20</v>
      </c>
      <c r="H2047" s="89">
        <v>46170</v>
      </c>
      <c r="I2047" s="89">
        <v>46176</v>
      </c>
      <c r="J2047" s="91" t="s">
        <v>3277</v>
      </c>
      <c r="K2047" s="91"/>
      <c r="M2047" s="91"/>
      <c r="N2047" s="91" t="s">
        <v>3214</v>
      </c>
    </row>
    <row r="2048" spans="1:14" x14ac:dyDescent="0.25">
      <c r="A2048" s="91" t="s">
        <v>1320</v>
      </c>
      <c r="B2048" s="91" t="s">
        <v>1334</v>
      </c>
      <c r="C2048" s="91" t="s">
        <v>3278</v>
      </c>
      <c r="D2048" s="91" t="s">
        <v>30</v>
      </c>
      <c r="E2048" s="91"/>
      <c r="F2048">
        <v>576</v>
      </c>
      <c r="G2048">
        <v>12</v>
      </c>
      <c r="H2048" s="89">
        <v>46170</v>
      </c>
      <c r="I2048" s="89">
        <v>46176</v>
      </c>
      <c r="J2048" s="91" t="s">
        <v>3279</v>
      </c>
      <c r="K2048" s="91"/>
      <c r="M2048" s="91"/>
      <c r="N2048" s="91" t="s">
        <v>3214</v>
      </c>
    </row>
    <row r="2049" spans="1:14" x14ac:dyDescent="0.25">
      <c r="A2049" s="91" t="s">
        <v>1320</v>
      </c>
      <c r="B2049" s="91" t="s">
        <v>1334</v>
      </c>
      <c r="C2049" s="91" t="s">
        <v>3280</v>
      </c>
      <c r="D2049" s="91" t="s">
        <v>15</v>
      </c>
      <c r="E2049" s="91"/>
      <c r="F2049">
        <v>240</v>
      </c>
      <c r="G2049">
        <v>5</v>
      </c>
      <c r="H2049" s="89">
        <v>46170</v>
      </c>
      <c r="I2049" s="89">
        <v>46175</v>
      </c>
      <c r="J2049" s="91" t="s">
        <v>3281</v>
      </c>
      <c r="K2049" s="91"/>
      <c r="M2049" s="91"/>
      <c r="N2049" s="91" t="s">
        <v>3214</v>
      </c>
    </row>
    <row r="2050" spans="1:14" x14ac:dyDescent="0.25">
      <c r="A2050" s="91" t="s">
        <v>1320</v>
      </c>
      <c r="B2050" s="91" t="s">
        <v>1334</v>
      </c>
      <c r="C2050" s="91" t="s">
        <v>3280</v>
      </c>
      <c r="D2050" s="91" t="s">
        <v>15</v>
      </c>
      <c r="E2050" s="91"/>
      <c r="F2050">
        <v>960</v>
      </c>
      <c r="G2050">
        <v>20</v>
      </c>
      <c r="H2050" s="89">
        <v>46170</v>
      </c>
      <c r="I2050" s="89">
        <v>46175</v>
      </c>
      <c r="J2050" s="91" t="s">
        <v>3282</v>
      </c>
      <c r="K2050" s="91"/>
      <c r="M2050" s="91"/>
      <c r="N2050" s="91" t="s">
        <v>3214</v>
      </c>
    </row>
    <row r="2051" spans="1:14" x14ac:dyDescent="0.25">
      <c r="A2051" s="91" t="s">
        <v>1313</v>
      </c>
      <c r="B2051" s="91" t="s">
        <v>1327</v>
      </c>
      <c r="C2051" s="91" t="s">
        <v>3280</v>
      </c>
      <c r="D2051" s="91" t="s">
        <v>15</v>
      </c>
      <c r="E2051" s="91"/>
      <c r="F2051">
        <v>96</v>
      </c>
      <c r="G2051">
        <v>2</v>
      </c>
      <c r="H2051" s="89">
        <v>46170</v>
      </c>
      <c r="I2051" s="89">
        <v>46176</v>
      </c>
      <c r="J2051" s="91"/>
      <c r="K2051" s="91"/>
      <c r="M2051" s="91"/>
      <c r="N2051" s="91" t="s">
        <v>3214</v>
      </c>
    </row>
    <row r="2052" spans="1:14" x14ac:dyDescent="0.25">
      <c r="A2052" s="91" t="s">
        <v>1315</v>
      </c>
      <c r="B2052" s="91" t="s">
        <v>1329</v>
      </c>
      <c r="C2052" s="91" t="s">
        <v>3280</v>
      </c>
      <c r="D2052" s="91" t="s">
        <v>15</v>
      </c>
      <c r="E2052" s="91"/>
      <c r="F2052">
        <v>44</v>
      </c>
      <c r="G2052" t="s">
        <v>1419</v>
      </c>
      <c r="H2052" s="89">
        <v>46170</v>
      </c>
      <c r="I2052" s="89">
        <v>46170</v>
      </c>
      <c r="J2052" s="91"/>
      <c r="K2052" s="91"/>
      <c r="M2052" s="91"/>
      <c r="N2052" s="91" t="s">
        <v>3214</v>
      </c>
    </row>
    <row r="2053" spans="1:14" x14ac:dyDescent="0.25">
      <c r="A2053" s="91" t="s">
        <v>1316</v>
      </c>
      <c r="B2053" s="91" t="s">
        <v>1330</v>
      </c>
      <c r="C2053" s="91" t="s">
        <v>3283</v>
      </c>
      <c r="D2053" s="91" t="s">
        <v>15</v>
      </c>
      <c r="E2053" s="91"/>
      <c r="F2053">
        <v>85</v>
      </c>
      <c r="G2053" t="s">
        <v>1419</v>
      </c>
      <c r="H2053" s="89">
        <v>46170</v>
      </c>
      <c r="I2053" s="89">
        <v>46172</v>
      </c>
      <c r="J2053" s="91"/>
      <c r="K2053" s="91"/>
      <c r="M2053" s="91"/>
      <c r="N2053" s="91" t="s">
        <v>3214</v>
      </c>
    </row>
    <row r="2054" spans="1:14" x14ac:dyDescent="0.25">
      <c r="A2054" s="91" t="s">
        <v>1317</v>
      </c>
      <c r="B2054" s="91" t="s">
        <v>1331</v>
      </c>
      <c r="C2054" s="91" t="s">
        <v>3284</v>
      </c>
      <c r="D2054" s="91" t="s">
        <v>15</v>
      </c>
      <c r="E2054" s="91"/>
      <c r="F2054">
        <v>36</v>
      </c>
      <c r="G2054" t="s">
        <v>1419</v>
      </c>
      <c r="H2054" s="89">
        <v>46170</v>
      </c>
      <c r="I2054" s="89">
        <v>46172</v>
      </c>
      <c r="J2054" s="91"/>
      <c r="K2054" s="91"/>
      <c r="M2054" s="91"/>
      <c r="N2054" s="91" t="s">
        <v>3214</v>
      </c>
    </row>
    <row r="2055" spans="1:14" x14ac:dyDescent="0.25">
      <c r="A2055" s="91" t="s">
        <v>1318</v>
      </c>
      <c r="B2055" s="91" t="s">
        <v>1332</v>
      </c>
      <c r="C2055" s="91" t="s">
        <v>3285</v>
      </c>
      <c r="D2055" s="91" t="s">
        <v>15</v>
      </c>
      <c r="E2055" s="91"/>
      <c r="F2055">
        <v>24</v>
      </c>
      <c r="G2055" t="s">
        <v>1419</v>
      </c>
      <c r="H2055" s="89">
        <v>46170</v>
      </c>
      <c r="I2055" s="89">
        <v>46172</v>
      </c>
      <c r="J2055" s="91"/>
      <c r="K2055" s="91"/>
      <c r="M2055" s="91"/>
      <c r="N2055" s="91" t="s">
        <v>3214</v>
      </c>
    </row>
    <row r="2056" spans="1:14" x14ac:dyDescent="0.25">
      <c r="A2056" s="91" t="s">
        <v>1313</v>
      </c>
      <c r="B2056" s="91" t="s">
        <v>1327</v>
      </c>
      <c r="C2056" s="91" t="s">
        <v>3286</v>
      </c>
      <c r="D2056" s="91" t="s">
        <v>20</v>
      </c>
      <c r="E2056" s="91"/>
      <c r="F2056">
        <v>1152</v>
      </c>
      <c r="G2056">
        <v>24</v>
      </c>
      <c r="H2056" s="89">
        <v>46170</v>
      </c>
      <c r="I2056" s="89">
        <v>46176</v>
      </c>
      <c r="J2056" s="91" t="s">
        <v>3287</v>
      </c>
      <c r="K2056" s="91"/>
      <c r="M2056" s="91"/>
      <c r="N2056" s="91" t="s">
        <v>3214</v>
      </c>
    </row>
    <row r="2057" spans="1:14" x14ac:dyDescent="0.25">
      <c r="A2057" s="91" t="s">
        <v>1315</v>
      </c>
      <c r="B2057" s="91" t="s">
        <v>1329</v>
      </c>
      <c r="C2057" s="91" t="s">
        <v>3286</v>
      </c>
      <c r="D2057" s="91" t="s">
        <v>20</v>
      </c>
      <c r="E2057" s="91"/>
      <c r="F2057">
        <v>90</v>
      </c>
      <c r="G2057" t="s">
        <v>1419</v>
      </c>
      <c r="H2057" s="89">
        <v>46170</v>
      </c>
      <c r="I2057" s="89">
        <v>46172</v>
      </c>
      <c r="J2057" s="91"/>
      <c r="K2057" s="91"/>
      <c r="M2057" s="91"/>
      <c r="N2057" s="91" t="s">
        <v>3214</v>
      </c>
    </row>
    <row r="2058" spans="1:14" x14ac:dyDescent="0.25">
      <c r="A2058" s="91" t="s">
        <v>1316</v>
      </c>
      <c r="B2058" s="91" t="s">
        <v>1330</v>
      </c>
      <c r="C2058" s="91" t="s">
        <v>3288</v>
      </c>
      <c r="D2058" s="91" t="s">
        <v>20</v>
      </c>
      <c r="E2058" s="91"/>
      <c r="F2058">
        <v>65</v>
      </c>
      <c r="G2058" t="s">
        <v>1419</v>
      </c>
      <c r="H2058" s="89">
        <v>46170</v>
      </c>
      <c r="I2058" s="89">
        <v>46172</v>
      </c>
      <c r="J2058" s="91"/>
      <c r="K2058" s="91"/>
      <c r="M2058" s="91"/>
      <c r="N2058" s="91" t="s">
        <v>3214</v>
      </c>
    </row>
    <row r="2059" spans="1:14" x14ac:dyDescent="0.25">
      <c r="A2059" s="91" t="s">
        <v>1317</v>
      </c>
      <c r="B2059" s="91" t="s">
        <v>1331</v>
      </c>
      <c r="C2059" s="91" t="s">
        <v>3289</v>
      </c>
      <c r="D2059" s="91" t="s">
        <v>20</v>
      </c>
      <c r="E2059" s="91"/>
      <c r="F2059">
        <v>11</v>
      </c>
      <c r="G2059" t="s">
        <v>1419</v>
      </c>
      <c r="H2059" s="89">
        <v>46170</v>
      </c>
      <c r="I2059" s="89">
        <v>46172</v>
      </c>
      <c r="J2059" s="91"/>
      <c r="K2059" s="91"/>
      <c r="M2059" s="91"/>
      <c r="N2059" s="91" t="s">
        <v>3214</v>
      </c>
    </row>
    <row r="2060" spans="1:14" x14ac:dyDescent="0.25">
      <c r="A2060" s="91" t="s">
        <v>1318</v>
      </c>
      <c r="B2060" s="91" t="s">
        <v>1332</v>
      </c>
      <c r="C2060" s="91" t="s">
        <v>3290</v>
      </c>
      <c r="D2060" s="91" t="s">
        <v>20</v>
      </c>
      <c r="E2060" s="91"/>
      <c r="F2060">
        <v>34</v>
      </c>
      <c r="G2060" t="s">
        <v>1419</v>
      </c>
      <c r="H2060" s="89">
        <v>46170</v>
      </c>
      <c r="I2060" s="89">
        <v>46172</v>
      </c>
      <c r="J2060" s="91"/>
      <c r="K2060" s="91"/>
      <c r="M2060" s="91"/>
      <c r="N2060" s="91" t="s">
        <v>3214</v>
      </c>
    </row>
    <row r="2061" spans="1:14" x14ac:dyDescent="0.25">
      <c r="A2061" s="91" t="s">
        <v>1320</v>
      </c>
      <c r="B2061" s="91" t="s">
        <v>1334</v>
      </c>
      <c r="C2061" s="91" t="s">
        <v>3291</v>
      </c>
      <c r="D2061" s="91" t="s">
        <v>21</v>
      </c>
      <c r="E2061" s="91"/>
      <c r="F2061">
        <v>720</v>
      </c>
      <c r="G2061">
        <v>15</v>
      </c>
      <c r="H2061" s="89">
        <v>46170</v>
      </c>
      <c r="I2061" s="89">
        <v>46175</v>
      </c>
      <c r="J2061" s="91" t="s">
        <v>3281</v>
      </c>
      <c r="K2061" s="91"/>
      <c r="M2061" s="91"/>
      <c r="N2061" s="91" t="s">
        <v>3214</v>
      </c>
    </row>
    <row r="2062" spans="1:14" x14ac:dyDescent="0.25">
      <c r="A2062" s="91" t="s">
        <v>1314</v>
      </c>
      <c r="B2062" s="91" t="s">
        <v>1328</v>
      </c>
      <c r="C2062" s="91" t="s">
        <v>3291</v>
      </c>
      <c r="D2062" s="91" t="s">
        <v>21</v>
      </c>
      <c r="E2062" s="91"/>
      <c r="F2062">
        <v>288</v>
      </c>
      <c r="G2062">
        <v>6</v>
      </c>
      <c r="H2062" s="89">
        <v>46170</v>
      </c>
      <c r="I2062" s="89">
        <v>46175</v>
      </c>
      <c r="J2062" s="91" t="s">
        <v>3292</v>
      </c>
      <c r="K2062" s="91"/>
      <c r="M2062" s="91"/>
      <c r="N2062" s="91" t="s">
        <v>3214</v>
      </c>
    </row>
    <row r="2063" spans="1:14" x14ac:dyDescent="0.25">
      <c r="A2063" s="91" t="s">
        <v>1324</v>
      </c>
      <c r="B2063" s="91" t="s">
        <v>1338</v>
      </c>
      <c r="C2063" s="91" t="s">
        <v>3291</v>
      </c>
      <c r="D2063" s="91" t="s">
        <v>21</v>
      </c>
      <c r="E2063" s="91"/>
      <c r="F2063">
        <v>768</v>
      </c>
      <c r="G2063">
        <v>16</v>
      </c>
      <c r="H2063" s="89">
        <v>46170</v>
      </c>
      <c r="I2063" s="89">
        <v>46176</v>
      </c>
      <c r="J2063" s="91" t="s">
        <v>3267</v>
      </c>
      <c r="K2063" s="91"/>
      <c r="M2063" s="91"/>
      <c r="N2063" s="91" t="s">
        <v>3214</v>
      </c>
    </row>
    <row r="2064" spans="1:14" x14ac:dyDescent="0.25">
      <c r="A2064" s="91" t="s">
        <v>1315</v>
      </c>
      <c r="B2064" s="91" t="s">
        <v>1329</v>
      </c>
      <c r="C2064" s="91" t="s">
        <v>3291</v>
      </c>
      <c r="D2064" s="91" t="s">
        <v>21</v>
      </c>
      <c r="E2064" s="91"/>
      <c r="F2064">
        <v>48</v>
      </c>
      <c r="G2064" t="s">
        <v>1419</v>
      </c>
      <c r="H2064" s="89">
        <v>46170</v>
      </c>
      <c r="I2064" s="89">
        <v>46172</v>
      </c>
      <c r="J2064" s="91"/>
      <c r="K2064" s="91"/>
      <c r="M2064" s="91"/>
      <c r="N2064" s="91" t="s">
        <v>3214</v>
      </c>
    </row>
    <row r="2065" spans="1:14" x14ac:dyDescent="0.25">
      <c r="A2065" s="91" t="s">
        <v>1316</v>
      </c>
      <c r="B2065" s="91" t="s">
        <v>1330</v>
      </c>
      <c r="C2065" s="91" t="s">
        <v>3293</v>
      </c>
      <c r="D2065" s="91" t="s">
        <v>21</v>
      </c>
      <c r="E2065" s="91"/>
      <c r="F2065">
        <v>26</v>
      </c>
      <c r="G2065" t="s">
        <v>1419</v>
      </c>
      <c r="H2065" s="89">
        <v>46170</v>
      </c>
      <c r="I2065" s="89">
        <v>46172</v>
      </c>
      <c r="J2065" s="91"/>
      <c r="K2065" s="91"/>
      <c r="M2065" s="91"/>
      <c r="N2065" s="91" t="s">
        <v>3214</v>
      </c>
    </row>
    <row r="2066" spans="1:14" x14ac:dyDescent="0.25">
      <c r="A2066" s="91" t="s">
        <v>1317</v>
      </c>
      <c r="B2066" s="91" t="s">
        <v>1331</v>
      </c>
      <c r="C2066" s="91" t="s">
        <v>3294</v>
      </c>
      <c r="D2066" s="91" t="s">
        <v>21</v>
      </c>
      <c r="E2066" s="91"/>
      <c r="F2066">
        <v>7</v>
      </c>
      <c r="G2066" t="s">
        <v>1419</v>
      </c>
      <c r="H2066" s="89">
        <v>46170</v>
      </c>
      <c r="I2066" s="89">
        <v>46172</v>
      </c>
      <c r="J2066" s="91"/>
      <c r="K2066" s="91"/>
      <c r="M2066" s="91"/>
      <c r="N2066" s="91" t="s">
        <v>3214</v>
      </c>
    </row>
    <row r="2067" spans="1:14" x14ac:dyDescent="0.25">
      <c r="A2067" s="91" t="s">
        <v>1318</v>
      </c>
      <c r="B2067" s="91" t="s">
        <v>1332</v>
      </c>
      <c r="C2067" s="91" t="s">
        <v>3295</v>
      </c>
      <c r="D2067" s="91" t="s">
        <v>21</v>
      </c>
      <c r="E2067" s="91"/>
      <c r="F2067">
        <v>72</v>
      </c>
      <c r="G2067" t="s">
        <v>1419</v>
      </c>
      <c r="H2067" s="89">
        <v>46170</v>
      </c>
      <c r="I2067" s="89">
        <v>46172</v>
      </c>
      <c r="J2067" s="91"/>
      <c r="K2067" s="91"/>
      <c r="M2067" s="91"/>
      <c r="N2067" s="91" t="s">
        <v>3214</v>
      </c>
    </row>
    <row r="2068" spans="1:14" x14ac:dyDescent="0.25">
      <c r="A2068" s="91" t="s">
        <v>1326</v>
      </c>
      <c r="B2068" s="91" t="s">
        <v>1340</v>
      </c>
      <c r="C2068" s="91" t="s">
        <v>3296</v>
      </c>
      <c r="D2068" s="91" t="s">
        <v>156</v>
      </c>
      <c r="E2068" s="91"/>
      <c r="F2068">
        <v>840</v>
      </c>
      <c r="G2068">
        <v>20</v>
      </c>
      <c r="H2068" s="89">
        <v>46171</v>
      </c>
      <c r="I2068" s="89">
        <v>46179</v>
      </c>
      <c r="J2068" s="91" t="s">
        <v>3297</v>
      </c>
      <c r="K2068" s="91"/>
      <c r="M2068" s="91"/>
      <c r="N2068" s="91" t="s">
        <v>3214</v>
      </c>
    </row>
    <row r="2069" spans="1:14" x14ac:dyDescent="0.25">
      <c r="A2069" s="91" t="s">
        <v>1320</v>
      </c>
      <c r="B2069" s="91" t="s">
        <v>1334</v>
      </c>
      <c r="C2069" s="91" t="s">
        <v>3298</v>
      </c>
      <c r="D2069" s="91" t="s">
        <v>23</v>
      </c>
      <c r="E2069" s="91"/>
      <c r="F2069">
        <v>960</v>
      </c>
      <c r="G2069">
        <v>20</v>
      </c>
      <c r="H2069" s="89">
        <v>46171</v>
      </c>
      <c r="I2069" s="89">
        <v>46177</v>
      </c>
      <c r="J2069" s="91" t="s">
        <v>3299</v>
      </c>
      <c r="K2069" s="91"/>
      <c r="M2069" s="91"/>
      <c r="N2069" s="91" t="s">
        <v>3214</v>
      </c>
    </row>
    <row r="2070" spans="1:14" x14ac:dyDescent="0.25">
      <c r="A2070" s="91" t="s">
        <v>1320</v>
      </c>
      <c r="B2070" s="91" t="s">
        <v>1334</v>
      </c>
      <c r="C2070" s="91" t="s">
        <v>3300</v>
      </c>
      <c r="D2070" s="91" t="s">
        <v>30</v>
      </c>
      <c r="E2070" s="91"/>
      <c r="F2070">
        <v>384</v>
      </c>
      <c r="G2070">
        <v>8</v>
      </c>
      <c r="H2070" s="89">
        <v>46171</v>
      </c>
      <c r="I2070" s="89">
        <v>46176</v>
      </c>
      <c r="J2070" s="91" t="s">
        <v>3279</v>
      </c>
      <c r="K2070" s="91"/>
      <c r="M2070" s="91"/>
      <c r="N2070" s="91" t="s">
        <v>3214</v>
      </c>
    </row>
    <row r="2071" spans="1:14" x14ac:dyDescent="0.25">
      <c r="A2071" s="91" t="s">
        <v>1320</v>
      </c>
      <c r="B2071" s="91" t="s">
        <v>1334</v>
      </c>
      <c r="C2071" s="91" t="s">
        <v>3301</v>
      </c>
      <c r="D2071" s="91" t="s">
        <v>20</v>
      </c>
      <c r="E2071" s="91"/>
      <c r="F2071">
        <v>960</v>
      </c>
      <c r="G2071">
        <v>20</v>
      </c>
      <c r="H2071" s="89">
        <v>46171</v>
      </c>
      <c r="I2071" s="89">
        <v>46177</v>
      </c>
      <c r="J2071" s="91" t="s">
        <v>3302</v>
      </c>
      <c r="K2071" s="91"/>
      <c r="M2071" s="91"/>
      <c r="N2071" s="91" t="s">
        <v>3214</v>
      </c>
    </row>
    <row r="2072" spans="1:14" x14ac:dyDescent="0.25">
      <c r="A2072" s="91" t="s">
        <v>1313</v>
      </c>
      <c r="B2072" s="91" t="s">
        <v>1327</v>
      </c>
      <c r="C2072" s="91" t="s">
        <v>3301</v>
      </c>
      <c r="D2072" s="91" t="s">
        <v>20</v>
      </c>
      <c r="E2072" s="91"/>
      <c r="F2072">
        <v>192</v>
      </c>
      <c r="G2072">
        <v>4</v>
      </c>
      <c r="H2072" s="89">
        <v>46171</v>
      </c>
      <c r="I2072" s="89">
        <v>46172</v>
      </c>
      <c r="J2072" s="91"/>
      <c r="K2072" s="91"/>
      <c r="M2072" s="91"/>
      <c r="N2072" s="91" t="s">
        <v>3214</v>
      </c>
    </row>
    <row r="2073" spans="1:14" x14ac:dyDescent="0.25">
      <c r="A2073" s="91" t="s">
        <v>1315</v>
      </c>
      <c r="B2073" s="91" t="s">
        <v>1329</v>
      </c>
      <c r="C2073" s="91" t="s">
        <v>3301</v>
      </c>
      <c r="D2073" s="91" t="s">
        <v>20</v>
      </c>
      <c r="E2073" s="91"/>
      <c r="F2073">
        <v>34</v>
      </c>
      <c r="G2073" t="s">
        <v>1419</v>
      </c>
      <c r="H2073" s="89">
        <v>46171</v>
      </c>
      <c r="I2073" s="89">
        <v>46173</v>
      </c>
      <c r="J2073" s="91"/>
      <c r="K2073" s="91"/>
      <c r="M2073" s="91"/>
      <c r="N2073" s="91" t="s">
        <v>3214</v>
      </c>
    </row>
    <row r="2074" spans="1:14" x14ac:dyDescent="0.25">
      <c r="A2074" s="91" t="s">
        <v>1316</v>
      </c>
      <c r="B2074" s="91" t="s">
        <v>1330</v>
      </c>
      <c r="C2074" s="91" t="s">
        <v>3303</v>
      </c>
      <c r="D2074" s="91" t="s">
        <v>20</v>
      </c>
      <c r="E2074" s="91"/>
      <c r="F2074">
        <v>72</v>
      </c>
      <c r="G2074" t="s">
        <v>1419</v>
      </c>
      <c r="H2074" s="89">
        <v>46171</v>
      </c>
      <c r="I2074" s="89">
        <v>46173</v>
      </c>
      <c r="J2074" s="91"/>
      <c r="K2074" s="91"/>
      <c r="M2074" s="91"/>
      <c r="N2074" s="91" t="s">
        <v>3214</v>
      </c>
    </row>
    <row r="2075" spans="1:14" x14ac:dyDescent="0.25">
      <c r="A2075" s="91" t="s">
        <v>1317</v>
      </c>
      <c r="B2075" s="91" t="s">
        <v>1331</v>
      </c>
      <c r="C2075" s="91" t="s">
        <v>3304</v>
      </c>
      <c r="D2075" s="91" t="s">
        <v>20</v>
      </c>
      <c r="E2075" s="91"/>
      <c r="F2075">
        <v>14</v>
      </c>
      <c r="G2075" t="s">
        <v>1419</v>
      </c>
      <c r="H2075" s="89">
        <v>46171</v>
      </c>
      <c r="I2075" s="89">
        <v>46173</v>
      </c>
      <c r="J2075" s="91"/>
      <c r="K2075" s="91"/>
      <c r="M2075" s="91"/>
      <c r="N2075" s="91" t="s">
        <v>3214</v>
      </c>
    </row>
    <row r="2076" spans="1:14" x14ac:dyDescent="0.25">
      <c r="A2076" s="91" t="s">
        <v>1318</v>
      </c>
      <c r="B2076" s="91" t="s">
        <v>1332</v>
      </c>
      <c r="C2076" s="91" t="s">
        <v>3305</v>
      </c>
      <c r="D2076" s="91" t="s">
        <v>20</v>
      </c>
      <c r="E2076" s="91"/>
      <c r="F2076">
        <v>24</v>
      </c>
      <c r="G2076" t="s">
        <v>1419</v>
      </c>
      <c r="H2076" s="89">
        <v>46171</v>
      </c>
      <c r="I2076" s="89">
        <v>46173</v>
      </c>
      <c r="J2076" s="91"/>
      <c r="K2076" s="91"/>
      <c r="M2076" s="91"/>
      <c r="N2076" s="91" t="s">
        <v>3214</v>
      </c>
    </row>
    <row r="2077" spans="1:14" x14ac:dyDescent="0.25">
      <c r="A2077" s="91" t="s">
        <v>1324</v>
      </c>
      <c r="B2077" s="91" t="s">
        <v>1338</v>
      </c>
      <c r="C2077" s="91" t="s">
        <v>3306</v>
      </c>
      <c r="D2077" s="91" t="s">
        <v>28</v>
      </c>
      <c r="E2077" s="91"/>
      <c r="F2077">
        <v>960</v>
      </c>
      <c r="G2077">
        <v>20</v>
      </c>
      <c r="H2077" s="89">
        <v>46171</v>
      </c>
      <c r="I2077" s="89">
        <v>46176</v>
      </c>
      <c r="J2077" s="91" t="s">
        <v>3277</v>
      </c>
      <c r="K2077" s="91"/>
      <c r="M2077" s="91"/>
      <c r="N2077" s="91" t="s">
        <v>3214</v>
      </c>
    </row>
    <row r="2078" spans="1:14" x14ac:dyDescent="0.25">
      <c r="A2078" s="91" t="s">
        <v>1324</v>
      </c>
      <c r="B2078" s="91" t="s">
        <v>1338</v>
      </c>
      <c r="C2078" s="91" t="s">
        <v>3306</v>
      </c>
      <c r="D2078" s="91" t="s">
        <v>28</v>
      </c>
      <c r="E2078" s="91"/>
      <c r="F2078">
        <v>480</v>
      </c>
      <c r="G2078">
        <v>10</v>
      </c>
      <c r="H2078" s="89">
        <v>46171</v>
      </c>
      <c r="I2078" s="89">
        <v>46179</v>
      </c>
      <c r="J2078" s="91" t="s">
        <v>3307</v>
      </c>
      <c r="K2078" s="91"/>
      <c r="M2078" s="91"/>
      <c r="N2078" s="91" t="s">
        <v>3214</v>
      </c>
    </row>
    <row r="2079" spans="1:14" x14ac:dyDescent="0.25">
      <c r="A2079" s="91" t="s">
        <v>1313</v>
      </c>
      <c r="B2079" s="91" t="s">
        <v>1327</v>
      </c>
      <c r="C2079" s="91" t="s">
        <v>3306</v>
      </c>
      <c r="D2079" s="91" t="s">
        <v>28</v>
      </c>
      <c r="E2079" s="91"/>
      <c r="F2079">
        <v>48</v>
      </c>
      <c r="G2079">
        <v>1</v>
      </c>
      <c r="H2079" s="89">
        <v>46171</v>
      </c>
      <c r="I2079" s="89">
        <v>46172</v>
      </c>
      <c r="J2079" s="91"/>
      <c r="K2079" s="91"/>
      <c r="M2079" s="91"/>
      <c r="N2079" s="91" t="s">
        <v>3214</v>
      </c>
    </row>
    <row r="2080" spans="1:14" x14ac:dyDescent="0.25">
      <c r="A2080" s="91" t="s">
        <v>1315</v>
      </c>
      <c r="B2080" s="91" t="s">
        <v>1329</v>
      </c>
      <c r="C2080" s="91" t="s">
        <v>3306</v>
      </c>
      <c r="D2080" s="91" t="s">
        <v>28</v>
      </c>
      <c r="E2080" s="91"/>
      <c r="F2080">
        <v>19</v>
      </c>
      <c r="G2080" t="s">
        <v>1419</v>
      </c>
      <c r="H2080" s="89">
        <v>46171</v>
      </c>
      <c r="I2080" s="89">
        <v>46173</v>
      </c>
      <c r="J2080" s="91"/>
      <c r="K2080" s="91"/>
      <c r="M2080" s="91"/>
      <c r="N2080" s="91" t="s">
        <v>3214</v>
      </c>
    </row>
    <row r="2081" spans="1:14" x14ac:dyDescent="0.25">
      <c r="A2081" s="91" t="s">
        <v>1316</v>
      </c>
      <c r="B2081" s="91" t="s">
        <v>1330</v>
      </c>
      <c r="C2081" s="91" t="s">
        <v>3308</v>
      </c>
      <c r="D2081" s="91" t="s">
        <v>28</v>
      </c>
      <c r="E2081" s="91"/>
      <c r="F2081">
        <v>26</v>
      </c>
      <c r="G2081" t="s">
        <v>1419</v>
      </c>
      <c r="H2081" s="89">
        <v>46171</v>
      </c>
      <c r="I2081" s="89">
        <v>46173</v>
      </c>
      <c r="J2081" s="91"/>
      <c r="K2081" s="91"/>
      <c r="M2081" s="91"/>
      <c r="N2081" s="91" t="s">
        <v>3214</v>
      </c>
    </row>
    <row r="2082" spans="1:14" x14ac:dyDescent="0.25">
      <c r="A2082" s="91" t="s">
        <v>1317</v>
      </c>
      <c r="B2082" s="91" t="s">
        <v>1331</v>
      </c>
      <c r="C2082" s="91" t="s">
        <v>3309</v>
      </c>
      <c r="D2082" s="91" t="s">
        <v>28</v>
      </c>
      <c r="E2082" s="91"/>
      <c r="F2082">
        <v>0</v>
      </c>
      <c r="G2082" t="s">
        <v>1419</v>
      </c>
      <c r="H2082" s="89">
        <v>46171</v>
      </c>
      <c r="I2082" s="89">
        <v>46173</v>
      </c>
      <c r="J2082" s="91"/>
      <c r="K2082" s="91"/>
      <c r="M2082" s="91"/>
      <c r="N2082" s="91" t="s">
        <v>3214</v>
      </c>
    </row>
    <row r="2083" spans="1:14" x14ac:dyDescent="0.25">
      <c r="A2083" s="91" t="s">
        <v>1318</v>
      </c>
      <c r="B2083" s="91" t="s">
        <v>1332</v>
      </c>
      <c r="C2083" s="91" t="s">
        <v>3310</v>
      </c>
      <c r="D2083" s="91" t="s">
        <v>28</v>
      </c>
      <c r="E2083" s="91"/>
      <c r="F2083">
        <v>40</v>
      </c>
      <c r="G2083" t="s">
        <v>1419</v>
      </c>
      <c r="H2083" s="89">
        <v>46171</v>
      </c>
      <c r="I2083" s="89">
        <v>46173</v>
      </c>
      <c r="J2083" s="91"/>
      <c r="K2083" s="91"/>
      <c r="M2083" s="91"/>
      <c r="N2083" s="91" t="s">
        <v>3214</v>
      </c>
    </row>
    <row r="2084" spans="1:14" x14ac:dyDescent="0.25">
      <c r="A2084" s="91" t="s">
        <v>1324</v>
      </c>
      <c r="B2084" s="91" t="s">
        <v>1338</v>
      </c>
      <c r="C2084" s="91" t="s">
        <v>3311</v>
      </c>
      <c r="D2084" s="91" t="s">
        <v>15</v>
      </c>
      <c r="E2084" s="91"/>
      <c r="F2084">
        <v>960</v>
      </c>
      <c r="G2084">
        <v>20</v>
      </c>
      <c r="H2084" s="89">
        <v>46172</v>
      </c>
      <c r="I2084" s="89">
        <v>46179</v>
      </c>
      <c r="J2084" s="91" t="s">
        <v>3307</v>
      </c>
      <c r="K2084" s="91"/>
      <c r="M2084" s="91"/>
      <c r="N2084" s="91" t="s">
        <v>3214</v>
      </c>
    </row>
    <row r="2085" spans="1:14" x14ac:dyDescent="0.25">
      <c r="A2085" s="91" t="s">
        <v>1313</v>
      </c>
      <c r="B2085" s="91" t="s">
        <v>1327</v>
      </c>
      <c r="C2085" s="91" t="s">
        <v>3311</v>
      </c>
      <c r="D2085" s="91" t="s">
        <v>15</v>
      </c>
      <c r="E2085" s="91"/>
      <c r="F2085">
        <v>144</v>
      </c>
      <c r="G2085">
        <v>3</v>
      </c>
      <c r="H2085" s="89">
        <v>46172</v>
      </c>
      <c r="I2085" s="89">
        <v>46177</v>
      </c>
      <c r="J2085" s="91" t="s">
        <v>3312</v>
      </c>
      <c r="K2085" s="91"/>
      <c r="M2085" s="91"/>
      <c r="N2085" s="91" t="s">
        <v>3214</v>
      </c>
    </row>
    <row r="2086" spans="1:14" x14ac:dyDescent="0.25">
      <c r="A2086" s="91" t="s">
        <v>1315</v>
      </c>
      <c r="B2086" s="91" t="s">
        <v>1329</v>
      </c>
      <c r="C2086" s="91" t="s">
        <v>3311</v>
      </c>
      <c r="D2086" s="91" t="s">
        <v>15</v>
      </c>
      <c r="E2086" s="91"/>
      <c r="F2086">
        <v>41</v>
      </c>
      <c r="G2086" t="s">
        <v>1419</v>
      </c>
      <c r="H2086" s="89">
        <v>46172</v>
      </c>
      <c r="I2086" s="89">
        <v>46174</v>
      </c>
      <c r="J2086" s="91"/>
      <c r="K2086" s="91"/>
      <c r="M2086" s="91"/>
      <c r="N2086" s="91" t="s">
        <v>3214</v>
      </c>
    </row>
    <row r="2087" spans="1:14" x14ac:dyDescent="0.25">
      <c r="A2087" s="91" t="s">
        <v>1316</v>
      </c>
      <c r="B2087" s="91" t="s">
        <v>1330</v>
      </c>
      <c r="C2087" s="91" t="s">
        <v>3313</v>
      </c>
      <c r="D2087" s="91" t="s">
        <v>15</v>
      </c>
      <c r="E2087" s="91"/>
      <c r="F2087">
        <v>49</v>
      </c>
      <c r="G2087" t="s">
        <v>1419</v>
      </c>
      <c r="H2087" s="89">
        <v>46172</v>
      </c>
      <c r="I2087" s="89">
        <v>46174</v>
      </c>
      <c r="J2087" s="91"/>
      <c r="K2087" s="91"/>
      <c r="M2087" s="91"/>
      <c r="N2087" s="91" t="s">
        <v>3214</v>
      </c>
    </row>
    <row r="2088" spans="1:14" x14ac:dyDescent="0.25">
      <c r="A2088" s="91" t="s">
        <v>1317</v>
      </c>
      <c r="B2088" s="91" t="s">
        <v>1331</v>
      </c>
      <c r="C2088" s="91" t="s">
        <v>3314</v>
      </c>
      <c r="D2088" s="91" t="s">
        <v>15</v>
      </c>
      <c r="E2088" s="91"/>
      <c r="F2088">
        <v>22</v>
      </c>
      <c r="G2088" t="s">
        <v>1419</v>
      </c>
      <c r="H2088" s="89">
        <v>46172</v>
      </c>
      <c r="I2088" s="89">
        <v>46174</v>
      </c>
      <c r="J2088" s="91"/>
      <c r="K2088" s="91"/>
      <c r="M2088" s="91"/>
      <c r="N2088" s="91" t="s">
        <v>3214</v>
      </c>
    </row>
    <row r="2089" spans="1:14" x14ac:dyDescent="0.25">
      <c r="A2089" s="91" t="s">
        <v>1318</v>
      </c>
      <c r="B2089" s="91" t="s">
        <v>1332</v>
      </c>
      <c r="C2089" s="91" t="s">
        <v>3315</v>
      </c>
      <c r="D2089" s="91" t="s">
        <v>15</v>
      </c>
      <c r="E2089" s="91"/>
      <c r="F2089">
        <v>24</v>
      </c>
      <c r="G2089" t="s">
        <v>1419</v>
      </c>
      <c r="H2089" s="89">
        <v>46172</v>
      </c>
      <c r="I2089" s="89">
        <v>46174</v>
      </c>
      <c r="J2089" s="91"/>
      <c r="K2089" s="91"/>
      <c r="M2089" s="91"/>
      <c r="N2089" s="91" t="s">
        <v>3214</v>
      </c>
    </row>
    <row r="2090" spans="1:14" x14ac:dyDescent="0.25">
      <c r="A2090" s="91" t="s">
        <v>1324</v>
      </c>
      <c r="B2090" s="91" t="s">
        <v>1338</v>
      </c>
      <c r="C2090" s="91" t="s">
        <v>3316</v>
      </c>
      <c r="D2090" s="91" t="s">
        <v>21</v>
      </c>
      <c r="E2090" s="91"/>
      <c r="F2090">
        <v>960</v>
      </c>
      <c r="G2090">
        <v>20</v>
      </c>
      <c r="H2090" s="89">
        <v>46172</v>
      </c>
      <c r="I2090" s="89">
        <v>46177</v>
      </c>
      <c r="J2090" s="91" t="s">
        <v>3317</v>
      </c>
      <c r="K2090" s="91"/>
      <c r="M2090" s="91"/>
      <c r="N2090" s="91" t="s">
        <v>3214</v>
      </c>
    </row>
    <row r="2091" spans="1:14" x14ac:dyDescent="0.25">
      <c r="A2091" s="91" t="s">
        <v>1324</v>
      </c>
      <c r="B2091" s="91" t="s">
        <v>1338</v>
      </c>
      <c r="C2091" s="91" t="s">
        <v>3316</v>
      </c>
      <c r="D2091" s="91" t="s">
        <v>21</v>
      </c>
      <c r="E2091" s="91"/>
      <c r="F2091">
        <v>480</v>
      </c>
      <c r="G2091">
        <v>10</v>
      </c>
      <c r="H2091" s="89">
        <v>46172</v>
      </c>
      <c r="I2091" s="89">
        <v>46179</v>
      </c>
      <c r="J2091" s="91" t="s">
        <v>3307</v>
      </c>
      <c r="K2091" s="91"/>
      <c r="M2091" s="91"/>
      <c r="N2091" s="91" t="s">
        <v>3214</v>
      </c>
    </row>
    <row r="2092" spans="1:14" x14ac:dyDescent="0.25">
      <c r="A2092" s="91" t="s">
        <v>1313</v>
      </c>
      <c r="B2092" s="91" t="s">
        <v>1327</v>
      </c>
      <c r="C2092" s="91" t="s">
        <v>3316</v>
      </c>
      <c r="D2092" s="91" t="s">
        <v>21</v>
      </c>
      <c r="E2092" s="91"/>
      <c r="F2092">
        <v>96</v>
      </c>
      <c r="G2092">
        <v>2</v>
      </c>
      <c r="H2092" s="89">
        <v>46172</v>
      </c>
      <c r="I2092" s="89">
        <v>46177</v>
      </c>
      <c r="J2092" s="91"/>
      <c r="K2092" s="91"/>
      <c r="M2092" s="91"/>
      <c r="N2092" s="91" t="s">
        <v>3214</v>
      </c>
    </row>
    <row r="2093" spans="1:14" x14ac:dyDescent="0.25">
      <c r="A2093" s="91" t="s">
        <v>1315</v>
      </c>
      <c r="B2093" s="91" t="s">
        <v>1329</v>
      </c>
      <c r="C2093" s="91" t="s">
        <v>3316</v>
      </c>
      <c r="D2093" s="91" t="s">
        <v>21</v>
      </c>
      <c r="E2093" s="91"/>
      <c r="F2093">
        <v>45</v>
      </c>
      <c r="G2093" t="s">
        <v>1419</v>
      </c>
      <c r="H2093" s="89">
        <v>46172</v>
      </c>
      <c r="I2093" s="89">
        <v>46174</v>
      </c>
      <c r="J2093" s="91"/>
      <c r="K2093" s="91"/>
      <c r="M2093" s="91"/>
      <c r="N2093" s="91" t="s">
        <v>3214</v>
      </c>
    </row>
    <row r="2094" spans="1:14" x14ac:dyDescent="0.25">
      <c r="A2094" s="91" t="s">
        <v>1316</v>
      </c>
      <c r="B2094" s="91" t="s">
        <v>1330</v>
      </c>
      <c r="C2094" s="91" t="s">
        <v>3318</v>
      </c>
      <c r="D2094" s="91" t="s">
        <v>21</v>
      </c>
      <c r="E2094" s="91"/>
      <c r="F2094">
        <v>17</v>
      </c>
      <c r="G2094" t="s">
        <v>1419</v>
      </c>
      <c r="H2094" s="89">
        <v>46172</v>
      </c>
      <c r="I2094" s="89">
        <v>46174</v>
      </c>
      <c r="J2094" s="91"/>
      <c r="K2094" s="91"/>
      <c r="M2094" s="91"/>
      <c r="N2094" s="91" t="s">
        <v>3214</v>
      </c>
    </row>
    <row r="2095" spans="1:14" x14ac:dyDescent="0.25">
      <c r="A2095" s="91" t="s">
        <v>1317</v>
      </c>
      <c r="B2095" s="91" t="s">
        <v>1331</v>
      </c>
      <c r="C2095" s="91" t="s">
        <v>3319</v>
      </c>
      <c r="D2095" s="91" t="s">
        <v>21</v>
      </c>
      <c r="E2095" s="91"/>
      <c r="F2095">
        <v>14</v>
      </c>
      <c r="G2095" t="s">
        <v>1419</v>
      </c>
      <c r="H2095" s="89">
        <v>46172</v>
      </c>
      <c r="I2095" s="89">
        <v>46174</v>
      </c>
      <c r="J2095" s="91"/>
      <c r="K2095" s="91"/>
      <c r="M2095" s="91"/>
      <c r="N2095" s="91" t="s">
        <v>3214</v>
      </c>
    </row>
    <row r="2096" spans="1:14" x14ac:dyDescent="0.25">
      <c r="A2096" s="91" t="s">
        <v>1318</v>
      </c>
      <c r="B2096" s="91" t="s">
        <v>1332</v>
      </c>
      <c r="C2096" s="91" t="s">
        <v>3320</v>
      </c>
      <c r="D2096" s="91" t="s">
        <v>21</v>
      </c>
      <c r="E2096" s="91"/>
      <c r="F2096">
        <v>79</v>
      </c>
      <c r="G2096" t="s">
        <v>1419</v>
      </c>
      <c r="H2096" s="89">
        <v>46172</v>
      </c>
      <c r="I2096" s="89">
        <v>46174</v>
      </c>
      <c r="J2096" s="91"/>
      <c r="K2096" s="91"/>
      <c r="M2096" s="91"/>
      <c r="N2096" s="91" t="s">
        <v>3214</v>
      </c>
    </row>
    <row r="2097" spans="1:14" x14ac:dyDescent="0.25">
      <c r="A2097" s="91" t="s">
        <v>1321</v>
      </c>
      <c r="B2097" s="91" t="s">
        <v>1335</v>
      </c>
      <c r="C2097" s="91" t="s">
        <v>3321</v>
      </c>
      <c r="D2097" s="91" t="s">
        <v>138</v>
      </c>
      <c r="E2097" s="91"/>
      <c r="F2097">
        <v>96</v>
      </c>
      <c r="G2097">
        <v>2</v>
      </c>
      <c r="H2097" s="89">
        <v>46174</v>
      </c>
      <c r="I2097" s="89">
        <v>46179</v>
      </c>
      <c r="J2097" s="91" t="s">
        <v>3322</v>
      </c>
      <c r="K2097" s="91"/>
      <c r="M2097" s="91"/>
      <c r="N2097" s="91" t="s">
        <v>3323</v>
      </c>
    </row>
    <row r="2098" spans="1:14" x14ac:dyDescent="0.25">
      <c r="A2098" s="91" t="s">
        <v>1321</v>
      </c>
      <c r="B2098" s="91" t="s">
        <v>1335</v>
      </c>
      <c r="C2098" s="91" t="s">
        <v>3321</v>
      </c>
      <c r="D2098" s="91" t="s">
        <v>138</v>
      </c>
      <c r="E2098" s="91"/>
      <c r="F2098">
        <v>144</v>
      </c>
      <c r="G2098">
        <v>3</v>
      </c>
      <c r="H2098" s="89">
        <v>46174</v>
      </c>
      <c r="I2098" s="89">
        <v>46181</v>
      </c>
      <c r="J2098" s="91" t="s">
        <v>3324</v>
      </c>
      <c r="K2098" s="91"/>
      <c r="M2098" s="91"/>
      <c r="N2098" s="91" t="s">
        <v>3323</v>
      </c>
    </row>
    <row r="2099" spans="1:14" x14ac:dyDescent="0.25">
      <c r="A2099" s="91" t="s">
        <v>1325</v>
      </c>
      <c r="B2099" s="91" t="s">
        <v>1339</v>
      </c>
      <c r="C2099" s="91" t="s">
        <v>3321</v>
      </c>
      <c r="D2099" s="91" t="s">
        <v>138</v>
      </c>
      <c r="E2099" s="91"/>
      <c r="F2099">
        <v>192</v>
      </c>
      <c r="G2099">
        <v>4</v>
      </c>
      <c r="H2099" s="89">
        <v>46174</v>
      </c>
      <c r="I2099" s="89">
        <v>46176</v>
      </c>
      <c r="J2099" s="91"/>
      <c r="K2099" s="91"/>
      <c r="M2099" s="91"/>
      <c r="N2099" s="91" t="s">
        <v>3323</v>
      </c>
    </row>
    <row r="2100" spans="1:14" x14ac:dyDescent="0.25">
      <c r="A2100" s="91" t="s">
        <v>1320</v>
      </c>
      <c r="B2100" s="91" t="s">
        <v>1334</v>
      </c>
      <c r="C2100" s="91" t="s">
        <v>3325</v>
      </c>
      <c r="D2100" s="91" t="s">
        <v>129</v>
      </c>
      <c r="E2100" s="91"/>
      <c r="F2100">
        <v>816</v>
      </c>
      <c r="G2100">
        <v>17</v>
      </c>
      <c r="H2100" s="89">
        <v>46174</v>
      </c>
      <c r="I2100" s="89">
        <v>46178</v>
      </c>
      <c r="J2100" s="91" t="s">
        <v>3326</v>
      </c>
      <c r="K2100" s="91"/>
      <c r="M2100" s="91"/>
      <c r="N2100" s="91" t="s">
        <v>3323</v>
      </c>
    </row>
    <row r="2101" spans="1:14" x14ac:dyDescent="0.25">
      <c r="A2101" s="91" t="s">
        <v>1320</v>
      </c>
      <c r="B2101" s="91" t="s">
        <v>1334</v>
      </c>
      <c r="C2101" s="91" t="s">
        <v>3327</v>
      </c>
      <c r="D2101" s="91" t="s">
        <v>21</v>
      </c>
      <c r="E2101" s="91"/>
      <c r="F2101">
        <v>144</v>
      </c>
      <c r="G2101">
        <v>3</v>
      </c>
      <c r="H2101" s="89">
        <v>46174</v>
      </c>
      <c r="I2101" s="89">
        <v>46178</v>
      </c>
      <c r="J2101" s="91" t="s">
        <v>3328</v>
      </c>
      <c r="K2101" s="91"/>
      <c r="M2101" s="91"/>
      <c r="N2101" s="91" t="s">
        <v>3323</v>
      </c>
    </row>
    <row r="2102" spans="1:14" x14ac:dyDescent="0.25">
      <c r="A2102" s="91" t="s">
        <v>1324</v>
      </c>
      <c r="B2102" s="91" t="s">
        <v>1338</v>
      </c>
      <c r="C2102" s="91" t="s">
        <v>3327</v>
      </c>
      <c r="D2102" s="91" t="s">
        <v>21</v>
      </c>
      <c r="E2102" s="91"/>
      <c r="F2102">
        <v>960</v>
      </c>
      <c r="G2102">
        <v>20</v>
      </c>
      <c r="H2102" s="89">
        <v>46174</v>
      </c>
      <c r="I2102" s="89">
        <v>46177</v>
      </c>
      <c r="J2102" s="91" t="s">
        <v>3317</v>
      </c>
      <c r="K2102" s="91"/>
      <c r="M2102" s="91"/>
      <c r="N2102" s="91" t="s">
        <v>3323</v>
      </c>
    </row>
    <row r="2103" spans="1:14" x14ac:dyDescent="0.25">
      <c r="A2103" s="91" t="s">
        <v>1324</v>
      </c>
      <c r="B2103" s="91" t="s">
        <v>1338</v>
      </c>
      <c r="C2103" s="91" t="s">
        <v>3327</v>
      </c>
      <c r="D2103" s="91" t="s">
        <v>21</v>
      </c>
      <c r="E2103" s="91"/>
      <c r="F2103">
        <v>480</v>
      </c>
      <c r="G2103">
        <v>10</v>
      </c>
      <c r="H2103" s="89">
        <v>46174</v>
      </c>
      <c r="I2103" s="89">
        <v>46179</v>
      </c>
      <c r="J2103" s="91" t="s">
        <v>3322</v>
      </c>
      <c r="K2103" s="91"/>
      <c r="M2103" s="91"/>
      <c r="N2103" s="91" t="s">
        <v>3323</v>
      </c>
    </row>
    <row r="2104" spans="1:14" x14ac:dyDescent="0.25">
      <c r="A2104" s="91" t="s">
        <v>1313</v>
      </c>
      <c r="B2104" s="91" t="s">
        <v>1327</v>
      </c>
      <c r="C2104" s="91" t="s">
        <v>3327</v>
      </c>
      <c r="D2104" s="91" t="s">
        <v>21</v>
      </c>
      <c r="E2104" s="91"/>
      <c r="F2104">
        <v>192</v>
      </c>
      <c r="G2104">
        <v>4</v>
      </c>
      <c r="H2104" s="89">
        <v>46174</v>
      </c>
      <c r="I2104" s="89">
        <v>46177</v>
      </c>
      <c r="J2104" s="91" t="s">
        <v>3312</v>
      </c>
      <c r="K2104" s="91"/>
      <c r="M2104" s="91"/>
      <c r="N2104" s="91" t="s">
        <v>3323</v>
      </c>
    </row>
    <row r="2105" spans="1:14" x14ac:dyDescent="0.25">
      <c r="A2105" s="91" t="s">
        <v>1315</v>
      </c>
      <c r="B2105" s="91" t="s">
        <v>1329</v>
      </c>
      <c r="C2105" s="91" t="s">
        <v>3327</v>
      </c>
      <c r="D2105" s="91" t="s">
        <v>21</v>
      </c>
      <c r="E2105" s="91"/>
      <c r="F2105">
        <v>12</v>
      </c>
      <c r="G2105" t="s">
        <v>1419</v>
      </c>
      <c r="H2105" s="89">
        <v>46174</v>
      </c>
      <c r="I2105" s="89">
        <v>46177</v>
      </c>
      <c r="J2105" s="91"/>
      <c r="K2105" s="91"/>
      <c r="M2105" s="91"/>
      <c r="N2105" s="91" t="s">
        <v>3323</v>
      </c>
    </row>
    <row r="2106" spans="1:14" x14ac:dyDescent="0.25">
      <c r="A2106" s="91" t="s">
        <v>1316</v>
      </c>
      <c r="B2106" s="91" t="s">
        <v>1330</v>
      </c>
      <c r="C2106" s="91" t="s">
        <v>3329</v>
      </c>
      <c r="D2106" s="91" t="s">
        <v>21</v>
      </c>
      <c r="E2106" s="91"/>
      <c r="F2106">
        <v>13</v>
      </c>
      <c r="G2106" t="s">
        <v>1419</v>
      </c>
      <c r="H2106" s="89">
        <v>46174</v>
      </c>
      <c r="I2106" s="89">
        <v>46176</v>
      </c>
      <c r="J2106" s="91"/>
      <c r="K2106" s="91"/>
      <c r="M2106" s="91"/>
      <c r="N2106" s="91" t="s">
        <v>3323</v>
      </c>
    </row>
    <row r="2107" spans="1:14" x14ac:dyDescent="0.25">
      <c r="A2107" s="91" t="s">
        <v>1317</v>
      </c>
      <c r="B2107" s="91" t="s">
        <v>1331</v>
      </c>
      <c r="C2107" s="91" t="s">
        <v>3330</v>
      </c>
      <c r="D2107" s="91" t="s">
        <v>21</v>
      </c>
      <c r="E2107" s="91"/>
      <c r="F2107">
        <v>12</v>
      </c>
      <c r="G2107" t="s">
        <v>1419</v>
      </c>
      <c r="H2107" s="89">
        <v>46174</v>
      </c>
      <c r="I2107" s="89">
        <v>46176</v>
      </c>
      <c r="J2107" s="91"/>
      <c r="K2107" s="91"/>
      <c r="M2107" s="91"/>
      <c r="N2107" s="91" t="s">
        <v>3323</v>
      </c>
    </row>
    <row r="2108" spans="1:14" x14ac:dyDescent="0.25">
      <c r="A2108" s="91" t="s">
        <v>1318</v>
      </c>
      <c r="B2108" s="91" t="s">
        <v>1332</v>
      </c>
      <c r="C2108" s="91" t="s">
        <v>3331</v>
      </c>
      <c r="D2108" s="91" t="s">
        <v>21</v>
      </c>
      <c r="E2108" s="91"/>
      <c r="F2108">
        <v>81</v>
      </c>
      <c r="G2108" t="s">
        <v>1419</v>
      </c>
      <c r="H2108" s="89">
        <v>46174</v>
      </c>
      <c r="I2108" s="89">
        <v>46176</v>
      </c>
      <c r="J2108" s="91"/>
      <c r="K2108" s="91"/>
      <c r="M2108" s="91"/>
      <c r="N2108" s="91" t="s">
        <v>3323</v>
      </c>
    </row>
    <row r="2109" spans="1:14" x14ac:dyDescent="0.25">
      <c r="A2109" s="91" t="s">
        <v>1324</v>
      </c>
      <c r="B2109" s="91" t="s">
        <v>1338</v>
      </c>
      <c r="C2109" s="91" t="s">
        <v>3332</v>
      </c>
      <c r="D2109" s="91" t="s">
        <v>23</v>
      </c>
      <c r="E2109" s="91"/>
      <c r="F2109">
        <v>960</v>
      </c>
      <c r="G2109">
        <v>20</v>
      </c>
      <c r="H2109" s="89">
        <v>46175</v>
      </c>
      <c r="I2109" s="89">
        <v>46181</v>
      </c>
      <c r="J2109" s="91" t="s">
        <v>3324</v>
      </c>
      <c r="K2109" s="91"/>
      <c r="M2109" s="91"/>
      <c r="N2109" s="91" t="s">
        <v>3323</v>
      </c>
    </row>
    <row r="2110" spans="1:14" x14ac:dyDescent="0.25">
      <c r="A2110" s="91" t="s">
        <v>1324</v>
      </c>
      <c r="B2110" s="91" t="s">
        <v>1338</v>
      </c>
      <c r="C2110" s="91" t="s">
        <v>3333</v>
      </c>
      <c r="D2110" s="91" t="s">
        <v>118</v>
      </c>
      <c r="E2110" s="91"/>
      <c r="F2110">
        <v>96</v>
      </c>
      <c r="G2110">
        <v>2</v>
      </c>
      <c r="H2110" s="89">
        <v>46175</v>
      </c>
      <c r="I2110" s="89">
        <v>46181</v>
      </c>
      <c r="J2110" s="91" t="s">
        <v>3324</v>
      </c>
      <c r="K2110" s="91"/>
      <c r="M2110" s="91"/>
      <c r="N2110" s="91" t="s">
        <v>3323</v>
      </c>
    </row>
    <row r="2111" spans="1:14" x14ac:dyDescent="0.25">
      <c r="A2111" s="91" t="s">
        <v>1324</v>
      </c>
      <c r="B2111" s="91" t="s">
        <v>1338</v>
      </c>
      <c r="C2111" s="91" t="s">
        <v>3333</v>
      </c>
      <c r="D2111" s="91" t="s">
        <v>118</v>
      </c>
      <c r="E2111" s="91"/>
      <c r="F2111">
        <v>864</v>
      </c>
      <c r="G2111">
        <v>18</v>
      </c>
      <c r="H2111" s="89">
        <v>46175</v>
      </c>
      <c r="I2111" s="89">
        <v>46179</v>
      </c>
      <c r="J2111" s="91" t="s">
        <v>3322</v>
      </c>
      <c r="K2111" s="91"/>
      <c r="M2111" s="91"/>
      <c r="N2111" s="91" t="s">
        <v>3323</v>
      </c>
    </row>
    <row r="2112" spans="1:14" x14ac:dyDescent="0.25">
      <c r="A2112" s="91" t="s">
        <v>1324</v>
      </c>
      <c r="B2112" s="91" t="s">
        <v>1338</v>
      </c>
      <c r="C2112" s="91" t="s">
        <v>3334</v>
      </c>
      <c r="D2112" s="91" t="s">
        <v>13</v>
      </c>
      <c r="E2112" s="91"/>
      <c r="F2112">
        <v>480</v>
      </c>
      <c r="G2112">
        <v>10</v>
      </c>
      <c r="H2112" s="89">
        <v>46175</v>
      </c>
      <c r="I2112" s="89">
        <v>46181</v>
      </c>
      <c r="J2112" s="91" t="s">
        <v>3324</v>
      </c>
      <c r="K2112" s="91"/>
      <c r="M2112" s="91"/>
      <c r="N2112" s="91" t="s">
        <v>3323</v>
      </c>
    </row>
    <row r="2113" spans="1:14" x14ac:dyDescent="0.25">
      <c r="A2113" s="91" t="s">
        <v>1320</v>
      </c>
      <c r="B2113" s="91" t="s">
        <v>1334</v>
      </c>
      <c r="C2113" s="91" t="s">
        <v>3335</v>
      </c>
      <c r="D2113" s="91" t="s">
        <v>129</v>
      </c>
      <c r="E2113" s="91"/>
      <c r="F2113">
        <v>144</v>
      </c>
      <c r="G2113">
        <v>3</v>
      </c>
      <c r="H2113" s="89">
        <v>46175</v>
      </c>
      <c r="I2113" s="89">
        <v>46178</v>
      </c>
      <c r="J2113" s="91" t="s">
        <v>3326</v>
      </c>
      <c r="K2113" s="91"/>
      <c r="M2113" s="91"/>
      <c r="N2113" s="91" t="s">
        <v>3323</v>
      </c>
    </row>
    <row r="2114" spans="1:14" x14ac:dyDescent="0.25">
      <c r="A2114" s="91" t="s">
        <v>1324</v>
      </c>
      <c r="B2114" s="91" t="s">
        <v>1338</v>
      </c>
      <c r="C2114" s="91" t="s">
        <v>3336</v>
      </c>
      <c r="D2114" s="91" t="s">
        <v>21</v>
      </c>
      <c r="E2114" s="91"/>
      <c r="F2114">
        <v>480</v>
      </c>
      <c r="G2114">
        <v>10</v>
      </c>
      <c r="H2114" s="89">
        <v>46175</v>
      </c>
      <c r="I2114" s="89">
        <v>46179</v>
      </c>
      <c r="J2114" s="91" t="s">
        <v>3322</v>
      </c>
      <c r="K2114" s="91"/>
      <c r="M2114" s="91"/>
      <c r="N2114" s="91" t="s">
        <v>3323</v>
      </c>
    </row>
    <row r="2115" spans="1:14" x14ac:dyDescent="0.25">
      <c r="A2115" s="91" t="s">
        <v>1324</v>
      </c>
      <c r="B2115" s="91" t="s">
        <v>1338</v>
      </c>
      <c r="C2115" s="91" t="s">
        <v>3336</v>
      </c>
      <c r="D2115" s="91" t="s">
        <v>21</v>
      </c>
      <c r="E2115" s="91"/>
      <c r="F2115">
        <v>240</v>
      </c>
      <c r="G2115">
        <v>5</v>
      </c>
      <c r="H2115" s="89">
        <v>46175</v>
      </c>
      <c r="I2115" s="89">
        <v>46181</v>
      </c>
      <c r="J2115" s="91" t="s">
        <v>3324</v>
      </c>
      <c r="K2115" s="91"/>
      <c r="M2115" s="91"/>
      <c r="N2115" s="91" t="s">
        <v>3323</v>
      </c>
    </row>
    <row r="2116" spans="1:14" x14ac:dyDescent="0.25">
      <c r="A2116" s="91" t="s">
        <v>1313</v>
      </c>
      <c r="B2116" s="91" t="s">
        <v>1327</v>
      </c>
      <c r="C2116" s="91" t="s">
        <v>3336</v>
      </c>
      <c r="D2116" s="91" t="s">
        <v>21</v>
      </c>
      <c r="E2116" s="91"/>
      <c r="F2116">
        <v>336</v>
      </c>
      <c r="G2116">
        <v>7</v>
      </c>
      <c r="H2116" s="89">
        <v>46175</v>
      </c>
      <c r="I2116" s="89">
        <v>46177</v>
      </c>
      <c r="J2116" s="91" t="s">
        <v>3312</v>
      </c>
      <c r="K2116" s="91"/>
      <c r="M2116" s="91"/>
      <c r="N2116" s="91" t="s">
        <v>3323</v>
      </c>
    </row>
    <row r="2117" spans="1:14" x14ac:dyDescent="0.25">
      <c r="A2117" s="91" t="s">
        <v>1314</v>
      </c>
      <c r="B2117" s="91" t="s">
        <v>1328</v>
      </c>
      <c r="C2117" s="91" t="s">
        <v>3336</v>
      </c>
      <c r="D2117" s="91" t="s">
        <v>21</v>
      </c>
      <c r="E2117" s="91"/>
      <c r="F2117">
        <v>288</v>
      </c>
      <c r="G2117">
        <v>6</v>
      </c>
      <c r="H2117" s="89">
        <v>46175</v>
      </c>
      <c r="I2117" s="89">
        <v>46177</v>
      </c>
      <c r="J2117" s="91" t="s">
        <v>3337</v>
      </c>
      <c r="K2117" s="91"/>
      <c r="M2117" s="91"/>
      <c r="N2117" s="91" t="s">
        <v>3323</v>
      </c>
    </row>
    <row r="2118" spans="1:14" x14ac:dyDescent="0.25">
      <c r="A2118" s="91" t="s">
        <v>1315</v>
      </c>
      <c r="B2118" s="91" t="s">
        <v>1329</v>
      </c>
      <c r="C2118" s="91" t="s">
        <v>3336</v>
      </c>
      <c r="D2118" s="91" t="s">
        <v>21</v>
      </c>
      <c r="E2118" s="91"/>
      <c r="F2118">
        <v>79</v>
      </c>
      <c r="G2118" t="s">
        <v>1419</v>
      </c>
      <c r="H2118" s="89">
        <v>46175</v>
      </c>
      <c r="I2118" s="89">
        <v>46177</v>
      </c>
      <c r="J2118" s="91"/>
      <c r="K2118" s="91"/>
      <c r="M2118" s="91"/>
      <c r="N2118" s="91" t="s">
        <v>3323</v>
      </c>
    </row>
    <row r="2119" spans="1:14" x14ac:dyDescent="0.25">
      <c r="A2119" s="91" t="s">
        <v>1316</v>
      </c>
      <c r="B2119" s="91" t="s">
        <v>1330</v>
      </c>
      <c r="C2119" s="91" t="s">
        <v>3338</v>
      </c>
      <c r="D2119" s="91" t="s">
        <v>21</v>
      </c>
      <c r="E2119" s="91"/>
      <c r="F2119">
        <v>13</v>
      </c>
      <c r="G2119" t="s">
        <v>1419</v>
      </c>
      <c r="H2119" s="89">
        <v>46175</v>
      </c>
      <c r="I2119" s="89">
        <v>46177</v>
      </c>
      <c r="J2119" s="91"/>
      <c r="K2119" s="91"/>
      <c r="M2119" s="91"/>
      <c r="N2119" s="91" t="s">
        <v>3323</v>
      </c>
    </row>
    <row r="2120" spans="1:14" x14ac:dyDescent="0.25">
      <c r="A2120" s="91" t="s">
        <v>1317</v>
      </c>
      <c r="B2120" s="91" t="s">
        <v>1331</v>
      </c>
      <c r="C2120" s="91" t="s">
        <v>3339</v>
      </c>
      <c r="D2120" s="91" t="s">
        <v>21</v>
      </c>
      <c r="E2120" s="91"/>
      <c r="F2120">
        <v>11</v>
      </c>
      <c r="G2120" t="s">
        <v>1419</v>
      </c>
      <c r="H2120" s="89">
        <v>46175</v>
      </c>
      <c r="I2120" s="89">
        <v>46177</v>
      </c>
      <c r="J2120" s="91"/>
      <c r="K2120" s="91"/>
      <c r="M2120" s="91"/>
      <c r="N2120" s="91" t="s">
        <v>3323</v>
      </c>
    </row>
    <row r="2121" spans="1:14" x14ac:dyDescent="0.25">
      <c r="A2121" s="91" t="s">
        <v>1318</v>
      </c>
      <c r="B2121" s="91" t="s">
        <v>1332</v>
      </c>
      <c r="C2121" s="91" t="s">
        <v>3340</v>
      </c>
      <c r="D2121" s="91" t="s">
        <v>21</v>
      </c>
      <c r="E2121" s="91"/>
      <c r="F2121">
        <v>68</v>
      </c>
      <c r="G2121" t="s">
        <v>1419</v>
      </c>
      <c r="H2121" s="89">
        <v>46175</v>
      </c>
      <c r="I2121" s="89">
        <v>46177</v>
      </c>
      <c r="J2121" s="91"/>
      <c r="K2121" s="91"/>
      <c r="M2121" s="91"/>
      <c r="N2121" s="91" t="s">
        <v>3323</v>
      </c>
    </row>
    <row r="2122" spans="1:14" x14ac:dyDescent="0.25">
      <c r="A2122" s="91" t="s">
        <v>1320</v>
      </c>
      <c r="B2122" s="91" t="s">
        <v>1334</v>
      </c>
      <c r="C2122" s="91" t="s">
        <v>3341</v>
      </c>
      <c r="D2122" s="91" t="s">
        <v>15</v>
      </c>
      <c r="E2122" s="91"/>
      <c r="F2122">
        <v>816</v>
      </c>
      <c r="G2122">
        <v>17</v>
      </c>
      <c r="H2122" s="89">
        <v>46175</v>
      </c>
      <c r="I2122" s="89">
        <v>46178</v>
      </c>
      <c r="J2122" s="91" t="s">
        <v>3328</v>
      </c>
      <c r="K2122" s="91"/>
      <c r="M2122" s="91"/>
      <c r="N2122" s="91" t="s">
        <v>3323</v>
      </c>
    </row>
    <row r="2123" spans="1:14" x14ac:dyDescent="0.25">
      <c r="A2123" s="91" t="s">
        <v>1320</v>
      </c>
      <c r="B2123" s="91" t="s">
        <v>1334</v>
      </c>
      <c r="C2123" s="91" t="s">
        <v>3341</v>
      </c>
      <c r="D2123" s="91" t="s">
        <v>15</v>
      </c>
      <c r="E2123" s="91"/>
      <c r="F2123">
        <v>48</v>
      </c>
      <c r="G2123">
        <v>1</v>
      </c>
      <c r="H2123" s="89">
        <v>46175</v>
      </c>
      <c r="I2123" s="89">
        <v>46181</v>
      </c>
      <c r="J2123" s="91" t="s">
        <v>3342</v>
      </c>
      <c r="K2123" s="91"/>
      <c r="M2123" s="91"/>
      <c r="N2123" s="91" t="s">
        <v>3323</v>
      </c>
    </row>
    <row r="2124" spans="1:14" x14ac:dyDescent="0.25">
      <c r="A2124" s="91" t="s">
        <v>1313</v>
      </c>
      <c r="B2124" s="91" t="s">
        <v>1327</v>
      </c>
      <c r="C2124" s="91" t="s">
        <v>3341</v>
      </c>
      <c r="D2124" s="91" t="s">
        <v>15</v>
      </c>
      <c r="E2124" s="91"/>
      <c r="F2124">
        <v>192</v>
      </c>
      <c r="G2124">
        <v>4</v>
      </c>
      <c r="H2124" s="89">
        <v>46175</v>
      </c>
      <c r="I2124" s="89">
        <v>46177</v>
      </c>
      <c r="J2124" s="91" t="s">
        <v>3312</v>
      </c>
      <c r="K2124" s="91"/>
      <c r="M2124" s="91"/>
      <c r="N2124" s="91" t="s">
        <v>3323</v>
      </c>
    </row>
    <row r="2125" spans="1:14" x14ac:dyDescent="0.25">
      <c r="A2125" s="91" t="s">
        <v>1313</v>
      </c>
      <c r="B2125" s="91" t="s">
        <v>1327</v>
      </c>
      <c r="C2125" s="91" t="s">
        <v>3341</v>
      </c>
      <c r="D2125" s="91" t="s">
        <v>15</v>
      </c>
      <c r="E2125" s="91"/>
      <c r="F2125">
        <v>240</v>
      </c>
      <c r="G2125">
        <v>5</v>
      </c>
      <c r="H2125" s="89">
        <v>46175</v>
      </c>
      <c r="I2125" s="89">
        <v>46179</v>
      </c>
      <c r="J2125" s="91" t="s">
        <v>3343</v>
      </c>
      <c r="K2125" s="91"/>
      <c r="M2125" s="91"/>
      <c r="N2125" s="91" t="s">
        <v>3323</v>
      </c>
    </row>
    <row r="2126" spans="1:14" x14ac:dyDescent="0.25">
      <c r="A2126" s="91" t="s">
        <v>1315</v>
      </c>
      <c r="B2126" s="91" t="s">
        <v>1329</v>
      </c>
      <c r="C2126" s="91" t="s">
        <v>3341</v>
      </c>
      <c r="D2126" s="91" t="s">
        <v>15</v>
      </c>
      <c r="E2126" s="91"/>
      <c r="F2126">
        <v>28</v>
      </c>
      <c r="G2126" t="s">
        <v>1419</v>
      </c>
      <c r="H2126" s="89">
        <v>46175</v>
      </c>
      <c r="I2126" s="89">
        <v>46177</v>
      </c>
      <c r="J2126" s="91"/>
      <c r="K2126" s="91"/>
      <c r="M2126" s="91"/>
      <c r="N2126" s="91" t="s">
        <v>3323</v>
      </c>
    </row>
    <row r="2127" spans="1:14" x14ac:dyDescent="0.25">
      <c r="A2127" s="91" t="s">
        <v>1316</v>
      </c>
      <c r="B2127" s="91" t="s">
        <v>1330</v>
      </c>
      <c r="C2127" s="91" t="s">
        <v>3344</v>
      </c>
      <c r="D2127" s="91" t="s">
        <v>15</v>
      </c>
      <c r="E2127" s="91"/>
      <c r="F2127">
        <v>56</v>
      </c>
      <c r="G2127" t="s">
        <v>1419</v>
      </c>
      <c r="H2127" s="89">
        <v>46175</v>
      </c>
      <c r="I2127" s="89">
        <v>46177</v>
      </c>
      <c r="J2127" s="91"/>
      <c r="K2127" s="91"/>
      <c r="M2127" s="91"/>
      <c r="N2127" s="91" t="s">
        <v>3323</v>
      </c>
    </row>
    <row r="2128" spans="1:14" x14ac:dyDescent="0.25">
      <c r="A2128" s="91" t="s">
        <v>1317</v>
      </c>
      <c r="B2128" s="91" t="s">
        <v>1331</v>
      </c>
      <c r="C2128" s="91" t="s">
        <v>3345</v>
      </c>
      <c r="D2128" s="91" t="s">
        <v>15</v>
      </c>
      <c r="E2128" s="91"/>
      <c r="F2128">
        <v>7</v>
      </c>
      <c r="G2128" t="s">
        <v>1419</v>
      </c>
      <c r="H2128" s="89">
        <v>46175</v>
      </c>
      <c r="I2128" s="89">
        <v>46177</v>
      </c>
      <c r="J2128" s="91"/>
      <c r="K2128" s="91"/>
      <c r="M2128" s="91"/>
      <c r="N2128" s="91" t="s">
        <v>3323</v>
      </c>
    </row>
    <row r="2129" spans="1:14" x14ac:dyDescent="0.25">
      <c r="A2129" s="91" t="s">
        <v>1318</v>
      </c>
      <c r="B2129" s="91" t="s">
        <v>1332</v>
      </c>
      <c r="C2129" s="91" t="s">
        <v>3346</v>
      </c>
      <c r="D2129" s="91" t="s">
        <v>15</v>
      </c>
      <c r="E2129" s="91"/>
      <c r="F2129">
        <v>25</v>
      </c>
      <c r="G2129" t="s">
        <v>1419</v>
      </c>
      <c r="H2129" s="89">
        <v>46175</v>
      </c>
      <c r="I2129" s="89">
        <v>46177</v>
      </c>
      <c r="J2129" s="91"/>
      <c r="K2129" s="91"/>
      <c r="M2129" s="91"/>
      <c r="N2129" s="91" t="s">
        <v>3323</v>
      </c>
    </row>
    <row r="2130" spans="1:14" x14ac:dyDescent="0.25">
      <c r="A2130" s="91" t="s">
        <v>1323</v>
      </c>
      <c r="B2130" s="91" t="s">
        <v>1337</v>
      </c>
      <c r="C2130" s="91" t="s">
        <v>3347</v>
      </c>
      <c r="D2130" s="91" t="s">
        <v>20</v>
      </c>
      <c r="E2130" s="91"/>
      <c r="F2130">
        <v>756</v>
      </c>
      <c r="G2130">
        <v>14</v>
      </c>
      <c r="H2130" s="89">
        <v>46175</v>
      </c>
      <c r="I2130" s="89">
        <v>46178</v>
      </c>
      <c r="J2130" s="91" t="s">
        <v>3348</v>
      </c>
      <c r="K2130" s="91"/>
      <c r="M2130" s="91"/>
      <c r="N2130" s="91" t="s">
        <v>3323</v>
      </c>
    </row>
    <row r="2131" spans="1:14" x14ac:dyDescent="0.25">
      <c r="A2131" s="91" t="s">
        <v>1322</v>
      </c>
      <c r="B2131" s="91" t="s">
        <v>1336</v>
      </c>
      <c r="C2131" s="91" t="s">
        <v>3347</v>
      </c>
      <c r="D2131" s="91" t="s">
        <v>20</v>
      </c>
      <c r="E2131" s="91"/>
      <c r="F2131">
        <v>324</v>
      </c>
      <c r="G2131">
        <v>6</v>
      </c>
      <c r="H2131" s="89">
        <v>46175</v>
      </c>
      <c r="I2131" s="89">
        <v>46178</v>
      </c>
      <c r="J2131" s="91" t="s">
        <v>3348</v>
      </c>
      <c r="K2131" s="91"/>
      <c r="M2131" s="91"/>
      <c r="N2131" s="91" t="s">
        <v>3323</v>
      </c>
    </row>
    <row r="2132" spans="1:14" x14ac:dyDescent="0.25">
      <c r="A2132" s="91" t="s">
        <v>1313</v>
      </c>
      <c r="B2132" s="91" t="s">
        <v>1327</v>
      </c>
      <c r="C2132" s="91" t="s">
        <v>3347</v>
      </c>
      <c r="D2132" s="91" t="s">
        <v>20</v>
      </c>
      <c r="E2132" s="91"/>
      <c r="F2132">
        <v>48</v>
      </c>
      <c r="G2132">
        <v>1</v>
      </c>
      <c r="H2132" s="89">
        <v>46175</v>
      </c>
      <c r="I2132" s="89">
        <v>46176</v>
      </c>
      <c r="J2132" s="91"/>
      <c r="K2132" s="91"/>
      <c r="M2132" s="91"/>
      <c r="N2132" s="91" t="s">
        <v>3323</v>
      </c>
    </row>
    <row r="2133" spans="1:14" x14ac:dyDescent="0.25">
      <c r="A2133" s="91" t="s">
        <v>1315</v>
      </c>
      <c r="B2133" s="91" t="s">
        <v>1329</v>
      </c>
      <c r="C2133" s="91" t="s">
        <v>3347</v>
      </c>
      <c r="D2133" s="91" t="s">
        <v>20</v>
      </c>
      <c r="E2133" s="91"/>
      <c r="F2133">
        <v>15</v>
      </c>
      <c r="G2133" t="s">
        <v>1419</v>
      </c>
      <c r="H2133" s="89">
        <v>46175</v>
      </c>
      <c r="I2133" s="89">
        <v>46177</v>
      </c>
      <c r="J2133" s="91"/>
      <c r="K2133" s="91"/>
      <c r="M2133" s="91"/>
      <c r="N2133" s="91" t="s">
        <v>3323</v>
      </c>
    </row>
    <row r="2134" spans="1:14" x14ac:dyDescent="0.25">
      <c r="A2134" s="91" t="s">
        <v>1316</v>
      </c>
      <c r="B2134" s="91" t="s">
        <v>1330</v>
      </c>
      <c r="C2134" s="91" t="s">
        <v>3349</v>
      </c>
      <c r="D2134" s="91" t="s">
        <v>20</v>
      </c>
      <c r="E2134" s="91"/>
      <c r="F2134">
        <v>53</v>
      </c>
      <c r="G2134" t="s">
        <v>1419</v>
      </c>
      <c r="H2134" s="89">
        <v>46175</v>
      </c>
      <c r="I2134" s="89">
        <v>46177</v>
      </c>
      <c r="J2134" s="91"/>
      <c r="K2134" s="91"/>
      <c r="M2134" s="91"/>
      <c r="N2134" s="91" t="s">
        <v>3323</v>
      </c>
    </row>
    <row r="2135" spans="1:14" x14ac:dyDescent="0.25">
      <c r="A2135" s="91" t="s">
        <v>1317</v>
      </c>
      <c r="B2135" s="91" t="s">
        <v>1331</v>
      </c>
      <c r="C2135" s="91" t="s">
        <v>3350</v>
      </c>
      <c r="D2135" s="91" t="s">
        <v>20</v>
      </c>
      <c r="E2135" s="91"/>
      <c r="F2135">
        <v>3</v>
      </c>
      <c r="G2135" t="s">
        <v>1419</v>
      </c>
      <c r="H2135" s="89">
        <v>46175</v>
      </c>
      <c r="I2135" s="89">
        <v>46177</v>
      </c>
      <c r="J2135" s="91"/>
      <c r="K2135" s="91"/>
      <c r="M2135" s="91"/>
      <c r="N2135" s="91" t="s">
        <v>3323</v>
      </c>
    </row>
    <row r="2136" spans="1:14" x14ac:dyDescent="0.25">
      <c r="A2136" s="91" t="s">
        <v>1318</v>
      </c>
      <c r="B2136" s="91" t="s">
        <v>1332</v>
      </c>
      <c r="C2136" s="91" t="s">
        <v>3351</v>
      </c>
      <c r="D2136" s="91" t="s">
        <v>20</v>
      </c>
      <c r="E2136" s="91"/>
      <c r="F2136">
        <v>17</v>
      </c>
      <c r="G2136" t="s">
        <v>1419</v>
      </c>
      <c r="H2136" s="89">
        <v>46175</v>
      </c>
      <c r="I2136" s="89">
        <v>46177</v>
      </c>
      <c r="J2136" s="91"/>
      <c r="K2136" s="91"/>
      <c r="M2136" s="91"/>
      <c r="N2136" s="91" t="s">
        <v>3323</v>
      </c>
    </row>
    <row r="2137" spans="1:14" x14ac:dyDescent="0.25">
      <c r="A2137" s="91" t="s">
        <v>1320</v>
      </c>
      <c r="B2137" s="91" t="s">
        <v>1334</v>
      </c>
      <c r="C2137" s="91" t="s">
        <v>3352</v>
      </c>
      <c r="D2137" s="91" t="s">
        <v>23</v>
      </c>
      <c r="E2137" s="91"/>
      <c r="F2137">
        <v>960</v>
      </c>
      <c r="G2137">
        <v>20</v>
      </c>
      <c r="H2137" s="89">
        <v>46176</v>
      </c>
      <c r="I2137" s="89">
        <v>46179</v>
      </c>
      <c r="J2137" s="91" t="s">
        <v>3353</v>
      </c>
      <c r="K2137" s="91"/>
      <c r="M2137" s="91"/>
      <c r="N2137" s="91" t="s">
        <v>3323</v>
      </c>
    </row>
    <row r="2138" spans="1:14" x14ac:dyDescent="0.25">
      <c r="A2138" s="91" t="s">
        <v>1324</v>
      </c>
      <c r="B2138" s="91" t="s">
        <v>1338</v>
      </c>
      <c r="C2138" s="91" t="s">
        <v>3354</v>
      </c>
      <c r="D2138" s="91" t="s">
        <v>13</v>
      </c>
      <c r="E2138" s="91"/>
      <c r="F2138">
        <v>480</v>
      </c>
      <c r="G2138">
        <v>10</v>
      </c>
      <c r="H2138" s="89">
        <v>46176</v>
      </c>
      <c r="I2138" s="89">
        <v>46183</v>
      </c>
      <c r="J2138" s="91" t="s">
        <v>3355</v>
      </c>
      <c r="K2138" s="91"/>
      <c r="M2138" s="91"/>
      <c r="N2138" s="91" t="s">
        <v>3323</v>
      </c>
    </row>
    <row r="2139" spans="1:14" x14ac:dyDescent="0.25">
      <c r="A2139" s="91" t="s">
        <v>1324</v>
      </c>
      <c r="B2139" s="91" t="s">
        <v>1338</v>
      </c>
      <c r="C2139" s="91" t="s">
        <v>3356</v>
      </c>
      <c r="D2139" s="91" t="s">
        <v>30</v>
      </c>
      <c r="E2139" s="91"/>
      <c r="F2139">
        <v>480</v>
      </c>
      <c r="G2139">
        <v>10</v>
      </c>
      <c r="H2139" s="89">
        <v>46176</v>
      </c>
      <c r="I2139" s="89">
        <v>46183</v>
      </c>
      <c r="J2139" s="91" t="s">
        <v>3355</v>
      </c>
      <c r="K2139" s="91"/>
      <c r="M2139" s="91"/>
      <c r="N2139" s="91" t="s">
        <v>3323</v>
      </c>
    </row>
    <row r="2140" spans="1:14" x14ac:dyDescent="0.25">
      <c r="A2140" s="91" t="s">
        <v>1320</v>
      </c>
      <c r="B2140" s="91" t="s">
        <v>1334</v>
      </c>
      <c r="C2140" s="91" t="s">
        <v>3357</v>
      </c>
      <c r="D2140" s="91" t="s">
        <v>99</v>
      </c>
      <c r="E2140" s="91"/>
      <c r="F2140">
        <v>960</v>
      </c>
      <c r="G2140">
        <v>20</v>
      </c>
      <c r="H2140" s="89">
        <v>46176</v>
      </c>
      <c r="I2140" s="89">
        <v>46181</v>
      </c>
      <c r="J2140" s="91" t="s">
        <v>3358</v>
      </c>
      <c r="K2140" s="91"/>
      <c r="M2140" s="91"/>
      <c r="N2140" s="91" t="s">
        <v>3323</v>
      </c>
    </row>
    <row r="2141" spans="1:14" x14ac:dyDescent="0.25">
      <c r="A2141" s="91" t="s">
        <v>1320</v>
      </c>
      <c r="B2141" s="91" t="s">
        <v>1334</v>
      </c>
      <c r="C2141" s="91" t="s">
        <v>3359</v>
      </c>
      <c r="D2141" s="91" t="s">
        <v>21</v>
      </c>
      <c r="E2141" s="91"/>
      <c r="F2141">
        <v>960</v>
      </c>
      <c r="G2141">
        <v>20</v>
      </c>
      <c r="H2141" s="89">
        <v>46176</v>
      </c>
      <c r="I2141" s="89">
        <v>46179</v>
      </c>
      <c r="J2141" s="91" t="s">
        <v>3360</v>
      </c>
      <c r="K2141" s="91"/>
      <c r="M2141" s="91"/>
      <c r="N2141" s="91" t="s">
        <v>3323</v>
      </c>
    </row>
    <row r="2142" spans="1:14" x14ac:dyDescent="0.25">
      <c r="A2142" s="91" t="s">
        <v>1314</v>
      </c>
      <c r="B2142" s="91" t="s">
        <v>1328</v>
      </c>
      <c r="C2142" s="91" t="s">
        <v>3359</v>
      </c>
      <c r="D2142" s="91" t="s">
        <v>21</v>
      </c>
      <c r="E2142" s="91"/>
      <c r="F2142">
        <v>288</v>
      </c>
      <c r="G2142">
        <v>6</v>
      </c>
      <c r="H2142" s="89">
        <v>46176</v>
      </c>
      <c r="I2142" s="89">
        <v>46180</v>
      </c>
      <c r="J2142" s="91" t="s">
        <v>3361</v>
      </c>
      <c r="K2142" s="91"/>
      <c r="M2142" s="91"/>
      <c r="N2142" s="91" t="s">
        <v>3323</v>
      </c>
    </row>
    <row r="2143" spans="1:14" x14ac:dyDescent="0.25">
      <c r="A2143" s="91" t="s">
        <v>1315</v>
      </c>
      <c r="B2143" s="91" t="s">
        <v>1329</v>
      </c>
      <c r="C2143" s="91" t="s">
        <v>3359</v>
      </c>
      <c r="D2143" s="91" t="s">
        <v>21</v>
      </c>
      <c r="E2143" s="91"/>
      <c r="F2143">
        <v>83</v>
      </c>
      <c r="G2143" t="s">
        <v>1419</v>
      </c>
      <c r="H2143" s="89">
        <v>46176</v>
      </c>
      <c r="I2143" s="89">
        <v>46178</v>
      </c>
      <c r="J2143" s="91"/>
      <c r="K2143" s="91"/>
      <c r="M2143" s="91"/>
      <c r="N2143" s="91" t="s">
        <v>3323</v>
      </c>
    </row>
    <row r="2144" spans="1:14" x14ac:dyDescent="0.25">
      <c r="A2144" s="91" t="s">
        <v>1316</v>
      </c>
      <c r="B2144" s="91" t="s">
        <v>1330</v>
      </c>
      <c r="C2144" s="91" t="s">
        <v>3362</v>
      </c>
      <c r="D2144" s="91" t="s">
        <v>21</v>
      </c>
      <c r="E2144" s="91"/>
      <c r="F2144">
        <v>15</v>
      </c>
      <c r="G2144" t="s">
        <v>1419</v>
      </c>
      <c r="H2144" s="89">
        <v>46176</v>
      </c>
      <c r="I2144" s="89">
        <v>46178</v>
      </c>
      <c r="J2144" s="91"/>
      <c r="K2144" s="91"/>
      <c r="M2144" s="91"/>
      <c r="N2144" s="91" t="s">
        <v>3323</v>
      </c>
    </row>
    <row r="2145" spans="1:14" x14ac:dyDescent="0.25">
      <c r="A2145" s="91" t="s">
        <v>1317</v>
      </c>
      <c r="B2145" s="91" t="s">
        <v>1331</v>
      </c>
      <c r="C2145" s="91" t="s">
        <v>3363</v>
      </c>
      <c r="D2145" s="91" t="s">
        <v>21</v>
      </c>
      <c r="E2145" s="91"/>
      <c r="F2145">
        <v>17</v>
      </c>
      <c r="G2145" t="s">
        <v>1419</v>
      </c>
      <c r="H2145" s="89">
        <v>46176</v>
      </c>
      <c r="I2145" s="89">
        <v>46178</v>
      </c>
      <c r="J2145" s="91"/>
      <c r="K2145" s="91"/>
      <c r="M2145" s="91"/>
      <c r="N2145" s="91" t="s">
        <v>3323</v>
      </c>
    </row>
    <row r="2146" spans="1:14" x14ac:dyDescent="0.25">
      <c r="A2146" s="91" t="s">
        <v>1318</v>
      </c>
      <c r="B2146" s="91" t="s">
        <v>1332</v>
      </c>
      <c r="C2146" s="91" t="s">
        <v>3364</v>
      </c>
      <c r="D2146" s="91" t="s">
        <v>21</v>
      </c>
      <c r="E2146" s="91"/>
      <c r="F2146">
        <v>67</v>
      </c>
      <c r="G2146" t="s">
        <v>1419</v>
      </c>
      <c r="H2146" s="89">
        <v>46176</v>
      </c>
      <c r="I2146" s="89">
        <v>46178</v>
      </c>
      <c r="J2146" s="91"/>
      <c r="K2146" s="91"/>
      <c r="M2146" s="91"/>
      <c r="N2146" s="91" t="s">
        <v>3323</v>
      </c>
    </row>
    <row r="2147" spans="1:14" x14ac:dyDescent="0.25">
      <c r="A2147" s="91" t="s">
        <v>1313</v>
      </c>
      <c r="B2147" s="91" t="s">
        <v>1327</v>
      </c>
      <c r="C2147" s="91" t="s">
        <v>3365</v>
      </c>
      <c r="D2147" s="91" t="s">
        <v>15</v>
      </c>
      <c r="E2147" s="91"/>
      <c r="F2147">
        <v>912</v>
      </c>
      <c r="G2147">
        <v>19</v>
      </c>
      <c r="H2147" s="89">
        <v>46176</v>
      </c>
      <c r="I2147" s="89">
        <v>46179</v>
      </c>
      <c r="J2147" s="91" t="s">
        <v>3343</v>
      </c>
      <c r="K2147" s="91"/>
      <c r="M2147" s="91"/>
      <c r="N2147" s="91" t="s">
        <v>3323</v>
      </c>
    </row>
    <row r="2148" spans="1:14" x14ac:dyDescent="0.25">
      <c r="A2148" s="91" t="s">
        <v>1320</v>
      </c>
      <c r="B2148" s="91" t="s">
        <v>1334</v>
      </c>
      <c r="C2148" s="91" t="s">
        <v>3365</v>
      </c>
      <c r="D2148" s="91" t="s">
        <v>15</v>
      </c>
      <c r="E2148" s="91"/>
      <c r="F2148">
        <v>432</v>
      </c>
      <c r="G2148">
        <v>9</v>
      </c>
      <c r="H2148" s="89">
        <v>46176</v>
      </c>
      <c r="I2148" s="89">
        <v>46181</v>
      </c>
      <c r="J2148" s="91" t="s">
        <v>3342</v>
      </c>
      <c r="K2148" s="91"/>
      <c r="M2148" s="91"/>
      <c r="N2148" s="91" t="s">
        <v>3323</v>
      </c>
    </row>
    <row r="2149" spans="1:14" x14ac:dyDescent="0.25">
      <c r="A2149" s="91" t="s">
        <v>1315</v>
      </c>
      <c r="B2149" s="91" t="s">
        <v>1329</v>
      </c>
      <c r="C2149" s="91" t="s">
        <v>3365</v>
      </c>
      <c r="D2149" s="91" t="s">
        <v>15</v>
      </c>
      <c r="E2149" s="91"/>
      <c r="F2149">
        <v>41</v>
      </c>
      <c r="G2149" t="s">
        <v>1419</v>
      </c>
      <c r="H2149" s="89">
        <v>46176</v>
      </c>
      <c r="I2149" s="89">
        <v>46178</v>
      </c>
      <c r="J2149" s="91"/>
      <c r="K2149" s="91"/>
      <c r="M2149" s="91"/>
      <c r="N2149" s="91" t="s">
        <v>3323</v>
      </c>
    </row>
    <row r="2150" spans="1:14" x14ac:dyDescent="0.25">
      <c r="A2150" s="91" t="s">
        <v>1316</v>
      </c>
      <c r="B2150" s="91" t="s">
        <v>1330</v>
      </c>
      <c r="C2150" s="91" t="s">
        <v>3366</v>
      </c>
      <c r="D2150" s="91" t="s">
        <v>15</v>
      </c>
      <c r="E2150" s="91"/>
      <c r="F2150">
        <v>60</v>
      </c>
      <c r="G2150" t="s">
        <v>1419</v>
      </c>
      <c r="H2150" s="89">
        <v>46176</v>
      </c>
      <c r="I2150" s="89">
        <v>46178</v>
      </c>
      <c r="J2150" s="91"/>
      <c r="K2150" s="91"/>
      <c r="M2150" s="91"/>
      <c r="N2150" s="91" t="s">
        <v>3323</v>
      </c>
    </row>
    <row r="2151" spans="1:14" x14ac:dyDescent="0.25">
      <c r="A2151" s="91" t="s">
        <v>1317</v>
      </c>
      <c r="B2151" s="91" t="s">
        <v>1331</v>
      </c>
      <c r="C2151" s="91" t="s">
        <v>3367</v>
      </c>
      <c r="D2151" s="91" t="s">
        <v>15</v>
      </c>
      <c r="E2151" s="91"/>
      <c r="F2151">
        <v>14</v>
      </c>
      <c r="G2151" t="s">
        <v>1419</v>
      </c>
      <c r="H2151" s="89">
        <v>46176</v>
      </c>
      <c r="I2151" s="89">
        <v>46178</v>
      </c>
      <c r="J2151" s="91"/>
      <c r="K2151" s="91"/>
      <c r="M2151" s="91"/>
      <c r="N2151" s="91" t="s">
        <v>3323</v>
      </c>
    </row>
    <row r="2152" spans="1:14" x14ac:dyDescent="0.25">
      <c r="A2152" s="91" t="s">
        <v>1318</v>
      </c>
      <c r="B2152" s="91" t="s">
        <v>1332</v>
      </c>
      <c r="C2152" s="91" t="s">
        <v>3368</v>
      </c>
      <c r="D2152" s="91" t="s">
        <v>15</v>
      </c>
      <c r="E2152" s="91"/>
      <c r="F2152">
        <v>24</v>
      </c>
      <c r="G2152" t="s">
        <v>1419</v>
      </c>
      <c r="H2152" s="89">
        <v>46176</v>
      </c>
      <c r="I2152" s="89">
        <v>46178</v>
      </c>
      <c r="J2152" s="91"/>
      <c r="K2152" s="91"/>
      <c r="M2152" s="91"/>
      <c r="N2152" s="91" t="s">
        <v>3323</v>
      </c>
    </row>
    <row r="2153" spans="1:14" x14ac:dyDescent="0.25">
      <c r="A2153" s="91" t="s">
        <v>1313</v>
      </c>
      <c r="B2153" s="91" t="s">
        <v>1327</v>
      </c>
      <c r="C2153" s="91" t="s">
        <v>3369</v>
      </c>
      <c r="D2153" s="91" t="s">
        <v>20</v>
      </c>
      <c r="E2153" s="91"/>
      <c r="F2153">
        <v>1104</v>
      </c>
      <c r="G2153">
        <v>23</v>
      </c>
      <c r="H2153" s="89">
        <v>46176</v>
      </c>
      <c r="I2153" s="89">
        <v>46181</v>
      </c>
      <c r="J2153" s="91" t="s">
        <v>3370</v>
      </c>
      <c r="K2153" s="91"/>
      <c r="M2153" s="91"/>
      <c r="N2153" s="91" t="s">
        <v>3323</v>
      </c>
    </row>
    <row r="2154" spans="1:14" x14ac:dyDescent="0.25">
      <c r="A2154" s="91" t="s">
        <v>1319</v>
      </c>
      <c r="B2154" s="91" t="s">
        <v>1333</v>
      </c>
      <c r="C2154" s="91" t="s">
        <v>3369</v>
      </c>
      <c r="D2154" s="91" t="s">
        <v>20</v>
      </c>
      <c r="E2154" s="91"/>
      <c r="F2154">
        <v>48</v>
      </c>
      <c r="G2154">
        <v>1</v>
      </c>
      <c r="H2154" s="89">
        <v>46176</v>
      </c>
      <c r="I2154" s="89">
        <v>46181</v>
      </c>
      <c r="J2154" s="91" t="s">
        <v>3370</v>
      </c>
      <c r="K2154" s="91"/>
      <c r="M2154" s="91"/>
      <c r="N2154" s="91" t="s">
        <v>3323</v>
      </c>
    </row>
    <row r="2155" spans="1:14" x14ac:dyDescent="0.25">
      <c r="A2155" s="91" t="s">
        <v>1313</v>
      </c>
      <c r="B2155" s="91" t="s">
        <v>1327</v>
      </c>
      <c r="C2155" s="91" t="s">
        <v>3369</v>
      </c>
      <c r="D2155" s="91" t="s">
        <v>20</v>
      </c>
      <c r="E2155" s="91"/>
      <c r="F2155">
        <v>144</v>
      </c>
      <c r="G2155">
        <v>3</v>
      </c>
      <c r="H2155" s="89">
        <v>46176</v>
      </c>
      <c r="I2155" s="89">
        <v>46178</v>
      </c>
      <c r="J2155" s="91"/>
      <c r="K2155" s="91"/>
      <c r="M2155" s="91"/>
      <c r="N2155" s="91" t="s">
        <v>3323</v>
      </c>
    </row>
    <row r="2156" spans="1:14" x14ac:dyDescent="0.25">
      <c r="A2156" s="91" t="s">
        <v>1315</v>
      </c>
      <c r="B2156" s="91" t="s">
        <v>1329</v>
      </c>
      <c r="C2156" s="91" t="s">
        <v>3369</v>
      </c>
      <c r="D2156" s="91" t="s">
        <v>20</v>
      </c>
      <c r="E2156" s="91"/>
      <c r="F2156">
        <v>80</v>
      </c>
      <c r="G2156" t="s">
        <v>1419</v>
      </c>
      <c r="H2156" s="89">
        <v>46176</v>
      </c>
      <c r="I2156" s="89">
        <v>46178</v>
      </c>
      <c r="J2156" s="91"/>
      <c r="K2156" s="91"/>
      <c r="M2156" s="91"/>
      <c r="N2156" s="91" t="s">
        <v>3323</v>
      </c>
    </row>
    <row r="2157" spans="1:14" x14ac:dyDescent="0.25">
      <c r="A2157" s="91" t="s">
        <v>1316</v>
      </c>
      <c r="B2157" s="91" t="s">
        <v>1330</v>
      </c>
      <c r="C2157" s="91" t="s">
        <v>3371</v>
      </c>
      <c r="D2157" s="91" t="s">
        <v>20</v>
      </c>
      <c r="E2157" s="91"/>
      <c r="F2157">
        <v>131</v>
      </c>
      <c r="G2157" t="s">
        <v>1419</v>
      </c>
      <c r="H2157" s="89">
        <v>46176</v>
      </c>
      <c r="I2157" s="89">
        <v>46178</v>
      </c>
      <c r="J2157" s="91"/>
      <c r="K2157" s="91"/>
      <c r="M2157" s="91"/>
      <c r="N2157" s="91" t="s">
        <v>3323</v>
      </c>
    </row>
    <row r="2158" spans="1:14" x14ac:dyDescent="0.25">
      <c r="A2158" s="91" t="s">
        <v>1317</v>
      </c>
      <c r="B2158" s="91" t="s">
        <v>1331</v>
      </c>
      <c r="C2158" s="91" t="s">
        <v>3372</v>
      </c>
      <c r="D2158" s="91" t="s">
        <v>20</v>
      </c>
      <c r="E2158" s="91"/>
      <c r="F2158">
        <v>14</v>
      </c>
      <c r="G2158" t="s">
        <v>1419</v>
      </c>
      <c r="H2158" s="89">
        <v>46176</v>
      </c>
      <c r="I2158" s="89">
        <v>46178</v>
      </c>
      <c r="J2158" s="91"/>
      <c r="K2158" s="91"/>
      <c r="M2158" s="91"/>
      <c r="N2158" s="91" t="s">
        <v>3323</v>
      </c>
    </row>
    <row r="2159" spans="1:14" x14ac:dyDescent="0.25">
      <c r="A2159" s="91" t="s">
        <v>1318</v>
      </c>
      <c r="B2159" s="91" t="s">
        <v>1332</v>
      </c>
      <c r="C2159" s="91" t="s">
        <v>3373</v>
      </c>
      <c r="D2159" s="91" t="s">
        <v>20</v>
      </c>
      <c r="E2159" s="91"/>
      <c r="F2159">
        <v>38</v>
      </c>
      <c r="G2159" t="s">
        <v>1419</v>
      </c>
      <c r="H2159" s="89">
        <v>46176</v>
      </c>
      <c r="I2159" s="89">
        <v>46178</v>
      </c>
      <c r="J2159" s="91"/>
      <c r="K2159" s="91"/>
      <c r="M2159" s="91"/>
      <c r="N2159" s="91" t="s">
        <v>3323</v>
      </c>
    </row>
    <row r="2160" spans="1:14" x14ac:dyDescent="0.25">
      <c r="A2160" s="91" t="s">
        <v>1324</v>
      </c>
      <c r="B2160" s="91" t="s">
        <v>1338</v>
      </c>
      <c r="C2160" s="91" t="s">
        <v>3374</v>
      </c>
      <c r="D2160" s="91" t="s">
        <v>23</v>
      </c>
      <c r="E2160" s="91"/>
      <c r="F2160">
        <v>960</v>
      </c>
      <c r="G2160">
        <v>20</v>
      </c>
      <c r="H2160" s="89">
        <v>46177</v>
      </c>
      <c r="I2160" s="89">
        <v>46183</v>
      </c>
      <c r="J2160" s="91" t="s">
        <v>3355</v>
      </c>
      <c r="K2160" s="91"/>
      <c r="M2160" s="91"/>
      <c r="N2160" s="91" t="s">
        <v>3323</v>
      </c>
    </row>
    <row r="2161" spans="1:14" x14ac:dyDescent="0.25">
      <c r="A2161" s="91" t="s">
        <v>1325</v>
      </c>
      <c r="B2161" s="91" t="s">
        <v>1339</v>
      </c>
      <c r="C2161" s="91" t="s">
        <v>3375</v>
      </c>
      <c r="D2161" s="91" t="s">
        <v>138</v>
      </c>
      <c r="E2161" s="91"/>
      <c r="F2161">
        <v>192</v>
      </c>
      <c r="G2161">
        <v>4</v>
      </c>
      <c r="H2161" s="89">
        <v>46177</v>
      </c>
      <c r="I2161" s="89">
        <v>46179</v>
      </c>
      <c r="J2161" s="91"/>
      <c r="K2161" s="91"/>
      <c r="M2161" s="91"/>
      <c r="N2161" s="91" t="s">
        <v>3323</v>
      </c>
    </row>
    <row r="2162" spans="1:14" x14ac:dyDescent="0.25">
      <c r="A2162" s="91" t="s">
        <v>1321</v>
      </c>
      <c r="B2162" s="91" t="s">
        <v>1335</v>
      </c>
      <c r="C2162" s="91" t="s">
        <v>3375</v>
      </c>
      <c r="D2162" s="91" t="s">
        <v>138</v>
      </c>
      <c r="E2162" s="91"/>
      <c r="F2162">
        <v>144</v>
      </c>
      <c r="G2162">
        <v>3</v>
      </c>
      <c r="H2162" s="89">
        <v>46177</v>
      </c>
      <c r="I2162" s="89">
        <v>46184</v>
      </c>
      <c r="J2162" s="91" t="s">
        <v>3376</v>
      </c>
      <c r="K2162" s="91"/>
      <c r="M2162" s="91"/>
      <c r="N2162" s="91" t="s">
        <v>3323</v>
      </c>
    </row>
    <row r="2163" spans="1:14" x14ac:dyDescent="0.25">
      <c r="A2163" s="91" t="s">
        <v>1320</v>
      </c>
      <c r="B2163" s="91" t="s">
        <v>1334</v>
      </c>
      <c r="C2163" s="91" t="s">
        <v>3377</v>
      </c>
      <c r="D2163" s="91" t="s">
        <v>30</v>
      </c>
      <c r="E2163" s="91"/>
      <c r="F2163">
        <v>480</v>
      </c>
      <c r="G2163">
        <v>10</v>
      </c>
      <c r="H2163" s="89">
        <v>46177</v>
      </c>
      <c r="I2163" s="89">
        <v>46181</v>
      </c>
      <c r="J2163" s="91" t="s">
        <v>3342</v>
      </c>
      <c r="K2163" s="91"/>
      <c r="M2163" s="91"/>
      <c r="N2163" s="91" t="s">
        <v>3323</v>
      </c>
    </row>
    <row r="2164" spans="1:14" x14ac:dyDescent="0.25">
      <c r="A2164" s="91" t="s">
        <v>1324</v>
      </c>
      <c r="B2164" s="91" t="s">
        <v>1338</v>
      </c>
      <c r="C2164" s="91" t="s">
        <v>3378</v>
      </c>
      <c r="D2164" s="91" t="s">
        <v>104</v>
      </c>
      <c r="E2164" s="91"/>
      <c r="F2164">
        <v>720</v>
      </c>
      <c r="G2164">
        <v>15</v>
      </c>
      <c r="H2164" s="89">
        <v>46177</v>
      </c>
      <c r="I2164" s="89">
        <v>46184</v>
      </c>
      <c r="J2164" s="91" t="s">
        <v>3376</v>
      </c>
      <c r="K2164" s="91"/>
      <c r="M2164" s="91"/>
      <c r="N2164" s="91" t="s">
        <v>3323</v>
      </c>
    </row>
    <row r="2165" spans="1:14" x14ac:dyDescent="0.25">
      <c r="A2165" s="91" t="s">
        <v>1324</v>
      </c>
      <c r="B2165" s="91" t="s">
        <v>1338</v>
      </c>
      <c r="C2165" s="91" t="s">
        <v>3379</v>
      </c>
      <c r="D2165" s="91" t="s">
        <v>105</v>
      </c>
      <c r="E2165" s="91"/>
      <c r="F2165">
        <v>240</v>
      </c>
      <c r="G2165">
        <v>5</v>
      </c>
      <c r="H2165" s="89">
        <v>46177</v>
      </c>
      <c r="I2165" s="89">
        <v>46184</v>
      </c>
      <c r="J2165" s="91" t="s">
        <v>3376</v>
      </c>
      <c r="K2165" s="91"/>
      <c r="M2165" s="91"/>
      <c r="N2165" s="91" t="s">
        <v>3323</v>
      </c>
    </row>
    <row r="2166" spans="1:14" x14ac:dyDescent="0.25">
      <c r="A2166" s="91" t="s">
        <v>1320</v>
      </c>
      <c r="B2166" s="91" t="s">
        <v>1334</v>
      </c>
      <c r="C2166" s="91" t="s">
        <v>3380</v>
      </c>
      <c r="D2166" s="91" t="s">
        <v>28</v>
      </c>
      <c r="E2166" s="91"/>
      <c r="F2166">
        <v>480</v>
      </c>
      <c r="G2166">
        <v>10</v>
      </c>
      <c r="H2166" s="89">
        <v>46177</v>
      </c>
      <c r="I2166" s="89">
        <v>46182</v>
      </c>
      <c r="J2166" s="91" t="s">
        <v>3381</v>
      </c>
      <c r="K2166" s="91"/>
      <c r="M2166" s="91"/>
      <c r="N2166" s="91" t="s">
        <v>3323</v>
      </c>
    </row>
    <row r="2167" spans="1:14" x14ac:dyDescent="0.25">
      <c r="A2167" s="91" t="s">
        <v>1320</v>
      </c>
      <c r="B2167" s="91" t="s">
        <v>1334</v>
      </c>
      <c r="C2167" s="91" t="s">
        <v>3380</v>
      </c>
      <c r="D2167" s="91" t="s">
        <v>28</v>
      </c>
      <c r="E2167" s="91"/>
      <c r="F2167">
        <v>240</v>
      </c>
      <c r="G2167">
        <v>5</v>
      </c>
      <c r="H2167" s="89">
        <v>46177</v>
      </c>
      <c r="I2167" s="89">
        <v>46183</v>
      </c>
      <c r="J2167" s="91" t="s">
        <v>3382</v>
      </c>
      <c r="K2167" s="91"/>
      <c r="M2167" s="91"/>
      <c r="N2167" s="91" t="s">
        <v>3323</v>
      </c>
    </row>
    <row r="2168" spans="1:14" x14ac:dyDescent="0.25">
      <c r="A2168" s="91" t="s">
        <v>1313</v>
      </c>
      <c r="B2168" s="91" t="s">
        <v>1327</v>
      </c>
      <c r="C2168" s="91" t="s">
        <v>3380</v>
      </c>
      <c r="D2168" s="91" t="s">
        <v>28</v>
      </c>
      <c r="E2168" s="91"/>
      <c r="F2168">
        <v>864</v>
      </c>
      <c r="G2168">
        <v>18</v>
      </c>
      <c r="H2168" s="89">
        <v>46177</v>
      </c>
      <c r="I2168" s="89">
        <v>46180</v>
      </c>
      <c r="J2168" s="91" t="s">
        <v>3383</v>
      </c>
      <c r="K2168" s="91"/>
      <c r="M2168" s="91"/>
      <c r="N2168" s="91" t="s">
        <v>3323</v>
      </c>
    </row>
    <row r="2169" spans="1:14" x14ac:dyDescent="0.25">
      <c r="A2169" s="91" t="s">
        <v>1315</v>
      </c>
      <c r="B2169" s="91" t="s">
        <v>1329</v>
      </c>
      <c r="C2169" s="91" t="s">
        <v>3380</v>
      </c>
      <c r="D2169" s="91" t="s">
        <v>28</v>
      </c>
      <c r="E2169" s="91"/>
      <c r="F2169">
        <v>85</v>
      </c>
      <c r="G2169" t="s">
        <v>1419</v>
      </c>
      <c r="H2169" s="89">
        <v>46177</v>
      </c>
      <c r="I2169" s="89">
        <v>46179</v>
      </c>
      <c r="J2169" s="91"/>
      <c r="K2169" s="91"/>
      <c r="M2169" s="91"/>
      <c r="N2169" s="91" t="s">
        <v>3323</v>
      </c>
    </row>
    <row r="2170" spans="1:14" x14ac:dyDescent="0.25">
      <c r="A2170" s="91" t="s">
        <v>1316</v>
      </c>
      <c r="B2170" s="91" t="s">
        <v>1330</v>
      </c>
      <c r="C2170" s="91" t="s">
        <v>3384</v>
      </c>
      <c r="D2170" s="91" t="s">
        <v>28</v>
      </c>
      <c r="E2170" s="91"/>
      <c r="F2170">
        <v>30</v>
      </c>
      <c r="G2170" t="s">
        <v>1419</v>
      </c>
      <c r="H2170" s="89">
        <v>46177</v>
      </c>
      <c r="I2170" s="89">
        <v>46179</v>
      </c>
      <c r="J2170" s="91"/>
      <c r="K2170" s="91"/>
      <c r="M2170" s="91"/>
      <c r="N2170" s="91" t="s">
        <v>3323</v>
      </c>
    </row>
    <row r="2171" spans="1:14" x14ac:dyDescent="0.25">
      <c r="A2171" s="91" t="s">
        <v>1317</v>
      </c>
      <c r="B2171" s="91" t="s">
        <v>1331</v>
      </c>
      <c r="C2171" s="91" t="s">
        <v>3385</v>
      </c>
      <c r="D2171" s="91" t="s">
        <v>28</v>
      </c>
      <c r="E2171" s="91"/>
      <c r="F2171">
        <v>5</v>
      </c>
      <c r="G2171" t="s">
        <v>1419</v>
      </c>
      <c r="H2171" s="89">
        <v>46177</v>
      </c>
      <c r="I2171" s="89">
        <v>46179</v>
      </c>
      <c r="J2171" s="91"/>
      <c r="K2171" s="91"/>
      <c r="M2171" s="91"/>
      <c r="N2171" s="91" t="s">
        <v>3323</v>
      </c>
    </row>
    <row r="2172" spans="1:14" x14ac:dyDescent="0.25">
      <c r="A2172" s="91" t="s">
        <v>1318</v>
      </c>
      <c r="B2172" s="91" t="s">
        <v>1332</v>
      </c>
      <c r="C2172" s="91" t="s">
        <v>3386</v>
      </c>
      <c r="D2172" s="91" t="s">
        <v>28</v>
      </c>
      <c r="E2172" s="91"/>
      <c r="F2172">
        <v>63</v>
      </c>
      <c r="G2172" t="s">
        <v>1419</v>
      </c>
      <c r="H2172" s="89">
        <v>46177</v>
      </c>
      <c r="I2172" s="89">
        <v>46179</v>
      </c>
      <c r="J2172" s="91"/>
      <c r="K2172" s="91"/>
      <c r="M2172" s="91"/>
      <c r="N2172" s="91" t="s">
        <v>3323</v>
      </c>
    </row>
    <row r="2173" spans="1:14" x14ac:dyDescent="0.25">
      <c r="A2173" s="91" t="s">
        <v>1320</v>
      </c>
      <c r="B2173" s="91" t="s">
        <v>1334</v>
      </c>
      <c r="C2173" s="91" t="s">
        <v>3387</v>
      </c>
      <c r="D2173" s="91" t="s">
        <v>15</v>
      </c>
      <c r="E2173" s="91"/>
      <c r="F2173">
        <v>480</v>
      </c>
      <c r="G2173">
        <v>10</v>
      </c>
      <c r="H2173" s="89">
        <v>46177</v>
      </c>
      <c r="I2173" s="89">
        <v>46182</v>
      </c>
      <c r="J2173" s="91" t="s">
        <v>3381</v>
      </c>
      <c r="K2173" s="91"/>
      <c r="M2173" s="91"/>
      <c r="N2173" s="91" t="s">
        <v>3323</v>
      </c>
    </row>
    <row r="2174" spans="1:14" x14ac:dyDescent="0.25">
      <c r="A2174" s="91" t="s">
        <v>1313</v>
      </c>
      <c r="B2174" s="91" t="s">
        <v>1327</v>
      </c>
      <c r="C2174" s="91" t="s">
        <v>3387</v>
      </c>
      <c r="D2174" s="91" t="s">
        <v>15</v>
      </c>
      <c r="E2174" s="91"/>
      <c r="F2174">
        <v>864</v>
      </c>
      <c r="G2174">
        <v>18</v>
      </c>
      <c r="H2174" s="89">
        <v>46177</v>
      </c>
      <c r="I2174" s="89">
        <v>46182</v>
      </c>
      <c r="J2174" s="91" t="s">
        <v>3388</v>
      </c>
      <c r="K2174" s="91"/>
      <c r="M2174" s="91"/>
      <c r="N2174" s="91" t="s">
        <v>3323</v>
      </c>
    </row>
    <row r="2175" spans="1:14" x14ac:dyDescent="0.25">
      <c r="A2175" s="91" t="s">
        <v>1315</v>
      </c>
      <c r="B2175" s="91" t="s">
        <v>1329</v>
      </c>
      <c r="C2175" s="91" t="s">
        <v>3387</v>
      </c>
      <c r="D2175" s="91" t="s">
        <v>15</v>
      </c>
      <c r="E2175" s="91"/>
      <c r="F2175">
        <v>59</v>
      </c>
      <c r="G2175" t="s">
        <v>1419</v>
      </c>
      <c r="H2175" s="89">
        <v>46177</v>
      </c>
      <c r="I2175" s="89">
        <v>46179</v>
      </c>
      <c r="J2175" s="91"/>
      <c r="K2175" s="91"/>
      <c r="M2175" s="91"/>
      <c r="N2175" s="91" t="s">
        <v>3323</v>
      </c>
    </row>
    <row r="2176" spans="1:14" x14ac:dyDescent="0.25">
      <c r="A2176" s="91" t="s">
        <v>1316</v>
      </c>
      <c r="B2176" s="91" t="s">
        <v>1330</v>
      </c>
      <c r="C2176" s="91" t="s">
        <v>3389</v>
      </c>
      <c r="D2176" s="91" t="s">
        <v>15</v>
      </c>
      <c r="E2176" s="91"/>
      <c r="F2176">
        <v>53</v>
      </c>
      <c r="G2176" t="s">
        <v>1419</v>
      </c>
      <c r="H2176" s="89">
        <v>46177</v>
      </c>
      <c r="I2176" s="89">
        <v>46179</v>
      </c>
      <c r="J2176" s="91"/>
      <c r="K2176" s="91"/>
      <c r="M2176" s="91"/>
      <c r="N2176" s="91" t="s">
        <v>3323</v>
      </c>
    </row>
    <row r="2177" spans="1:14" x14ac:dyDescent="0.25">
      <c r="A2177" s="91" t="s">
        <v>1317</v>
      </c>
      <c r="B2177" s="91" t="s">
        <v>1331</v>
      </c>
      <c r="C2177" s="91" t="s">
        <v>3390</v>
      </c>
      <c r="D2177" s="91" t="s">
        <v>15</v>
      </c>
      <c r="E2177" s="91"/>
      <c r="F2177">
        <v>3</v>
      </c>
      <c r="G2177" t="s">
        <v>1419</v>
      </c>
      <c r="H2177" s="89">
        <v>46177</v>
      </c>
      <c r="I2177" s="89">
        <v>46179</v>
      </c>
      <c r="J2177" s="91"/>
      <c r="K2177" s="91"/>
      <c r="M2177" s="91"/>
      <c r="N2177" s="91" t="s">
        <v>3323</v>
      </c>
    </row>
    <row r="2178" spans="1:14" x14ac:dyDescent="0.25">
      <c r="A2178" s="91" t="s">
        <v>1318</v>
      </c>
      <c r="B2178" s="91" t="s">
        <v>1332</v>
      </c>
      <c r="C2178" s="91" t="s">
        <v>3391</v>
      </c>
      <c r="D2178" s="91" t="s">
        <v>15</v>
      </c>
      <c r="E2178" s="91"/>
      <c r="F2178">
        <v>6</v>
      </c>
      <c r="G2178" t="s">
        <v>1419</v>
      </c>
      <c r="H2178" s="89">
        <v>46177</v>
      </c>
      <c r="I2178" s="89">
        <v>46179</v>
      </c>
      <c r="J2178" s="91"/>
      <c r="K2178" s="91"/>
      <c r="M2178" s="91"/>
      <c r="N2178" s="91" t="s">
        <v>3323</v>
      </c>
    </row>
    <row r="2179" spans="1:14" x14ac:dyDescent="0.25">
      <c r="A2179" s="91" t="s">
        <v>1313</v>
      </c>
      <c r="B2179" s="91" t="s">
        <v>1327</v>
      </c>
      <c r="C2179" s="91" t="s">
        <v>3392</v>
      </c>
      <c r="D2179" s="91" t="s">
        <v>20</v>
      </c>
      <c r="E2179" s="91"/>
      <c r="F2179">
        <v>1152</v>
      </c>
      <c r="G2179">
        <v>24</v>
      </c>
      <c r="H2179" s="89">
        <v>46177</v>
      </c>
      <c r="I2179" s="89">
        <v>46182</v>
      </c>
      <c r="J2179" s="91" t="s">
        <v>3393</v>
      </c>
      <c r="K2179" s="91"/>
      <c r="M2179" s="91"/>
      <c r="N2179" s="91" t="s">
        <v>3323</v>
      </c>
    </row>
    <row r="2180" spans="1:14" x14ac:dyDescent="0.25">
      <c r="A2180" s="91" t="s">
        <v>1313</v>
      </c>
      <c r="B2180" s="91" t="s">
        <v>1327</v>
      </c>
      <c r="C2180" s="91" t="s">
        <v>3392</v>
      </c>
      <c r="D2180" s="91" t="s">
        <v>20</v>
      </c>
      <c r="E2180" s="91"/>
      <c r="F2180">
        <v>144</v>
      </c>
      <c r="G2180">
        <v>3</v>
      </c>
      <c r="H2180" s="89">
        <v>46177</v>
      </c>
      <c r="I2180" s="89">
        <v>46179</v>
      </c>
      <c r="J2180" s="91"/>
      <c r="K2180" s="91"/>
      <c r="M2180" s="91"/>
      <c r="N2180" s="91" t="s">
        <v>3323</v>
      </c>
    </row>
    <row r="2181" spans="1:14" x14ac:dyDescent="0.25">
      <c r="A2181" s="91" t="s">
        <v>1315</v>
      </c>
      <c r="B2181" s="91" t="s">
        <v>1329</v>
      </c>
      <c r="C2181" s="91" t="s">
        <v>3392</v>
      </c>
      <c r="D2181" s="91" t="s">
        <v>20</v>
      </c>
      <c r="E2181" s="91"/>
      <c r="F2181">
        <v>88</v>
      </c>
      <c r="G2181" t="s">
        <v>1419</v>
      </c>
      <c r="H2181" s="89">
        <v>46177</v>
      </c>
      <c r="I2181" s="89">
        <v>46179</v>
      </c>
      <c r="J2181" s="91"/>
      <c r="K2181" s="91"/>
      <c r="M2181" s="91"/>
      <c r="N2181" s="91" t="s">
        <v>3323</v>
      </c>
    </row>
    <row r="2182" spans="1:14" x14ac:dyDescent="0.25">
      <c r="A2182" s="91" t="s">
        <v>1316</v>
      </c>
      <c r="B2182" s="91" t="s">
        <v>1330</v>
      </c>
      <c r="C2182" s="91" t="s">
        <v>3394</v>
      </c>
      <c r="D2182" s="91" t="s">
        <v>20</v>
      </c>
      <c r="E2182" s="91"/>
      <c r="F2182">
        <v>82</v>
      </c>
      <c r="G2182" t="s">
        <v>1419</v>
      </c>
      <c r="H2182" s="89">
        <v>46177</v>
      </c>
      <c r="I2182" s="89">
        <v>46179</v>
      </c>
      <c r="J2182" s="91"/>
      <c r="K2182" s="91"/>
      <c r="M2182" s="91"/>
      <c r="N2182" s="91" t="s">
        <v>3323</v>
      </c>
    </row>
    <row r="2183" spans="1:14" x14ac:dyDescent="0.25">
      <c r="A2183" s="91" t="s">
        <v>1317</v>
      </c>
      <c r="B2183" s="91" t="s">
        <v>1331</v>
      </c>
      <c r="C2183" s="91" t="s">
        <v>3395</v>
      </c>
      <c r="D2183" s="91" t="s">
        <v>20</v>
      </c>
      <c r="E2183" s="91"/>
      <c r="F2183">
        <v>8</v>
      </c>
      <c r="G2183" t="s">
        <v>1419</v>
      </c>
      <c r="H2183" s="89">
        <v>46177</v>
      </c>
      <c r="I2183" s="89">
        <v>46179</v>
      </c>
      <c r="J2183" s="91"/>
      <c r="K2183" s="91"/>
      <c r="M2183" s="91"/>
      <c r="N2183" s="91" t="s">
        <v>3323</v>
      </c>
    </row>
    <row r="2184" spans="1:14" x14ac:dyDescent="0.25">
      <c r="A2184" s="91" t="s">
        <v>1318</v>
      </c>
      <c r="B2184" s="91" t="s">
        <v>1332</v>
      </c>
      <c r="C2184" s="91" t="s">
        <v>3396</v>
      </c>
      <c r="D2184" s="91" t="s">
        <v>20</v>
      </c>
      <c r="E2184" s="91"/>
      <c r="F2184">
        <v>53</v>
      </c>
      <c r="G2184" t="s">
        <v>1419</v>
      </c>
      <c r="H2184" s="89">
        <v>46177</v>
      </c>
      <c r="I2184" s="89">
        <v>46179</v>
      </c>
      <c r="J2184" s="91"/>
      <c r="K2184" s="91"/>
      <c r="M2184" s="91"/>
      <c r="N2184" s="91" t="s">
        <v>3323</v>
      </c>
    </row>
    <row r="2185" spans="1:14" x14ac:dyDescent="0.25">
      <c r="A2185" s="91" t="s">
        <v>1324</v>
      </c>
      <c r="B2185" s="91" t="s">
        <v>1338</v>
      </c>
      <c r="C2185" s="91" t="s">
        <v>3397</v>
      </c>
      <c r="D2185" s="91" t="s">
        <v>104</v>
      </c>
      <c r="E2185" s="91"/>
      <c r="F2185">
        <v>480</v>
      </c>
      <c r="G2185">
        <v>10</v>
      </c>
      <c r="H2185" s="89">
        <v>46178</v>
      </c>
      <c r="I2185" s="89">
        <v>46184</v>
      </c>
      <c r="J2185" s="91" t="s">
        <v>3376</v>
      </c>
      <c r="K2185" s="91"/>
      <c r="M2185" s="91"/>
      <c r="N2185" s="91" t="s">
        <v>3323</v>
      </c>
    </row>
    <row r="2186" spans="1:14" x14ac:dyDescent="0.25">
      <c r="A2186" s="91" t="s">
        <v>1324</v>
      </c>
      <c r="B2186" s="91" t="s">
        <v>1338</v>
      </c>
      <c r="C2186" s="91" t="s">
        <v>3398</v>
      </c>
      <c r="D2186" s="91" t="s">
        <v>106</v>
      </c>
      <c r="E2186" s="91"/>
      <c r="F2186">
        <v>336</v>
      </c>
      <c r="G2186">
        <v>7</v>
      </c>
      <c r="H2186" s="89">
        <v>46178</v>
      </c>
      <c r="I2186" s="89">
        <v>46184</v>
      </c>
      <c r="J2186" s="91" t="s">
        <v>3376</v>
      </c>
      <c r="K2186" s="91"/>
      <c r="M2186" s="91"/>
      <c r="N2186" s="91" t="s">
        <v>3323</v>
      </c>
    </row>
    <row r="2187" spans="1:14" x14ac:dyDescent="0.25">
      <c r="A2187" s="91" t="s">
        <v>1324</v>
      </c>
      <c r="B2187" s="91" t="s">
        <v>1338</v>
      </c>
      <c r="C2187" s="91" t="s">
        <v>3399</v>
      </c>
      <c r="D2187" s="91" t="s">
        <v>150</v>
      </c>
      <c r="E2187" s="91"/>
      <c r="F2187">
        <v>960</v>
      </c>
      <c r="G2187">
        <v>20</v>
      </c>
      <c r="H2187" s="89">
        <v>46178</v>
      </c>
      <c r="I2187" s="89">
        <v>46185</v>
      </c>
      <c r="J2187" s="91" t="s">
        <v>3400</v>
      </c>
      <c r="K2187" s="91"/>
      <c r="M2187" s="91"/>
      <c r="N2187" s="91" t="s">
        <v>3323</v>
      </c>
    </row>
    <row r="2188" spans="1:14" x14ac:dyDescent="0.25">
      <c r="A2188" s="91" t="s">
        <v>1326</v>
      </c>
      <c r="B2188" s="91" t="s">
        <v>1340</v>
      </c>
      <c r="C2188" s="91" t="s">
        <v>3401</v>
      </c>
      <c r="D2188" s="91" t="s">
        <v>32</v>
      </c>
      <c r="E2188" s="91"/>
      <c r="F2188">
        <v>840</v>
      </c>
      <c r="G2188">
        <v>20</v>
      </c>
      <c r="H2188" s="89">
        <v>46178</v>
      </c>
      <c r="I2188" s="89">
        <v>46181</v>
      </c>
      <c r="J2188" s="91"/>
      <c r="K2188" s="91"/>
      <c r="M2188" s="91"/>
      <c r="N2188" s="91" t="s">
        <v>3323</v>
      </c>
    </row>
    <row r="2189" spans="1:14" x14ac:dyDescent="0.25">
      <c r="A2189" s="91" t="s">
        <v>1320</v>
      </c>
      <c r="B2189" s="91" t="s">
        <v>1334</v>
      </c>
      <c r="C2189" s="91" t="s">
        <v>3402</v>
      </c>
      <c r="D2189" s="91" t="s">
        <v>23</v>
      </c>
      <c r="E2189" s="91"/>
      <c r="F2189">
        <v>960</v>
      </c>
      <c r="G2189">
        <v>20</v>
      </c>
      <c r="H2189" s="89">
        <v>46178</v>
      </c>
      <c r="I2189" s="89">
        <v>46182</v>
      </c>
      <c r="J2189" s="91" t="s">
        <v>3403</v>
      </c>
      <c r="K2189" s="91"/>
      <c r="M2189" s="91"/>
      <c r="N2189" s="91" t="s">
        <v>3323</v>
      </c>
    </row>
    <row r="2190" spans="1:14" x14ac:dyDescent="0.25">
      <c r="A2190" s="91" t="s">
        <v>1320</v>
      </c>
      <c r="B2190" s="91" t="s">
        <v>1334</v>
      </c>
      <c r="C2190" s="91" t="s">
        <v>3404</v>
      </c>
      <c r="D2190" s="91" t="s">
        <v>20</v>
      </c>
      <c r="E2190" s="91"/>
      <c r="F2190">
        <v>960</v>
      </c>
      <c r="G2190">
        <v>20</v>
      </c>
      <c r="H2190" s="89">
        <v>46178</v>
      </c>
      <c r="I2190" s="89">
        <v>46184</v>
      </c>
      <c r="J2190" s="91" t="s">
        <v>3405</v>
      </c>
      <c r="K2190" s="91"/>
      <c r="M2190" s="91"/>
      <c r="N2190" s="91" t="s">
        <v>3323</v>
      </c>
    </row>
    <row r="2191" spans="1:14" x14ac:dyDescent="0.25">
      <c r="A2191" s="91" t="s">
        <v>1315</v>
      </c>
      <c r="B2191" s="91" t="s">
        <v>1329</v>
      </c>
      <c r="C2191" s="91" t="s">
        <v>3404</v>
      </c>
      <c r="D2191" s="91" t="s">
        <v>20</v>
      </c>
      <c r="E2191" s="91"/>
      <c r="F2191">
        <v>213</v>
      </c>
      <c r="G2191" t="s">
        <v>1419</v>
      </c>
      <c r="H2191" s="89">
        <v>46178</v>
      </c>
      <c r="I2191" s="89">
        <v>46180</v>
      </c>
      <c r="J2191" s="91"/>
      <c r="K2191" s="91"/>
      <c r="M2191" s="91"/>
      <c r="N2191" s="91" t="s">
        <v>3323</v>
      </c>
    </row>
    <row r="2192" spans="1:14" x14ac:dyDescent="0.25">
      <c r="A2192" s="91" t="s">
        <v>1316</v>
      </c>
      <c r="B2192" s="91" t="s">
        <v>1330</v>
      </c>
      <c r="C2192" s="91" t="s">
        <v>3406</v>
      </c>
      <c r="D2192" s="91" t="s">
        <v>20</v>
      </c>
      <c r="E2192" s="91"/>
      <c r="F2192">
        <v>102</v>
      </c>
      <c r="G2192" t="s">
        <v>1419</v>
      </c>
      <c r="H2192" s="89">
        <v>46178</v>
      </c>
      <c r="I2192" s="89">
        <v>46180</v>
      </c>
      <c r="J2192" s="91"/>
      <c r="K2192" s="91"/>
      <c r="M2192" s="91"/>
      <c r="N2192" s="91" t="s">
        <v>3323</v>
      </c>
    </row>
    <row r="2193" spans="1:14" x14ac:dyDescent="0.25">
      <c r="A2193" s="91" t="s">
        <v>1317</v>
      </c>
      <c r="B2193" s="91" t="s">
        <v>1331</v>
      </c>
      <c r="C2193" s="91" t="s">
        <v>3407</v>
      </c>
      <c r="D2193" s="91" t="s">
        <v>20</v>
      </c>
      <c r="E2193" s="91"/>
      <c r="F2193">
        <v>6</v>
      </c>
      <c r="G2193" t="s">
        <v>1419</v>
      </c>
      <c r="H2193" s="89">
        <v>46178</v>
      </c>
      <c r="I2193" s="89">
        <v>46180</v>
      </c>
      <c r="J2193" s="91"/>
      <c r="K2193" s="91"/>
      <c r="M2193" s="91"/>
      <c r="N2193" s="91" t="s">
        <v>3323</v>
      </c>
    </row>
    <row r="2194" spans="1:14" x14ac:dyDescent="0.25">
      <c r="A2194" s="91" t="s">
        <v>1318</v>
      </c>
      <c r="B2194" s="91" t="s">
        <v>1332</v>
      </c>
      <c r="C2194" s="91" t="s">
        <v>3408</v>
      </c>
      <c r="D2194" s="91" t="s">
        <v>20</v>
      </c>
      <c r="E2194" s="91"/>
      <c r="F2194">
        <v>57</v>
      </c>
      <c r="G2194" t="s">
        <v>1419</v>
      </c>
      <c r="H2194" s="89">
        <v>46178</v>
      </c>
      <c r="I2194" s="89">
        <v>46180</v>
      </c>
      <c r="J2194" s="91"/>
      <c r="K2194" s="91"/>
      <c r="M2194" s="91"/>
      <c r="N2194" s="91" t="s">
        <v>3323</v>
      </c>
    </row>
    <row r="2195" spans="1:14" x14ac:dyDescent="0.25">
      <c r="A2195" s="91" t="s">
        <v>1320</v>
      </c>
      <c r="B2195" s="91" t="s">
        <v>1334</v>
      </c>
      <c r="C2195" s="91" t="s">
        <v>3409</v>
      </c>
      <c r="D2195" s="91" t="s">
        <v>15</v>
      </c>
      <c r="E2195" s="91"/>
      <c r="F2195">
        <v>960</v>
      </c>
      <c r="G2195">
        <v>20</v>
      </c>
      <c r="H2195" s="89">
        <v>46178</v>
      </c>
      <c r="I2195" s="89">
        <v>46183</v>
      </c>
      <c r="J2195" s="91" t="s">
        <v>3410</v>
      </c>
      <c r="K2195" s="91"/>
      <c r="M2195" s="91"/>
      <c r="N2195" s="91" t="s">
        <v>3323</v>
      </c>
    </row>
    <row r="2196" spans="1:14" x14ac:dyDescent="0.25">
      <c r="A2196" s="91" t="s">
        <v>1314</v>
      </c>
      <c r="B2196" s="91" t="s">
        <v>1328</v>
      </c>
      <c r="C2196" s="91" t="s">
        <v>3409</v>
      </c>
      <c r="D2196" s="91" t="s">
        <v>15</v>
      </c>
      <c r="E2196" s="91"/>
      <c r="F2196">
        <v>288</v>
      </c>
      <c r="G2196">
        <v>6</v>
      </c>
      <c r="H2196" s="89">
        <v>46178</v>
      </c>
      <c r="I2196" s="89">
        <v>46182</v>
      </c>
      <c r="J2196" s="91" t="s">
        <v>3411</v>
      </c>
      <c r="K2196" s="91"/>
      <c r="M2196" s="91"/>
      <c r="N2196" s="91" t="s">
        <v>3323</v>
      </c>
    </row>
    <row r="2197" spans="1:14" x14ac:dyDescent="0.25">
      <c r="A2197" s="91" t="s">
        <v>1313</v>
      </c>
      <c r="B2197" s="91" t="s">
        <v>1327</v>
      </c>
      <c r="C2197" s="91" t="s">
        <v>3409</v>
      </c>
      <c r="D2197" s="91" t="s">
        <v>15</v>
      </c>
      <c r="E2197" s="91"/>
      <c r="F2197">
        <v>192</v>
      </c>
      <c r="G2197">
        <v>4</v>
      </c>
      <c r="H2197" s="89">
        <v>46178</v>
      </c>
      <c r="I2197" s="89">
        <v>46183</v>
      </c>
      <c r="J2197" s="91" t="s">
        <v>3412</v>
      </c>
      <c r="K2197" s="91"/>
      <c r="M2197" s="91"/>
      <c r="N2197" s="91" t="s">
        <v>3323</v>
      </c>
    </row>
    <row r="2198" spans="1:14" x14ac:dyDescent="0.25">
      <c r="A2198" s="91" t="s">
        <v>1315</v>
      </c>
      <c r="B2198" s="91" t="s">
        <v>1329</v>
      </c>
      <c r="C2198" s="91" t="s">
        <v>3409</v>
      </c>
      <c r="D2198" s="91" t="s">
        <v>15</v>
      </c>
      <c r="E2198" s="91"/>
      <c r="F2198">
        <v>21</v>
      </c>
      <c r="G2198" t="s">
        <v>1419</v>
      </c>
      <c r="H2198" s="89">
        <v>46178</v>
      </c>
      <c r="I2198" s="89">
        <v>46180</v>
      </c>
      <c r="J2198" s="91"/>
      <c r="K2198" s="91"/>
      <c r="M2198" s="91"/>
      <c r="N2198" s="91" t="s">
        <v>3323</v>
      </c>
    </row>
    <row r="2199" spans="1:14" x14ac:dyDescent="0.25">
      <c r="A2199" s="91" t="s">
        <v>1316</v>
      </c>
      <c r="B2199" s="91" t="s">
        <v>1330</v>
      </c>
      <c r="C2199" s="91" t="s">
        <v>3413</v>
      </c>
      <c r="D2199" s="91" t="s">
        <v>15</v>
      </c>
      <c r="E2199" s="91"/>
      <c r="F2199">
        <v>52</v>
      </c>
      <c r="G2199" t="s">
        <v>1419</v>
      </c>
      <c r="H2199" s="89">
        <v>46178</v>
      </c>
      <c r="I2199" s="89">
        <v>46180</v>
      </c>
      <c r="J2199" s="91"/>
      <c r="K2199" s="91"/>
      <c r="M2199" s="91"/>
      <c r="N2199" s="91" t="s">
        <v>3323</v>
      </c>
    </row>
    <row r="2200" spans="1:14" x14ac:dyDescent="0.25">
      <c r="A2200" s="91" t="s">
        <v>1317</v>
      </c>
      <c r="B2200" s="91" t="s">
        <v>1331</v>
      </c>
      <c r="C2200" s="91" t="s">
        <v>3414</v>
      </c>
      <c r="D2200" s="91" t="s">
        <v>15</v>
      </c>
      <c r="E2200" s="91"/>
      <c r="F2200">
        <v>7</v>
      </c>
      <c r="G2200" t="s">
        <v>1419</v>
      </c>
      <c r="H2200" s="89">
        <v>46178</v>
      </c>
      <c r="I2200" s="89">
        <v>46180</v>
      </c>
      <c r="J2200" s="91"/>
      <c r="K2200" s="91"/>
      <c r="M2200" s="91"/>
      <c r="N2200" s="91" t="s">
        <v>3323</v>
      </c>
    </row>
    <row r="2201" spans="1:14" x14ac:dyDescent="0.25">
      <c r="A2201" s="91" t="s">
        <v>1318</v>
      </c>
      <c r="B2201" s="91" t="s">
        <v>1332</v>
      </c>
      <c r="C2201" s="91" t="s">
        <v>3415</v>
      </c>
      <c r="D2201" s="91" t="s">
        <v>15</v>
      </c>
      <c r="E2201" s="91"/>
      <c r="F2201">
        <v>35</v>
      </c>
      <c r="G2201" t="s">
        <v>1419</v>
      </c>
      <c r="H2201" s="89">
        <v>46178</v>
      </c>
      <c r="I2201" s="89">
        <v>46180</v>
      </c>
      <c r="J2201" s="91"/>
      <c r="K2201" s="91"/>
      <c r="M2201" s="91"/>
      <c r="N2201" s="91" t="s">
        <v>3323</v>
      </c>
    </row>
    <row r="2202" spans="1:14" x14ac:dyDescent="0.25">
      <c r="A2202" s="91" t="s">
        <v>1320</v>
      </c>
      <c r="B2202" s="91" t="s">
        <v>1334</v>
      </c>
      <c r="C2202" s="91" t="s">
        <v>3416</v>
      </c>
      <c r="D2202" s="91" t="s">
        <v>21</v>
      </c>
      <c r="E2202" s="91"/>
      <c r="F2202">
        <v>720</v>
      </c>
      <c r="G2202">
        <v>15</v>
      </c>
      <c r="H2202" s="89">
        <v>46178</v>
      </c>
      <c r="I2202" s="89">
        <v>46183</v>
      </c>
      <c r="J2202" s="91" t="s">
        <v>3382</v>
      </c>
      <c r="K2202" s="91"/>
      <c r="M2202" s="91"/>
      <c r="N2202" s="91" t="s">
        <v>3323</v>
      </c>
    </row>
    <row r="2203" spans="1:14" x14ac:dyDescent="0.25">
      <c r="A2203" s="91" t="s">
        <v>1313</v>
      </c>
      <c r="B2203" s="91" t="s">
        <v>1327</v>
      </c>
      <c r="C2203" s="91" t="s">
        <v>3416</v>
      </c>
      <c r="D2203" s="91" t="s">
        <v>21</v>
      </c>
      <c r="E2203" s="91"/>
      <c r="F2203">
        <v>96</v>
      </c>
      <c r="G2203">
        <v>5</v>
      </c>
      <c r="H2203" s="89">
        <v>46178</v>
      </c>
      <c r="I2203" s="89">
        <v>46179</v>
      </c>
      <c r="J2203" s="91"/>
      <c r="K2203" s="91"/>
      <c r="M2203" s="91"/>
      <c r="N2203" s="91" t="s">
        <v>3323</v>
      </c>
    </row>
    <row r="2204" spans="1:14" x14ac:dyDescent="0.25">
      <c r="A2204" s="91" t="s">
        <v>1313</v>
      </c>
      <c r="B2204" s="91" t="s">
        <v>1327</v>
      </c>
      <c r="C2204" s="91" t="s">
        <v>3416</v>
      </c>
      <c r="D2204" s="91" t="s">
        <v>21</v>
      </c>
      <c r="E2204" s="91"/>
      <c r="F2204">
        <v>240</v>
      </c>
      <c r="G2204">
        <v>5</v>
      </c>
      <c r="H2204" s="89">
        <v>46178</v>
      </c>
      <c r="I2204" s="89">
        <v>46184</v>
      </c>
      <c r="J2204" s="91" t="s">
        <v>3417</v>
      </c>
      <c r="K2204" s="91"/>
      <c r="M2204" s="91"/>
      <c r="N2204" s="91" t="s">
        <v>3323</v>
      </c>
    </row>
    <row r="2205" spans="1:14" x14ac:dyDescent="0.25">
      <c r="A2205" s="91" t="s">
        <v>1315</v>
      </c>
      <c r="B2205" s="91" t="s">
        <v>1329</v>
      </c>
      <c r="C2205" s="91" t="s">
        <v>3416</v>
      </c>
      <c r="D2205" s="91" t="s">
        <v>21</v>
      </c>
      <c r="E2205" s="91"/>
      <c r="F2205">
        <v>44</v>
      </c>
      <c r="G2205" t="s">
        <v>1419</v>
      </c>
      <c r="H2205" s="89">
        <v>46178</v>
      </c>
      <c r="I2205" s="89">
        <v>46180</v>
      </c>
      <c r="J2205" s="91"/>
      <c r="K2205" s="91"/>
      <c r="M2205" s="91"/>
      <c r="N2205" s="91" t="s">
        <v>3323</v>
      </c>
    </row>
    <row r="2206" spans="1:14" x14ac:dyDescent="0.25">
      <c r="A2206" s="91" t="s">
        <v>1316</v>
      </c>
      <c r="B2206" s="91" t="s">
        <v>1330</v>
      </c>
      <c r="C2206" s="91" t="s">
        <v>3418</v>
      </c>
      <c r="D2206" s="91" t="s">
        <v>21</v>
      </c>
      <c r="E2206" s="91"/>
      <c r="F2206">
        <v>8</v>
      </c>
      <c r="G2206" t="s">
        <v>1419</v>
      </c>
      <c r="H2206" s="89">
        <v>46178</v>
      </c>
      <c r="I2206" s="89">
        <v>46180</v>
      </c>
      <c r="J2206" s="91"/>
      <c r="K2206" s="91"/>
      <c r="M2206" s="91"/>
      <c r="N2206" s="91" t="s">
        <v>3323</v>
      </c>
    </row>
    <row r="2207" spans="1:14" x14ac:dyDescent="0.25">
      <c r="A2207" s="91" t="s">
        <v>1317</v>
      </c>
      <c r="B2207" s="91" t="s">
        <v>1331</v>
      </c>
      <c r="C2207" s="91" t="s">
        <v>3419</v>
      </c>
      <c r="D2207" s="91" t="s">
        <v>21</v>
      </c>
      <c r="E2207" s="91"/>
      <c r="F2207">
        <v>11</v>
      </c>
      <c r="G2207" t="s">
        <v>1419</v>
      </c>
      <c r="H2207" s="89">
        <v>46178</v>
      </c>
      <c r="I2207" s="89">
        <v>46180</v>
      </c>
      <c r="J2207" s="91"/>
      <c r="K2207" s="91"/>
      <c r="M2207" s="91"/>
      <c r="N2207" s="91" t="s">
        <v>3323</v>
      </c>
    </row>
    <row r="2208" spans="1:14" x14ac:dyDescent="0.25">
      <c r="A2208" s="91" t="s">
        <v>1318</v>
      </c>
      <c r="B2208" s="91" t="s">
        <v>1332</v>
      </c>
      <c r="C2208" s="91" t="s">
        <v>3420</v>
      </c>
      <c r="D2208" s="91" t="s">
        <v>21</v>
      </c>
      <c r="E2208" s="91"/>
      <c r="F2208">
        <v>44</v>
      </c>
      <c r="G2208" t="s">
        <v>1419</v>
      </c>
      <c r="H2208" s="89">
        <v>46178</v>
      </c>
      <c r="I2208" s="89">
        <v>46180</v>
      </c>
      <c r="J2208" s="91"/>
      <c r="K2208" s="91"/>
      <c r="M2208" s="91"/>
      <c r="N2208" s="91" t="s">
        <v>3323</v>
      </c>
    </row>
    <row r="2209" spans="1:14" x14ac:dyDescent="0.25">
      <c r="A2209" s="91" t="s">
        <v>1313</v>
      </c>
      <c r="B2209" s="91" t="s">
        <v>1327</v>
      </c>
      <c r="C2209" s="91" t="s">
        <v>3421</v>
      </c>
      <c r="D2209" s="91" t="s">
        <v>152</v>
      </c>
      <c r="E2209" s="91"/>
      <c r="F2209">
        <v>336</v>
      </c>
      <c r="G2209">
        <v>7</v>
      </c>
      <c r="H2209" s="89">
        <v>46179</v>
      </c>
      <c r="I2209" s="89">
        <v>46183</v>
      </c>
      <c r="J2209" s="91" t="s">
        <v>3412</v>
      </c>
      <c r="K2209" s="91"/>
      <c r="M2209" s="91"/>
      <c r="N2209" s="91" t="s">
        <v>3323</v>
      </c>
    </row>
    <row r="2210" spans="1:14" x14ac:dyDescent="0.25">
      <c r="A2210" s="91" t="s">
        <v>1313</v>
      </c>
      <c r="B2210" s="91" t="s">
        <v>1327</v>
      </c>
      <c r="C2210" s="91" t="s">
        <v>3422</v>
      </c>
      <c r="D2210" s="91" t="s">
        <v>13</v>
      </c>
      <c r="E2210" s="91"/>
      <c r="F2210">
        <v>624</v>
      </c>
      <c r="G2210">
        <v>13</v>
      </c>
      <c r="H2210" s="89">
        <v>46179</v>
      </c>
      <c r="I2210" s="89">
        <v>46183</v>
      </c>
      <c r="J2210" s="91" t="s">
        <v>3412</v>
      </c>
      <c r="K2210" s="91"/>
      <c r="M2210" s="91"/>
      <c r="N2210" s="91" t="s">
        <v>3323</v>
      </c>
    </row>
    <row r="2211" spans="1:14" x14ac:dyDescent="0.25">
      <c r="A2211" s="91" t="s">
        <v>1324</v>
      </c>
      <c r="B2211" s="91" t="s">
        <v>1338</v>
      </c>
      <c r="C2211" s="91" t="s">
        <v>3423</v>
      </c>
      <c r="D2211" s="91" t="s">
        <v>150</v>
      </c>
      <c r="E2211" s="91"/>
      <c r="F2211">
        <v>960</v>
      </c>
      <c r="G2211">
        <v>20</v>
      </c>
      <c r="H2211" s="89">
        <v>46179</v>
      </c>
      <c r="I2211" s="89">
        <v>46185</v>
      </c>
      <c r="J2211" s="91" t="s">
        <v>3400</v>
      </c>
      <c r="K2211" s="91"/>
      <c r="M2211" s="91"/>
      <c r="N2211" s="91" t="s">
        <v>3323</v>
      </c>
    </row>
    <row r="2212" spans="1:14" x14ac:dyDescent="0.25">
      <c r="A2212" s="91" t="s">
        <v>1313</v>
      </c>
      <c r="B2212" s="91" t="s">
        <v>1327</v>
      </c>
      <c r="C2212" s="91" t="s">
        <v>3424</v>
      </c>
      <c r="D2212" s="91" t="s">
        <v>97</v>
      </c>
      <c r="E2212" s="91"/>
      <c r="F2212">
        <v>576</v>
      </c>
      <c r="G2212">
        <v>12</v>
      </c>
      <c r="H2212" s="89">
        <v>46179</v>
      </c>
      <c r="I2212" s="89">
        <v>46183</v>
      </c>
      <c r="J2212" s="91" t="s">
        <v>3425</v>
      </c>
      <c r="K2212" s="91"/>
      <c r="M2212" s="91"/>
      <c r="N2212" s="91" t="s">
        <v>3323</v>
      </c>
    </row>
    <row r="2213" spans="1:14" x14ac:dyDescent="0.25">
      <c r="A2213" s="91" t="s">
        <v>1313</v>
      </c>
      <c r="B2213" s="91" t="s">
        <v>1327</v>
      </c>
      <c r="C2213" s="91" t="s">
        <v>3426</v>
      </c>
      <c r="D2213" s="91" t="s">
        <v>88</v>
      </c>
      <c r="E2213" s="91"/>
      <c r="F2213">
        <v>576</v>
      </c>
      <c r="G2213">
        <v>12</v>
      </c>
      <c r="H2213" s="89">
        <v>46179</v>
      </c>
      <c r="I2213" s="89">
        <v>46183</v>
      </c>
      <c r="J2213" s="91" t="s">
        <v>3425</v>
      </c>
      <c r="K2213" s="91"/>
      <c r="M2213" s="91"/>
      <c r="N2213" s="91" t="s">
        <v>3323</v>
      </c>
    </row>
    <row r="2214" spans="1:14" x14ac:dyDescent="0.25">
      <c r="A2214" s="91" t="s">
        <v>1313</v>
      </c>
      <c r="B2214" s="91" t="s">
        <v>1327</v>
      </c>
      <c r="C2214" s="91" t="s">
        <v>3427</v>
      </c>
      <c r="D2214" s="91" t="s">
        <v>20</v>
      </c>
      <c r="E2214" s="91"/>
      <c r="F2214">
        <v>864</v>
      </c>
      <c r="G2214">
        <v>18</v>
      </c>
      <c r="H2214" s="89">
        <v>46179</v>
      </c>
      <c r="I2214" s="89">
        <v>46183</v>
      </c>
      <c r="J2214" s="91" t="s">
        <v>3428</v>
      </c>
      <c r="K2214" s="91"/>
      <c r="M2214" s="91"/>
      <c r="N2214" s="91" t="s">
        <v>3323</v>
      </c>
    </row>
    <row r="2215" spans="1:14" x14ac:dyDescent="0.25">
      <c r="A2215" s="91" t="s">
        <v>1315</v>
      </c>
      <c r="B2215" s="91" t="s">
        <v>1329</v>
      </c>
      <c r="C2215" s="91" t="s">
        <v>3427</v>
      </c>
      <c r="D2215" s="91" t="s">
        <v>20</v>
      </c>
      <c r="E2215" s="91"/>
      <c r="F2215">
        <v>162</v>
      </c>
      <c r="G2215" t="s">
        <v>1419</v>
      </c>
      <c r="H2215" s="89">
        <v>46179</v>
      </c>
      <c r="I2215" s="89">
        <v>46181</v>
      </c>
      <c r="J2215" s="91"/>
      <c r="K2215" s="91"/>
      <c r="M2215" s="91"/>
      <c r="N2215" s="91" t="s">
        <v>3323</v>
      </c>
    </row>
    <row r="2216" spans="1:14" x14ac:dyDescent="0.25">
      <c r="A2216" s="91" t="s">
        <v>1316</v>
      </c>
      <c r="B2216" s="91" t="s">
        <v>1330</v>
      </c>
      <c r="C2216" s="91" t="s">
        <v>3429</v>
      </c>
      <c r="D2216" s="91" t="s">
        <v>20</v>
      </c>
      <c r="E2216" s="91"/>
      <c r="F2216">
        <v>34</v>
      </c>
      <c r="G2216" t="s">
        <v>1419</v>
      </c>
      <c r="H2216" s="89">
        <v>46179</v>
      </c>
      <c r="I2216" s="89">
        <v>46181</v>
      </c>
      <c r="J2216" s="91"/>
      <c r="K2216" s="91"/>
      <c r="M2216" s="91"/>
      <c r="N2216" s="91" t="s">
        <v>3323</v>
      </c>
    </row>
    <row r="2217" spans="1:14" x14ac:dyDescent="0.25">
      <c r="A2217" s="91" t="s">
        <v>1317</v>
      </c>
      <c r="B2217" s="91" t="s">
        <v>1331</v>
      </c>
      <c r="C2217" s="91" t="s">
        <v>3430</v>
      </c>
      <c r="D2217" s="91" t="s">
        <v>20</v>
      </c>
      <c r="E2217" s="91"/>
      <c r="F2217">
        <v>6</v>
      </c>
      <c r="G2217" t="s">
        <v>1419</v>
      </c>
      <c r="H2217" s="89">
        <v>46179</v>
      </c>
      <c r="I2217" s="89">
        <v>46181</v>
      </c>
      <c r="J2217" s="91"/>
      <c r="K2217" s="91"/>
      <c r="M2217" s="91"/>
      <c r="N2217" s="91" t="s">
        <v>3323</v>
      </c>
    </row>
    <row r="2218" spans="1:14" x14ac:dyDescent="0.25">
      <c r="A2218" s="91" t="s">
        <v>1318</v>
      </c>
      <c r="B2218" s="91" t="s">
        <v>1332</v>
      </c>
      <c r="C2218" s="91" t="s">
        <v>3431</v>
      </c>
      <c r="D2218" s="91" t="s">
        <v>20</v>
      </c>
      <c r="E2218" s="91"/>
      <c r="F2218">
        <v>26</v>
      </c>
      <c r="G2218" t="s">
        <v>1419</v>
      </c>
      <c r="H2218" s="89">
        <v>46179</v>
      </c>
      <c r="I2218" s="89">
        <v>46181</v>
      </c>
      <c r="J2218" s="91"/>
      <c r="K2218" s="91"/>
      <c r="M2218" s="91"/>
      <c r="N2218" s="91" t="s">
        <v>3323</v>
      </c>
    </row>
    <row r="2219" spans="1:14" x14ac:dyDescent="0.25">
      <c r="A2219" s="91" t="s">
        <v>1320</v>
      </c>
      <c r="B2219" s="91" t="s">
        <v>1334</v>
      </c>
      <c r="C2219" s="91" t="s">
        <v>3432</v>
      </c>
      <c r="D2219" s="91" t="s">
        <v>15</v>
      </c>
      <c r="E2219" s="91"/>
      <c r="F2219">
        <v>960</v>
      </c>
      <c r="G2219">
        <v>20</v>
      </c>
      <c r="H2219" s="89">
        <v>46179</v>
      </c>
      <c r="I2219" s="89">
        <v>46184</v>
      </c>
      <c r="J2219" s="91" t="s">
        <v>3433</v>
      </c>
      <c r="K2219" s="91"/>
      <c r="M2219" s="91"/>
      <c r="N2219" s="91" t="s">
        <v>3323</v>
      </c>
    </row>
    <row r="2220" spans="1:14" x14ac:dyDescent="0.25">
      <c r="A2220" s="91" t="s">
        <v>1314</v>
      </c>
      <c r="B2220" s="91" t="s">
        <v>1328</v>
      </c>
      <c r="C2220" s="91" t="s">
        <v>3432</v>
      </c>
      <c r="D2220" s="91" t="s">
        <v>15</v>
      </c>
      <c r="E2220" s="91"/>
      <c r="F2220">
        <v>96</v>
      </c>
      <c r="G2220">
        <v>2</v>
      </c>
      <c r="H2220" s="89">
        <v>46179</v>
      </c>
      <c r="I2220" s="89">
        <v>46183</v>
      </c>
      <c r="J2220" s="91" t="s">
        <v>3434</v>
      </c>
      <c r="K2220" s="91"/>
      <c r="M2220" s="91"/>
      <c r="N2220" s="91" t="s">
        <v>3323</v>
      </c>
    </row>
    <row r="2221" spans="1:14" x14ac:dyDescent="0.25">
      <c r="A2221" s="91" t="s">
        <v>1313</v>
      </c>
      <c r="B2221" s="91" t="s">
        <v>1327</v>
      </c>
      <c r="C2221" s="91" t="s">
        <v>3432</v>
      </c>
      <c r="D2221" s="91" t="s">
        <v>15</v>
      </c>
      <c r="E2221" s="91"/>
      <c r="F2221">
        <v>192</v>
      </c>
      <c r="G2221" t="s">
        <v>1419</v>
      </c>
      <c r="H2221" s="89">
        <v>46179</v>
      </c>
      <c r="I2221" s="89">
        <v>46181</v>
      </c>
      <c r="J2221" s="91"/>
      <c r="K2221" s="91"/>
      <c r="M2221" s="91"/>
      <c r="N2221" s="91" t="s">
        <v>3323</v>
      </c>
    </row>
    <row r="2222" spans="1:14" x14ac:dyDescent="0.25">
      <c r="A2222" s="91" t="s">
        <v>1315</v>
      </c>
      <c r="B2222" s="91" t="s">
        <v>1329</v>
      </c>
      <c r="C2222" s="91" t="s">
        <v>3432</v>
      </c>
      <c r="D2222" s="91" t="s">
        <v>15</v>
      </c>
      <c r="E2222" s="91"/>
      <c r="F2222">
        <v>37</v>
      </c>
      <c r="G2222" t="s">
        <v>1419</v>
      </c>
      <c r="H2222" s="89">
        <v>46179</v>
      </c>
      <c r="I2222" s="89">
        <v>46181</v>
      </c>
      <c r="J2222" s="91"/>
      <c r="K2222" s="91"/>
      <c r="M2222" s="91"/>
      <c r="N2222" s="91" t="s">
        <v>3323</v>
      </c>
    </row>
    <row r="2223" spans="1:14" x14ac:dyDescent="0.25">
      <c r="A2223" s="91" t="s">
        <v>1316</v>
      </c>
      <c r="B2223" s="91" t="s">
        <v>1330</v>
      </c>
      <c r="C2223" s="91" t="s">
        <v>3435</v>
      </c>
      <c r="D2223" s="91" t="s">
        <v>15</v>
      </c>
      <c r="E2223" s="91"/>
      <c r="F2223">
        <v>56</v>
      </c>
      <c r="G2223" t="s">
        <v>1419</v>
      </c>
      <c r="H2223" s="89">
        <v>46179</v>
      </c>
      <c r="I2223" s="89">
        <v>46181</v>
      </c>
      <c r="J2223" s="91"/>
      <c r="K2223" s="91"/>
      <c r="M2223" s="91"/>
      <c r="N2223" s="91" t="s">
        <v>3323</v>
      </c>
    </row>
    <row r="2224" spans="1:14" x14ac:dyDescent="0.25">
      <c r="A2224" s="91" t="s">
        <v>1317</v>
      </c>
      <c r="B2224" s="91" t="s">
        <v>1331</v>
      </c>
      <c r="C2224" s="91" t="s">
        <v>3436</v>
      </c>
      <c r="D2224" s="91" t="s">
        <v>15</v>
      </c>
      <c r="E2224" s="91"/>
      <c r="F2224">
        <v>13</v>
      </c>
      <c r="G2224" t="s">
        <v>1419</v>
      </c>
      <c r="H2224" s="89">
        <v>46179</v>
      </c>
      <c r="I2224" s="89">
        <v>46181</v>
      </c>
      <c r="J2224" s="91"/>
      <c r="K2224" s="91"/>
      <c r="M2224" s="91"/>
      <c r="N2224" s="91" t="s">
        <v>3323</v>
      </c>
    </row>
    <row r="2225" spans="1:14" x14ac:dyDescent="0.25">
      <c r="A2225" s="91" t="s">
        <v>1318</v>
      </c>
      <c r="B2225" s="91" t="s">
        <v>1332</v>
      </c>
      <c r="C2225" s="91" t="s">
        <v>3437</v>
      </c>
      <c r="D2225" s="91" t="s">
        <v>15</v>
      </c>
      <c r="E2225" s="91"/>
      <c r="F2225">
        <v>32</v>
      </c>
      <c r="G2225" t="s">
        <v>1419</v>
      </c>
      <c r="H2225" s="89">
        <v>46179</v>
      </c>
      <c r="I2225" s="89">
        <v>46181</v>
      </c>
      <c r="J2225" s="91"/>
      <c r="K2225" s="91"/>
      <c r="M2225" s="91"/>
      <c r="N2225" s="91" t="s">
        <v>3323</v>
      </c>
    </row>
    <row r="2226" spans="1:14" x14ac:dyDescent="0.25">
      <c r="A2226" s="91" t="s">
        <v>1320</v>
      </c>
      <c r="B2226" s="91" t="s">
        <v>1334</v>
      </c>
      <c r="C2226" s="91" t="s">
        <v>3438</v>
      </c>
      <c r="D2226" s="91" t="s">
        <v>13</v>
      </c>
      <c r="E2226" s="91"/>
      <c r="F2226">
        <v>960</v>
      </c>
      <c r="G2226">
        <v>20</v>
      </c>
      <c r="H2226" s="89">
        <v>46181</v>
      </c>
      <c r="I2226" s="89">
        <v>46185</v>
      </c>
      <c r="J2226" s="91" t="s">
        <v>3439</v>
      </c>
      <c r="K2226" s="91"/>
      <c r="M2226" s="91"/>
      <c r="N2226" s="91" t="s">
        <v>3440</v>
      </c>
    </row>
    <row r="2227" spans="1:14" x14ac:dyDescent="0.25">
      <c r="A2227" s="91" t="s">
        <v>1313</v>
      </c>
      <c r="B2227" s="91" t="s">
        <v>1327</v>
      </c>
      <c r="C2227" s="91" t="s">
        <v>3441</v>
      </c>
      <c r="D2227" s="91" t="s">
        <v>20</v>
      </c>
      <c r="E2227" s="91"/>
      <c r="F2227">
        <v>1104</v>
      </c>
      <c r="G2227">
        <v>23</v>
      </c>
      <c r="H2227" s="89">
        <v>46181</v>
      </c>
      <c r="I2227" s="89">
        <v>46185</v>
      </c>
      <c r="J2227" s="91" t="s">
        <v>3442</v>
      </c>
      <c r="K2227" s="91"/>
      <c r="M2227" s="91"/>
      <c r="N2227" s="91" t="s">
        <v>3440</v>
      </c>
    </row>
    <row r="2228" spans="1:14" x14ac:dyDescent="0.25">
      <c r="A2228" s="91" t="s">
        <v>1319</v>
      </c>
      <c r="B2228" s="91" t="s">
        <v>1333</v>
      </c>
      <c r="C2228" s="91" t="s">
        <v>3441</v>
      </c>
      <c r="D2228" s="91" t="s">
        <v>20</v>
      </c>
      <c r="E2228" s="91"/>
      <c r="F2228">
        <v>48</v>
      </c>
      <c r="G2228">
        <v>1</v>
      </c>
      <c r="H2228" s="89">
        <v>46181</v>
      </c>
      <c r="I2228" s="89">
        <v>46185</v>
      </c>
      <c r="J2228" s="91" t="s">
        <v>3442</v>
      </c>
      <c r="K2228" s="91"/>
      <c r="M2228" s="91"/>
      <c r="N2228" s="91" t="s">
        <v>3440</v>
      </c>
    </row>
    <row r="2229" spans="1:14" x14ac:dyDescent="0.25">
      <c r="A2229" s="91" t="s">
        <v>1315</v>
      </c>
      <c r="B2229" s="91" t="s">
        <v>1329</v>
      </c>
      <c r="C2229" s="91" t="s">
        <v>3441</v>
      </c>
      <c r="D2229" s="91" t="s">
        <v>20</v>
      </c>
      <c r="E2229" s="91"/>
      <c r="F2229">
        <v>156</v>
      </c>
      <c r="G2229" t="s">
        <v>1419</v>
      </c>
      <c r="H2229" s="89">
        <v>46181</v>
      </c>
      <c r="I2229" s="89">
        <v>46186</v>
      </c>
      <c r="J2229" s="91"/>
      <c r="K2229" s="91"/>
      <c r="M2229" s="91"/>
      <c r="N2229" s="91" t="s">
        <v>3440</v>
      </c>
    </row>
    <row r="2230" spans="1:14" x14ac:dyDescent="0.25">
      <c r="A2230" s="91" t="s">
        <v>1316</v>
      </c>
      <c r="B2230" s="91" t="s">
        <v>1330</v>
      </c>
      <c r="C2230" s="91" t="s">
        <v>3443</v>
      </c>
      <c r="D2230" s="91" t="s">
        <v>20</v>
      </c>
      <c r="E2230" s="91"/>
      <c r="F2230">
        <v>78</v>
      </c>
      <c r="G2230" t="s">
        <v>1419</v>
      </c>
      <c r="H2230" s="89">
        <v>46181</v>
      </c>
      <c r="I2230" s="89">
        <v>46183</v>
      </c>
      <c r="J2230" s="91"/>
      <c r="K2230" s="91"/>
      <c r="M2230" s="91"/>
      <c r="N2230" s="91" t="s">
        <v>3440</v>
      </c>
    </row>
    <row r="2231" spans="1:14" x14ac:dyDescent="0.25">
      <c r="A2231" s="91" t="s">
        <v>1317</v>
      </c>
      <c r="B2231" s="91" t="s">
        <v>1331</v>
      </c>
      <c r="C2231" s="91" t="s">
        <v>3444</v>
      </c>
      <c r="D2231" s="91" t="s">
        <v>20</v>
      </c>
      <c r="E2231" s="91"/>
      <c r="F2231">
        <v>9</v>
      </c>
      <c r="G2231" t="s">
        <v>1419</v>
      </c>
      <c r="H2231" s="89">
        <v>46181</v>
      </c>
      <c r="I2231" s="89">
        <v>46183</v>
      </c>
      <c r="J2231" s="91"/>
      <c r="K2231" s="91"/>
      <c r="M2231" s="91"/>
      <c r="N2231" s="91" t="s">
        <v>3440</v>
      </c>
    </row>
    <row r="2232" spans="1:14" x14ac:dyDescent="0.25">
      <c r="A2232" s="91" t="s">
        <v>1318</v>
      </c>
      <c r="B2232" s="91" t="s">
        <v>1332</v>
      </c>
      <c r="C2232" s="91" t="s">
        <v>3445</v>
      </c>
      <c r="D2232" s="91" t="s">
        <v>20</v>
      </c>
      <c r="E2232" s="91"/>
      <c r="F2232">
        <v>52</v>
      </c>
      <c r="G2232" t="s">
        <v>1419</v>
      </c>
      <c r="H2232" s="89">
        <v>46181</v>
      </c>
      <c r="I2232" s="89">
        <v>46183</v>
      </c>
      <c r="J2232" s="91"/>
      <c r="K2232" s="91"/>
      <c r="M2232" s="91"/>
      <c r="N2232" s="91" t="s">
        <v>3440</v>
      </c>
    </row>
    <row r="2233" spans="1:14" x14ac:dyDescent="0.25">
      <c r="A2233" s="91" t="s">
        <v>1313</v>
      </c>
      <c r="B2233" s="91" t="s">
        <v>1327</v>
      </c>
      <c r="C2233" s="91" t="s">
        <v>3446</v>
      </c>
      <c r="D2233" s="91" t="s">
        <v>15</v>
      </c>
      <c r="E2233" s="91"/>
      <c r="F2233">
        <v>624</v>
      </c>
      <c r="G2233">
        <v>13</v>
      </c>
      <c r="H2233" s="89">
        <v>46181</v>
      </c>
      <c r="I2233" s="89">
        <v>46184</v>
      </c>
      <c r="J2233" s="91" t="s">
        <v>3417</v>
      </c>
      <c r="K2233" s="91"/>
      <c r="M2233" s="91"/>
      <c r="N2233" s="91" t="s">
        <v>3440</v>
      </c>
    </row>
    <row r="2234" spans="1:14" x14ac:dyDescent="0.25">
      <c r="A2234" s="91" t="s">
        <v>1313</v>
      </c>
      <c r="B2234" s="91" t="s">
        <v>1327</v>
      </c>
      <c r="C2234" s="91" t="s">
        <v>3446</v>
      </c>
      <c r="D2234" s="91" t="s">
        <v>15</v>
      </c>
      <c r="E2234" s="91"/>
      <c r="F2234">
        <v>336</v>
      </c>
      <c r="G2234">
        <v>7</v>
      </c>
      <c r="H2234" s="89">
        <v>46181</v>
      </c>
      <c r="I2234" s="89">
        <v>46186</v>
      </c>
      <c r="J2234" s="91" t="s">
        <v>3447</v>
      </c>
      <c r="K2234" s="91"/>
      <c r="M2234" s="91"/>
      <c r="N2234" s="91" t="s">
        <v>3440</v>
      </c>
    </row>
    <row r="2235" spans="1:14" x14ac:dyDescent="0.25">
      <c r="A2235" s="91" t="s">
        <v>1313</v>
      </c>
      <c r="B2235" s="91" t="s">
        <v>1327</v>
      </c>
      <c r="C2235" s="91" t="s">
        <v>3446</v>
      </c>
      <c r="D2235" s="91" t="s">
        <v>15</v>
      </c>
      <c r="E2235" s="91"/>
      <c r="F2235">
        <v>336</v>
      </c>
      <c r="G2235">
        <v>7</v>
      </c>
      <c r="H2235" s="89">
        <v>46181</v>
      </c>
      <c r="I2235" s="89">
        <v>46186</v>
      </c>
      <c r="J2235" s="91" t="s">
        <v>3448</v>
      </c>
      <c r="K2235" s="91"/>
      <c r="M2235" s="91"/>
      <c r="N2235" s="91" t="s">
        <v>3440</v>
      </c>
    </row>
    <row r="2236" spans="1:14" x14ac:dyDescent="0.25">
      <c r="A2236" s="91" t="s">
        <v>1314</v>
      </c>
      <c r="B2236" s="91" t="s">
        <v>1328</v>
      </c>
      <c r="C2236" s="91" t="s">
        <v>3446</v>
      </c>
      <c r="D2236" s="91" t="s">
        <v>15</v>
      </c>
      <c r="E2236" s="91"/>
      <c r="F2236">
        <v>288</v>
      </c>
      <c r="G2236">
        <v>6</v>
      </c>
      <c r="H2236" s="89">
        <v>46181</v>
      </c>
      <c r="I2236" s="89">
        <v>46184</v>
      </c>
      <c r="J2236" s="91" t="s">
        <v>3449</v>
      </c>
      <c r="K2236" s="91"/>
      <c r="M2236" s="91"/>
      <c r="N2236" s="91" t="s">
        <v>3440</v>
      </c>
    </row>
    <row r="2237" spans="1:14" x14ac:dyDescent="0.25">
      <c r="A2237" s="91" t="s">
        <v>1315</v>
      </c>
      <c r="B2237" s="91" t="s">
        <v>1329</v>
      </c>
      <c r="C2237" s="91" t="s">
        <v>3446</v>
      </c>
      <c r="D2237" s="91" t="s">
        <v>15</v>
      </c>
      <c r="E2237" s="91"/>
      <c r="F2237">
        <v>11</v>
      </c>
      <c r="G2237" t="s">
        <v>1419</v>
      </c>
      <c r="H2237" s="89">
        <v>46181</v>
      </c>
      <c r="I2237" s="89">
        <v>46186</v>
      </c>
      <c r="J2237" s="91"/>
      <c r="K2237" s="91"/>
      <c r="M2237" s="91"/>
      <c r="N2237" s="91" t="s">
        <v>3440</v>
      </c>
    </row>
    <row r="2238" spans="1:14" x14ac:dyDescent="0.25">
      <c r="A2238" s="91" t="s">
        <v>1316</v>
      </c>
      <c r="B2238" s="91" t="s">
        <v>1330</v>
      </c>
      <c r="C2238" s="91" t="s">
        <v>3450</v>
      </c>
      <c r="D2238" s="91" t="s">
        <v>15</v>
      </c>
      <c r="E2238" s="91"/>
      <c r="F2238">
        <v>59</v>
      </c>
      <c r="G2238" t="s">
        <v>1419</v>
      </c>
      <c r="H2238" s="89">
        <v>46181</v>
      </c>
      <c r="I2238" s="89">
        <v>46183</v>
      </c>
      <c r="J2238" s="91"/>
      <c r="K2238" s="91"/>
      <c r="M2238" s="91"/>
      <c r="N2238" s="91" t="s">
        <v>3440</v>
      </c>
    </row>
    <row r="2239" spans="1:14" x14ac:dyDescent="0.25">
      <c r="A2239" s="91" t="s">
        <v>1317</v>
      </c>
      <c r="B2239" s="91" t="s">
        <v>1331</v>
      </c>
      <c r="C2239" s="91" t="s">
        <v>3451</v>
      </c>
      <c r="D2239" s="91" t="s">
        <v>15</v>
      </c>
      <c r="E2239" s="91"/>
      <c r="F2239">
        <v>16</v>
      </c>
      <c r="G2239" t="s">
        <v>1419</v>
      </c>
      <c r="H2239" s="89">
        <v>46181</v>
      </c>
      <c r="I2239" s="89">
        <v>46183</v>
      </c>
      <c r="J2239" s="91"/>
      <c r="K2239" s="91"/>
      <c r="M2239" s="91"/>
      <c r="N2239" s="91" t="s">
        <v>3440</v>
      </c>
    </row>
    <row r="2240" spans="1:14" x14ac:dyDescent="0.25">
      <c r="A2240" s="91" t="s">
        <v>1318</v>
      </c>
      <c r="B2240" s="91" t="s">
        <v>1332</v>
      </c>
      <c r="C2240" s="91" t="s">
        <v>3452</v>
      </c>
      <c r="D2240" s="91" t="s">
        <v>15</v>
      </c>
      <c r="E2240" s="91"/>
      <c r="F2240">
        <v>35</v>
      </c>
      <c r="G2240" t="s">
        <v>1419</v>
      </c>
      <c r="H2240" s="89">
        <v>46181</v>
      </c>
      <c r="I2240" s="89">
        <v>46183</v>
      </c>
      <c r="J2240" s="91"/>
      <c r="K2240" s="91"/>
      <c r="M2240" s="91"/>
      <c r="N2240" s="91" t="s">
        <v>3440</v>
      </c>
    </row>
    <row r="2241" spans="1:14" x14ac:dyDescent="0.25">
      <c r="A2241" s="91" t="s">
        <v>1320</v>
      </c>
      <c r="B2241" s="91" t="s">
        <v>1334</v>
      </c>
      <c r="C2241" s="91" t="s">
        <v>3453</v>
      </c>
      <c r="D2241" s="91" t="s">
        <v>28</v>
      </c>
      <c r="E2241" s="91"/>
      <c r="F2241">
        <v>960</v>
      </c>
      <c r="G2241">
        <v>20</v>
      </c>
      <c r="H2241" s="89">
        <v>46181</v>
      </c>
      <c r="I2241" s="89">
        <v>46185</v>
      </c>
      <c r="J2241" s="91" t="s">
        <v>3454</v>
      </c>
      <c r="K2241" s="91"/>
      <c r="M2241" s="91"/>
      <c r="N2241" s="91" t="s">
        <v>3440</v>
      </c>
    </row>
    <row r="2242" spans="1:14" x14ac:dyDescent="0.25">
      <c r="A2242" s="91" t="s">
        <v>1313</v>
      </c>
      <c r="B2242" s="91" t="s">
        <v>1327</v>
      </c>
      <c r="C2242" s="91" t="s">
        <v>3453</v>
      </c>
      <c r="D2242" s="91" t="s">
        <v>28</v>
      </c>
      <c r="E2242" s="91"/>
      <c r="F2242">
        <v>288</v>
      </c>
      <c r="G2242">
        <v>6</v>
      </c>
      <c r="H2242" s="89">
        <v>46181</v>
      </c>
      <c r="I2242" s="89">
        <v>46186</v>
      </c>
      <c r="J2242" s="91" t="s">
        <v>3448</v>
      </c>
      <c r="K2242" s="91"/>
      <c r="M2242" s="91"/>
      <c r="N2242" s="91" t="s">
        <v>3440</v>
      </c>
    </row>
    <row r="2243" spans="1:14" x14ac:dyDescent="0.25">
      <c r="A2243" s="91" t="s">
        <v>1315</v>
      </c>
      <c r="B2243" s="91" t="s">
        <v>1329</v>
      </c>
      <c r="C2243" s="91" t="s">
        <v>3453</v>
      </c>
      <c r="D2243" s="91" t="s">
        <v>28</v>
      </c>
      <c r="E2243" s="91"/>
      <c r="F2243">
        <v>66</v>
      </c>
      <c r="G2243" t="s">
        <v>1419</v>
      </c>
      <c r="H2243" s="89">
        <v>46181</v>
      </c>
      <c r="I2243" s="89">
        <v>46186</v>
      </c>
      <c r="J2243" s="91"/>
      <c r="K2243" s="91"/>
      <c r="M2243" s="91"/>
      <c r="N2243" s="91" t="s">
        <v>3440</v>
      </c>
    </row>
    <row r="2244" spans="1:14" x14ac:dyDescent="0.25">
      <c r="A2244" s="91" t="s">
        <v>1316</v>
      </c>
      <c r="B2244" s="91" t="s">
        <v>1330</v>
      </c>
      <c r="C2244" s="91" t="s">
        <v>3455</v>
      </c>
      <c r="D2244" s="91" t="s">
        <v>28</v>
      </c>
      <c r="E2244" s="91"/>
      <c r="F2244">
        <v>9</v>
      </c>
      <c r="G2244" t="s">
        <v>1419</v>
      </c>
      <c r="H2244" s="89">
        <v>46181</v>
      </c>
      <c r="I2244" s="89">
        <v>46183</v>
      </c>
      <c r="J2244" s="91"/>
      <c r="K2244" s="91"/>
      <c r="M2244" s="91"/>
      <c r="N2244" s="91" t="s">
        <v>3440</v>
      </c>
    </row>
    <row r="2245" spans="1:14" x14ac:dyDescent="0.25">
      <c r="A2245" s="91" t="s">
        <v>1317</v>
      </c>
      <c r="B2245" s="91" t="s">
        <v>1331</v>
      </c>
      <c r="C2245" s="91" t="s">
        <v>3456</v>
      </c>
      <c r="D2245" s="91" t="s">
        <v>28</v>
      </c>
      <c r="E2245" s="91"/>
      <c r="F2245">
        <v>0</v>
      </c>
      <c r="G2245" t="s">
        <v>1419</v>
      </c>
      <c r="H2245" s="89">
        <v>46181</v>
      </c>
      <c r="I2245" s="89">
        <v>46183</v>
      </c>
      <c r="J2245" s="91"/>
      <c r="K2245" s="91"/>
      <c r="M2245" s="91"/>
      <c r="N2245" s="91" t="s">
        <v>3440</v>
      </c>
    </row>
    <row r="2246" spans="1:14" x14ac:dyDescent="0.25">
      <c r="A2246" s="91" t="s">
        <v>1318</v>
      </c>
      <c r="B2246" s="91" t="s">
        <v>1332</v>
      </c>
      <c r="C2246" s="91" t="s">
        <v>3457</v>
      </c>
      <c r="D2246" s="91" t="s">
        <v>28</v>
      </c>
      <c r="E2246" s="91"/>
      <c r="F2246">
        <v>52</v>
      </c>
      <c r="G2246" t="s">
        <v>1419</v>
      </c>
      <c r="H2246" s="89">
        <v>46181</v>
      </c>
      <c r="I2246" s="89">
        <v>46183</v>
      </c>
      <c r="J2246" s="91"/>
      <c r="K2246" s="91"/>
      <c r="M2246" s="91"/>
      <c r="N2246" s="91" t="s">
        <v>3440</v>
      </c>
    </row>
    <row r="2247" spans="1:14" x14ac:dyDescent="0.25">
      <c r="A2247" s="91" t="s">
        <v>1324</v>
      </c>
      <c r="B2247" s="91" t="s">
        <v>1338</v>
      </c>
      <c r="C2247" s="91" t="s">
        <v>3458</v>
      </c>
      <c r="D2247" s="91" t="s">
        <v>118</v>
      </c>
      <c r="E2247" s="91"/>
      <c r="F2247">
        <v>960</v>
      </c>
      <c r="G2247">
        <v>20</v>
      </c>
      <c r="H2247" s="89">
        <v>46182</v>
      </c>
      <c r="I2247" s="89">
        <v>46188</v>
      </c>
      <c r="J2247" s="91" t="s">
        <v>3459</v>
      </c>
      <c r="K2247" s="91"/>
      <c r="M2247" s="91"/>
      <c r="N2247" s="91" t="s">
        <v>3440</v>
      </c>
    </row>
    <row r="2248" spans="1:14" x14ac:dyDescent="0.25">
      <c r="A2248" s="91" t="s">
        <v>1320</v>
      </c>
      <c r="B2248" s="91" t="s">
        <v>1334</v>
      </c>
      <c r="C2248" s="91" t="s">
        <v>3460</v>
      </c>
      <c r="D2248" s="91" t="s">
        <v>23</v>
      </c>
      <c r="E2248" s="91"/>
      <c r="F2248">
        <v>960</v>
      </c>
      <c r="G2248">
        <v>20</v>
      </c>
      <c r="H2248" s="89">
        <v>46182</v>
      </c>
      <c r="I2248" s="89">
        <v>46186</v>
      </c>
      <c r="J2248" s="91" t="s">
        <v>3461</v>
      </c>
      <c r="K2248" s="91"/>
      <c r="M2248" s="91"/>
      <c r="N2248" s="91" t="s">
        <v>3440</v>
      </c>
    </row>
    <row r="2249" spans="1:14" x14ac:dyDescent="0.25">
      <c r="A2249" s="91" t="s">
        <v>1321</v>
      </c>
      <c r="B2249" s="91" t="s">
        <v>1335</v>
      </c>
      <c r="C2249" s="91" t="s">
        <v>3462</v>
      </c>
      <c r="D2249" s="91" t="s">
        <v>138</v>
      </c>
      <c r="E2249" s="91"/>
      <c r="F2249">
        <v>144</v>
      </c>
      <c r="G2249">
        <v>3</v>
      </c>
      <c r="H2249" s="89">
        <v>46182</v>
      </c>
      <c r="I2249" s="89">
        <v>46188</v>
      </c>
      <c r="J2249" s="91" t="s">
        <v>3459</v>
      </c>
      <c r="K2249" s="91"/>
      <c r="M2249" s="91"/>
      <c r="N2249" s="91" t="s">
        <v>3440</v>
      </c>
    </row>
    <row r="2250" spans="1:14" x14ac:dyDescent="0.25">
      <c r="A2250" s="91" t="s">
        <v>1320</v>
      </c>
      <c r="B2250" s="91" t="s">
        <v>1334</v>
      </c>
      <c r="C2250" s="91" t="s">
        <v>3463</v>
      </c>
      <c r="D2250" s="91" t="s">
        <v>15</v>
      </c>
      <c r="E2250" s="91"/>
      <c r="F2250">
        <v>960</v>
      </c>
      <c r="G2250">
        <v>20</v>
      </c>
      <c r="H2250" s="89">
        <v>46182</v>
      </c>
      <c r="I2250" s="89">
        <v>46186</v>
      </c>
      <c r="J2250" s="91" t="s">
        <v>3464</v>
      </c>
      <c r="K2250" s="91"/>
      <c r="M2250" s="91"/>
      <c r="N2250" s="91" t="s">
        <v>3440</v>
      </c>
    </row>
    <row r="2251" spans="1:14" x14ac:dyDescent="0.25">
      <c r="A2251" s="91" t="s">
        <v>1313</v>
      </c>
      <c r="B2251" s="91" t="s">
        <v>1327</v>
      </c>
      <c r="C2251" s="91" t="s">
        <v>3463</v>
      </c>
      <c r="D2251" s="91" t="s">
        <v>15</v>
      </c>
      <c r="E2251" s="91"/>
      <c r="F2251">
        <v>624</v>
      </c>
      <c r="G2251">
        <v>13</v>
      </c>
      <c r="H2251" s="89">
        <v>46182</v>
      </c>
      <c r="I2251" s="89">
        <v>46186</v>
      </c>
      <c r="J2251" s="91" t="s">
        <v>3447</v>
      </c>
      <c r="K2251" s="91"/>
      <c r="M2251" s="91"/>
      <c r="N2251" s="91" t="s">
        <v>3440</v>
      </c>
    </row>
    <row r="2252" spans="1:14" x14ac:dyDescent="0.25">
      <c r="A2252" s="91" t="s">
        <v>1319</v>
      </c>
      <c r="B2252" s="91" t="s">
        <v>1333</v>
      </c>
      <c r="C2252" s="91" t="s">
        <v>3463</v>
      </c>
      <c r="D2252" s="91" t="s">
        <v>15</v>
      </c>
      <c r="E2252" s="91"/>
      <c r="F2252">
        <v>48</v>
      </c>
      <c r="G2252">
        <v>1</v>
      </c>
      <c r="H2252" s="89">
        <v>46182</v>
      </c>
      <c r="I2252" s="89">
        <v>46186</v>
      </c>
      <c r="J2252" s="91" t="s">
        <v>3447</v>
      </c>
      <c r="K2252" s="91"/>
      <c r="M2252" s="91"/>
      <c r="N2252" s="91" t="s">
        <v>3440</v>
      </c>
    </row>
    <row r="2253" spans="1:14" x14ac:dyDescent="0.25">
      <c r="A2253" s="91" t="s">
        <v>1315</v>
      </c>
      <c r="B2253" s="91" t="s">
        <v>1329</v>
      </c>
      <c r="C2253" s="91" t="s">
        <v>3463</v>
      </c>
      <c r="D2253" s="91" t="s">
        <v>15</v>
      </c>
      <c r="E2253" s="91"/>
      <c r="F2253">
        <v>21</v>
      </c>
      <c r="G2253" t="s">
        <v>1419</v>
      </c>
      <c r="H2253" s="89">
        <v>46182</v>
      </c>
      <c r="I2253" s="89">
        <v>46186</v>
      </c>
      <c r="J2253" s="91"/>
      <c r="K2253" s="91"/>
      <c r="M2253" s="91"/>
      <c r="N2253" s="91" t="s">
        <v>3440</v>
      </c>
    </row>
    <row r="2254" spans="1:14" x14ac:dyDescent="0.25">
      <c r="A2254" s="91" t="s">
        <v>1316</v>
      </c>
      <c r="B2254" s="91" t="s">
        <v>1330</v>
      </c>
      <c r="C2254" s="91" t="s">
        <v>3465</v>
      </c>
      <c r="D2254" s="91" t="s">
        <v>15</v>
      </c>
      <c r="E2254" s="91"/>
      <c r="F2254">
        <v>78</v>
      </c>
      <c r="G2254" t="s">
        <v>1419</v>
      </c>
      <c r="H2254" s="89">
        <v>46182</v>
      </c>
      <c r="I2254" s="89">
        <v>46184</v>
      </c>
      <c r="J2254" s="91"/>
      <c r="K2254" s="91"/>
      <c r="M2254" s="91"/>
      <c r="N2254" s="91" t="s">
        <v>3440</v>
      </c>
    </row>
    <row r="2255" spans="1:14" x14ac:dyDescent="0.25">
      <c r="A2255" s="91" t="s">
        <v>1317</v>
      </c>
      <c r="B2255" s="91" t="s">
        <v>1331</v>
      </c>
      <c r="C2255" s="91" t="s">
        <v>3466</v>
      </c>
      <c r="D2255" s="91" t="s">
        <v>15</v>
      </c>
      <c r="E2255" s="91"/>
      <c r="F2255">
        <v>24</v>
      </c>
      <c r="G2255" t="s">
        <v>1419</v>
      </c>
      <c r="H2255" s="89">
        <v>46182</v>
      </c>
      <c r="I2255" s="89">
        <v>46184</v>
      </c>
      <c r="J2255" s="91"/>
      <c r="K2255" s="91"/>
      <c r="M2255" s="91"/>
      <c r="N2255" s="91" t="s">
        <v>3440</v>
      </c>
    </row>
    <row r="2256" spans="1:14" x14ac:dyDescent="0.25">
      <c r="A2256" s="91" t="s">
        <v>1318</v>
      </c>
      <c r="B2256" s="91" t="s">
        <v>1332</v>
      </c>
      <c r="C2256" s="91" t="s">
        <v>3467</v>
      </c>
      <c r="D2256" s="91" t="s">
        <v>15</v>
      </c>
      <c r="E2256" s="91"/>
      <c r="F2256">
        <v>35</v>
      </c>
      <c r="G2256" t="s">
        <v>1419</v>
      </c>
      <c r="H2256" s="89">
        <v>46182</v>
      </c>
      <c r="I2256" s="89">
        <v>46184</v>
      </c>
      <c r="J2256" s="91"/>
      <c r="K2256" s="91"/>
      <c r="M2256" s="91"/>
      <c r="N2256" s="91" t="s">
        <v>3440</v>
      </c>
    </row>
    <row r="2257" spans="1:14" x14ac:dyDescent="0.25">
      <c r="A2257" s="91" t="s">
        <v>1324</v>
      </c>
      <c r="B2257" s="91" t="s">
        <v>1338</v>
      </c>
      <c r="C2257" s="91" t="s">
        <v>3468</v>
      </c>
      <c r="D2257" s="91" t="s">
        <v>21</v>
      </c>
      <c r="E2257" s="91"/>
      <c r="F2257">
        <v>816</v>
      </c>
      <c r="G2257">
        <v>17</v>
      </c>
      <c r="H2257" s="89">
        <v>46182</v>
      </c>
      <c r="I2257" s="89">
        <v>46188</v>
      </c>
      <c r="J2257" s="91" t="s">
        <v>3459</v>
      </c>
      <c r="K2257" s="91"/>
      <c r="M2257" s="91"/>
      <c r="N2257" s="91" t="s">
        <v>3440</v>
      </c>
    </row>
    <row r="2258" spans="1:14" x14ac:dyDescent="0.25">
      <c r="A2258" s="91" t="s">
        <v>1313</v>
      </c>
      <c r="B2258" s="91" t="s">
        <v>1327</v>
      </c>
      <c r="C2258" s="91" t="s">
        <v>3468</v>
      </c>
      <c r="D2258" s="91" t="s">
        <v>21</v>
      </c>
      <c r="E2258" s="91"/>
      <c r="F2258">
        <v>432</v>
      </c>
      <c r="G2258">
        <v>9</v>
      </c>
      <c r="H2258" s="89">
        <v>46182</v>
      </c>
      <c r="I2258" s="89">
        <v>46186</v>
      </c>
      <c r="J2258" s="91" t="s">
        <v>3448</v>
      </c>
      <c r="K2258" s="91"/>
      <c r="M2258" s="91"/>
      <c r="N2258" s="91" t="s">
        <v>3440</v>
      </c>
    </row>
    <row r="2259" spans="1:14" x14ac:dyDescent="0.25">
      <c r="A2259" s="91" t="s">
        <v>1314</v>
      </c>
      <c r="B2259" s="91" t="s">
        <v>1328</v>
      </c>
      <c r="C2259" s="91" t="s">
        <v>3468</v>
      </c>
      <c r="D2259" s="91" t="s">
        <v>21</v>
      </c>
      <c r="E2259" s="91"/>
      <c r="F2259">
        <v>96</v>
      </c>
      <c r="G2259">
        <v>2</v>
      </c>
      <c r="H2259" s="89">
        <v>46182</v>
      </c>
      <c r="I2259" s="89">
        <v>46186</v>
      </c>
      <c r="J2259" s="91" t="s">
        <v>3469</v>
      </c>
      <c r="K2259" s="91"/>
      <c r="M2259" s="91"/>
      <c r="N2259" s="91" t="s">
        <v>3440</v>
      </c>
    </row>
    <row r="2260" spans="1:14" x14ac:dyDescent="0.25">
      <c r="A2260" s="91" t="s">
        <v>1315</v>
      </c>
      <c r="B2260" s="91" t="s">
        <v>1329</v>
      </c>
      <c r="C2260" s="91" t="s">
        <v>3468</v>
      </c>
      <c r="D2260" s="91" t="s">
        <v>21</v>
      </c>
      <c r="E2260" s="91"/>
      <c r="F2260">
        <v>126</v>
      </c>
      <c r="G2260" t="s">
        <v>1419</v>
      </c>
      <c r="H2260" s="89">
        <v>46182</v>
      </c>
      <c r="I2260" s="89">
        <v>46186</v>
      </c>
      <c r="J2260" s="91"/>
      <c r="K2260" s="91"/>
      <c r="M2260" s="91"/>
      <c r="N2260" s="91" t="s">
        <v>3440</v>
      </c>
    </row>
    <row r="2261" spans="1:14" x14ac:dyDescent="0.25">
      <c r="A2261" s="91" t="s">
        <v>1316</v>
      </c>
      <c r="B2261" s="91" t="s">
        <v>1330</v>
      </c>
      <c r="C2261" s="91" t="s">
        <v>3470</v>
      </c>
      <c r="D2261" s="91" t="s">
        <v>21</v>
      </c>
      <c r="E2261" s="91"/>
      <c r="F2261">
        <v>10</v>
      </c>
      <c r="G2261" t="s">
        <v>1419</v>
      </c>
      <c r="H2261" s="89">
        <v>46182</v>
      </c>
      <c r="I2261" s="89">
        <v>46184</v>
      </c>
      <c r="J2261" s="91"/>
      <c r="K2261" s="91"/>
      <c r="M2261" s="91"/>
      <c r="N2261" s="91" t="s">
        <v>3440</v>
      </c>
    </row>
    <row r="2262" spans="1:14" x14ac:dyDescent="0.25">
      <c r="A2262" s="91" t="s">
        <v>1317</v>
      </c>
      <c r="B2262" s="91" t="s">
        <v>1331</v>
      </c>
      <c r="C2262" s="91" t="s">
        <v>3471</v>
      </c>
      <c r="D2262" s="91" t="s">
        <v>21</v>
      </c>
      <c r="E2262" s="91"/>
      <c r="F2262">
        <v>8</v>
      </c>
      <c r="G2262" t="s">
        <v>1419</v>
      </c>
      <c r="H2262" s="89">
        <v>46182</v>
      </c>
      <c r="I2262" s="89">
        <v>46184</v>
      </c>
      <c r="J2262" s="91"/>
      <c r="K2262" s="91"/>
      <c r="M2262" s="91"/>
      <c r="N2262" s="91" t="s">
        <v>3440</v>
      </c>
    </row>
    <row r="2263" spans="1:14" x14ac:dyDescent="0.25">
      <c r="A2263" s="91" t="s">
        <v>1318</v>
      </c>
      <c r="B2263" s="91" t="s">
        <v>1332</v>
      </c>
      <c r="C2263" s="91" t="s">
        <v>3472</v>
      </c>
      <c r="D2263" s="91" t="s">
        <v>21</v>
      </c>
      <c r="E2263" s="91"/>
      <c r="F2263">
        <v>78</v>
      </c>
      <c r="G2263" t="s">
        <v>1419</v>
      </c>
      <c r="H2263" s="89">
        <v>46182</v>
      </c>
      <c r="I2263" s="89">
        <v>46184</v>
      </c>
      <c r="J2263" s="91"/>
      <c r="K2263" s="91"/>
      <c r="M2263" s="91"/>
      <c r="N2263" s="91" t="s">
        <v>3440</v>
      </c>
    </row>
    <row r="2264" spans="1:14" x14ac:dyDescent="0.25">
      <c r="A2264" s="91" t="s">
        <v>1323</v>
      </c>
      <c r="B2264" s="91" t="s">
        <v>1337</v>
      </c>
      <c r="C2264" s="91" t="s">
        <v>3473</v>
      </c>
      <c r="D2264" s="91" t="s">
        <v>20</v>
      </c>
      <c r="E2264" s="91"/>
      <c r="F2264">
        <v>918</v>
      </c>
      <c r="G2264">
        <v>17</v>
      </c>
      <c r="H2264" s="89">
        <v>46182</v>
      </c>
      <c r="I2264" s="89">
        <v>46185</v>
      </c>
      <c r="J2264" s="91" t="s">
        <v>3474</v>
      </c>
      <c r="K2264" s="91"/>
      <c r="M2264" s="91"/>
      <c r="N2264" s="91" t="s">
        <v>3440</v>
      </c>
    </row>
    <row r="2265" spans="1:14" x14ac:dyDescent="0.25">
      <c r="A2265" s="91" t="s">
        <v>1322</v>
      </c>
      <c r="B2265" s="91" t="s">
        <v>1336</v>
      </c>
      <c r="C2265" s="91" t="s">
        <v>3473</v>
      </c>
      <c r="D2265" s="91" t="s">
        <v>20</v>
      </c>
      <c r="E2265" s="91"/>
      <c r="F2265">
        <v>162</v>
      </c>
      <c r="G2265">
        <v>3</v>
      </c>
      <c r="H2265" s="89">
        <v>46182</v>
      </c>
      <c r="I2265" s="89">
        <v>46185</v>
      </c>
      <c r="J2265" s="91" t="s">
        <v>3474</v>
      </c>
      <c r="K2265" s="91"/>
      <c r="M2265" s="91"/>
      <c r="N2265" s="91" t="s">
        <v>3440</v>
      </c>
    </row>
    <row r="2266" spans="1:14" x14ac:dyDescent="0.25">
      <c r="A2266" s="91" t="s">
        <v>1315</v>
      </c>
      <c r="B2266" s="91" t="s">
        <v>1329</v>
      </c>
      <c r="C2266" s="91" t="s">
        <v>3473</v>
      </c>
      <c r="D2266" s="91" t="s">
        <v>20</v>
      </c>
      <c r="E2266" s="91"/>
      <c r="F2266">
        <v>108</v>
      </c>
      <c r="G2266" t="s">
        <v>1419</v>
      </c>
      <c r="H2266" s="89">
        <v>46182</v>
      </c>
      <c r="I2266" s="89">
        <v>46186</v>
      </c>
      <c r="J2266" s="91"/>
      <c r="K2266" s="91"/>
      <c r="M2266" s="91"/>
      <c r="N2266" s="91" t="s">
        <v>3440</v>
      </c>
    </row>
    <row r="2267" spans="1:14" x14ac:dyDescent="0.25">
      <c r="A2267" s="91" t="s">
        <v>1316</v>
      </c>
      <c r="B2267" s="91" t="s">
        <v>1330</v>
      </c>
      <c r="C2267" s="91" t="s">
        <v>3475</v>
      </c>
      <c r="D2267" s="91" t="s">
        <v>20</v>
      </c>
      <c r="E2267" s="91"/>
      <c r="F2267">
        <v>85</v>
      </c>
      <c r="G2267" t="s">
        <v>1419</v>
      </c>
      <c r="H2267" s="89">
        <v>46182</v>
      </c>
      <c r="I2267" s="89">
        <v>46184</v>
      </c>
      <c r="J2267" s="91"/>
      <c r="K2267" s="91"/>
      <c r="M2267" s="91"/>
      <c r="N2267" s="91" t="s">
        <v>3440</v>
      </c>
    </row>
    <row r="2268" spans="1:14" x14ac:dyDescent="0.25">
      <c r="A2268" s="91" t="s">
        <v>1317</v>
      </c>
      <c r="B2268" s="91" t="s">
        <v>1331</v>
      </c>
      <c r="C2268" s="91" t="s">
        <v>3476</v>
      </c>
      <c r="D2268" s="91" t="s">
        <v>20</v>
      </c>
      <c r="E2268" s="91"/>
      <c r="F2268">
        <v>7</v>
      </c>
      <c r="G2268" t="s">
        <v>1419</v>
      </c>
      <c r="H2268" s="89">
        <v>46182</v>
      </c>
      <c r="I2268" s="89">
        <v>46184</v>
      </c>
      <c r="J2268" s="91"/>
      <c r="K2268" s="91"/>
      <c r="M2268" s="91"/>
      <c r="N2268" s="91" t="s">
        <v>3440</v>
      </c>
    </row>
    <row r="2269" spans="1:14" x14ac:dyDescent="0.25">
      <c r="A2269" s="91" t="s">
        <v>1318</v>
      </c>
      <c r="B2269" s="91" t="s">
        <v>1332</v>
      </c>
      <c r="C2269" s="91" t="s">
        <v>3477</v>
      </c>
      <c r="D2269" s="91" t="s">
        <v>20</v>
      </c>
      <c r="E2269" s="91"/>
      <c r="F2269">
        <v>48</v>
      </c>
      <c r="G2269" t="s">
        <v>1419</v>
      </c>
      <c r="H2269" s="89">
        <v>46182</v>
      </c>
      <c r="I2269" s="89">
        <v>46184</v>
      </c>
      <c r="J2269" s="91"/>
      <c r="K2269" s="91"/>
      <c r="M2269" s="91"/>
      <c r="N2269" s="91" t="s">
        <v>3440</v>
      </c>
    </row>
    <row r="2270" spans="1:14" x14ac:dyDescent="0.25">
      <c r="A2270" s="91" t="s">
        <v>1324</v>
      </c>
      <c r="B2270" s="91" t="s">
        <v>1338</v>
      </c>
      <c r="C2270" s="91" t="s">
        <v>3478</v>
      </c>
      <c r="D2270" s="91" t="s">
        <v>23</v>
      </c>
      <c r="E2270" s="91"/>
      <c r="F2270">
        <v>960</v>
      </c>
      <c r="G2270">
        <v>20</v>
      </c>
      <c r="H2270" s="89">
        <v>46183</v>
      </c>
      <c r="I2270" s="89">
        <v>46190</v>
      </c>
      <c r="J2270" s="91" t="s">
        <v>3479</v>
      </c>
      <c r="K2270" s="91"/>
      <c r="M2270" s="91"/>
      <c r="N2270" s="91" t="s">
        <v>3440</v>
      </c>
    </row>
    <row r="2271" spans="1:14" x14ac:dyDescent="0.25">
      <c r="A2271" s="91" t="s">
        <v>1313</v>
      </c>
      <c r="B2271" s="91" t="s">
        <v>1327</v>
      </c>
      <c r="C2271" s="91" t="s">
        <v>3480</v>
      </c>
      <c r="D2271" s="91" t="s">
        <v>15</v>
      </c>
      <c r="E2271" s="91"/>
      <c r="F2271">
        <v>1152</v>
      </c>
      <c r="G2271">
        <v>24</v>
      </c>
      <c r="H2271" s="89">
        <v>46183</v>
      </c>
      <c r="I2271" s="89">
        <v>46186</v>
      </c>
      <c r="J2271" s="91" t="s">
        <v>3481</v>
      </c>
      <c r="K2271" s="91"/>
      <c r="M2271" s="91"/>
      <c r="N2271" s="91" t="s">
        <v>3440</v>
      </c>
    </row>
    <row r="2272" spans="1:14" x14ac:dyDescent="0.25">
      <c r="A2272" s="91" t="s">
        <v>1313</v>
      </c>
      <c r="B2272" s="91" t="s">
        <v>1327</v>
      </c>
      <c r="C2272" s="91" t="s">
        <v>3480</v>
      </c>
      <c r="D2272" s="91" t="s">
        <v>15</v>
      </c>
      <c r="E2272" s="91"/>
      <c r="F2272">
        <v>144</v>
      </c>
      <c r="G2272">
        <v>3</v>
      </c>
      <c r="H2272" s="89">
        <v>46183</v>
      </c>
      <c r="I2272" s="89">
        <v>46187</v>
      </c>
      <c r="J2272" s="91" t="s">
        <v>3482</v>
      </c>
      <c r="K2272" s="91"/>
      <c r="M2272" s="91"/>
      <c r="N2272" s="91" t="s">
        <v>3440</v>
      </c>
    </row>
    <row r="2273" spans="1:14" x14ac:dyDescent="0.25">
      <c r="A2273" s="91" t="s">
        <v>1314</v>
      </c>
      <c r="B2273" s="91" t="s">
        <v>1328</v>
      </c>
      <c r="C2273" s="91" t="s">
        <v>3480</v>
      </c>
      <c r="D2273" s="91" t="s">
        <v>15</v>
      </c>
      <c r="E2273" s="91"/>
      <c r="F2273">
        <v>288</v>
      </c>
      <c r="G2273">
        <v>6</v>
      </c>
      <c r="H2273" s="89">
        <v>46183</v>
      </c>
      <c r="I2273" s="89">
        <v>46187</v>
      </c>
      <c r="J2273" s="91" t="s">
        <v>3483</v>
      </c>
      <c r="K2273" s="91"/>
      <c r="M2273" s="91"/>
      <c r="N2273" s="91" t="s">
        <v>3440</v>
      </c>
    </row>
    <row r="2274" spans="1:14" x14ac:dyDescent="0.25">
      <c r="A2274" s="91" t="s">
        <v>1315</v>
      </c>
      <c r="B2274" s="91" t="s">
        <v>1329</v>
      </c>
      <c r="C2274" s="91" t="s">
        <v>3480</v>
      </c>
      <c r="D2274" s="91" t="s">
        <v>15</v>
      </c>
      <c r="E2274" s="91"/>
      <c r="F2274">
        <v>46</v>
      </c>
      <c r="G2274" t="s">
        <v>1419</v>
      </c>
      <c r="H2274" s="89">
        <v>46183</v>
      </c>
      <c r="I2274" s="89">
        <v>46185</v>
      </c>
      <c r="J2274" s="91"/>
      <c r="K2274" s="91"/>
      <c r="M2274" s="91"/>
      <c r="N2274" s="91" t="s">
        <v>3440</v>
      </c>
    </row>
    <row r="2275" spans="1:14" x14ac:dyDescent="0.25">
      <c r="A2275" s="91" t="s">
        <v>1316</v>
      </c>
      <c r="B2275" s="91" t="s">
        <v>1330</v>
      </c>
      <c r="C2275" s="91" t="s">
        <v>3484</v>
      </c>
      <c r="D2275" s="91" t="s">
        <v>15</v>
      </c>
      <c r="E2275" s="91"/>
      <c r="F2275">
        <v>54</v>
      </c>
      <c r="G2275" t="s">
        <v>1419</v>
      </c>
      <c r="H2275" s="89">
        <v>46183</v>
      </c>
      <c r="I2275" s="89">
        <v>46185</v>
      </c>
      <c r="J2275" s="91"/>
      <c r="K2275" s="91"/>
      <c r="M2275" s="91"/>
      <c r="N2275" s="91" t="s">
        <v>3440</v>
      </c>
    </row>
    <row r="2276" spans="1:14" x14ac:dyDescent="0.25">
      <c r="A2276" s="91" t="s">
        <v>1317</v>
      </c>
      <c r="B2276" s="91" t="s">
        <v>1331</v>
      </c>
      <c r="C2276" s="91" t="s">
        <v>3485</v>
      </c>
      <c r="D2276" s="91" t="s">
        <v>15</v>
      </c>
      <c r="E2276" s="91"/>
      <c r="F2276">
        <v>23</v>
      </c>
      <c r="G2276" t="s">
        <v>1419</v>
      </c>
      <c r="H2276" s="89">
        <v>46183</v>
      </c>
      <c r="I2276" s="89">
        <v>46185</v>
      </c>
      <c r="J2276" s="91"/>
      <c r="K2276" s="91"/>
      <c r="M2276" s="91"/>
      <c r="N2276" s="91" t="s">
        <v>3440</v>
      </c>
    </row>
    <row r="2277" spans="1:14" x14ac:dyDescent="0.25">
      <c r="A2277" s="91" t="s">
        <v>1318</v>
      </c>
      <c r="B2277" s="91" t="s">
        <v>1332</v>
      </c>
      <c r="C2277" s="91" t="s">
        <v>3486</v>
      </c>
      <c r="D2277" s="91" t="s">
        <v>15</v>
      </c>
      <c r="E2277" s="91"/>
      <c r="F2277">
        <v>32</v>
      </c>
      <c r="G2277" t="s">
        <v>1419</v>
      </c>
      <c r="H2277" s="89">
        <v>46183</v>
      </c>
      <c r="I2277" s="89">
        <v>46185</v>
      </c>
      <c r="J2277" s="91"/>
      <c r="K2277" s="91"/>
      <c r="M2277" s="91"/>
      <c r="N2277" s="91" t="s">
        <v>3440</v>
      </c>
    </row>
    <row r="2278" spans="1:14" x14ac:dyDescent="0.25">
      <c r="A2278" s="91" t="s">
        <v>1320</v>
      </c>
      <c r="B2278" s="91" t="s">
        <v>1334</v>
      </c>
      <c r="C2278" s="91" t="s">
        <v>3487</v>
      </c>
      <c r="D2278" s="91" t="s">
        <v>21</v>
      </c>
      <c r="E2278" s="91"/>
      <c r="F2278">
        <v>960</v>
      </c>
      <c r="G2278">
        <v>20</v>
      </c>
      <c r="H2278" s="89">
        <v>46183</v>
      </c>
      <c r="I2278" s="89">
        <v>46188</v>
      </c>
      <c r="J2278" s="91" t="s">
        <v>3488</v>
      </c>
      <c r="K2278" s="91"/>
      <c r="M2278" s="91"/>
      <c r="N2278" s="91" t="s">
        <v>3440</v>
      </c>
    </row>
    <row r="2279" spans="1:14" x14ac:dyDescent="0.25">
      <c r="A2279" s="91" t="s">
        <v>1313</v>
      </c>
      <c r="B2279" s="91" t="s">
        <v>1327</v>
      </c>
      <c r="C2279" s="91" t="s">
        <v>3487</v>
      </c>
      <c r="D2279" s="91" t="s">
        <v>21</v>
      </c>
      <c r="E2279" s="91"/>
      <c r="F2279">
        <v>384</v>
      </c>
      <c r="G2279">
        <v>8</v>
      </c>
      <c r="H2279" s="89">
        <v>46183</v>
      </c>
      <c r="I2279" s="89">
        <v>46187</v>
      </c>
      <c r="J2279" s="91" t="s">
        <v>3482</v>
      </c>
      <c r="K2279" s="91"/>
      <c r="M2279" s="91"/>
      <c r="N2279" s="91" t="s">
        <v>3440</v>
      </c>
    </row>
    <row r="2280" spans="1:14" x14ac:dyDescent="0.25">
      <c r="A2280" s="91" t="s">
        <v>1315</v>
      </c>
      <c r="B2280" s="91" t="s">
        <v>1329</v>
      </c>
      <c r="C2280" s="91" t="s">
        <v>3487</v>
      </c>
      <c r="D2280" s="91" t="s">
        <v>21</v>
      </c>
      <c r="E2280" s="91"/>
      <c r="F2280">
        <v>96</v>
      </c>
      <c r="G2280" t="s">
        <v>1419</v>
      </c>
      <c r="H2280" s="89">
        <v>46183</v>
      </c>
      <c r="I2280" s="89">
        <v>46185</v>
      </c>
      <c r="J2280" s="91"/>
      <c r="K2280" s="91"/>
      <c r="M2280" s="91"/>
      <c r="N2280" s="91" t="s">
        <v>3440</v>
      </c>
    </row>
    <row r="2281" spans="1:14" x14ac:dyDescent="0.25">
      <c r="A2281" s="91" t="s">
        <v>1316</v>
      </c>
      <c r="B2281" s="91" t="s">
        <v>1330</v>
      </c>
      <c r="C2281" s="91" t="s">
        <v>3489</v>
      </c>
      <c r="D2281" s="91" t="s">
        <v>21</v>
      </c>
      <c r="E2281" s="91"/>
      <c r="F2281">
        <v>43</v>
      </c>
      <c r="G2281" t="s">
        <v>1419</v>
      </c>
      <c r="H2281" s="89">
        <v>46183</v>
      </c>
      <c r="I2281" s="89">
        <v>46185</v>
      </c>
      <c r="J2281" s="91"/>
      <c r="K2281" s="91"/>
      <c r="M2281" s="91"/>
      <c r="N2281" s="91" t="s">
        <v>3440</v>
      </c>
    </row>
    <row r="2282" spans="1:14" x14ac:dyDescent="0.25">
      <c r="A2282" s="91" t="s">
        <v>1317</v>
      </c>
      <c r="B2282" s="91" t="s">
        <v>1331</v>
      </c>
      <c r="C2282" s="91" t="s">
        <v>3490</v>
      </c>
      <c r="D2282" s="91" t="s">
        <v>21</v>
      </c>
      <c r="E2282" s="91"/>
      <c r="F2282">
        <v>7</v>
      </c>
      <c r="G2282" t="s">
        <v>1419</v>
      </c>
      <c r="H2282" s="89">
        <v>46183</v>
      </c>
      <c r="I2282" s="89">
        <v>46185</v>
      </c>
      <c r="J2282" s="91"/>
      <c r="K2282" s="91"/>
      <c r="M2282" s="91"/>
      <c r="N2282" s="91" t="s">
        <v>3440</v>
      </c>
    </row>
    <row r="2283" spans="1:14" x14ac:dyDescent="0.25">
      <c r="A2283" s="91" t="s">
        <v>1318</v>
      </c>
      <c r="B2283" s="91" t="s">
        <v>1332</v>
      </c>
      <c r="C2283" s="91" t="s">
        <v>3491</v>
      </c>
      <c r="D2283" s="91" t="s">
        <v>21</v>
      </c>
      <c r="E2283" s="91"/>
      <c r="F2283">
        <v>72</v>
      </c>
      <c r="G2283" t="s">
        <v>1419</v>
      </c>
      <c r="H2283" s="89">
        <v>46183</v>
      </c>
      <c r="I2283" s="89">
        <v>46185</v>
      </c>
      <c r="J2283" s="91"/>
      <c r="K2283" s="91"/>
      <c r="M2283" s="91"/>
      <c r="N2283" s="91" t="s">
        <v>3440</v>
      </c>
    </row>
    <row r="2284" spans="1:14" x14ac:dyDescent="0.25">
      <c r="A2284" s="91" t="s">
        <v>1313</v>
      </c>
      <c r="B2284" s="91" t="s">
        <v>1327</v>
      </c>
      <c r="C2284" s="91" t="s">
        <v>3492</v>
      </c>
      <c r="D2284" s="91" t="s">
        <v>20</v>
      </c>
      <c r="E2284" s="91"/>
      <c r="F2284">
        <v>1104</v>
      </c>
      <c r="G2284">
        <v>23</v>
      </c>
      <c r="H2284" s="89">
        <v>46183</v>
      </c>
      <c r="I2284" s="89">
        <v>46188</v>
      </c>
      <c r="J2284" s="91" t="s">
        <v>3493</v>
      </c>
      <c r="K2284" s="91"/>
      <c r="M2284" s="91"/>
      <c r="N2284" s="91" t="s">
        <v>3440</v>
      </c>
    </row>
    <row r="2285" spans="1:14" x14ac:dyDescent="0.25">
      <c r="A2285" s="91" t="s">
        <v>1319</v>
      </c>
      <c r="B2285" s="91" t="s">
        <v>1333</v>
      </c>
      <c r="C2285" s="91" t="s">
        <v>3492</v>
      </c>
      <c r="D2285" s="91" t="s">
        <v>20</v>
      </c>
      <c r="E2285" s="91"/>
      <c r="F2285">
        <v>48</v>
      </c>
      <c r="G2285">
        <v>1</v>
      </c>
      <c r="H2285" s="89">
        <v>46183</v>
      </c>
      <c r="I2285" s="89">
        <v>46188</v>
      </c>
      <c r="J2285" s="91" t="s">
        <v>3493</v>
      </c>
      <c r="K2285" s="91"/>
      <c r="M2285" s="91"/>
      <c r="N2285" s="91" t="s">
        <v>3440</v>
      </c>
    </row>
    <row r="2286" spans="1:14" x14ac:dyDescent="0.25">
      <c r="A2286" s="91" t="s">
        <v>1315</v>
      </c>
      <c r="B2286" s="91" t="s">
        <v>1329</v>
      </c>
      <c r="C2286" s="91" t="s">
        <v>3492</v>
      </c>
      <c r="D2286" s="91" t="s">
        <v>20</v>
      </c>
      <c r="E2286" s="91"/>
      <c r="F2286">
        <v>156</v>
      </c>
      <c r="G2286" t="s">
        <v>1419</v>
      </c>
      <c r="H2286" s="89">
        <v>46183</v>
      </c>
      <c r="I2286" s="89">
        <v>46185</v>
      </c>
      <c r="J2286" s="91"/>
      <c r="K2286" s="91"/>
      <c r="M2286" s="91"/>
      <c r="N2286" s="91" t="s">
        <v>3440</v>
      </c>
    </row>
    <row r="2287" spans="1:14" x14ac:dyDescent="0.25">
      <c r="A2287" s="91" t="s">
        <v>1316</v>
      </c>
      <c r="B2287" s="91" t="s">
        <v>1330</v>
      </c>
      <c r="C2287" s="91" t="s">
        <v>3494</v>
      </c>
      <c r="D2287" s="91" t="s">
        <v>20</v>
      </c>
      <c r="E2287" s="91"/>
      <c r="F2287">
        <v>105</v>
      </c>
      <c r="G2287" t="s">
        <v>1419</v>
      </c>
      <c r="H2287" s="89">
        <v>46183</v>
      </c>
      <c r="I2287" s="89">
        <v>46185</v>
      </c>
      <c r="J2287" s="91"/>
      <c r="K2287" s="91"/>
      <c r="M2287" s="91"/>
      <c r="N2287" s="91" t="s">
        <v>3440</v>
      </c>
    </row>
    <row r="2288" spans="1:14" x14ac:dyDescent="0.25">
      <c r="A2288" s="91" t="s">
        <v>1317</v>
      </c>
      <c r="B2288" s="91" t="s">
        <v>1331</v>
      </c>
      <c r="C2288" s="91" t="s">
        <v>3495</v>
      </c>
      <c r="D2288" s="91" t="s">
        <v>20</v>
      </c>
      <c r="E2288" s="91"/>
      <c r="F2288">
        <v>6</v>
      </c>
      <c r="G2288" t="s">
        <v>1419</v>
      </c>
      <c r="H2288" s="89">
        <v>46183</v>
      </c>
      <c r="I2288" s="89">
        <v>46185</v>
      </c>
      <c r="J2288" s="91"/>
      <c r="K2288" s="91"/>
      <c r="M2288" s="91"/>
      <c r="N2288" s="91" t="s">
        <v>3440</v>
      </c>
    </row>
    <row r="2289" spans="1:14" x14ac:dyDescent="0.25">
      <c r="A2289" s="91" t="s">
        <v>1318</v>
      </c>
      <c r="B2289" s="91" t="s">
        <v>1332</v>
      </c>
      <c r="C2289" s="91" t="s">
        <v>3496</v>
      </c>
      <c r="D2289" s="91" t="s">
        <v>20</v>
      </c>
      <c r="E2289" s="91"/>
      <c r="F2289">
        <v>65</v>
      </c>
      <c r="G2289" t="s">
        <v>1419</v>
      </c>
      <c r="H2289" s="89">
        <v>46183</v>
      </c>
      <c r="I2289" s="89">
        <v>46185</v>
      </c>
      <c r="J2289" s="91"/>
      <c r="K2289" s="91"/>
      <c r="M2289" s="91"/>
      <c r="N2289" s="91" t="s">
        <v>3440</v>
      </c>
    </row>
    <row r="2290" spans="1:14" x14ac:dyDescent="0.25">
      <c r="A2290" s="91" t="s">
        <v>1324</v>
      </c>
      <c r="B2290" s="91" t="s">
        <v>1338</v>
      </c>
      <c r="C2290" s="91" t="s">
        <v>3497</v>
      </c>
      <c r="D2290" s="91" t="s">
        <v>23</v>
      </c>
      <c r="E2290" s="91"/>
      <c r="F2290">
        <v>960</v>
      </c>
      <c r="G2290">
        <v>20</v>
      </c>
      <c r="H2290" s="89">
        <v>46184</v>
      </c>
      <c r="I2290" s="89">
        <v>46190</v>
      </c>
      <c r="J2290" s="91" t="s">
        <v>3479</v>
      </c>
      <c r="K2290" s="91"/>
      <c r="M2290" s="91"/>
      <c r="N2290" s="91" t="s">
        <v>3440</v>
      </c>
    </row>
    <row r="2291" spans="1:14" x14ac:dyDescent="0.25">
      <c r="A2291" s="91" t="s">
        <v>1320</v>
      </c>
      <c r="B2291" s="91" t="s">
        <v>1334</v>
      </c>
      <c r="C2291" s="91" t="s">
        <v>3498</v>
      </c>
      <c r="D2291" s="91" t="s">
        <v>150</v>
      </c>
      <c r="E2291" s="91"/>
      <c r="F2291">
        <v>960</v>
      </c>
      <c r="G2291">
        <v>20</v>
      </c>
      <c r="H2291" s="89">
        <v>46184</v>
      </c>
      <c r="I2291" s="89">
        <v>46189</v>
      </c>
      <c r="J2291" s="91" t="s">
        <v>3499</v>
      </c>
      <c r="K2291" s="91"/>
      <c r="M2291" s="91"/>
      <c r="N2291" s="91" t="s">
        <v>3440</v>
      </c>
    </row>
    <row r="2292" spans="1:14" x14ac:dyDescent="0.25">
      <c r="A2292" s="91" t="s">
        <v>1320</v>
      </c>
      <c r="B2292" s="91" t="s">
        <v>1334</v>
      </c>
      <c r="C2292" s="91" t="s">
        <v>3500</v>
      </c>
      <c r="D2292" s="91" t="s">
        <v>21</v>
      </c>
      <c r="E2292" s="91"/>
      <c r="F2292">
        <v>960</v>
      </c>
      <c r="G2292">
        <v>20</v>
      </c>
      <c r="H2292" s="89">
        <v>46184</v>
      </c>
      <c r="I2292" s="89">
        <v>46188</v>
      </c>
      <c r="J2292" s="91" t="s">
        <v>3501</v>
      </c>
      <c r="K2292" s="91"/>
      <c r="M2292" s="91"/>
      <c r="N2292" s="91" t="s">
        <v>3440</v>
      </c>
    </row>
    <row r="2293" spans="1:14" x14ac:dyDescent="0.25">
      <c r="A2293" s="91" t="s">
        <v>1313</v>
      </c>
      <c r="B2293" s="91" t="s">
        <v>1327</v>
      </c>
      <c r="C2293" s="91" t="s">
        <v>3500</v>
      </c>
      <c r="D2293" s="91" t="s">
        <v>21</v>
      </c>
      <c r="E2293" s="91"/>
      <c r="F2293">
        <v>432</v>
      </c>
      <c r="G2293">
        <v>9</v>
      </c>
      <c r="H2293" s="89">
        <v>46184</v>
      </c>
      <c r="I2293" s="89">
        <v>46189</v>
      </c>
      <c r="J2293" s="91" t="s">
        <v>3502</v>
      </c>
      <c r="K2293" s="91"/>
      <c r="M2293" s="91"/>
      <c r="N2293" s="91" t="s">
        <v>3440</v>
      </c>
    </row>
    <row r="2294" spans="1:14" x14ac:dyDescent="0.25">
      <c r="A2294" s="91" t="s">
        <v>1315</v>
      </c>
      <c r="B2294" s="91" t="s">
        <v>1329</v>
      </c>
      <c r="C2294" s="91" t="s">
        <v>3500</v>
      </c>
      <c r="D2294" s="91" t="s">
        <v>21</v>
      </c>
      <c r="E2294" s="91"/>
      <c r="F2294">
        <v>26</v>
      </c>
      <c r="G2294" t="s">
        <v>1419</v>
      </c>
      <c r="H2294" s="89">
        <v>46184</v>
      </c>
      <c r="I2294" s="89">
        <v>46186</v>
      </c>
      <c r="J2294" s="91"/>
      <c r="K2294" s="91"/>
      <c r="M2294" s="91"/>
      <c r="N2294" s="91" t="s">
        <v>3440</v>
      </c>
    </row>
    <row r="2295" spans="1:14" x14ac:dyDescent="0.25">
      <c r="A2295" s="91" t="s">
        <v>1316</v>
      </c>
      <c r="B2295" s="91" t="s">
        <v>1330</v>
      </c>
      <c r="C2295" s="91" t="s">
        <v>3503</v>
      </c>
      <c r="D2295" s="91" t="s">
        <v>21</v>
      </c>
      <c r="E2295" s="91"/>
      <c r="F2295">
        <v>23</v>
      </c>
      <c r="G2295" t="s">
        <v>1419</v>
      </c>
      <c r="H2295" s="89">
        <v>46184</v>
      </c>
      <c r="I2295" s="89">
        <v>46186</v>
      </c>
      <c r="J2295" s="91"/>
      <c r="K2295" s="91"/>
      <c r="M2295" s="91"/>
      <c r="N2295" s="91" t="s">
        <v>3440</v>
      </c>
    </row>
    <row r="2296" spans="1:14" x14ac:dyDescent="0.25">
      <c r="A2296" s="91" t="s">
        <v>1317</v>
      </c>
      <c r="B2296" s="91" t="s">
        <v>1331</v>
      </c>
      <c r="C2296" s="91" t="s">
        <v>3504</v>
      </c>
      <c r="D2296" s="91" t="s">
        <v>21</v>
      </c>
      <c r="E2296" s="91"/>
      <c r="F2296">
        <v>9</v>
      </c>
      <c r="G2296" t="s">
        <v>1419</v>
      </c>
      <c r="H2296" s="89">
        <v>46184</v>
      </c>
      <c r="I2296" s="89">
        <v>46186</v>
      </c>
      <c r="J2296" s="91"/>
      <c r="K2296" s="91"/>
      <c r="M2296" s="91"/>
      <c r="N2296" s="91" t="s">
        <v>3440</v>
      </c>
    </row>
    <row r="2297" spans="1:14" x14ac:dyDescent="0.25">
      <c r="A2297" s="91" t="s">
        <v>1318</v>
      </c>
      <c r="B2297" s="91" t="s">
        <v>1332</v>
      </c>
      <c r="C2297" s="91" t="s">
        <v>3505</v>
      </c>
      <c r="D2297" s="91" t="s">
        <v>21</v>
      </c>
      <c r="E2297" s="91"/>
      <c r="F2297">
        <v>18</v>
      </c>
      <c r="G2297" t="s">
        <v>1419</v>
      </c>
      <c r="H2297" s="89">
        <v>46184</v>
      </c>
      <c r="I2297" s="89">
        <v>46186</v>
      </c>
      <c r="J2297" s="91"/>
      <c r="K2297" s="91"/>
      <c r="M2297" s="91"/>
      <c r="N2297" s="91" t="s">
        <v>3440</v>
      </c>
    </row>
    <row r="2298" spans="1:14" x14ac:dyDescent="0.25">
      <c r="A2298" s="91" t="s">
        <v>1313</v>
      </c>
      <c r="B2298" s="91" t="s">
        <v>1327</v>
      </c>
      <c r="C2298" s="91" t="s">
        <v>3506</v>
      </c>
      <c r="D2298" s="91" t="s">
        <v>15</v>
      </c>
      <c r="E2298" s="91"/>
      <c r="F2298">
        <v>336</v>
      </c>
      <c r="G2298">
        <v>7</v>
      </c>
      <c r="H2298" s="89">
        <v>46184</v>
      </c>
      <c r="I2298" s="89">
        <v>46187</v>
      </c>
      <c r="J2298" s="91" t="s">
        <v>3482</v>
      </c>
      <c r="K2298" s="91"/>
      <c r="M2298" s="91"/>
      <c r="N2298" s="91" t="s">
        <v>3440</v>
      </c>
    </row>
    <row r="2299" spans="1:14" x14ac:dyDescent="0.25">
      <c r="A2299" s="91" t="s">
        <v>1313</v>
      </c>
      <c r="B2299" s="91" t="s">
        <v>1327</v>
      </c>
      <c r="C2299" s="91" t="s">
        <v>3506</v>
      </c>
      <c r="D2299" s="91" t="s">
        <v>15</v>
      </c>
      <c r="E2299" s="91"/>
      <c r="F2299">
        <v>1056</v>
      </c>
      <c r="G2299">
        <v>22</v>
      </c>
      <c r="H2299" s="89">
        <v>46184</v>
      </c>
      <c r="I2299" s="89">
        <v>46188</v>
      </c>
      <c r="J2299" s="91" t="s">
        <v>3507</v>
      </c>
      <c r="K2299" s="91"/>
      <c r="M2299" s="91"/>
      <c r="N2299" s="91" t="s">
        <v>3440</v>
      </c>
    </row>
    <row r="2300" spans="1:14" x14ac:dyDescent="0.25">
      <c r="A2300" s="91" t="s">
        <v>1314</v>
      </c>
      <c r="B2300" s="91" t="s">
        <v>1328</v>
      </c>
      <c r="C2300" s="91" t="s">
        <v>3506</v>
      </c>
      <c r="D2300" s="91" t="s">
        <v>15</v>
      </c>
      <c r="E2300" s="91"/>
      <c r="F2300">
        <v>96</v>
      </c>
      <c r="G2300">
        <v>2</v>
      </c>
      <c r="H2300" s="89">
        <v>46184</v>
      </c>
      <c r="I2300" s="89">
        <v>46188</v>
      </c>
      <c r="J2300" s="91" t="s">
        <v>3508</v>
      </c>
      <c r="K2300" s="91"/>
      <c r="M2300" s="91"/>
      <c r="N2300" s="91" t="s">
        <v>3440</v>
      </c>
    </row>
    <row r="2301" spans="1:14" x14ac:dyDescent="0.25">
      <c r="A2301" s="91" t="s">
        <v>1315</v>
      </c>
      <c r="B2301" s="91" t="s">
        <v>1329</v>
      </c>
      <c r="C2301" s="91" t="s">
        <v>3506</v>
      </c>
      <c r="D2301" s="91" t="s">
        <v>15</v>
      </c>
      <c r="E2301" s="91"/>
      <c r="F2301">
        <v>26</v>
      </c>
      <c r="G2301" t="s">
        <v>1419</v>
      </c>
      <c r="H2301" s="89">
        <v>46184</v>
      </c>
      <c r="I2301" s="89">
        <v>46186</v>
      </c>
      <c r="J2301" s="91"/>
      <c r="K2301" s="91"/>
      <c r="M2301" s="91"/>
      <c r="N2301" s="91" t="s">
        <v>3440</v>
      </c>
    </row>
    <row r="2302" spans="1:14" x14ac:dyDescent="0.25">
      <c r="A2302" s="91" t="s">
        <v>1316</v>
      </c>
      <c r="B2302" s="91" t="s">
        <v>1330</v>
      </c>
      <c r="C2302" s="91" t="s">
        <v>3509</v>
      </c>
      <c r="D2302" s="91" t="s">
        <v>15</v>
      </c>
      <c r="E2302" s="91"/>
      <c r="F2302">
        <v>61</v>
      </c>
      <c r="G2302" t="s">
        <v>1419</v>
      </c>
      <c r="H2302" s="89">
        <v>46184</v>
      </c>
      <c r="I2302" s="89">
        <v>46186</v>
      </c>
      <c r="J2302" s="91"/>
      <c r="K2302" s="91"/>
      <c r="M2302" s="91"/>
      <c r="N2302" s="91" t="s">
        <v>3440</v>
      </c>
    </row>
    <row r="2303" spans="1:14" x14ac:dyDescent="0.25">
      <c r="A2303" s="91" t="s">
        <v>1317</v>
      </c>
      <c r="B2303" s="91" t="s">
        <v>1331</v>
      </c>
      <c r="C2303" s="91" t="s">
        <v>3510</v>
      </c>
      <c r="D2303" s="91" t="s">
        <v>15</v>
      </c>
      <c r="E2303" s="91"/>
      <c r="F2303">
        <v>22</v>
      </c>
      <c r="G2303" t="s">
        <v>1419</v>
      </c>
      <c r="H2303" s="89">
        <v>46184</v>
      </c>
      <c r="I2303" s="89">
        <v>46186</v>
      </c>
      <c r="J2303" s="91"/>
      <c r="K2303" s="91"/>
      <c r="M2303" s="91"/>
      <c r="N2303" s="91" t="s">
        <v>3440</v>
      </c>
    </row>
    <row r="2304" spans="1:14" x14ac:dyDescent="0.25">
      <c r="A2304" s="91" t="s">
        <v>1318</v>
      </c>
      <c r="B2304" s="91" t="s">
        <v>1332</v>
      </c>
      <c r="C2304" s="91" t="s">
        <v>3511</v>
      </c>
      <c r="D2304" s="91" t="s">
        <v>15</v>
      </c>
      <c r="E2304" s="91"/>
      <c r="F2304">
        <v>34</v>
      </c>
      <c r="G2304" t="s">
        <v>1419</v>
      </c>
      <c r="H2304" s="89">
        <v>46184</v>
      </c>
      <c r="I2304" s="89">
        <v>46186</v>
      </c>
      <c r="J2304" s="91"/>
      <c r="K2304" s="91"/>
      <c r="M2304" s="91"/>
      <c r="N2304" s="91" t="s">
        <v>3440</v>
      </c>
    </row>
    <row r="2305" spans="1:14" x14ac:dyDescent="0.25">
      <c r="A2305" s="91" t="s">
        <v>1313</v>
      </c>
      <c r="B2305" s="91" t="s">
        <v>1327</v>
      </c>
      <c r="C2305" s="91" t="s">
        <v>3512</v>
      </c>
      <c r="D2305" s="91" t="s">
        <v>20</v>
      </c>
      <c r="E2305" s="91"/>
      <c r="F2305">
        <v>1152</v>
      </c>
      <c r="G2305">
        <v>24</v>
      </c>
      <c r="H2305" s="89">
        <v>46184</v>
      </c>
      <c r="I2305" s="89">
        <v>46189</v>
      </c>
      <c r="J2305" s="91" t="s">
        <v>3513</v>
      </c>
      <c r="K2305" s="91"/>
      <c r="M2305" s="91"/>
      <c r="N2305" s="91" t="s">
        <v>3440</v>
      </c>
    </row>
    <row r="2306" spans="1:14" x14ac:dyDescent="0.25">
      <c r="A2306" s="91" t="s">
        <v>1315</v>
      </c>
      <c r="B2306" s="91" t="s">
        <v>1329</v>
      </c>
      <c r="C2306" s="91" t="s">
        <v>3512</v>
      </c>
      <c r="D2306" s="91" t="s">
        <v>20</v>
      </c>
      <c r="E2306" s="91"/>
      <c r="F2306">
        <v>117</v>
      </c>
      <c r="G2306" t="s">
        <v>1419</v>
      </c>
      <c r="H2306" s="89">
        <v>46184</v>
      </c>
      <c r="I2306" s="89">
        <v>46186</v>
      </c>
      <c r="J2306" s="91"/>
      <c r="K2306" s="91"/>
      <c r="M2306" s="91"/>
      <c r="N2306" s="91" t="s">
        <v>3440</v>
      </c>
    </row>
    <row r="2307" spans="1:14" x14ac:dyDescent="0.25">
      <c r="A2307" s="91" t="s">
        <v>1316</v>
      </c>
      <c r="B2307" s="91" t="s">
        <v>1330</v>
      </c>
      <c r="C2307" s="91" t="s">
        <v>3514</v>
      </c>
      <c r="D2307" s="91" t="s">
        <v>20</v>
      </c>
      <c r="E2307" s="91"/>
      <c r="F2307">
        <v>70</v>
      </c>
      <c r="G2307" t="s">
        <v>1419</v>
      </c>
      <c r="H2307" s="89">
        <v>46184</v>
      </c>
      <c r="I2307" s="89">
        <v>46186</v>
      </c>
      <c r="J2307" s="91"/>
      <c r="K2307" s="91"/>
      <c r="M2307" s="91"/>
      <c r="N2307" s="91" t="s">
        <v>3440</v>
      </c>
    </row>
    <row r="2308" spans="1:14" x14ac:dyDescent="0.25">
      <c r="A2308" s="91" t="s">
        <v>1317</v>
      </c>
      <c r="B2308" s="91" t="s">
        <v>1331</v>
      </c>
      <c r="C2308" s="91" t="s">
        <v>3515</v>
      </c>
      <c r="D2308" s="91" t="s">
        <v>20</v>
      </c>
      <c r="E2308" s="91"/>
      <c r="F2308">
        <v>6</v>
      </c>
      <c r="G2308" t="s">
        <v>1419</v>
      </c>
      <c r="H2308" s="89">
        <v>46184</v>
      </c>
      <c r="I2308" s="89">
        <v>46186</v>
      </c>
      <c r="J2308" s="91"/>
      <c r="K2308" s="91"/>
      <c r="M2308" s="91"/>
      <c r="N2308" s="91" t="s">
        <v>3440</v>
      </c>
    </row>
    <row r="2309" spans="1:14" x14ac:dyDescent="0.25">
      <c r="A2309" s="91" t="s">
        <v>1318</v>
      </c>
      <c r="B2309" s="91" t="s">
        <v>1332</v>
      </c>
      <c r="C2309" s="91" t="s">
        <v>3516</v>
      </c>
      <c r="D2309" s="91" t="s">
        <v>20</v>
      </c>
      <c r="E2309" s="91"/>
      <c r="F2309">
        <v>44</v>
      </c>
      <c r="G2309" t="s">
        <v>1419</v>
      </c>
      <c r="H2309" s="89">
        <v>46184</v>
      </c>
      <c r="I2309" s="89">
        <v>46186</v>
      </c>
      <c r="J2309" s="91"/>
      <c r="K2309" s="91"/>
      <c r="M2309" s="91"/>
      <c r="N2309" s="91" t="s">
        <v>3440</v>
      </c>
    </row>
    <row r="2310" spans="1:14" x14ac:dyDescent="0.25">
      <c r="A2310" s="91" t="s">
        <v>1325</v>
      </c>
      <c r="B2310" s="91" t="s">
        <v>1339</v>
      </c>
      <c r="C2310" s="91" t="s">
        <v>3517</v>
      </c>
      <c r="D2310" s="91" t="s">
        <v>32</v>
      </c>
      <c r="E2310" s="91"/>
      <c r="F2310">
        <v>840</v>
      </c>
      <c r="G2310">
        <v>20</v>
      </c>
      <c r="H2310" s="89">
        <v>46185</v>
      </c>
      <c r="I2310" s="89">
        <v>46189</v>
      </c>
      <c r="J2310" s="91"/>
      <c r="K2310" s="91"/>
      <c r="M2310" s="91"/>
      <c r="N2310" s="91" t="s">
        <v>3440</v>
      </c>
    </row>
    <row r="2311" spans="1:14" x14ac:dyDescent="0.25">
      <c r="A2311" s="91" t="s">
        <v>1324</v>
      </c>
      <c r="B2311" s="91" t="s">
        <v>1338</v>
      </c>
      <c r="C2311" s="91" t="s">
        <v>3518</v>
      </c>
      <c r="D2311" s="91" t="s">
        <v>23</v>
      </c>
      <c r="E2311" s="91"/>
      <c r="F2311">
        <v>960</v>
      </c>
      <c r="G2311">
        <v>20</v>
      </c>
      <c r="H2311" s="89">
        <v>46185</v>
      </c>
      <c r="I2311" s="89">
        <v>46193</v>
      </c>
      <c r="J2311" s="91" t="s">
        <v>3519</v>
      </c>
      <c r="K2311" s="91"/>
      <c r="M2311" s="91"/>
      <c r="N2311" s="91" t="s">
        <v>3440</v>
      </c>
    </row>
    <row r="2312" spans="1:14" x14ac:dyDescent="0.25">
      <c r="A2312" s="91" t="s">
        <v>1324</v>
      </c>
      <c r="B2312" s="91" t="s">
        <v>1338</v>
      </c>
      <c r="C2312" s="91" t="s">
        <v>3520</v>
      </c>
      <c r="D2312" s="91" t="s">
        <v>150</v>
      </c>
      <c r="E2312" s="91"/>
      <c r="F2312">
        <v>960</v>
      </c>
      <c r="G2312">
        <v>20</v>
      </c>
      <c r="H2312" s="89">
        <v>46185</v>
      </c>
      <c r="I2312" s="89">
        <v>46193</v>
      </c>
      <c r="J2312" s="91" t="s">
        <v>3519</v>
      </c>
      <c r="K2312" s="91"/>
      <c r="M2312" s="91"/>
      <c r="N2312" s="91" t="s">
        <v>3440</v>
      </c>
    </row>
    <row r="2313" spans="1:14" x14ac:dyDescent="0.25">
      <c r="A2313" s="91" t="s">
        <v>1320</v>
      </c>
      <c r="B2313" s="91" t="s">
        <v>1334</v>
      </c>
      <c r="C2313" s="91" t="s">
        <v>3521</v>
      </c>
      <c r="D2313" s="91" t="s">
        <v>28</v>
      </c>
      <c r="E2313" s="91"/>
      <c r="F2313">
        <v>960</v>
      </c>
      <c r="G2313">
        <v>20</v>
      </c>
      <c r="H2313" s="89">
        <v>46185</v>
      </c>
      <c r="I2313" s="89">
        <v>46189</v>
      </c>
      <c r="J2313" s="91" t="s">
        <v>3522</v>
      </c>
      <c r="K2313" s="91"/>
      <c r="M2313" s="91"/>
      <c r="N2313" s="91" t="s">
        <v>3440</v>
      </c>
    </row>
    <row r="2314" spans="1:14" x14ac:dyDescent="0.25">
      <c r="A2314" s="91" t="s">
        <v>1320</v>
      </c>
      <c r="B2314" s="91" t="s">
        <v>1334</v>
      </c>
      <c r="C2314" s="91" t="s">
        <v>3521</v>
      </c>
      <c r="D2314" s="91" t="s">
        <v>28</v>
      </c>
      <c r="E2314" s="91"/>
      <c r="F2314">
        <v>240</v>
      </c>
      <c r="G2314">
        <v>5</v>
      </c>
      <c r="H2314" s="89">
        <v>46185</v>
      </c>
      <c r="I2314" s="89">
        <v>46190</v>
      </c>
      <c r="J2314" s="91" t="s">
        <v>3523</v>
      </c>
      <c r="K2314" s="91"/>
      <c r="M2314" s="91"/>
      <c r="N2314" s="91" t="s">
        <v>3440</v>
      </c>
    </row>
    <row r="2315" spans="1:14" x14ac:dyDescent="0.25">
      <c r="A2315" s="91" t="s">
        <v>1313</v>
      </c>
      <c r="B2315" s="91" t="s">
        <v>1327</v>
      </c>
      <c r="C2315" s="91" t="s">
        <v>3521</v>
      </c>
      <c r="D2315" s="91" t="s">
        <v>28</v>
      </c>
      <c r="E2315" s="91"/>
      <c r="F2315">
        <v>384</v>
      </c>
      <c r="G2315">
        <v>8</v>
      </c>
      <c r="H2315" s="89">
        <v>46185</v>
      </c>
      <c r="I2315" s="89">
        <v>46191</v>
      </c>
      <c r="J2315" s="91" t="s">
        <v>3524</v>
      </c>
      <c r="K2315" s="91"/>
      <c r="M2315" s="91"/>
      <c r="N2315" s="91" t="s">
        <v>3440</v>
      </c>
    </row>
    <row r="2316" spans="1:14" x14ac:dyDescent="0.25">
      <c r="A2316" s="91" t="s">
        <v>1315</v>
      </c>
      <c r="B2316" s="91" t="s">
        <v>1329</v>
      </c>
      <c r="C2316" s="91" t="s">
        <v>3521</v>
      </c>
      <c r="D2316" s="91" t="s">
        <v>28</v>
      </c>
      <c r="E2316" s="91"/>
      <c r="F2316">
        <v>5</v>
      </c>
      <c r="G2316" t="s">
        <v>1419</v>
      </c>
      <c r="H2316" s="89">
        <v>46185</v>
      </c>
      <c r="I2316" s="89">
        <v>46187</v>
      </c>
      <c r="J2316" s="91"/>
      <c r="K2316" s="91"/>
      <c r="M2316" s="91"/>
      <c r="N2316" s="91" t="s">
        <v>3440</v>
      </c>
    </row>
    <row r="2317" spans="1:14" x14ac:dyDescent="0.25">
      <c r="A2317" s="91" t="s">
        <v>1316</v>
      </c>
      <c r="B2317" s="91" t="s">
        <v>1330</v>
      </c>
      <c r="C2317" s="91" t="s">
        <v>3525</v>
      </c>
      <c r="D2317" s="91" t="s">
        <v>28</v>
      </c>
      <c r="E2317" s="91"/>
      <c r="F2317">
        <v>30</v>
      </c>
      <c r="G2317" t="s">
        <v>1419</v>
      </c>
      <c r="H2317" s="89">
        <v>46185</v>
      </c>
      <c r="I2317" s="89">
        <v>46187</v>
      </c>
      <c r="J2317" s="91"/>
      <c r="K2317" s="91"/>
      <c r="M2317" s="91"/>
      <c r="N2317" s="91" t="s">
        <v>3440</v>
      </c>
    </row>
    <row r="2318" spans="1:14" x14ac:dyDescent="0.25">
      <c r="A2318" s="91" t="s">
        <v>1317</v>
      </c>
      <c r="B2318" s="91" t="s">
        <v>1331</v>
      </c>
      <c r="C2318" s="91" t="s">
        <v>3526</v>
      </c>
      <c r="D2318" s="91" t="s">
        <v>28</v>
      </c>
      <c r="E2318" s="91"/>
      <c r="F2318">
        <v>0</v>
      </c>
      <c r="G2318" t="s">
        <v>1419</v>
      </c>
      <c r="H2318" s="89">
        <v>46185</v>
      </c>
      <c r="I2318" s="89">
        <v>46187</v>
      </c>
      <c r="J2318" s="91"/>
      <c r="K2318" s="91"/>
      <c r="M2318" s="91"/>
      <c r="N2318" s="91" t="s">
        <v>3440</v>
      </c>
    </row>
    <row r="2319" spans="1:14" x14ac:dyDescent="0.25">
      <c r="A2319" s="91" t="s">
        <v>1318</v>
      </c>
      <c r="B2319" s="91" t="s">
        <v>1332</v>
      </c>
      <c r="C2319" s="91" t="s">
        <v>3527</v>
      </c>
      <c r="D2319" s="91" t="s">
        <v>28</v>
      </c>
      <c r="E2319" s="91"/>
      <c r="F2319">
        <v>77</v>
      </c>
      <c r="G2319" t="s">
        <v>1419</v>
      </c>
      <c r="H2319" s="89">
        <v>46185</v>
      </c>
      <c r="I2319" s="89">
        <v>46187</v>
      </c>
      <c r="J2319" s="91"/>
      <c r="K2319" s="91"/>
      <c r="M2319" s="91"/>
      <c r="N2319" s="91" t="s">
        <v>3440</v>
      </c>
    </row>
    <row r="2320" spans="1:14" x14ac:dyDescent="0.25">
      <c r="A2320" s="91" t="s">
        <v>1313</v>
      </c>
      <c r="B2320" s="91" t="s">
        <v>1327</v>
      </c>
      <c r="C2320" s="91" t="s">
        <v>3528</v>
      </c>
      <c r="D2320" s="91" t="s">
        <v>15</v>
      </c>
      <c r="E2320" s="91"/>
      <c r="F2320">
        <v>432</v>
      </c>
      <c r="G2320">
        <v>9</v>
      </c>
      <c r="H2320" s="89">
        <v>46185</v>
      </c>
      <c r="I2320" s="89">
        <v>46189</v>
      </c>
      <c r="J2320" s="91" t="s">
        <v>3502</v>
      </c>
      <c r="K2320" s="91"/>
      <c r="M2320" s="91"/>
      <c r="N2320" s="91" t="s">
        <v>3440</v>
      </c>
    </row>
    <row r="2321" spans="1:14" x14ac:dyDescent="0.25">
      <c r="A2321" s="91" t="s">
        <v>1314</v>
      </c>
      <c r="B2321" s="91" t="s">
        <v>1328</v>
      </c>
      <c r="C2321" s="91" t="s">
        <v>3528</v>
      </c>
      <c r="D2321" s="91" t="s">
        <v>15</v>
      </c>
      <c r="E2321" s="91"/>
      <c r="F2321">
        <v>288</v>
      </c>
      <c r="G2321">
        <v>6</v>
      </c>
      <c r="H2321" s="89">
        <v>46185</v>
      </c>
      <c r="I2321" s="89">
        <v>46189</v>
      </c>
      <c r="J2321" s="91" t="s">
        <v>3529</v>
      </c>
      <c r="K2321" s="91"/>
      <c r="M2321" s="91"/>
      <c r="N2321" s="91" t="s">
        <v>3440</v>
      </c>
    </row>
    <row r="2322" spans="1:14" x14ac:dyDescent="0.25">
      <c r="A2322" s="91" t="s">
        <v>1320</v>
      </c>
      <c r="B2322" s="91" t="s">
        <v>1334</v>
      </c>
      <c r="C2322" s="91" t="s">
        <v>3528</v>
      </c>
      <c r="D2322" s="91" t="s">
        <v>15</v>
      </c>
      <c r="E2322" s="91"/>
      <c r="F2322">
        <v>720</v>
      </c>
      <c r="G2322">
        <v>15</v>
      </c>
      <c r="H2322" s="89">
        <v>46185</v>
      </c>
      <c r="I2322" s="89">
        <v>46190</v>
      </c>
      <c r="J2322" s="91" t="s">
        <v>3523</v>
      </c>
      <c r="K2322" s="91"/>
      <c r="M2322" s="91"/>
      <c r="N2322" s="91" t="s">
        <v>3440</v>
      </c>
    </row>
    <row r="2323" spans="1:14" x14ac:dyDescent="0.25">
      <c r="A2323" s="91" t="s">
        <v>1315</v>
      </c>
      <c r="B2323" s="91" t="s">
        <v>1329</v>
      </c>
      <c r="C2323" s="91" t="s">
        <v>3528</v>
      </c>
      <c r="D2323" s="91" t="s">
        <v>15</v>
      </c>
      <c r="E2323" s="91"/>
      <c r="F2323">
        <v>9</v>
      </c>
      <c r="G2323" t="s">
        <v>1419</v>
      </c>
      <c r="H2323" s="89">
        <v>46185</v>
      </c>
      <c r="I2323" s="89">
        <v>46187</v>
      </c>
      <c r="J2323" s="91"/>
      <c r="K2323" s="91"/>
      <c r="M2323" s="91"/>
      <c r="N2323" s="91" t="s">
        <v>3440</v>
      </c>
    </row>
    <row r="2324" spans="1:14" x14ac:dyDescent="0.25">
      <c r="A2324" s="91" t="s">
        <v>1316</v>
      </c>
      <c r="B2324" s="91" t="s">
        <v>1330</v>
      </c>
      <c r="C2324" s="91" t="s">
        <v>3530</v>
      </c>
      <c r="D2324" s="91" t="s">
        <v>15</v>
      </c>
      <c r="E2324" s="91"/>
      <c r="F2324">
        <v>40</v>
      </c>
      <c r="G2324" t="s">
        <v>1419</v>
      </c>
      <c r="H2324" s="89">
        <v>46185</v>
      </c>
      <c r="I2324" s="89">
        <v>46187</v>
      </c>
      <c r="J2324" s="91"/>
      <c r="K2324" s="91"/>
      <c r="M2324" s="91"/>
      <c r="N2324" s="91" t="s">
        <v>3440</v>
      </c>
    </row>
    <row r="2325" spans="1:14" x14ac:dyDescent="0.25">
      <c r="A2325" s="91" t="s">
        <v>1317</v>
      </c>
      <c r="B2325" s="91" t="s">
        <v>1331</v>
      </c>
      <c r="C2325" s="91" t="s">
        <v>3531</v>
      </c>
      <c r="D2325" s="91" t="s">
        <v>15</v>
      </c>
      <c r="E2325" s="91"/>
      <c r="F2325">
        <v>15</v>
      </c>
      <c r="G2325" t="s">
        <v>1419</v>
      </c>
      <c r="H2325" s="89">
        <v>46185</v>
      </c>
      <c r="I2325" s="89">
        <v>46187</v>
      </c>
      <c r="J2325" s="91"/>
      <c r="K2325" s="91"/>
      <c r="M2325" s="91"/>
      <c r="N2325" s="91" t="s">
        <v>3440</v>
      </c>
    </row>
    <row r="2326" spans="1:14" x14ac:dyDescent="0.25">
      <c r="A2326" s="91" t="s">
        <v>1318</v>
      </c>
      <c r="B2326" s="91" t="s">
        <v>1332</v>
      </c>
      <c r="C2326" s="91" t="s">
        <v>3532</v>
      </c>
      <c r="D2326" s="91" t="s">
        <v>15</v>
      </c>
      <c r="E2326" s="91"/>
      <c r="F2326">
        <v>35</v>
      </c>
      <c r="G2326" t="s">
        <v>1419</v>
      </c>
      <c r="H2326" s="89">
        <v>46185</v>
      </c>
      <c r="I2326" s="89">
        <v>46187</v>
      </c>
      <c r="J2326" s="91"/>
      <c r="K2326" s="91"/>
      <c r="M2326" s="91"/>
      <c r="N2326" s="91" t="s">
        <v>3440</v>
      </c>
    </row>
    <row r="2327" spans="1:14" x14ac:dyDescent="0.25">
      <c r="A2327" s="91" t="s">
        <v>1313</v>
      </c>
      <c r="B2327" s="91" t="s">
        <v>1327</v>
      </c>
      <c r="C2327" s="91" t="s">
        <v>3533</v>
      </c>
      <c r="D2327" s="91" t="s">
        <v>20</v>
      </c>
      <c r="E2327" s="91"/>
      <c r="F2327">
        <v>1056</v>
      </c>
      <c r="G2327">
        <v>22</v>
      </c>
      <c r="H2327" s="89">
        <v>46185</v>
      </c>
      <c r="I2327" s="89">
        <v>46190</v>
      </c>
      <c r="J2327" s="91" t="s">
        <v>3534</v>
      </c>
      <c r="K2327" s="91"/>
      <c r="M2327" s="91"/>
      <c r="N2327" s="91" t="s">
        <v>3440</v>
      </c>
    </row>
    <row r="2328" spans="1:14" x14ac:dyDescent="0.25">
      <c r="A2328" s="91" t="s">
        <v>1315</v>
      </c>
      <c r="B2328" s="91" t="s">
        <v>1329</v>
      </c>
      <c r="C2328" s="91" t="s">
        <v>3533</v>
      </c>
      <c r="D2328" s="91" t="s">
        <v>20</v>
      </c>
      <c r="E2328" s="91"/>
      <c r="F2328">
        <v>70</v>
      </c>
      <c r="G2328" t="s">
        <v>1419</v>
      </c>
      <c r="H2328" s="89">
        <v>46185</v>
      </c>
      <c r="I2328" s="89">
        <v>46187</v>
      </c>
      <c r="J2328" s="91"/>
      <c r="K2328" s="91"/>
      <c r="M2328" s="91"/>
      <c r="N2328" s="91" t="s">
        <v>3440</v>
      </c>
    </row>
    <row r="2329" spans="1:14" x14ac:dyDescent="0.25">
      <c r="A2329" s="91" t="s">
        <v>1316</v>
      </c>
      <c r="B2329" s="91" t="s">
        <v>1330</v>
      </c>
      <c r="C2329" s="91" t="s">
        <v>3535</v>
      </c>
      <c r="D2329" s="91" t="s">
        <v>20</v>
      </c>
      <c r="E2329" s="91"/>
      <c r="F2329">
        <v>102</v>
      </c>
      <c r="G2329" t="s">
        <v>1419</v>
      </c>
      <c r="H2329" s="89">
        <v>46185</v>
      </c>
      <c r="I2329" s="89">
        <v>46187</v>
      </c>
      <c r="J2329" s="91"/>
      <c r="K2329" s="91"/>
      <c r="M2329" s="91"/>
      <c r="N2329" s="91" t="s">
        <v>3440</v>
      </c>
    </row>
    <row r="2330" spans="1:14" x14ac:dyDescent="0.25">
      <c r="A2330" s="91" t="s">
        <v>1317</v>
      </c>
      <c r="B2330" s="91" t="s">
        <v>1331</v>
      </c>
      <c r="C2330" s="91" t="s">
        <v>3536</v>
      </c>
      <c r="D2330" s="91" t="s">
        <v>20</v>
      </c>
      <c r="E2330" s="91"/>
      <c r="F2330">
        <v>23</v>
      </c>
      <c r="G2330" t="s">
        <v>1419</v>
      </c>
      <c r="H2330" s="89">
        <v>46185</v>
      </c>
      <c r="I2330" s="89">
        <v>46187</v>
      </c>
      <c r="J2330" s="91"/>
      <c r="K2330" s="91"/>
      <c r="M2330" s="91"/>
      <c r="N2330" s="91" t="s">
        <v>3440</v>
      </c>
    </row>
    <row r="2331" spans="1:14" x14ac:dyDescent="0.25">
      <c r="A2331" s="91" t="s">
        <v>1318</v>
      </c>
      <c r="B2331" s="91" t="s">
        <v>1332</v>
      </c>
      <c r="C2331" s="91" t="s">
        <v>3537</v>
      </c>
      <c r="D2331" s="91" t="s">
        <v>20</v>
      </c>
      <c r="E2331" s="91"/>
      <c r="F2331">
        <v>55</v>
      </c>
      <c r="G2331" t="s">
        <v>1419</v>
      </c>
      <c r="H2331" s="89">
        <v>46185</v>
      </c>
      <c r="I2331" s="89">
        <v>46187</v>
      </c>
      <c r="J2331" s="91"/>
      <c r="K2331" s="91"/>
      <c r="M2331" s="91"/>
      <c r="N2331" s="91" t="s">
        <v>3440</v>
      </c>
    </row>
    <row r="2332" spans="1:14" x14ac:dyDescent="0.25">
      <c r="A2332" s="91" t="s">
        <v>1320</v>
      </c>
      <c r="B2332" s="91" t="s">
        <v>1334</v>
      </c>
      <c r="C2332" s="91" t="s">
        <v>3538</v>
      </c>
      <c r="D2332" s="91" t="s">
        <v>104</v>
      </c>
      <c r="E2332" s="91"/>
      <c r="F2332">
        <v>576</v>
      </c>
      <c r="G2332">
        <v>12</v>
      </c>
      <c r="H2332" s="89">
        <v>46186</v>
      </c>
      <c r="I2332" s="89">
        <v>46190</v>
      </c>
      <c r="J2332" s="91" t="s">
        <v>3539</v>
      </c>
      <c r="K2332" s="91"/>
      <c r="M2332" s="91"/>
      <c r="N2332" s="91" t="s">
        <v>3440</v>
      </c>
    </row>
    <row r="2333" spans="1:14" x14ac:dyDescent="0.25">
      <c r="A2333" s="91" t="s">
        <v>1320</v>
      </c>
      <c r="B2333" s="91" t="s">
        <v>1334</v>
      </c>
      <c r="C2333" s="91" t="s">
        <v>3540</v>
      </c>
      <c r="D2333" s="91" t="s">
        <v>106</v>
      </c>
      <c r="E2333" s="91"/>
      <c r="F2333">
        <v>384</v>
      </c>
      <c r="G2333">
        <v>8</v>
      </c>
      <c r="H2333" s="89">
        <v>46186</v>
      </c>
      <c r="I2333" s="89">
        <v>46190</v>
      </c>
      <c r="J2333" s="91" t="s">
        <v>3539</v>
      </c>
      <c r="K2333" s="91"/>
      <c r="M2333" s="91"/>
      <c r="N2333" s="91" t="s">
        <v>3440</v>
      </c>
    </row>
    <row r="2334" spans="1:14" x14ac:dyDescent="0.25">
      <c r="A2334" s="91" t="s">
        <v>1324</v>
      </c>
      <c r="B2334" s="91" t="s">
        <v>1338</v>
      </c>
      <c r="C2334" s="91" t="s">
        <v>3541</v>
      </c>
      <c r="D2334" s="91" t="s">
        <v>21</v>
      </c>
      <c r="E2334" s="91"/>
      <c r="F2334">
        <v>960</v>
      </c>
      <c r="G2334">
        <v>20</v>
      </c>
      <c r="H2334" s="89">
        <v>46186</v>
      </c>
      <c r="I2334" s="89">
        <v>46195</v>
      </c>
      <c r="J2334" s="91" t="s">
        <v>3542</v>
      </c>
      <c r="K2334" s="91"/>
      <c r="M2334" s="91"/>
      <c r="N2334" s="91" t="s">
        <v>3440</v>
      </c>
    </row>
    <row r="2335" spans="1:14" x14ac:dyDescent="0.25">
      <c r="A2335" s="91" t="s">
        <v>1314</v>
      </c>
      <c r="B2335" s="91" t="s">
        <v>1328</v>
      </c>
      <c r="C2335" s="91" t="s">
        <v>3541</v>
      </c>
      <c r="D2335" s="91" t="s">
        <v>21</v>
      </c>
      <c r="E2335" s="91"/>
      <c r="F2335">
        <v>96</v>
      </c>
      <c r="G2335">
        <v>2</v>
      </c>
      <c r="H2335" s="89">
        <v>46186</v>
      </c>
      <c r="I2335" s="89">
        <v>46190</v>
      </c>
      <c r="J2335" s="91" t="s">
        <v>3543</v>
      </c>
      <c r="K2335" s="91"/>
      <c r="M2335" s="91"/>
      <c r="N2335" s="91" t="s">
        <v>3440</v>
      </c>
    </row>
    <row r="2336" spans="1:14" x14ac:dyDescent="0.25">
      <c r="A2336" s="91" t="s">
        <v>1315</v>
      </c>
      <c r="B2336" s="91" t="s">
        <v>1329</v>
      </c>
      <c r="C2336" s="91" t="s">
        <v>3541</v>
      </c>
      <c r="D2336" s="91" t="s">
        <v>21</v>
      </c>
      <c r="E2336" s="91"/>
      <c r="F2336">
        <v>135</v>
      </c>
      <c r="G2336" t="s">
        <v>1419</v>
      </c>
      <c r="H2336" s="89">
        <v>46186</v>
      </c>
      <c r="I2336" s="89">
        <v>46188</v>
      </c>
      <c r="J2336" s="91"/>
      <c r="K2336" s="91"/>
      <c r="M2336" s="91"/>
      <c r="N2336" s="91" t="s">
        <v>3440</v>
      </c>
    </row>
    <row r="2337" spans="1:14" x14ac:dyDescent="0.25">
      <c r="A2337" s="91" t="s">
        <v>1316</v>
      </c>
      <c r="B2337" s="91" t="s">
        <v>1330</v>
      </c>
      <c r="C2337" s="91" t="s">
        <v>3544</v>
      </c>
      <c r="D2337" s="91" t="s">
        <v>21</v>
      </c>
      <c r="E2337" s="91"/>
      <c r="F2337">
        <v>17</v>
      </c>
      <c r="G2337" t="s">
        <v>1419</v>
      </c>
      <c r="H2337" s="89">
        <v>46186</v>
      </c>
      <c r="I2337" s="89">
        <v>46188</v>
      </c>
      <c r="J2337" s="91"/>
      <c r="K2337" s="91"/>
      <c r="M2337" s="91"/>
      <c r="N2337" s="91" t="s">
        <v>3440</v>
      </c>
    </row>
    <row r="2338" spans="1:14" x14ac:dyDescent="0.25">
      <c r="A2338" s="91" t="s">
        <v>1317</v>
      </c>
      <c r="B2338" s="91" t="s">
        <v>1331</v>
      </c>
      <c r="C2338" s="91" t="s">
        <v>3545</v>
      </c>
      <c r="D2338" s="91" t="s">
        <v>21</v>
      </c>
      <c r="E2338" s="91"/>
      <c r="F2338">
        <v>12</v>
      </c>
      <c r="G2338" t="s">
        <v>1419</v>
      </c>
      <c r="H2338" s="89">
        <v>46186</v>
      </c>
      <c r="I2338" s="89">
        <v>46188</v>
      </c>
      <c r="J2338" s="91"/>
      <c r="K2338" s="91"/>
      <c r="M2338" s="91"/>
      <c r="N2338" s="91" t="s">
        <v>3440</v>
      </c>
    </row>
    <row r="2339" spans="1:14" x14ac:dyDescent="0.25">
      <c r="A2339" s="91" t="s">
        <v>1318</v>
      </c>
      <c r="B2339" s="91" t="s">
        <v>1332</v>
      </c>
      <c r="C2339" s="91" t="s">
        <v>3546</v>
      </c>
      <c r="D2339" s="91" t="s">
        <v>21</v>
      </c>
      <c r="E2339" s="91"/>
      <c r="F2339">
        <v>58</v>
      </c>
      <c r="G2339" t="s">
        <v>1419</v>
      </c>
      <c r="H2339" s="89">
        <v>46186</v>
      </c>
      <c r="I2339" s="89">
        <v>46188</v>
      </c>
      <c r="J2339" s="91"/>
      <c r="K2339" s="91"/>
      <c r="M2339" s="91"/>
      <c r="N2339" s="91" t="s">
        <v>3440</v>
      </c>
    </row>
    <row r="2340" spans="1:14" x14ac:dyDescent="0.25">
      <c r="A2340" s="91"/>
      <c r="B2340" s="91" t="s">
        <v>3547</v>
      </c>
      <c r="C2340" s="91" t="s">
        <v>1655</v>
      </c>
      <c r="D2340" s="91" t="s">
        <v>1656</v>
      </c>
      <c r="E2340" s="91"/>
      <c r="H2340" s="89">
        <v>6</v>
      </c>
      <c r="I2340" s="89">
        <v>5</v>
      </c>
      <c r="J2340" s="91"/>
      <c r="K2340" s="91"/>
      <c r="M2340" s="91"/>
      <c r="N2340" s="91" t="s">
        <v>3440</v>
      </c>
    </row>
    <row r="2341" spans="1:14" x14ac:dyDescent="0.25">
      <c r="A2341" s="91" t="s">
        <v>1324</v>
      </c>
      <c r="B2341" s="91" t="s">
        <v>1338</v>
      </c>
      <c r="C2341" s="91" t="s">
        <v>3548</v>
      </c>
      <c r="D2341" s="91" t="s">
        <v>13</v>
      </c>
      <c r="E2341" s="91"/>
      <c r="F2341">
        <v>960</v>
      </c>
      <c r="G2341">
        <v>20</v>
      </c>
      <c r="H2341" s="89">
        <v>46188</v>
      </c>
      <c r="I2341" s="89">
        <v>46195</v>
      </c>
      <c r="J2341" s="91" t="s">
        <v>3549</v>
      </c>
      <c r="K2341" s="91"/>
      <c r="M2341" s="91"/>
      <c r="N2341" s="91" t="s">
        <v>3550</v>
      </c>
    </row>
    <row r="2342" spans="1:14" x14ac:dyDescent="0.25">
      <c r="A2342" s="91" t="s">
        <v>1320</v>
      </c>
      <c r="B2342" s="91" t="s">
        <v>1334</v>
      </c>
      <c r="C2342" s="91" t="s">
        <v>3551</v>
      </c>
      <c r="D2342" s="91" t="s">
        <v>15</v>
      </c>
      <c r="E2342" s="91"/>
      <c r="F2342">
        <v>960</v>
      </c>
      <c r="G2342">
        <v>20</v>
      </c>
      <c r="H2342" s="89">
        <v>46188</v>
      </c>
      <c r="I2342" s="89">
        <v>46191</v>
      </c>
      <c r="J2342" s="91" t="s">
        <v>3552</v>
      </c>
      <c r="K2342" s="91"/>
      <c r="M2342" s="91"/>
      <c r="N2342" s="91" t="s">
        <v>3550</v>
      </c>
    </row>
    <row r="2343" spans="1:14" x14ac:dyDescent="0.25">
      <c r="A2343" s="91" t="s">
        <v>1314</v>
      </c>
      <c r="B2343" s="91" t="s">
        <v>1328</v>
      </c>
      <c r="C2343" s="91" t="s">
        <v>3551</v>
      </c>
      <c r="D2343" s="91" t="s">
        <v>15</v>
      </c>
      <c r="E2343" s="91"/>
      <c r="F2343">
        <v>288</v>
      </c>
      <c r="G2343">
        <v>6</v>
      </c>
      <c r="H2343" s="89">
        <v>46188</v>
      </c>
      <c r="I2343" s="89">
        <v>46191</v>
      </c>
      <c r="J2343" s="91" t="s">
        <v>3553</v>
      </c>
      <c r="K2343" s="91"/>
      <c r="M2343" s="91"/>
      <c r="N2343" s="91" t="s">
        <v>3550</v>
      </c>
    </row>
    <row r="2344" spans="1:14" x14ac:dyDescent="0.25">
      <c r="A2344" s="91" t="s">
        <v>1313</v>
      </c>
      <c r="B2344" s="91" t="s">
        <v>1327</v>
      </c>
      <c r="C2344" s="91" t="s">
        <v>3551</v>
      </c>
      <c r="D2344" s="91" t="s">
        <v>15</v>
      </c>
      <c r="E2344" s="91"/>
      <c r="F2344">
        <v>288</v>
      </c>
      <c r="G2344">
        <v>6</v>
      </c>
      <c r="H2344" s="89">
        <v>46188</v>
      </c>
      <c r="I2344" s="89">
        <v>46191</v>
      </c>
      <c r="J2344" s="91" t="s">
        <v>3524</v>
      </c>
      <c r="K2344" s="91"/>
      <c r="M2344" s="91"/>
      <c r="N2344" s="91" t="s">
        <v>3550</v>
      </c>
    </row>
    <row r="2345" spans="1:14" x14ac:dyDescent="0.25">
      <c r="A2345" s="91" t="s">
        <v>1315</v>
      </c>
      <c r="B2345" s="91" t="s">
        <v>1329</v>
      </c>
      <c r="C2345" s="91" t="s">
        <v>3551</v>
      </c>
      <c r="D2345" s="91" t="s">
        <v>15</v>
      </c>
      <c r="E2345" s="91"/>
      <c r="F2345">
        <v>8</v>
      </c>
      <c r="G2345" t="s">
        <v>1419</v>
      </c>
      <c r="H2345" s="89">
        <v>46188</v>
      </c>
      <c r="I2345" s="89">
        <v>46191</v>
      </c>
      <c r="J2345" s="91" t="s">
        <v>3549</v>
      </c>
      <c r="K2345" s="91"/>
      <c r="M2345" s="91"/>
      <c r="N2345" s="91" t="s">
        <v>3550</v>
      </c>
    </row>
    <row r="2346" spans="1:14" x14ac:dyDescent="0.25">
      <c r="A2346" s="91" t="s">
        <v>1316</v>
      </c>
      <c r="B2346" s="91" t="s">
        <v>1330</v>
      </c>
      <c r="C2346" s="91" t="s">
        <v>3554</v>
      </c>
      <c r="D2346" s="91" t="s">
        <v>15</v>
      </c>
      <c r="E2346" s="91"/>
      <c r="F2346">
        <v>82</v>
      </c>
      <c r="G2346" t="s">
        <v>1419</v>
      </c>
      <c r="H2346" s="89">
        <v>46188</v>
      </c>
      <c r="I2346" s="89">
        <v>46190</v>
      </c>
      <c r="J2346" s="91" t="s">
        <v>3549</v>
      </c>
      <c r="K2346" s="91"/>
      <c r="M2346" s="91"/>
      <c r="N2346" s="91" t="s">
        <v>3550</v>
      </c>
    </row>
    <row r="2347" spans="1:14" x14ac:dyDescent="0.25">
      <c r="A2347" s="91" t="s">
        <v>1317</v>
      </c>
      <c r="B2347" s="91" t="s">
        <v>1331</v>
      </c>
      <c r="C2347" s="91" t="s">
        <v>3555</v>
      </c>
      <c r="D2347" s="91" t="s">
        <v>15</v>
      </c>
      <c r="E2347" s="91"/>
      <c r="F2347">
        <v>24</v>
      </c>
      <c r="G2347" t="s">
        <v>1419</v>
      </c>
      <c r="H2347" s="89">
        <v>46188</v>
      </c>
      <c r="I2347" s="89">
        <v>46190</v>
      </c>
      <c r="J2347" s="91" t="s">
        <v>3549</v>
      </c>
      <c r="K2347" s="91"/>
      <c r="M2347" s="91"/>
      <c r="N2347" s="91" t="s">
        <v>3550</v>
      </c>
    </row>
    <row r="2348" spans="1:14" x14ac:dyDescent="0.25">
      <c r="A2348" s="91" t="s">
        <v>1318</v>
      </c>
      <c r="B2348" s="91" t="s">
        <v>1332</v>
      </c>
      <c r="C2348" s="91" t="s">
        <v>3556</v>
      </c>
      <c r="D2348" s="91" t="s">
        <v>15</v>
      </c>
      <c r="E2348" s="91"/>
      <c r="F2348">
        <v>17</v>
      </c>
      <c r="G2348" t="s">
        <v>1419</v>
      </c>
      <c r="H2348" s="89">
        <v>46188</v>
      </c>
      <c r="I2348" s="89">
        <v>46190</v>
      </c>
      <c r="J2348" s="91" t="s">
        <v>3549</v>
      </c>
      <c r="K2348" s="91"/>
      <c r="M2348" s="91"/>
      <c r="N2348" s="91" t="s">
        <v>3550</v>
      </c>
    </row>
    <row r="2349" spans="1:14" x14ac:dyDescent="0.25">
      <c r="A2349" s="91" t="s">
        <v>1313</v>
      </c>
      <c r="B2349" s="91" t="s">
        <v>1327</v>
      </c>
      <c r="C2349" s="91" t="s">
        <v>3557</v>
      </c>
      <c r="D2349" s="91" t="s">
        <v>20</v>
      </c>
      <c r="E2349" s="91"/>
      <c r="F2349">
        <v>192</v>
      </c>
      <c r="G2349">
        <v>4</v>
      </c>
      <c r="H2349" s="89">
        <v>46188</v>
      </c>
      <c r="I2349" s="89">
        <v>46191</v>
      </c>
      <c r="J2349" s="91" t="s">
        <v>3524</v>
      </c>
      <c r="K2349" s="91"/>
      <c r="M2349" s="91"/>
      <c r="N2349" s="91" t="s">
        <v>3550</v>
      </c>
    </row>
    <row r="2350" spans="1:14" x14ac:dyDescent="0.25">
      <c r="A2350" s="91" t="s">
        <v>1313</v>
      </c>
      <c r="B2350" s="91" t="s">
        <v>1327</v>
      </c>
      <c r="C2350" s="91" t="s">
        <v>3557</v>
      </c>
      <c r="D2350" s="91" t="s">
        <v>20</v>
      </c>
      <c r="E2350" s="91"/>
      <c r="F2350">
        <v>48</v>
      </c>
      <c r="G2350">
        <v>1</v>
      </c>
      <c r="H2350" s="89">
        <v>46188</v>
      </c>
      <c r="I2350" s="89">
        <v>46193</v>
      </c>
      <c r="J2350" s="91" t="s">
        <v>3558</v>
      </c>
      <c r="K2350" s="91"/>
      <c r="M2350" s="91"/>
      <c r="N2350" s="91" t="s">
        <v>3550</v>
      </c>
    </row>
    <row r="2351" spans="1:14" x14ac:dyDescent="0.25">
      <c r="A2351" s="91" t="s">
        <v>1320</v>
      </c>
      <c r="B2351" s="91" t="s">
        <v>1334</v>
      </c>
      <c r="C2351" s="91" t="s">
        <v>3557</v>
      </c>
      <c r="D2351" s="91" t="s">
        <v>20</v>
      </c>
      <c r="E2351" s="91"/>
      <c r="F2351">
        <v>960</v>
      </c>
      <c r="G2351">
        <v>20</v>
      </c>
      <c r="H2351" s="89">
        <v>46188</v>
      </c>
      <c r="I2351" s="89">
        <v>46191</v>
      </c>
      <c r="J2351" s="91" t="s">
        <v>3559</v>
      </c>
      <c r="K2351" s="91"/>
      <c r="M2351" s="91"/>
      <c r="N2351" s="91" t="s">
        <v>3550</v>
      </c>
    </row>
    <row r="2352" spans="1:14" x14ac:dyDescent="0.25">
      <c r="A2352" s="91" t="s">
        <v>1315</v>
      </c>
      <c r="B2352" s="91" t="s">
        <v>1329</v>
      </c>
      <c r="C2352" s="91" t="s">
        <v>3557</v>
      </c>
      <c r="D2352" s="91" t="s">
        <v>20</v>
      </c>
      <c r="E2352" s="91"/>
      <c r="F2352">
        <v>5</v>
      </c>
      <c r="G2352" t="s">
        <v>1419</v>
      </c>
      <c r="H2352" s="89">
        <v>46188</v>
      </c>
      <c r="I2352" s="89">
        <v>46191</v>
      </c>
      <c r="J2352" s="91" t="s">
        <v>3549</v>
      </c>
      <c r="K2352" s="91"/>
      <c r="M2352" s="91"/>
      <c r="N2352" s="91" t="s">
        <v>3550</v>
      </c>
    </row>
    <row r="2353" spans="1:14" x14ac:dyDescent="0.25">
      <c r="A2353" s="91" t="s">
        <v>1316</v>
      </c>
      <c r="B2353" s="91" t="s">
        <v>1330</v>
      </c>
      <c r="C2353" s="91" t="s">
        <v>3560</v>
      </c>
      <c r="D2353" s="91" t="s">
        <v>20</v>
      </c>
      <c r="E2353" s="91"/>
      <c r="F2353">
        <v>76</v>
      </c>
      <c r="G2353" t="s">
        <v>1419</v>
      </c>
      <c r="H2353" s="89">
        <v>46188</v>
      </c>
      <c r="I2353" s="89">
        <v>46190</v>
      </c>
      <c r="J2353" s="91" t="s">
        <v>3549</v>
      </c>
      <c r="K2353" s="91"/>
      <c r="M2353" s="91"/>
      <c r="N2353" s="91" t="s">
        <v>3550</v>
      </c>
    </row>
    <row r="2354" spans="1:14" x14ac:dyDescent="0.25">
      <c r="A2354" s="91" t="s">
        <v>1317</v>
      </c>
      <c r="B2354" s="91" t="s">
        <v>1331</v>
      </c>
      <c r="C2354" s="91" t="s">
        <v>3561</v>
      </c>
      <c r="D2354" s="91" t="s">
        <v>20</v>
      </c>
      <c r="E2354" s="91"/>
      <c r="F2354">
        <v>10</v>
      </c>
      <c r="G2354" t="s">
        <v>1419</v>
      </c>
      <c r="H2354" s="89">
        <v>46188</v>
      </c>
      <c r="I2354" s="89">
        <v>46190</v>
      </c>
      <c r="J2354" s="91" t="s">
        <v>3549</v>
      </c>
      <c r="K2354" s="91"/>
      <c r="M2354" s="91"/>
      <c r="N2354" s="91" t="s">
        <v>3550</v>
      </c>
    </row>
    <row r="2355" spans="1:14" x14ac:dyDescent="0.25">
      <c r="A2355" s="91" t="s">
        <v>1318</v>
      </c>
      <c r="B2355" s="91" t="s">
        <v>1332</v>
      </c>
      <c r="C2355" s="91" t="s">
        <v>3562</v>
      </c>
      <c r="D2355" s="91" t="s">
        <v>20</v>
      </c>
      <c r="E2355" s="91"/>
      <c r="F2355">
        <v>64</v>
      </c>
      <c r="G2355" t="s">
        <v>1419</v>
      </c>
      <c r="H2355" s="89">
        <v>46188</v>
      </c>
      <c r="I2355" s="89">
        <v>46190</v>
      </c>
      <c r="J2355" s="91" t="s">
        <v>3549</v>
      </c>
      <c r="K2355" s="91"/>
      <c r="M2355" s="91"/>
      <c r="N2355" s="91" t="s">
        <v>3550</v>
      </c>
    </row>
    <row r="2356" spans="1:14" x14ac:dyDescent="0.25">
      <c r="A2356" s="91" t="s">
        <v>1320</v>
      </c>
      <c r="B2356" s="91" t="s">
        <v>1334</v>
      </c>
      <c r="C2356" s="91" t="s">
        <v>3563</v>
      </c>
      <c r="D2356" s="91" t="s">
        <v>118</v>
      </c>
      <c r="E2356" s="91"/>
      <c r="F2356">
        <v>960</v>
      </c>
      <c r="G2356">
        <v>20</v>
      </c>
      <c r="H2356" s="89">
        <v>46189</v>
      </c>
      <c r="I2356" s="89">
        <v>46192</v>
      </c>
      <c r="J2356" s="91" t="s">
        <v>3564</v>
      </c>
      <c r="K2356" s="91"/>
      <c r="M2356" s="91"/>
      <c r="N2356" s="91" t="s">
        <v>3550</v>
      </c>
    </row>
    <row r="2357" spans="1:14" x14ac:dyDescent="0.25">
      <c r="A2357" s="91" t="s">
        <v>1324</v>
      </c>
      <c r="B2357" s="91" t="s">
        <v>1338</v>
      </c>
      <c r="C2357" s="91" t="s">
        <v>3565</v>
      </c>
      <c r="D2357" s="91" t="s">
        <v>106</v>
      </c>
      <c r="E2357" s="91"/>
      <c r="F2357">
        <v>960</v>
      </c>
      <c r="G2357">
        <v>20</v>
      </c>
      <c r="H2357" s="89">
        <v>46189</v>
      </c>
      <c r="I2357" s="89">
        <v>46195</v>
      </c>
      <c r="J2357" s="91" t="s">
        <v>3566</v>
      </c>
      <c r="K2357" s="91"/>
      <c r="M2357" s="91"/>
      <c r="N2357" s="91" t="s">
        <v>3550</v>
      </c>
    </row>
    <row r="2358" spans="1:14" x14ac:dyDescent="0.25">
      <c r="A2358" s="91" t="s">
        <v>1324</v>
      </c>
      <c r="B2358" s="91" t="s">
        <v>1338</v>
      </c>
      <c r="C2358" s="91" t="s">
        <v>3567</v>
      </c>
      <c r="D2358" s="91" t="s">
        <v>23</v>
      </c>
      <c r="E2358" s="91"/>
      <c r="F2358">
        <v>960</v>
      </c>
      <c r="G2358">
        <v>20</v>
      </c>
      <c r="H2358" s="89">
        <v>46189</v>
      </c>
      <c r="I2358" s="89">
        <v>46195</v>
      </c>
      <c r="J2358" s="91" t="s">
        <v>3566</v>
      </c>
      <c r="K2358" s="91"/>
      <c r="M2358" s="91"/>
      <c r="N2358" s="91" t="s">
        <v>3550</v>
      </c>
    </row>
    <row r="2359" spans="1:14" x14ac:dyDescent="0.25">
      <c r="A2359" s="91" t="s">
        <v>1313</v>
      </c>
      <c r="B2359" s="91" t="s">
        <v>1327</v>
      </c>
      <c r="C2359" s="91" t="s">
        <v>3568</v>
      </c>
      <c r="D2359" s="91" t="s">
        <v>21</v>
      </c>
      <c r="E2359" s="91"/>
      <c r="F2359">
        <v>1056</v>
      </c>
      <c r="G2359">
        <v>22</v>
      </c>
      <c r="H2359" s="89">
        <v>46189</v>
      </c>
      <c r="I2359" s="89">
        <v>46192</v>
      </c>
      <c r="J2359" s="91" t="s">
        <v>3569</v>
      </c>
      <c r="K2359" s="91"/>
      <c r="M2359" s="91"/>
      <c r="N2359" s="91" t="s">
        <v>3550</v>
      </c>
    </row>
    <row r="2360" spans="1:14" x14ac:dyDescent="0.25">
      <c r="A2360" s="91" t="s">
        <v>1314</v>
      </c>
      <c r="B2360" s="91" t="s">
        <v>1328</v>
      </c>
      <c r="C2360" s="91" t="s">
        <v>3568</v>
      </c>
      <c r="D2360" s="91" t="s">
        <v>21</v>
      </c>
      <c r="E2360" s="91"/>
      <c r="F2360">
        <v>96</v>
      </c>
      <c r="G2360">
        <v>2</v>
      </c>
      <c r="H2360" s="89">
        <v>46189</v>
      </c>
      <c r="I2360" s="89">
        <v>46192</v>
      </c>
      <c r="J2360" s="91" t="s">
        <v>3570</v>
      </c>
      <c r="K2360" s="91"/>
      <c r="M2360" s="91"/>
      <c r="N2360" s="91" t="s">
        <v>3550</v>
      </c>
    </row>
    <row r="2361" spans="1:14" x14ac:dyDescent="0.25">
      <c r="A2361" s="91" t="s">
        <v>1320</v>
      </c>
      <c r="B2361" s="91" t="s">
        <v>1334</v>
      </c>
      <c r="C2361" s="91" t="s">
        <v>3568</v>
      </c>
      <c r="D2361" s="91" t="s">
        <v>21</v>
      </c>
      <c r="E2361" s="91"/>
      <c r="F2361">
        <v>432</v>
      </c>
      <c r="G2361">
        <v>9</v>
      </c>
      <c r="H2361" s="89">
        <v>46189</v>
      </c>
      <c r="I2361" s="89">
        <v>46193</v>
      </c>
      <c r="J2361" s="91" t="s">
        <v>3571</v>
      </c>
      <c r="K2361" s="91"/>
      <c r="M2361" s="91"/>
      <c r="N2361" s="91" t="s">
        <v>3550</v>
      </c>
    </row>
    <row r="2362" spans="1:14" x14ac:dyDescent="0.25">
      <c r="A2362" s="91" t="s">
        <v>1315</v>
      </c>
      <c r="B2362" s="91" t="s">
        <v>1329</v>
      </c>
      <c r="C2362" s="91" t="s">
        <v>3568</v>
      </c>
      <c r="D2362" s="91" t="s">
        <v>21</v>
      </c>
      <c r="E2362" s="91"/>
      <c r="F2362">
        <v>48</v>
      </c>
      <c r="G2362" t="s">
        <v>1419</v>
      </c>
      <c r="H2362" s="89">
        <v>46189</v>
      </c>
      <c r="I2362" s="89">
        <v>46191</v>
      </c>
      <c r="J2362" s="91" t="s">
        <v>3549</v>
      </c>
      <c r="K2362" s="91"/>
      <c r="M2362" s="91"/>
      <c r="N2362" s="91" t="s">
        <v>3550</v>
      </c>
    </row>
    <row r="2363" spans="1:14" x14ac:dyDescent="0.25">
      <c r="A2363" s="91" t="s">
        <v>1316</v>
      </c>
      <c r="B2363" s="91" t="s">
        <v>1330</v>
      </c>
      <c r="C2363" s="91" t="s">
        <v>3572</v>
      </c>
      <c r="D2363" s="91" t="s">
        <v>21</v>
      </c>
      <c r="E2363" s="91"/>
      <c r="F2363">
        <v>35</v>
      </c>
      <c r="G2363" t="s">
        <v>1419</v>
      </c>
      <c r="H2363" s="89">
        <v>46189</v>
      </c>
      <c r="I2363" s="89">
        <v>46191</v>
      </c>
      <c r="J2363" s="91" t="s">
        <v>3549</v>
      </c>
      <c r="K2363" s="91"/>
      <c r="M2363" s="91"/>
      <c r="N2363" s="91" t="s">
        <v>3550</v>
      </c>
    </row>
    <row r="2364" spans="1:14" x14ac:dyDescent="0.25">
      <c r="A2364" s="91" t="s">
        <v>1317</v>
      </c>
      <c r="B2364" s="91" t="s">
        <v>1331</v>
      </c>
      <c r="C2364" s="91" t="s">
        <v>3573</v>
      </c>
      <c r="D2364" s="91" t="s">
        <v>21</v>
      </c>
      <c r="E2364" s="91"/>
      <c r="F2364">
        <v>5</v>
      </c>
      <c r="G2364" t="s">
        <v>1419</v>
      </c>
      <c r="H2364" s="89">
        <v>46189</v>
      </c>
      <c r="I2364" s="89">
        <v>46191</v>
      </c>
      <c r="J2364" s="91" t="s">
        <v>3549</v>
      </c>
      <c r="K2364" s="91"/>
      <c r="M2364" s="91"/>
      <c r="N2364" s="91" t="s">
        <v>3550</v>
      </c>
    </row>
    <row r="2365" spans="1:14" x14ac:dyDescent="0.25">
      <c r="A2365" s="91" t="s">
        <v>1318</v>
      </c>
      <c r="B2365" s="91" t="s">
        <v>1332</v>
      </c>
      <c r="C2365" s="91" t="s">
        <v>3574</v>
      </c>
      <c r="D2365" s="91" t="s">
        <v>21</v>
      </c>
      <c r="E2365" s="91"/>
      <c r="F2365">
        <v>79</v>
      </c>
      <c r="G2365" t="s">
        <v>1419</v>
      </c>
      <c r="H2365" s="89">
        <v>46189</v>
      </c>
      <c r="I2365" s="89">
        <v>46191</v>
      </c>
      <c r="J2365" s="91" t="s">
        <v>3549</v>
      </c>
      <c r="K2365" s="91"/>
      <c r="M2365" s="91"/>
      <c r="N2365" s="91" t="s">
        <v>3550</v>
      </c>
    </row>
    <row r="2366" spans="1:14" x14ac:dyDescent="0.25">
      <c r="A2366" s="91" t="s">
        <v>1323</v>
      </c>
      <c r="B2366" s="91" t="s">
        <v>1337</v>
      </c>
      <c r="C2366" s="91" t="s">
        <v>3575</v>
      </c>
      <c r="D2366" s="91" t="s">
        <v>20</v>
      </c>
      <c r="E2366" s="91"/>
      <c r="F2366">
        <v>756</v>
      </c>
      <c r="G2366">
        <v>14</v>
      </c>
      <c r="H2366" s="89">
        <v>46189</v>
      </c>
      <c r="I2366" s="89">
        <v>46193</v>
      </c>
      <c r="J2366" s="91" t="s">
        <v>3576</v>
      </c>
      <c r="K2366" s="91"/>
      <c r="M2366" s="91"/>
      <c r="N2366" s="91" t="s">
        <v>3550</v>
      </c>
    </row>
    <row r="2367" spans="1:14" x14ac:dyDescent="0.25">
      <c r="A2367" s="91" t="s">
        <v>1322</v>
      </c>
      <c r="B2367" s="91" t="s">
        <v>1336</v>
      </c>
      <c r="C2367" s="91" t="s">
        <v>3575</v>
      </c>
      <c r="D2367" s="91" t="s">
        <v>20</v>
      </c>
      <c r="E2367" s="91"/>
      <c r="F2367">
        <v>324</v>
      </c>
      <c r="G2367">
        <v>6</v>
      </c>
      <c r="H2367" s="89">
        <v>46189</v>
      </c>
      <c r="I2367" s="89">
        <v>46193</v>
      </c>
      <c r="J2367" s="91" t="s">
        <v>3576</v>
      </c>
      <c r="K2367" s="91"/>
      <c r="M2367" s="91"/>
      <c r="N2367" s="91" t="s">
        <v>3550</v>
      </c>
    </row>
    <row r="2368" spans="1:14" x14ac:dyDescent="0.25">
      <c r="A2368" s="91" t="s">
        <v>1313</v>
      </c>
      <c r="B2368" s="91" t="s">
        <v>1327</v>
      </c>
      <c r="C2368" s="91" t="s">
        <v>3575</v>
      </c>
      <c r="D2368" s="91" t="s">
        <v>20</v>
      </c>
      <c r="E2368" s="91"/>
      <c r="F2368">
        <v>144</v>
      </c>
      <c r="G2368">
        <v>3</v>
      </c>
      <c r="H2368" s="89">
        <v>46189</v>
      </c>
      <c r="I2368" s="89">
        <v>46193</v>
      </c>
      <c r="J2368" s="91" t="s">
        <v>3558</v>
      </c>
      <c r="K2368" s="91"/>
      <c r="M2368" s="91"/>
      <c r="N2368" s="91" t="s">
        <v>3550</v>
      </c>
    </row>
    <row r="2369" spans="1:14" x14ac:dyDescent="0.25">
      <c r="A2369" s="91" t="s">
        <v>1316</v>
      </c>
      <c r="B2369" s="91" t="s">
        <v>1330</v>
      </c>
      <c r="C2369" s="91" t="s">
        <v>3577</v>
      </c>
      <c r="D2369" s="91" t="s">
        <v>20</v>
      </c>
      <c r="E2369" s="91"/>
      <c r="F2369">
        <v>69</v>
      </c>
      <c r="G2369" t="s">
        <v>1419</v>
      </c>
      <c r="H2369" s="89">
        <v>46189</v>
      </c>
      <c r="I2369" s="89">
        <v>46191</v>
      </c>
      <c r="J2369" s="91" t="s">
        <v>3549</v>
      </c>
      <c r="K2369" s="91"/>
      <c r="M2369" s="91"/>
      <c r="N2369" s="91" t="s">
        <v>3550</v>
      </c>
    </row>
    <row r="2370" spans="1:14" x14ac:dyDescent="0.25">
      <c r="A2370" s="91" t="s">
        <v>1317</v>
      </c>
      <c r="B2370" s="91" t="s">
        <v>1331</v>
      </c>
      <c r="C2370" s="91" t="s">
        <v>3578</v>
      </c>
      <c r="D2370" s="91" t="s">
        <v>20</v>
      </c>
      <c r="E2370" s="91"/>
      <c r="F2370">
        <v>7</v>
      </c>
      <c r="G2370" t="s">
        <v>1419</v>
      </c>
      <c r="H2370" s="89">
        <v>46189</v>
      </c>
      <c r="I2370" s="89">
        <v>46191</v>
      </c>
      <c r="J2370" s="91" t="s">
        <v>3549</v>
      </c>
      <c r="K2370" s="91"/>
      <c r="M2370" s="91"/>
      <c r="N2370" s="91" t="s">
        <v>3550</v>
      </c>
    </row>
    <row r="2371" spans="1:14" x14ac:dyDescent="0.25">
      <c r="A2371" s="91" t="s">
        <v>1318</v>
      </c>
      <c r="B2371" s="91" t="s">
        <v>1332</v>
      </c>
      <c r="C2371" s="91" t="s">
        <v>3579</v>
      </c>
      <c r="D2371" s="91" t="s">
        <v>20</v>
      </c>
      <c r="E2371" s="91"/>
      <c r="F2371">
        <v>41</v>
      </c>
      <c r="G2371" t="s">
        <v>1419</v>
      </c>
      <c r="H2371" s="89">
        <v>46189</v>
      </c>
      <c r="I2371" s="89">
        <v>46191</v>
      </c>
      <c r="J2371" s="91" t="s">
        <v>3549</v>
      </c>
      <c r="K2371" s="91"/>
      <c r="M2371" s="91"/>
      <c r="N2371" s="91" t="s">
        <v>3550</v>
      </c>
    </row>
    <row r="2372" spans="1:14" x14ac:dyDescent="0.25">
      <c r="A2372" s="91" t="s">
        <v>1320</v>
      </c>
      <c r="B2372" s="91" t="s">
        <v>1334</v>
      </c>
      <c r="C2372" s="91" t="s">
        <v>3580</v>
      </c>
      <c r="D2372" s="91" t="s">
        <v>15</v>
      </c>
      <c r="E2372" s="91"/>
      <c r="F2372">
        <v>960</v>
      </c>
      <c r="G2372">
        <v>20</v>
      </c>
      <c r="H2372" s="89">
        <v>46189</v>
      </c>
      <c r="I2372" s="89">
        <v>46192</v>
      </c>
      <c r="J2372" s="91" t="s">
        <v>3581</v>
      </c>
      <c r="K2372" s="91"/>
      <c r="M2372" s="91"/>
      <c r="N2372" s="91" t="s">
        <v>3550</v>
      </c>
    </row>
    <row r="2373" spans="1:14" x14ac:dyDescent="0.25">
      <c r="A2373" s="91" t="s">
        <v>1320</v>
      </c>
      <c r="B2373" s="91" t="s">
        <v>1334</v>
      </c>
      <c r="C2373" s="91" t="s">
        <v>3580</v>
      </c>
      <c r="D2373" s="91" t="s">
        <v>15</v>
      </c>
      <c r="E2373" s="91"/>
      <c r="F2373">
        <v>240</v>
      </c>
      <c r="G2373">
        <v>5</v>
      </c>
      <c r="H2373" s="89">
        <v>46189</v>
      </c>
      <c r="I2373" s="89">
        <v>46193</v>
      </c>
      <c r="J2373" s="91" t="s">
        <v>3582</v>
      </c>
      <c r="K2373" s="91"/>
      <c r="M2373" s="91"/>
      <c r="N2373" s="91" t="s">
        <v>3550</v>
      </c>
    </row>
    <row r="2374" spans="1:14" x14ac:dyDescent="0.25">
      <c r="A2374" s="91" t="s">
        <v>1313</v>
      </c>
      <c r="B2374" s="91" t="s">
        <v>1327</v>
      </c>
      <c r="C2374" s="91" t="s">
        <v>3580</v>
      </c>
      <c r="D2374" s="91" t="s">
        <v>15</v>
      </c>
      <c r="E2374" s="91"/>
      <c r="F2374">
        <v>480</v>
      </c>
      <c r="G2374">
        <v>10</v>
      </c>
      <c r="H2374" s="89">
        <v>46189</v>
      </c>
      <c r="I2374" s="89">
        <v>46193</v>
      </c>
      <c r="J2374" s="91" t="s">
        <v>3558</v>
      </c>
      <c r="K2374" s="91"/>
      <c r="M2374" s="91"/>
      <c r="N2374" s="91" t="s">
        <v>3550</v>
      </c>
    </row>
    <row r="2375" spans="1:14" x14ac:dyDescent="0.25">
      <c r="A2375" s="91" t="s">
        <v>1315</v>
      </c>
      <c r="B2375" s="91" t="s">
        <v>1329</v>
      </c>
      <c r="C2375" s="91" t="s">
        <v>3580</v>
      </c>
      <c r="D2375" s="91" t="s">
        <v>15</v>
      </c>
      <c r="E2375" s="91"/>
      <c r="F2375">
        <v>41</v>
      </c>
      <c r="G2375" t="s">
        <v>1419</v>
      </c>
      <c r="H2375" s="89">
        <v>46189</v>
      </c>
      <c r="I2375" s="89">
        <v>46191</v>
      </c>
      <c r="J2375" s="91" t="s">
        <v>3549</v>
      </c>
      <c r="K2375" s="91"/>
      <c r="M2375" s="91"/>
      <c r="N2375" s="91" t="s">
        <v>3550</v>
      </c>
    </row>
    <row r="2376" spans="1:14" x14ac:dyDescent="0.25">
      <c r="A2376" s="91" t="s">
        <v>1318</v>
      </c>
      <c r="B2376" s="91" t="s">
        <v>1332</v>
      </c>
      <c r="C2376" s="91" t="s">
        <v>3583</v>
      </c>
      <c r="D2376" s="91" t="s">
        <v>15</v>
      </c>
      <c r="E2376" s="91"/>
      <c r="F2376">
        <v>7</v>
      </c>
      <c r="G2376" t="s">
        <v>1419</v>
      </c>
      <c r="H2376" s="89">
        <v>46189</v>
      </c>
      <c r="I2376" s="89">
        <v>46191</v>
      </c>
      <c r="J2376" s="91" t="s">
        <v>3549</v>
      </c>
      <c r="K2376" s="91"/>
      <c r="M2376" s="91"/>
      <c r="N2376" s="91" t="s">
        <v>3550</v>
      </c>
    </row>
    <row r="2377" spans="1:14" x14ac:dyDescent="0.25">
      <c r="A2377" s="91" t="s">
        <v>1316</v>
      </c>
      <c r="B2377" s="91" t="s">
        <v>1330</v>
      </c>
      <c r="C2377" s="91" t="s">
        <v>3584</v>
      </c>
      <c r="D2377" s="91" t="s">
        <v>15</v>
      </c>
      <c r="E2377" s="91"/>
      <c r="F2377">
        <v>85</v>
      </c>
      <c r="G2377" t="s">
        <v>1419</v>
      </c>
      <c r="H2377" s="89">
        <v>46189</v>
      </c>
      <c r="I2377" s="89">
        <v>46191</v>
      </c>
      <c r="J2377" s="91" t="s">
        <v>3549</v>
      </c>
      <c r="K2377" s="91"/>
      <c r="M2377" s="91"/>
      <c r="N2377" s="91" t="s">
        <v>3550</v>
      </c>
    </row>
    <row r="2378" spans="1:14" x14ac:dyDescent="0.25">
      <c r="A2378" s="91" t="s">
        <v>1317</v>
      </c>
      <c r="B2378" s="91" t="s">
        <v>1331</v>
      </c>
      <c r="C2378" s="91" t="s">
        <v>3585</v>
      </c>
      <c r="D2378" s="91" t="s">
        <v>15</v>
      </c>
      <c r="E2378" s="91"/>
      <c r="F2378">
        <v>20</v>
      </c>
      <c r="G2378" t="s">
        <v>1419</v>
      </c>
      <c r="H2378" s="89">
        <v>46189</v>
      </c>
      <c r="I2378" s="89">
        <v>46191</v>
      </c>
      <c r="J2378" s="91" t="s">
        <v>3549</v>
      </c>
      <c r="K2378" s="91"/>
      <c r="M2378" s="91"/>
      <c r="N2378" s="91" t="s">
        <v>3550</v>
      </c>
    </row>
    <row r="2379" spans="1:14" x14ac:dyDescent="0.25">
      <c r="A2379" s="91" t="s">
        <v>1320</v>
      </c>
      <c r="B2379" s="91" t="s">
        <v>1334</v>
      </c>
      <c r="C2379" s="91" t="s">
        <v>3586</v>
      </c>
      <c r="D2379" s="91" t="s">
        <v>23</v>
      </c>
      <c r="E2379" s="91"/>
      <c r="F2379">
        <v>960</v>
      </c>
      <c r="G2379">
        <v>20</v>
      </c>
      <c r="H2379" s="89">
        <v>46190</v>
      </c>
      <c r="I2379" s="89">
        <v>46193</v>
      </c>
      <c r="J2379" s="91" t="s">
        <v>3587</v>
      </c>
      <c r="K2379" s="91"/>
      <c r="M2379" s="91"/>
      <c r="N2379" s="91" t="s">
        <v>3550</v>
      </c>
    </row>
    <row r="2380" spans="1:14" x14ac:dyDescent="0.25">
      <c r="A2380" s="91" t="s">
        <v>1326</v>
      </c>
      <c r="B2380" s="91" t="s">
        <v>1340</v>
      </c>
      <c r="C2380" s="91" t="s">
        <v>3588</v>
      </c>
      <c r="D2380" s="91" t="s">
        <v>32</v>
      </c>
      <c r="E2380" s="91"/>
      <c r="F2380">
        <v>840</v>
      </c>
      <c r="G2380">
        <v>20</v>
      </c>
      <c r="H2380" s="89">
        <v>46190</v>
      </c>
      <c r="I2380" s="89">
        <v>46196</v>
      </c>
      <c r="J2380" s="91" t="s">
        <v>3589</v>
      </c>
      <c r="K2380" s="91"/>
      <c r="M2380" s="91"/>
      <c r="N2380" s="91" t="s">
        <v>3550</v>
      </c>
    </row>
    <row r="2381" spans="1:14" x14ac:dyDescent="0.25">
      <c r="A2381" s="91" t="s">
        <v>1320</v>
      </c>
      <c r="B2381" s="91" t="s">
        <v>1334</v>
      </c>
      <c r="C2381" s="91" t="s">
        <v>3590</v>
      </c>
      <c r="D2381" s="91" t="s">
        <v>21</v>
      </c>
      <c r="E2381" s="91"/>
      <c r="F2381">
        <v>960</v>
      </c>
      <c r="G2381">
        <v>20</v>
      </c>
      <c r="H2381" s="89">
        <v>46190</v>
      </c>
      <c r="I2381" s="89">
        <v>46193</v>
      </c>
      <c r="J2381" s="91" t="s">
        <v>3591</v>
      </c>
      <c r="K2381" s="91"/>
      <c r="M2381" s="91"/>
      <c r="N2381" s="91" t="s">
        <v>3550</v>
      </c>
    </row>
    <row r="2382" spans="1:14" x14ac:dyDescent="0.25">
      <c r="A2382" s="91" t="s">
        <v>1320</v>
      </c>
      <c r="B2382" s="91" t="s">
        <v>1334</v>
      </c>
      <c r="C2382" s="91" t="s">
        <v>3590</v>
      </c>
      <c r="D2382" s="91" t="s">
        <v>21</v>
      </c>
      <c r="E2382" s="91"/>
      <c r="F2382">
        <v>528</v>
      </c>
      <c r="G2382">
        <v>11</v>
      </c>
      <c r="H2382" s="89">
        <v>46190</v>
      </c>
      <c r="I2382" s="89">
        <v>46193</v>
      </c>
      <c r="J2382" s="91" t="s">
        <v>3571</v>
      </c>
      <c r="K2382" s="91"/>
      <c r="M2382" s="91"/>
      <c r="N2382" s="91" t="s">
        <v>3550</v>
      </c>
    </row>
    <row r="2383" spans="1:14" x14ac:dyDescent="0.25">
      <c r="A2383" s="91" t="s">
        <v>1315</v>
      </c>
      <c r="B2383" s="91" t="s">
        <v>1329</v>
      </c>
      <c r="C2383" s="91" t="s">
        <v>3590</v>
      </c>
      <c r="D2383" s="91" t="s">
        <v>21</v>
      </c>
      <c r="E2383" s="91"/>
      <c r="F2383">
        <v>131</v>
      </c>
      <c r="G2383" t="s">
        <v>1419</v>
      </c>
      <c r="H2383" s="89">
        <v>46190</v>
      </c>
      <c r="I2383" s="89">
        <v>46191</v>
      </c>
      <c r="J2383" s="91" t="s">
        <v>3549</v>
      </c>
      <c r="K2383" s="91"/>
      <c r="M2383" s="91"/>
      <c r="N2383" s="91" t="s">
        <v>3550</v>
      </c>
    </row>
    <row r="2384" spans="1:14" x14ac:dyDescent="0.25">
      <c r="A2384" s="91" t="s">
        <v>1316</v>
      </c>
      <c r="B2384" s="91" t="s">
        <v>1330</v>
      </c>
      <c r="C2384" s="91" t="s">
        <v>3592</v>
      </c>
      <c r="D2384" s="91" t="s">
        <v>21</v>
      </c>
      <c r="E2384" s="91"/>
      <c r="F2384">
        <v>20</v>
      </c>
      <c r="G2384" t="s">
        <v>1419</v>
      </c>
      <c r="H2384" s="89">
        <v>46190</v>
      </c>
      <c r="I2384" s="89">
        <v>46192</v>
      </c>
      <c r="J2384" s="91" t="s">
        <v>3549</v>
      </c>
      <c r="K2384" s="91"/>
      <c r="M2384" s="91"/>
      <c r="N2384" s="91" t="s">
        <v>3550</v>
      </c>
    </row>
    <row r="2385" spans="1:14" x14ac:dyDescent="0.25">
      <c r="A2385" s="91" t="s">
        <v>1317</v>
      </c>
      <c r="B2385" s="91" t="s">
        <v>1331</v>
      </c>
      <c r="C2385" s="91" t="s">
        <v>3593</v>
      </c>
      <c r="D2385" s="91" t="s">
        <v>21</v>
      </c>
      <c r="E2385" s="91"/>
      <c r="F2385">
        <v>16</v>
      </c>
      <c r="G2385" t="s">
        <v>1419</v>
      </c>
      <c r="H2385" s="89">
        <v>46190</v>
      </c>
      <c r="I2385" s="89">
        <v>46192</v>
      </c>
      <c r="J2385" s="91" t="s">
        <v>3549</v>
      </c>
      <c r="K2385" s="91"/>
      <c r="M2385" s="91"/>
      <c r="N2385" s="91" t="s">
        <v>3550</v>
      </c>
    </row>
    <row r="2386" spans="1:14" x14ac:dyDescent="0.25">
      <c r="A2386" s="91" t="s">
        <v>1318</v>
      </c>
      <c r="B2386" s="91" t="s">
        <v>1332</v>
      </c>
      <c r="C2386" s="91" t="s">
        <v>3594</v>
      </c>
      <c r="D2386" s="91" t="s">
        <v>21</v>
      </c>
      <c r="E2386" s="91"/>
      <c r="F2386">
        <v>55</v>
      </c>
      <c r="G2386" t="s">
        <v>1419</v>
      </c>
      <c r="H2386" s="89">
        <v>46190</v>
      </c>
      <c r="I2386" s="89">
        <v>46192</v>
      </c>
      <c r="J2386" s="91" t="s">
        <v>3549</v>
      </c>
      <c r="K2386" s="91"/>
      <c r="M2386" s="91"/>
      <c r="N2386" s="91" t="s">
        <v>3550</v>
      </c>
    </row>
    <row r="2387" spans="1:14" x14ac:dyDescent="0.25">
      <c r="A2387" s="91" t="s">
        <v>1313</v>
      </c>
      <c r="B2387" s="91" t="s">
        <v>1327</v>
      </c>
      <c r="C2387" s="91" t="s">
        <v>3595</v>
      </c>
      <c r="D2387" s="91" t="s">
        <v>20</v>
      </c>
      <c r="E2387" s="91"/>
      <c r="F2387">
        <v>480</v>
      </c>
      <c r="G2387">
        <v>10</v>
      </c>
      <c r="H2387" s="89">
        <v>46190</v>
      </c>
      <c r="I2387" s="89">
        <v>46193</v>
      </c>
      <c r="J2387" s="91" t="s">
        <v>3558</v>
      </c>
      <c r="K2387" s="91"/>
      <c r="M2387" s="91"/>
      <c r="N2387" s="91" t="s">
        <v>3550</v>
      </c>
    </row>
    <row r="2388" spans="1:14" x14ac:dyDescent="0.25">
      <c r="A2388" s="91" t="s">
        <v>1313</v>
      </c>
      <c r="B2388" s="91" t="s">
        <v>1327</v>
      </c>
      <c r="C2388" s="91" t="s">
        <v>3595</v>
      </c>
      <c r="D2388" s="91" t="s">
        <v>20</v>
      </c>
      <c r="E2388" s="91"/>
      <c r="F2388">
        <v>480</v>
      </c>
      <c r="G2388">
        <v>10</v>
      </c>
      <c r="H2388" s="89">
        <v>46190</v>
      </c>
      <c r="I2388" s="89">
        <v>46194</v>
      </c>
      <c r="J2388" s="91" t="s">
        <v>3596</v>
      </c>
      <c r="K2388" s="91"/>
      <c r="M2388" s="91"/>
      <c r="N2388" s="91" t="s">
        <v>3550</v>
      </c>
    </row>
    <row r="2389" spans="1:14" x14ac:dyDescent="0.25">
      <c r="A2389" s="91" t="s">
        <v>1315</v>
      </c>
      <c r="B2389" s="91" t="s">
        <v>1329</v>
      </c>
      <c r="C2389" s="91" t="s">
        <v>3595</v>
      </c>
      <c r="D2389" s="91" t="s">
        <v>20</v>
      </c>
      <c r="E2389" s="91"/>
      <c r="F2389">
        <v>62</v>
      </c>
      <c r="G2389" t="s">
        <v>1419</v>
      </c>
      <c r="H2389" s="89">
        <v>46190</v>
      </c>
      <c r="I2389" s="89">
        <v>46192</v>
      </c>
      <c r="J2389" s="91" t="s">
        <v>3549</v>
      </c>
      <c r="K2389" s="91"/>
      <c r="M2389" s="91"/>
      <c r="N2389" s="91" t="s">
        <v>3550</v>
      </c>
    </row>
    <row r="2390" spans="1:14" x14ac:dyDescent="0.25">
      <c r="A2390" s="91" t="s">
        <v>1316</v>
      </c>
      <c r="B2390" s="91" t="s">
        <v>1330</v>
      </c>
      <c r="C2390" s="91" t="s">
        <v>3597</v>
      </c>
      <c r="D2390" s="91" t="s">
        <v>20</v>
      </c>
      <c r="E2390" s="91"/>
      <c r="F2390">
        <v>78</v>
      </c>
      <c r="G2390" t="s">
        <v>1419</v>
      </c>
      <c r="H2390" s="89">
        <v>46190</v>
      </c>
      <c r="I2390" s="89">
        <v>46192</v>
      </c>
      <c r="J2390" s="91" t="s">
        <v>3549</v>
      </c>
      <c r="K2390" s="91"/>
      <c r="M2390" s="91"/>
      <c r="N2390" s="91" t="s">
        <v>3550</v>
      </c>
    </row>
    <row r="2391" spans="1:14" x14ac:dyDescent="0.25">
      <c r="A2391" s="91" t="s">
        <v>1317</v>
      </c>
      <c r="B2391" s="91" t="s">
        <v>1331</v>
      </c>
      <c r="C2391" s="91" t="s">
        <v>3598</v>
      </c>
      <c r="D2391" s="91" t="s">
        <v>20</v>
      </c>
      <c r="E2391" s="91"/>
      <c r="F2391">
        <v>7</v>
      </c>
      <c r="G2391" t="s">
        <v>1419</v>
      </c>
      <c r="H2391" s="89">
        <v>46190</v>
      </c>
      <c r="I2391" s="89">
        <v>46192</v>
      </c>
      <c r="J2391" s="91" t="s">
        <v>3549</v>
      </c>
      <c r="K2391" s="91"/>
      <c r="M2391" s="91"/>
      <c r="N2391" s="91" t="s">
        <v>3550</v>
      </c>
    </row>
    <row r="2392" spans="1:14" x14ac:dyDescent="0.25">
      <c r="A2392" s="91" t="s">
        <v>1318</v>
      </c>
      <c r="B2392" s="91" t="s">
        <v>1332</v>
      </c>
      <c r="C2392" s="91" t="s">
        <v>3599</v>
      </c>
      <c r="D2392" s="91" t="s">
        <v>20</v>
      </c>
      <c r="E2392" s="91"/>
      <c r="F2392">
        <v>49</v>
      </c>
      <c r="G2392" t="s">
        <v>1419</v>
      </c>
      <c r="H2392" s="89">
        <v>46190</v>
      </c>
      <c r="I2392" s="89">
        <v>46192</v>
      </c>
      <c r="J2392" s="91" t="s">
        <v>3549</v>
      </c>
      <c r="K2392" s="91"/>
      <c r="M2392" s="91"/>
      <c r="N2392" s="91" t="s">
        <v>3550</v>
      </c>
    </row>
    <row r="2393" spans="1:14" x14ac:dyDescent="0.25">
      <c r="A2393" s="91" t="s">
        <v>1313</v>
      </c>
      <c r="B2393" s="91" t="s">
        <v>1327</v>
      </c>
      <c r="C2393" s="91" t="s">
        <v>3600</v>
      </c>
      <c r="D2393" s="91" t="s">
        <v>15</v>
      </c>
      <c r="E2393" s="91"/>
      <c r="F2393">
        <v>144</v>
      </c>
      <c r="G2393">
        <v>3</v>
      </c>
      <c r="H2393" s="89">
        <v>46190</v>
      </c>
      <c r="I2393" s="89">
        <v>46194</v>
      </c>
      <c r="J2393" s="91" t="s">
        <v>3596</v>
      </c>
      <c r="K2393" s="91"/>
      <c r="M2393" s="91"/>
      <c r="N2393" s="91" t="s">
        <v>3550</v>
      </c>
    </row>
    <row r="2394" spans="1:14" x14ac:dyDescent="0.25">
      <c r="A2394" s="91" t="s">
        <v>1320</v>
      </c>
      <c r="B2394" s="91" t="s">
        <v>1334</v>
      </c>
      <c r="C2394" s="91" t="s">
        <v>3600</v>
      </c>
      <c r="D2394" s="91" t="s">
        <v>15</v>
      </c>
      <c r="E2394" s="91"/>
      <c r="F2394">
        <v>720</v>
      </c>
      <c r="G2394">
        <v>15</v>
      </c>
      <c r="H2394" s="89">
        <v>46190</v>
      </c>
      <c r="I2394" s="89">
        <v>46193</v>
      </c>
      <c r="J2394" s="91" t="s">
        <v>3582</v>
      </c>
      <c r="K2394" s="91"/>
      <c r="M2394" s="91"/>
      <c r="N2394" s="91" t="s">
        <v>3550</v>
      </c>
    </row>
    <row r="2395" spans="1:14" x14ac:dyDescent="0.25">
      <c r="A2395" s="91" t="s">
        <v>1320</v>
      </c>
      <c r="B2395" s="91" t="s">
        <v>1334</v>
      </c>
      <c r="C2395" s="91" t="s">
        <v>3600</v>
      </c>
      <c r="D2395" s="91" t="s">
        <v>15</v>
      </c>
      <c r="E2395" s="91"/>
      <c r="F2395">
        <v>480</v>
      </c>
      <c r="G2395">
        <v>10</v>
      </c>
      <c r="H2395" s="89">
        <v>46190</v>
      </c>
      <c r="I2395" s="89">
        <v>46195</v>
      </c>
      <c r="J2395" s="91" t="s">
        <v>3601</v>
      </c>
      <c r="K2395" s="91"/>
      <c r="M2395" s="91"/>
      <c r="N2395" s="91" t="s">
        <v>3550</v>
      </c>
    </row>
    <row r="2396" spans="1:14" x14ac:dyDescent="0.25">
      <c r="A2396" s="91" t="s">
        <v>1314</v>
      </c>
      <c r="B2396" s="91" t="s">
        <v>1328</v>
      </c>
      <c r="C2396" s="91" t="s">
        <v>3600</v>
      </c>
      <c r="D2396" s="91" t="s">
        <v>15</v>
      </c>
      <c r="E2396" s="91"/>
      <c r="F2396">
        <v>288</v>
      </c>
      <c r="G2396">
        <v>6</v>
      </c>
      <c r="H2396" s="89">
        <v>46190</v>
      </c>
      <c r="I2396" s="89">
        <v>46194</v>
      </c>
      <c r="J2396" s="91" t="s">
        <v>3602</v>
      </c>
      <c r="K2396" s="91"/>
      <c r="M2396" s="91"/>
      <c r="N2396" s="91" t="s">
        <v>3550</v>
      </c>
    </row>
    <row r="2397" spans="1:14" x14ac:dyDescent="0.25">
      <c r="A2397" s="91" t="s">
        <v>1315</v>
      </c>
      <c r="B2397" s="91" t="s">
        <v>1329</v>
      </c>
      <c r="C2397" s="91" t="s">
        <v>3600</v>
      </c>
      <c r="D2397" s="91" t="s">
        <v>15</v>
      </c>
      <c r="E2397" s="91"/>
      <c r="F2397">
        <v>15</v>
      </c>
      <c r="G2397" t="s">
        <v>1419</v>
      </c>
      <c r="H2397" s="89">
        <v>46190</v>
      </c>
      <c r="I2397" s="89">
        <v>46192</v>
      </c>
      <c r="J2397" s="91" t="s">
        <v>3549</v>
      </c>
      <c r="K2397" s="91"/>
      <c r="M2397" s="91"/>
      <c r="N2397" s="91" t="s">
        <v>3550</v>
      </c>
    </row>
    <row r="2398" spans="1:14" x14ac:dyDescent="0.25">
      <c r="A2398" s="91" t="s">
        <v>1316</v>
      </c>
      <c r="B2398" s="91" t="s">
        <v>1330</v>
      </c>
      <c r="C2398" s="91" t="s">
        <v>3603</v>
      </c>
      <c r="D2398" s="91" t="s">
        <v>15</v>
      </c>
      <c r="E2398" s="91"/>
      <c r="F2398">
        <v>82</v>
      </c>
      <c r="G2398" t="s">
        <v>1419</v>
      </c>
      <c r="H2398" s="89">
        <v>46190</v>
      </c>
      <c r="I2398" s="89">
        <v>46192</v>
      </c>
      <c r="J2398" s="91" t="s">
        <v>3549</v>
      </c>
      <c r="K2398" s="91"/>
      <c r="M2398" s="91"/>
      <c r="N2398" s="91" t="s">
        <v>3550</v>
      </c>
    </row>
    <row r="2399" spans="1:14" x14ac:dyDescent="0.25">
      <c r="A2399" s="91" t="s">
        <v>1317</v>
      </c>
      <c r="B2399" s="91" t="s">
        <v>1331</v>
      </c>
      <c r="C2399" s="91" t="s">
        <v>3604</v>
      </c>
      <c r="D2399" s="91" t="s">
        <v>15</v>
      </c>
      <c r="E2399" s="91"/>
      <c r="F2399">
        <v>25</v>
      </c>
      <c r="G2399" t="s">
        <v>1419</v>
      </c>
      <c r="H2399" s="89">
        <v>46190</v>
      </c>
      <c r="I2399" s="89">
        <v>46192</v>
      </c>
      <c r="J2399" s="91" t="s">
        <v>3549</v>
      </c>
      <c r="K2399" s="91"/>
      <c r="M2399" s="91"/>
      <c r="N2399" s="91" t="s">
        <v>3550</v>
      </c>
    </row>
    <row r="2400" spans="1:14" x14ac:dyDescent="0.25">
      <c r="A2400" s="91" t="s">
        <v>1318</v>
      </c>
      <c r="B2400" s="91" t="s">
        <v>1332</v>
      </c>
      <c r="C2400" s="91" t="s">
        <v>3605</v>
      </c>
      <c r="D2400" s="91" t="s">
        <v>15</v>
      </c>
      <c r="E2400" s="91"/>
      <c r="F2400">
        <v>33</v>
      </c>
      <c r="G2400" t="s">
        <v>1419</v>
      </c>
      <c r="H2400" s="89">
        <v>46190</v>
      </c>
      <c r="I2400" s="89">
        <v>46192</v>
      </c>
      <c r="J2400" s="91" t="s">
        <v>3549</v>
      </c>
      <c r="K2400" s="91"/>
      <c r="M2400" s="91"/>
      <c r="N2400" s="91" t="s">
        <v>3550</v>
      </c>
    </row>
    <row r="2401" spans="1:14" x14ac:dyDescent="0.25">
      <c r="A2401" s="91" t="s">
        <v>1320</v>
      </c>
      <c r="B2401" s="91" t="s">
        <v>1334</v>
      </c>
      <c r="C2401" s="91" t="s">
        <v>3606</v>
      </c>
      <c r="D2401" s="91" t="s">
        <v>23</v>
      </c>
      <c r="E2401" s="91"/>
      <c r="F2401">
        <v>960</v>
      </c>
      <c r="G2401">
        <v>20</v>
      </c>
      <c r="H2401" s="89">
        <v>46191</v>
      </c>
      <c r="I2401" s="89">
        <v>46195</v>
      </c>
      <c r="J2401" s="91" t="s">
        <v>3607</v>
      </c>
      <c r="K2401" s="91"/>
      <c r="M2401" s="91"/>
      <c r="N2401" s="91" t="s">
        <v>3550</v>
      </c>
    </row>
    <row r="2402" spans="1:14" x14ac:dyDescent="0.25">
      <c r="A2402" s="91" t="s">
        <v>1320</v>
      </c>
      <c r="B2402" s="91" t="s">
        <v>1334</v>
      </c>
      <c r="C2402" s="91" t="s">
        <v>3608</v>
      </c>
      <c r="D2402" s="91" t="s">
        <v>15</v>
      </c>
      <c r="E2402" s="91"/>
      <c r="F2402">
        <v>480</v>
      </c>
      <c r="G2402">
        <v>10</v>
      </c>
      <c r="H2402" s="89">
        <v>46191</v>
      </c>
      <c r="I2402" s="89">
        <v>46195</v>
      </c>
      <c r="J2402" s="91" t="s">
        <v>3601</v>
      </c>
      <c r="K2402" s="91"/>
      <c r="M2402" s="91"/>
      <c r="N2402" s="91" t="s">
        <v>3550</v>
      </c>
    </row>
    <row r="2403" spans="1:14" x14ac:dyDescent="0.25">
      <c r="A2403" s="91" t="s">
        <v>1320</v>
      </c>
      <c r="B2403" s="91" t="s">
        <v>1334</v>
      </c>
      <c r="C2403" s="91" t="s">
        <v>3608</v>
      </c>
      <c r="D2403" s="91" t="s">
        <v>15</v>
      </c>
      <c r="E2403" s="91"/>
      <c r="F2403">
        <v>480</v>
      </c>
      <c r="G2403">
        <v>10</v>
      </c>
      <c r="H2403" s="89">
        <v>46191</v>
      </c>
      <c r="I2403" s="89">
        <v>46196</v>
      </c>
      <c r="J2403" s="91" t="s">
        <v>3609</v>
      </c>
      <c r="K2403" s="91"/>
      <c r="M2403" s="91"/>
      <c r="N2403" s="91" t="s">
        <v>3550</v>
      </c>
    </row>
    <row r="2404" spans="1:14" x14ac:dyDescent="0.25">
      <c r="A2404" s="91" t="s">
        <v>1314</v>
      </c>
      <c r="B2404" s="91" t="s">
        <v>1328</v>
      </c>
      <c r="C2404" s="91" t="s">
        <v>3608</v>
      </c>
      <c r="D2404" s="91" t="s">
        <v>15</v>
      </c>
      <c r="E2404" s="91"/>
      <c r="F2404">
        <v>96</v>
      </c>
      <c r="G2404">
        <v>2</v>
      </c>
      <c r="H2404" s="89">
        <v>46191</v>
      </c>
      <c r="I2404" s="89">
        <v>46195</v>
      </c>
      <c r="J2404" s="91" t="s">
        <v>3610</v>
      </c>
      <c r="K2404" s="91"/>
      <c r="M2404" s="91"/>
      <c r="N2404" s="91" t="s">
        <v>3550</v>
      </c>
    </row>
    <row r="2405" spans="1:14" x14ac:dyDescent="0.25">
      <c r="A2405" s="91" t="s">
        <v>1313</v>
      </c>
      <c r="B2405" s="91" t="s">
        <v>1327</v>
      </c>
      <c r="C2405" s="91" t="s">
        <v>3608</v>
      </c>
      <c r="D2405" s="91" t="s">
        <v>15</v>
      </c>
      <c r="E2405" s="91"/>
      <c r="F2405">
        <v>192</v>
      </c>
      <c r="G2405">
        <v>4</v>
      </c>
      <c r="H2405" s="89">
        <v>46191</v>
      </c>
      <c r="I2405" s="89">
        <v>46196</v>
      </c>
      <c r="J2405" s="91" t="s">
        <v>3611</v>
      </c>
      <c r="K2405" s="91"/>
      <c r="M2405" s="91"/>
      <c r="N2405" s="91" t="s">
        <v>3550</v>
      </c>
    </row>
    <row r="2406" spans="1:14" x14ac:dyDescent="0.25">
      <c r="A2406" s="91" t="s">
        <v>1314</v>
      </c>
      <c r="B2406" s="91" t="s">
        <v>1328</v>
      </c>
      <c r="C2406" s="91" t="s">
        <v>3608</v>
      </c>
      <c r="D2406" s="91" t="s">
        <v>15</v>
      </c>
      <c r="E2406" s="91"/>
      <c r="F2406">
        <v>288</v>
      </c>
      <c r="G2406">
        <v>6</v>
      </c>
      <c r="H2406" s="89">
        <v>46191</v>
      </c>
      <c r="I2406" s="89">
        <v>46196</v>
      </c>
      <c r="J2406" s="91" t="s">
        <v>3612</v>
      </c>
      <c r="K2406" s="91"/>
      <c r="M2406" s="91"/>
      <c r="N2406" s="91" t="s">
        <v>3550</v>
      </c>
    </row>
    <row r="2407" spans="1:14" x14ac:dyDescent="0.25">
      <c r="A2407" s="91" t="s">
        <v>1315</v>
      </c>
      <c r="B2407" s="91" t="s">
        <v>1329</v>
      </c>
      <c r="C2407" s="91" t="s">
        <v>3608</v>
      </c>
      <c r="D2407" s="91" t="s">
        <v>15</v>
      </c>
      <c r="E2407" s="91"/>
      <c r="F2407">
        <v>10</v>
      </c>
      <c r="G2407" t="s">
        <v>1419</v>
      </c>
      <c r="H2407" s="89">
        <v>46191</v>
      </c>
      <c r="I2407" s="89">
        <v>46193</v>
      </c>
      <c r="J2407" s="91" t="s">
        <v>3549</v>
      </c>
      <c r="K2407" s="91"/>
      <c r="M2407" s="91"/>
      <c r="N2407" s="91" t="s">
        <v>3550</v>
      </c>
    </row>
    <row r="2408" spans="1:14" x14ac:dyDescent="0.25">
      <c r="A2408" s="91" t="s">
        <v>1316</v>
      </c>
      <c r="B2408" s="91" t="s">
        <v>1330</v>
      </c>
      <c r="C2408" s="91" t="s">
        <v>3613</v>
      </c>
      <c r="D2408" s="91" t="s">
        <v>15</v>
      </c>
      <c r="E2408" s="91"/>
      <c r="F2408">
        <v>84</v>
      </c>
      <c r="G2408" t="s">
        <v>1419</v>
      </c>
      <c r="H2408" s="89">
        <v>46191</v>
      </c>
      <c r="I2408" s="89">
        <v>46193</v>
      </c>
      <c r="J2408" s="91" t="s">
        <v>3549</v>
      </c>
      <c r="K2408" s="91"/>
      <c r="M2408" s="91"/>
      <c r="N2408" s="91" t="s">
        <v>3550</v>
      </c>
    </row>
    <row r="2409" spans="1:14" x14ac:dyDescent="0.25">
      <c r="A2409" s="91" t="s">
        <v>1317</v>
      </c>
      <c r="B2409" s="91" t="s">
        <v>1331</v>
      </c>
      <c r="C2409" s="91" t="s">
        <v>3614</v>
      </c>
      <c r="D2409" s="91" t="s">
        <v>15</v>
      </c>
      <c r="E2409" s="91"/>
      <c r="F2409">
        <v>15</v>
      </c>
      <c r="G2409" t="s">
        <v>1419</v>
      </c>
      <c r="H2409" s="89">
        <v>46191</v>
      </c>
      <c r="I2409" s="89">
        <v>46193</v>
      </c>
      <c r="J2409" s="91" t="s">
        <v>3549</v>
      </c>
      <c r="K2409" s="91"/>
      <c r="M2409" s="91"/>
      <c r="N2409" s="91" t="s">
        <v>3550</v>
      </c>
    </row>
    <row r="2410" spans="1:14" x14ac:dyDescent="0.25">
      <c r="A2410" s="91" t="s">
        <v>1318</v>
      </c>
      <c r="B2410" s="91" t="s">
        <v>1332</v>
      </c>
      <c r="C2410" s="91" t="s">
        <v>3615</v>
      </c>
      <c r="D2410" s="91" t="s">
        <v>15</v>
      </c>
      <c r="E2410" s="91"/>
      <c r="F2410">
        <v>30</v>
      </c>
      <c r="G2410" t="s">
        <v>1419</v>
      </c>
      <c r="H2410" s="89">
        <v>46191</v>
      </c>
      <c r="I2410" s="89">
        <v>46193</v>
      </c>
      <c r="J2410" s="91" t="s">
        <v>3549</v>
      </c>
      <c r="K2410" s="91"/>
      <c r="M2410" s="91"/>
      <c r="N2410" s="91" t="s">
        <v>3550</v>
      </c>
    </row>
    <row r="2411" spans="1:14" x14ac:dyDescent="0.25">
      <c r="A2411" s="91" t="s">
        <v>1313</v>
      </c>
      <c r="B2411" s="91" t="s">
        <v>1327</v>
      </c>
      <c r="C2411" s="91" t="s">
        <v>3616</v>
      </c>
      <c r="D2411" s="91" t="s">
        <v>20</v>
      </c>
      <c r="E2411" s="91"/>
      <c r="H2411" s="89">
        <v>46191</v>
      </c>
      <c r="I2411" s="89">
        <v>46195</v>
      </c>
      <c r="J2411" s="91" t="s">
        <v>3617</v>
      </c>
      <c r="K2411" s="91"/>
      <c r="M2411" s="91"/>
      <c r="N2411" s="91" t="s">
        <v>3550</v>
      </c>
    </row>
    <row r="2412" spans="1:14" x14ac:dyDescent="0.25">
      <c r="A2412" s="91" t="s">
        <v>1319</v>
      </c>
      <c r="B2412" s="91" t="s">
        <v>1333</v>
      </c>
      <c r="C2412" s="91" t="s">
        <v>3616</v>
      </c>
      <c r="D2412" s="91" t="s">
        <v>20</v>
      </c>
      <c r="E2412" s="91"/>
      <c r="H2412" s="89">
        <v>46191</v>
      </c>
      <c r="I2412" s="89">
        <v>46195</v>
      </c>
      <c r="J2412" s="91" t="s">
        <v>3617</v>
      </c>
      <c r="K2412" s="91"/>
      <c r="M2412" s="91"/>
      <c r="N2412" s="91" t="s">
        <v>3550</v>
      </c>
    </row>
    <row r="2413" spans="1:14" x14ac:dyDescent="0.25">
      <c r="A2413" s="91" t="s">
        <v>1313</v>
      </c>
      <c r="B2413" s="91" t="s">
        <v>1327</v>
      </c>
      <c r="C2413" s="91" t="s">
        <v>3616</v>
      </c>
      <c r="D2413" s="91" t="s">
        <v>20</v>
      </c>
      <c r="E2413" s="91"/>
      <c r="F2413">
        <v>1056</v>
      </c>
      <c r="G2413">
        <v>22</v>
      </c>
      <c r="H2413" s="89">
        <v>46191</v>
      </c>
      <c r="I2413" s="89">
        <v>46195</v>
      </c>
      <c r="J2413" s="91" t="s">
        <v>3618</v>
      </c>
      <c r="K2413" s="91"/>
      <c r="M2413" s="91"/>
      <c r="N2413" s="91" t="s">
        <v>3550</v>
      </c>
    </row>
    <row r="2414" spans="1:14" x14ac:dyDescent="0.25">
      <c r="A2414" s="91" t="s">
        <v>1315</v>
      </c>
      <c r="B2414" s="91" t="s">
        <v>1329</v>
      </c>
      <c r="C2414" s="91" t="s">
        <v>3616</v>
      </c>
      <c r="D2414" s="91" t="s">
        <v>20</v>
      </c>
      <c r="E2414" s="91"/>
      <c r="F2414">
        <v>83</v>
      </c>
      <c r="G2414" t="s">
        <v>1419</v>
      </c>
      <c r="H2414" s="89">
        <v>46191</v>
      </c>
      <c r="I2414" s="89">
        <v>46193</v>
      </c>
      <c r="J2414" s="91" t="s">
        <v>3549</v>
      </c>
      <c r="K2414" s="91"/>
      <c r="M2414" s="91"/>
      <c r="N2414" s="91" t="s">
        <v>3550</v>
      </c>
    </row>
    <row r="2415" spans="1:14" x14ac:dyDescent="0.25">
      <c r="A2415" s="91" t="s">
        <v>1316</v>
      </c>
      <c r="B2415" s="91" t="s">
        <v>1330</v>
      </c>
      <c r="C2415" s="91" t="s">
        <v>3619</v>
      </c>
      <c r="D2415" s="91" t="s">
        <v>20</v>
      </c>
      <c r="E2415" s="91"/>
      <c r="F2415">
        <v>85</v>
      </c>
      <c r="G2415" t="s">
        <v>1419</v>
      </c>
      <c r="H2415" s="89">
        <v>46191</v>
      </c>
      <c r="I2415" s="89">
        <v>46193</v>
      </c>
      <c r="J2415" s="91" t="s">
        <v>3549</v>
      </c>
      <c r="K2415" s="91"/>
      <c r="M2415" s="91"/>
      <c r="N2415" s="91" t="s">
        <v>3550</v>
      </c>
    </row>
    <row r="2416" spans="1:14" x14ac:dyDescent="0.25">
      <c r="A2416" s="91" t="s">
        <v>1317</v>
      </c>
      <c r="B2416" s="91" t="s">
        <v>1331</v>
      </c>
      <c r="C2416" s="91" t="s">
        <v>3620</v>
      </c>
      <c r="D2416" s="91" t="s">
        <v>20</v>
      </c>
      <c r="E2416" s="91"/>
      <c r="F2416">
        <v>7</v>
      </c>
      <c r="G2416" t="s">
        <v>1419</v>
      </c>
      <c r="H2416" s="89">
        <v>46191</v>
      </c>
      <c r="I2416" s="89">
        <v>46193</v>
      </c>
      <c r="J2416" s="91" t="s">
        <v>3549</v>
      </c>
      <c r="K2416" s="91"/>
      <c r="M2416" s="91"/>
      <c r="N2416" s="91" t="s">
        <v>3550</v>
      </c>
    </row>
    <row r="2417" spans="1:14" x14ac:dyDescent="0.25">
      <c r="A2417" s="91" t="s">
        <v>1318</v>
      </c>
      <c r="B2417" s="91" t="s">
        <v>1332</v>
      </c>
      <c r="C2417" s="91" t="s">
        <v>3621</v>
      </c>
      <c r="D2417" s="91" t="s">
        <v>20</v>
      </c>
      <c r="E2417" s="91"/>
      <c r="F2417">
        <v>45</v>
      </c>
      <c r="G2417" t="s">
        <v>1419</v>
      </c>
      <c r="H2417" s="89">
        <v>46191</v>
      </c>
      <c r="I2417" s="89">
        <v>46193</v>
      </c>
      <c r="J2417" s="91" t="s">
        <v>3549</v>
      </c>
      <c r="K2417" s="91"/>
      <c r="M2417" s="91"/>
      <c r="N2417" s="91" t="s">
        <v>3550</v>
      </c>
    </row>
    <row r="2418" spans="1:14" x14ac:dyDescent="0.25">
      <c r="A2418" s="91" t="s">
        <v>1324</v>
      </c>
      <c r="B2418" s="91" t="s">
        <v>1338</v>
      </c>
      <c r="C2418" s="91" t="s">
        <v>3622</v>
      </c>
      <c r="D2418" s="91" t="s">
        <v>21</v>
      </c>
      <c r="E2418" s="91"/>
      <c r="F2418">
        <v>960</v>
      </c>
      <c r="G2418">
        <v>20</v>
      </c>
      <c r="H2418" s="89">
        <v>46191</v>
      </c>
      <c r="I2418" s="89">
        <v>46197</v>
      </c>
      <c r="J2418" s="91" t="s">
        <v>3623</v>
      </c>
      <c r="K2418" s="91"/>
      <c r="M2418" s="91"/>
      <c r="N2418" s="91" t="s">
        <v>3550</v>
      </c>
    </row>
    <row r="2419" spans="1:14" x14ac:dyDescent="0.25">
      <c r="A2419" s="91" t="s">
        <v>1313</v>
      </c>
      <c r="B2419" s="91" t="s">
        <v>1327</v>
      </c>
      <c r="C2419" s="91" t="s">
        <v>3622</v>
      </c>
      <c r="D2419" s="91" t="s">
        <v>21</v>
      </c>
      <c r="E2419" s="91"/>
      <c r="F2419">
        <v>672</v>
      </c>
      <c r="G2419">
        <v>14</v>
      </c>
      <c r="H2419" s="89">
        <v>46191</v>
      </c>
      <c r="I2419" s="89">
        <v>46196</v>
      </c>
      <c r="J2419" s="91" t="s">
        <v>3611</v>
      </c>
      <c r="K2419" s="91"/>
      <c r="M2419" s="91"/>
      <c r="N2419" s="91" t="s">
        <v>3550</v>
      </c>
    </row>
    <row r="2420" spans="1:14" x14ac:dyDescent="0.25">
      <c r="A2420" s="91" t="s">
        <v>1313</v>
      </c>
      <c r="B2420" s="91" t="s">
        <v>1327</v>
      </c>
      <c r="C2420" s="91" t="s">
        <v>3622</v>
      </c>
      <c r="D2420" s="91" t="s">
        <v>21</v>
      </c>
      <c r="E2420" s="91"/>
      <c r="F2420">
        <v>48</v>
      </c>
      <c r="G2420">
        <v>1</v>
      </c>
      <c r="H2420" s="89">
        <v>46191</v>
      </c>
      <c r="I2420" s="89">
        <v>46197</v>
      </c>
      <c r="J2420" s="91" t="s">
        <v>3624</v>
      </c>
      <c r="K2420" s="91"/>
      <c r="M2420" s="91"/>
      <c r="N2420" s="91" t="s">
        <v>3550</v>
      </c>
    </row>
    <row r="2421" spans="1:14" x14ac:dyDescent="0.25">
      <c r="A2421" s="91" t="s">
        <v>1315</v>
      </c>
      <c r="B2421" s="91" t="s">
        <v>1329</v>
      </c>
      <c r="C2421" s="91" t="s">
        <v>3622</v>
      </c>
      <c r="D2421" s="91" t="s">
        <v>21</v>
      </c>
      <c r="E2421" s="91"/>
      <c r="F2421">
        <v>13</v>
      </c>
      <c r="G2421" t="s">
        <v>1419</v>
      </c>
      <c r="H2421" s="89">
        <v>46191</v>
      </c>
      <c r="I2421" s="89">
        <v>46193</v>
      </c>
      <c r="J2421" s="91" t="s">
        <v>3549</v>
      </c>
      <c r="K2421" s="91"/>
      <c r="M2421" s="91"/>
      <c r="N2421" s="91" t="s">
        <v>3550</v>
      </c>
    </row>
    <row r="2422" spans="1:14" x14ac:dyDescent="0.25">
      <c r="A2422" s="91" t="s">
        <v>1316</v>
      </c>
      <c r="B2422" s="91" t="s">
        <v>1330</v>
      </c>
      <c r="C2422" s="91" t="s">
        <v>3625</v>
      </c>
      <c r="D2422" s="91" t="s">
        <v>21</v>
      </c>
      <c r="E2422" s="91"/>
      <c r="F2422">
        <v>65</v>
      </c>
      <c r="G2422" t="s">
        <v>1419</v>
      </c>
      <c r="H2422" s="89">
        <v>46191</v>
      </c>
      <c r="I2422" s="89">
        <v>46193</v>
      </c>
      <c r="J2422" s="91" t="s">
        <v>3549</v>
      </c>
      <c r="K2422" s="91"/>
      <c r="M2422" s="91"/>
      <c r="N2422" s="91" t="s">
        <v>3550</v>
      </c>
    </row>
    <row r="2423" spans="1:14" x14ac:dyDescent="0.25">
      <c r="A2423" s="91" t="s">
        <v>1317</v>
      </c>
      <c r="B2423" s="91" t="s">
        <v>1331</v>
      </c>
      <c r="C2423" s="91" t="s">
        <v>3626</v>
      </c>
      <c r="D2423" s="91" t="s">
        <v>21</v>
      </c>
      <c r="E2423" s="91"/>
      <c r="F2423">
        <v>25</v>
      </c>
      <c r="G2423" t="s">
        <v>1419</v>
      </c>
      <c r="H2423" s="89">
        <v>46191</v>
      </c>
      <c r="I2423" s="89">
        <v>46193</v>
      </c>
      <c r="J2423" s="91" t="s">
        <v>3549</v>
      </c>
      <c r="K2423" s="91"/>
      <c r="M2423" s="91"/>
      <c r="N2423" s="91" t="s">
        <v>3550</v>
      </c>
    </row>
    <row r="2424" spans="1:14" x14ac:dyDescent="0.25">
      <c r="A2424" s="91" t="s">
        <v>1318</v>
      </c>
      <c r="B2424" s="91" t="s">
        <v>1332</v>
      </c>
      <c r="C2424" s="91" t="s">
        <v>3627</v>
      </c>
      <c r="D2424" s="91" t="s">
        <v>21</v>
      </c>
      <c r="E2424" s="91"/>
      <c r="F2424">
        <v>67</v>
      </c>
      <c r="G2424" t="s">
        <v>1419</v>
      </c>
      <c r="H2424" s="89">
        <v>46191</v>
      </c>
      <c r="I2424" s="89">
        <v>46193</v>
      </c>
      <c r="J2424" s="91" t="s">
        <v>3549</v>
      </c>
      <c r="K2424" s="91"/>
      <c r="M2424" s="91"/>
      <c r="N2424" s="91" t="s">
        <v>3550</v>
      </c>
    </row>
    <row r="2425" spans="1:14" x14ac:dyDescent="0.25">
      <c r="A2425" s="91" t="s">
        <v>1324</v>
      </c>
      <c r="B2425" s="91" t="s">
        <v>1338</v>
      </c>
      <c r="C2425" s="91" t="s">
        <v>3628</v>
      </c>
      <c r="D2425" s="91" t="s">
        <v>150</v>
      </c>
      <c r="E2425" s="91"/>
      <c r="F2425">
        <v>960</v>
      </c>
      <c r="G2425">
        <v>20</v>
      </c>
      <c r="H2425" s="89">
        <v>46191</v>
      </c>
      <c r="I2425" s="89">
        <v>46197</v>
      </c>
      <c r="J2425" s="91" t="s">
        <v>3623</v>
      </c>
      <c r="K2425" s="91"/>
      <c r="M2425" s="91"/>
      <c r="N2425" s="91" t="s">
        <v>3550</v>
      </c>
    </row>
    <row r="2426" spans="1:14" x14ac:dyDescent="0.25">
      <c r="A2426" s="91" t="s">
        <v>1324</v>
      </c>
      <c r="B2426" s="91" t="s">
        <v>1338</v>
      </c>
      <c r="C2426" s="91" t="s">
        <v>3629</v>
      </c>
      <c r="D2426" s="91" t="s">
        <v>150</v>
      </c>
      <c r="E2426" s="91"/>
      <c r="F2426">
        <v>960</v>
      </c>
      <c r="G2426">
        <v>20</v>
      </c>
      <c r="H2426" s="89">
        <v>46192</v>
      </c>
      <c r="I2426" s="89">
        <v>46200</v>
      </c>
      <c r="J2426" s="91" t="s">
        <v>3549</v>
      </c>
      <c r="K2426" s="91"/>
      <c r="M2426" s="91"/>
      <c r="N2426" s="91" t="s">
        <v>3550</v>
      </c>
    </row>
    <row r="2427" spans="1:14" x14ac:dyDescent="0.25">
      <c r="A2427" s="91" t="s">
        <v>1324</v>
      </c>
      <c r="B2427" s="91" t="s">
        <v>1338</v>
      </c>
      <c r="C2427" s="91" t="s">
        <v>3630</v>
      </c>
      <c r="D2427" s="91" t="s">
        <v>72</v>
      </c>
      <c r="E2427" s="91"/>
      <c r="F2427">
        <v>720</v>
      </c>
      <c r="G2427">
        <v>15</v>
      </c>
      <c r="H2427" s="89">
        <v>46192</v>
      </c>
      <c r="I2427" s="89">
        <v>46200</v>
      </c>
      <c r="J2427" s="91" t="s">
        <v>3549</v>
      </c>
      <c r="K2427" s="91"/>
      <c r="M2427" s="91"/>
      <c r="N2427" s="91" t="s">
        <v>3550</v>
      </c>
    </row>
    <row r="2428" spans="1:14" x14ac:dyDescent="0.25">
      <c r="A2428" s="91" t="s">
        <v>1313</v>
      </c>
      <c r="B2428" s="91" t="s">
        <v>1327</v>
      </c>
      <c r="C2428" s="91" t="s">
        <v>3631</v>
      </c>
      <c r="D2428" s="91" t="s">
        <v>20</v>
      </c>
      <c r="E2428" s="91"/>
      <c r="H2428" s="89">
        <v>46192</v>
      </c>
      <c r="I2428" s="89">
        <v>46196</v>
      </c>
      <c r="J2428" s="91" t="s">
        <v>3632</v>
      </c>
      <c r="K2428" s="91"/>
      <c r="M2428" s="91"/>
      <c r="N2428" s="91" t="s">
        <v>3550</v>
      </c>
    </row>
    <row r="2429" spans="1:14" x14ac:dyDescent="0.25">
      <c r="A2429" s="91" t="s">
        <v>1313</v>
      </c>
      <c r="B2429" s="91" t="s">
        <v>1327</v>
      </c>
      <c r="C2429" s="91" t="s">
        <v>3631</v>
      </c>
      <c r="D2429" s="91" t="s">
        <v>20</v>
      </c>
      <c r="E2429" s="91"/>
      <c r="F2429">
        <v>1104</v>
      </c>
      <c r="G2429">
        <v>23</v>
      </c>
      <c r="H2429" s="89">
        <v>46192</v>
      </c>
      <c r="I2429" s="89">
        <v>46197</v>
      </c>
      <c r="J2429" s="91" t="s">
        <v>3624</v>
      </c>
      <c r="K2429" s="91"/>
      <c r="M2429" s="91"/>
      <c r="N2429" s="91" t="s">
        <v>3550</v>
      </c>
    </row>
    <row r="2430" spans="1:14" x14ac:dyDescent="0.25">
      <c r="A2430" s="91" t="s">
        <v>1315</v>
      </c>
      <c r="B2430" s="91" t="s">
        <v>1329</v>
      </c>
      <c r="C2430" s="91" t="s">
        <v>3631</v>
      </c>
      <c r="D2430" s="91" t="s">
        <v>20</v>
      </c>
      <c r="E2430" s="91"/>
      <c r="F2430">
        <v>40</v>
      </c>
      <c r="G2430" t="s">
        <v>1419</v>
      </c>
      <c r="H2430" s="89">
        <v>46192</v>
      </c>
      <c r="I2430" s="89">
        <v>46194</v>
      </c>
      <c r="J2430" s="91" t="s">
        <v>3549</v>
      </c>
      <c r="K2430" s="91"/>
      <c r="M2430" s="91"/>
      <c r="N2430" s="91" t="s">
        <v>3550</v>
      </c>
    </row>
    <row r="2431" spans="1:14" x14ac:dyDescent="0.25">
      <c r="A2431" s="91" t="s">
        <v>1316</v>
      </c>
      <c r="B2431" s="91" t="s">
        <v>1330</v>
      </c>
      <c r="C2431" s="91" t="s">
        <v>3633</v>
      </c>
      <c r="D2431" s="91" t="s">
        <v>20</v>
      </c>
      <c r="E2431" s="91"/>
      <c r="F2431">
        <v>57</v>
      </c>
      <c r="G2431" t="s">
        <v>1419</v>
      </c>
      <c r="H2431" s="89">
        <v>46192</v>
      </c>
      <c r="I2431" s="89">
        <v>46194</v>
      </c>
      <c r="J2431" s="91" t="s">
        <v>3549</v>
      </c>
      <c r="K2431" s="91"/>
      <c r="M2431" s="91"/>
      <c r="N2431" s="91" t="s">
        <v>3550</v>
      </c>
    </row>
    <row r="2432" spans="1:14" x14ac:dyDescent="0.25">
      <c r="A2432" s="91" t="s">
        <v>1317</v>
      </c>
      <c r="B2432" s="91" t="s">
        <v>1331</v>
      </c>
      <c r="C2432" s="91" t="s">
        <v>3634</v>
      </c>
      <c r="D2432" s="91" t="s">
        <v>20</v>
      </c>
      <c r="E2432" s="91"/>
      <c r="F2432">
        <v>3</v>
      </c>
      <c r="G2432" t="s">
        <v>1419</v>
      </c>
      <c r="H2432" s="89">
        <v>46192</v>
      </c>
      <c r="I2432" s="89">
        <v>46194</v>
      </c>
      <c r="J2432" s="91" t="s">
        <v>3549</v>
      </c>
      <c r="K2432" s="91"/>
      <c r="M2432" s="91"/>
      <c r="N2432" s="91" t="s">
        <v>3550</v>
      </c>
    </row>
    <row r="2433" spans="1:14" x14ac:dyDescent="0.25">
      <c r="A2433" s="91" t="s">
        <v>1318</v>
      </c>
      <c r="B2433" s="91" t="s">
        <v>1332</v>
      </c>
      <c r="C2433" s="91" t="s">
        <v>3635</v>
      </c>
      <c r="D2433" s="91" t="s">
        <v>20</v>
      </c>
      <c r="E2433" s="91"/>
      <c r="F2433">
        <v>41</v>
      </c>
      <c r="G2433" t="s">
        <v>1419</v>
      </c>
      <c r="H2433" s="89">
        <v>46192</v>
      </c>
      <c r="I2433" s="89">
        <v>46194</v>
      </c>
      <c r="J2433" s="91" t="s">
        <v>3549</v>
      </c>
      <c r="K2433" s="91"/>
      <c r="M2433" s="91"/>
      <c r="N2433" s="91" t="s">
        <v>3550</v>
      </c>
    </row>
    <row r="2434" spans="1:14" x14ac:dyDescent="0.25">
      <c r="A2434" s="91" t="s">
        <v>1320</v>
      </c>
      <c r="B2434" s="91" t="s">
        <v>1334</v>
      </c>
      <c r="C2434" s="91" t="s">
        <v>3636</v>
      </c>
      <c r="D2434" s="91" t="s">
        <v>15</v>
      </c>
      <c r="E2434" s="91"/>
      <c r="F2434">
        <v>960</v>
      </c>
      <c r="G2434">
        <v>20</v>
      </c>
      <c r="H2434" s="89">
        <v>46192</v>
      </c>
      <c r="I2434" s="89">
        <v>46196</v>
      </c>
      <c r="J2434" s="91" t="s">
        <v>3637</v>
      </c>
      <c r="K2434" s="91"/>
      <c r="M2434" s="91"/>
      <c r="N2434" s="91" t="s">
        <v>3550</v>
      </c>
    </row>
    <row r="2435" spans="1:14" x14ac:dyDescent="0.25">
      <c r="A2435" s="91" t="s">
        <v>1320</v>
      </c>
      <c r="B2435" s="91" t="s">
        <v>1334</v>
      </c>
      <c r="C2435" s="91" t="s">
        <v>3636</v>
      </c>
      <c r="D2435" s="91" t="s">
        <v>15</v>
      </c>
      <c r="E2435" s="91"/>
      <c r="F2435">
        <v>480</v>
      </c>
      <c r="G2435">
        <v>10</v>
      </c>
      <c r="H2435" s="89">
        <v>46192</v>
      </c>
      <c r="I2435" s="89">
        <v>46196</v>
      </c>
      <c r="J2435" s="91" t="s">
        <v>3609</v>
      </c>
      <c r="K2435" s="91"/>
      <c r="M2435" s="91"/>
      <c r="N2435" s="91" t="s">
        <v>3550</v>
      </c>
    </row>
    <row r="2436" spans="1:14" x14ac:dyDescent="0.25">
      <c r="A2436" s="91" t="s">
        <v>1314</v>
      </c>
      <c r="B2436" s="91" t="s">
        <v>1328</v>
      </c>
      <c r="C2436" s="91" t="s">
        <v>3636</v>
      </c>
      <c r="D2436" s="91" t="s">
        <v>15</v>
      </c>
      <c r="E2436" s="91"/>
      <c r="F2436">
        <v>96</v>
      </c>
      <c r="G2436">
        <v>2</v>
      </c>
      <c r="H2436" s="89">
        <v>46192</v>
      </c>
      <c r="I2436" s="89">
        <v>46197</v>
      </c>
      <c r="J2436" s="91" t="s">
        <v>3638</v>
      </c>
      <c r="K2436" s="91"/>
      <c r="M2436" s="91"/>
      <c r="N2436" s="91" t="s">
        <v>3550</v>
      </c>
    </row>
    <row r="2437" spans="1:14" x14ac:dyDescent="0.25">
      <c r="A2437" s="91" t="s">
        <v>1313</v>
      </c>
      <c r="B2437" s="91" t="s">
        <v>1327</v>
      </c>
      <c r="C2437" s="91" t="s">
        <v>3636</v>
      </c>
      <c r="D2437" s="91" t="s">
        <v>15</v>
      </c>
      <c r="E2437" s="91"/>
      <c r="F2437">
        <v>240</v>
      </c>
      <c r="G2437">
        <v>5</v>
      </c>
      <c r="H2437" s="89">
        <v>46192</v>
      </c>
      <c r="I2437" s="89">
        <v>46198</v>
      </c>
      <c r="J2437" s="91" t="s">
        <v>3639</v>
      </c>
      <c r="K2437" s="91"/>
      <c r="M2437" s="91"/>
      <c r="N2437" s="91" t="s">
        <v>3550</v>
      </c>
    </row>
    <row r="2438" spans="1:14" x14ac:dyDescent="0.25">
      <c r="A2438" s="91" t="s">
        <v>1315</v>
      </c>
      <c r="B2438" s="91" t="s">
        <v>1329</v>
      </c>
      <c r="C2438" s="91" t="s">
        <v>3636</v>
      </c>
      <c r="D2438" s="91" t="s">
        <v>15</v>
      </c>
      <c r="E2438" s="91"/>
      <c r="F2438">
        <v>26</v>
      </c>
      <c r="G2438" t="s">
        <v>1419</v>
      </c>
      <c r="H2438" s="89">
        <v>46192</v>
      </c>
      <c r="I2438" s="89">
        <v>46194</v>
      </c>
      <c r="J2438" s="91" t="s">
        <v>3549</v>
      </c>
      <c r="K2438" s="91"/>
      <c r="M2438" s="91"/>
      <c r="N2438" s="91" t="s">
        <v>3550</v>
      </c>
    </row>
    <row r="2439" spans="1:14" x14ac:dyDescent="0.25">
      <c r="A2439" s="91" t="s">
        <v>1316</v>
      </c>
      <c r="B2439" s="91" t="s">
        <v>1330</v>
      </c>
      <c r="C2439" s="91" t="s">
        <v>3640</v>
      </c>
      <c r="D2439" s="91" t="s">
        <v>15</v>
      </c>
      <c r="E2439" s="91"/>
      <c r="F2439">
        <v>99</v>
      </c>
      <c r="G2439" t="s">
        <v>1419</v>
      </c>
      <c r="H2439" s="89">
        <v>46192</v>
      </c>
      <c r="I2439" s="89">
        <v>46194</v>
      </c>
      <c r="J2439" s="91" t="s">
        <v>3549</v>
      </c>
      <c r="K2439" s="91"/>
      <c r="M2439" s="91"/>
      <c r="N2439" s="91" t="s">
        <v>3550</v>
      </c>
    </row>
    <row r="2440" spans="1:14" x14ac:dyDescent="0.25">
      <c r="A2440" s="91" t="s">
        <v>1317</v>
      </c>
      <c r="B2440" s="91" t="s">
        <v>1331</v>
      </c>
      <c r="C2440" s="91" t="s">
        <v>3641</v>
      </c>
      <c r="D2440" s="91" t="s">
        <v>15</v>
      </c>
      <c r="E2440" s="91"/>
      <c r="F2440">
        <v>32</v>
      </c>
      <c r="G2440" t="s">
        <v>1419</v>
      </c>
      <c r="H2440" s="89">
        <v>46192</v>
      </c>
      <c r="I2440" s="89">
        <v>46194</v>
      </c>
      <c r="J2440" s="91" t="s">
        <v>3549</v>
      </c>
      <c r="K2440" s="91"/>
      <c r="M2440" s="91"/>
      <c r="N2440" s="91" t="s">
        <v>3550</v>
      </c>
    </row>
    <row r="2441" spans="1:14" x14ac:dyDescent="0.25">
      <c r="A2441" s="91" t="s">
        <v>1318</v>
      </c>
      <c r="B2441" s="91" t="s">
        <v>1332</v>
      </c>
      <c r="C2441" s="91" t="s">
        <v>3642</v>
      </c>
      <c r="D2441" s="91" t="s">
        <v>15</v>
      </c>
      <c r="E2441" s="91"/>
      <c r="F2441">
        <v>48</v>
      </c>
      <c r="G2441" t="s">
        <v>1419</v>
      </c>
      <c r="H2441" s="89">
        <v>46192</v>
      </c>
      <c r="I2441" s="89">
        <v>46194</v>
      </c>
      <c r="J2441" s="91" t="s">
        <v>3549</v>
      </c>
      <c r="K2441" s="91"/>
      <c r="M2441" s="91"/>
      <c r="N2441" s="91" t="s">
        <v>3550</v>
      </c>
    </row>
    <row r="2442" spans="1:14" x14ac:dyDescent="0.25">
      <c r="A2442" s="91" t="s">
        <v>1320</v>
      </c>
      <c r="B2442" s="91" t="s">
        <v>1334</v>
      </c>
      <c r="C2442" s="91" t="s">
        <v>3643</v>
      </c>
      <c r="D2442" s="91" t="s">
        <v>28</v>
      </c>
      <c r="E2442" s="91"/>
      <c r="F2442">
        <v>960</v>
      </c>
      <c r="G2442">
        <v>20</v>
      </c>
      <c r="H2442" s="89">
        <v>46192</v>
      </c>
      <c r="I2442" s="89">
        <v>46197</v>
      </c>
      <c r="J2442" s="91" t="s">
        <v>3644</v>
      </c>
      <c r="K2442" s="91"/>
      <c r="M2442" s="91"/>
      <c r="N2442" s="91" t="s">
        <v>3550</v>
      </c>
    </row>
    <row r="2443" spans="1:14" x14ac:dyDescent="0.25">
      <c r="A2443" s="91" t="s">
        <v>1320</v>
      </c>
      <c r="B2443" s="91" t="s">
        <v>1334</v>
      </c>
      <c r="C2443" s="91" t="s">
        <v>3643</v>
      </c>
      <c r="D2443" s="91" t="s">
        <v>28</v>
      </c>
      <c r="E2443" s="91"/>
      <c r="F2443">
        <v>384</v>
      </c>
      <c r="G2443">
        <v>8</v>
      </c>
      <c r="H2443" s="89">
        <v>46192</v>
      </c>
      <c r="I2443" s="89">
        <v>46197</v>
      </c>
      <c r="J2443" s="91" t="s">
        <v>3645</v>
      </c>
      <c r="K2443" s="91"/>
      <c r="M2443" s="91"/>
      <c r="N2443" s="91" t="s">
        <v>3550</v>
      </c>
    </row>
    <row r="2444" spans="1:14" x14ac:dyDescent="0.25">
      <c r="A2444" s="91" t="s">
        <v>1313</v>
      </c>
      <c r="B2444" s="91" t="s">
        <v>1327</v>
      </c>
      <c r="C2444" s="91" t="s">
        <v>3643</v>
      </c>
      <c r="D2444" s="91" t="s">
        <v>28</v>
      </c>
      <c r="E2444" s="91"/>
      <c r="F2444">
        <v>144</v>
      </c>
      <c r="G2444">
        <v>3</v>
      </c>
      <c r="H2444" s="89">
        <v>46192</v>
      </c>
      <c r="I2444" s="89">
        <v>46198</v>
      </c>
      <c r="J2444" s="91" t="s">
        <v>3639</v>
      </c>
      <c r="K2444" s="91"/>
      <c r="M2444" s="91"/>
      <c r="N2444" s="91" t="s">
        <v>3550</v>
      </c>
    </row>
    <row r="2445" spans="1:14" x14ac:dyDescent="0.25">
      <c r="A2445" s="91" t="s">
        <v>1315</v>
      </c>
      <c r="B2445" s="91" t="s">
        <v>1329</v>
      </c>
      <c r="C2445" s="91" t="s">
        <v>3643</v>
      </c>
      <c r="D2445" s="91" t="s">
        <v>28</v>
      </c>
      <c r="E2445" s="91"/>
      <c r="F2445">
        <v>26</v>
      </c>
      <c r="G2445" t="s">
        <v>1419</v>
      </c>
      <c r="H2445" s="89">
        <v>46192</v>
      </c>
      <c r="I2445" s="89">
        <v>46194</v>
      </c>
      <c r="J2445" s="91" t="s">
        <v>3549</v>
      </c>
      <c r="K2445" s="91"/>
      <c r="M2445" s="91"/>
      <c r="N2445" s="91" t="s">
        <v>3550</v>
      </c>
    </row>
    <row r="2446" spans="1:14" x14ac:dyDescent="0.25">
      <c r="A2446" s="91" t="s">
        <v>1316</v>
      </c>
      <c r="B2446" s="91" t="s">
        <v>1330</v>
      </c>
      <c r="C2446" s="91" t="s">
        <v>3646</v>
      </c>
      <c r="D2446" s="91" t="s">
        <v>28</v>
      </c>
      <c r="E2446" s="91"/>
      <c r="F2446">
        <v>27</v>
      </c>
      <c r="G2446" t="s">
        <v>1419</v>
      </c>
      <c r="H2446" s="89">
        <v>46192</v>
      </c>
      <c r="I2446" s="89">
        <v>46194</v>
      </c>
      <c r="J2446" s="91" t="s">
        <v>3549</v>
      </c>
      <c r="K2446" s="91"/>
      <c r="M2446" s="91"/>
      <c r="N2446" s="91" t="s">
        <v>3550</v>
      </c>
    </row>
    <row r="2447" spans="1:14" x14ac:dyDescent="0.25">
      <c r="A2447" s="91" t="s">
        <v>1317</v>
      </c>
      <c r="B2447" s="91" t="s">
        <v>1331</v>
      </c>
      <c r="C2447" s="91" t="s">
        <v>3647</v>
      </c>
      <c r="D2447" s="91" t="s">
        <v>28</v>
      </c>
      <c r="E2447" s="91"/>
      <c r="F2447">
        <v>7</v>
      </c>
      <c r="G2447" t="s">
        <v>1419</v>
      </c>
      <c r="H2447" s="89">
        <v>46192</v>
      </c>
      <c r="I2447" s="89">
        <v>46194</v>
      </c>
      <c r="J2447" s="91" t="s">
        <v>3549</v>
      </c>
      <c r="K2447" s="91"/>
      <c r="M2447" s="91"/>
      <c r="N2447" s="91" t="s">
        <v>3550</v>
      </c>
    </row>
    <row r="2448" spans="1:14" x14ac:dyDescent="0.25">
      <c r="A2448" s="91" t="s">
        <v>1318</v>
      </c>
      <c r="B2448" s="91" t="s">
        <v>1332</v>
      </c>
      <c r="C2448" s="91" t="s">
        <v>3648</v>
      </c>
      <c r="D2448" s="91" t="s">
        <v>28</v>
      </c>
      <c r="E2448" s="91"/>
      <c r="F2448">
        <v>62</v>
      </c>
      <c r="G2448" t="s">
        <v>1419</v>
      </c>
      <c r="H2448" s="89">
        <v>46192</v>
      </c>
      <c r="I2448" s="89">
        <v>46194</v>
      </c>
      <c r="J2448" s="91" t="s">
        <v>3549</v>
      </c>
      <c r="K2448" s="91"/>
      <c r="M2448" s="91"/>
      <c r="N2448" s="91" t="s">
        <v>3550</v>
      </c>
    </row>
    <row r="2449" spans="1:14" x14ac:dyDescent="0.25">
      <c r="A2449" s="91" t="s">
        <v>1324</v>
      </c>
      <c r="B2449" s="91" t="s">
        <v>1338</v>
      </c>
      <c r="C2449" s="91" t="s">
        <v>3649</v>
      </c>
      <c r="D2449" s="91" t="s">
        <v>72</v>
      </c>
      <c r="E2449" s="91"/>
      <c r="F2449">
        <v>240</v>
      </c>
      <c r="G2449">
        <v>5</v>
      </c>
      <c r="H2449" s="89">
        <v>46193</v>
      </c>
      <c r="I2449" s="89">
        <v>46200</v>
      </c>
      <c r="J2449" s="91" t="s">
        <v>3549</v>
      </c>
      <c r="K2449" s="91"/>
      <c r="M2449" s="91"/>
      <c r="N2449" s="91" t="s">
        <v>3550</v>
      </c>
    </row>
    <row r="2450" spans="1:14" x14ac:dyDescent="0.25">
      <c r="A2450" s="91" t="s">
        <v>1320</v>
      </c>
      <c r="B2450" s="91" t="s">
        <v>1334</v>
      </c>
      <c r="C2450" s="91" t="s">
        <v>3650</v>
      </c>
      <c r="D2450" s="91" t="s">
        <v>104</v>
      </c>
      <c r="E2450" s="91"/>
      <c r="F2450">
        <v>960</v>
      </c>
      <c r="G2450">
        <v>20</v>
      </c>
      <c r="H2450" s="89">
        <v>46193</v>
      </c>
      <c r="I2450" s="89">
        <v>46198</v>
      </c>
      <c r="J2450" s="91" t="s">
        <v>3651</v>
      </c>
      <c r="K2450" s="91"/>
      <c r="M2450" s="91"/>
      <c r="N2450" s="91" t="s">
        <v>3550</v>
      </c>
    </row>
    <row r="2451" spans="1:14" x14ac:dyDescent="0.25">
      <c r="A2451" s="91" t="s">
        <v>1313</v>
      </c>
      <c r="B2451" s="91" t="s">
        <v>1327</v>
      </c>
      <c r="C2451" s="91" t="s">
        <v>3652</v>
      </c>
      <c r="D2451" s="91" t="s">
        <v>15</v>
      </c>
      <c r="E2451" s="91"/>
      <c r="F2451">
        <v>1056</v>
      </c>
      <c r="G2451">
        <v>22</v>
      </c>
      <c r="H2451" s="89">
        <v>46193</v>
      </c>
      <c r="I2451" s="89">
        <v>46197</v>
      </c>
      <c r="J2451" s="91" t="s">
        <v>3653</v>
      </c>
      <c r="K2451" s="91"/>
      <c r="M2451" s="91"/>
      <c r="N2451" s="91" t="s">
        <v>3550</v>
      </c>
    </row>
    <row r="2452" spans="1:14" x14ac:dyDescent="0.25">
      <c r="A2452" s="91" t="s">
        <v>1320</v>
      </c>
      <c r="B2452" s="91" t="s">
        <v>1334</v>
      </c>
      <c r="C2452" s="91" t="s">
        <v>3652</v>
      </c>
      <c r="D2452" s="91" t="s">
        <v>15</v>
      </c>
      <c r="E2452" s="91"/>
      <c r="F2452">
        <v>288</v>
      </c>
      <c r="G2452">
        <v>6</v>
      </c>
      <c r="H2452" s="89">
        <v>46193</v>
      </c>
      <c r="I2452" s="89">
        <v>46197</v>
      </c>
      <c r="J2452" s="91" t="s">
        <v>3645</v>
      </c>
      <c r="K2452" s="91"/>
      <c r="M2452" s="91"/>
      <c r="N2452" s="91" t="s">
        <v>3550</v>
      </c>
    </row>
    <row r="2453" spans="1:14" x14ac:dyDescent="0.25">
      <c r="A2453" s="91" t="s">
        <v>1315</v>
      </c>
      <c r="B2453" s="91" t="s">
        <v>1329</v>
      </c>
      <c r="C2453" s="91" t="s">
        <v>3652</v>
      </c>
      <c r="D2453" s="91" t="s">
        <v>15</v>
      </c>
      <c r="E2453" s="91"/>
      <c r="F2453">
        <v>11</v>
      </c>
      <c r="G2453" t="s">
        <v>1419</v>
      </c>
      <c r="H2453" s="89">
        <v>46193</v>
      </c>
      <c r="I2453" s="89">
        <v>46195</v>
      </c>
      <c r="J2453" s="91" t="s">
        <v>3549</v>
      </c>
      <c r="K2453" s="91"/>
      <c r="M2453" s="91"/>
      <c r="N2453" s="91" t="s">
        <v>3550</v>
      </c>
    </row>
    <row r="2454" spans="1:14" x14ac:dyDescent="0.25">
      <c r="A2454" s="91" t="s">
        <v>1316</v>
      </c>
      <c r="B2454" s="91" t="s">
        <v>1330</v>
      </c>
      <c r="C2454" s="91" t="s">
        <v>3654</v>
      </c>
      <c r="D2454" s="91" t="s">
        <v>15</v>
      </c>
      <c r="E2454" s="91"/>
      <c r="F2454">
        <v>86</v>
      </c>
      <c r="G2454" t="s">
        <v>1419</v>
      </c>
      <c r="H2454" s="89">
        <v>46193</v>
      </c>
      <c r="I2454" s="89">
        <v>46195</v>
      </c>
      <c r="J2454" s="91" t="s">
        <v>3549</v>
      </c>
      <c r="K2454" s="91"/>
      <c r="M2454" s="91"/>
      <c r="N2454" s="91" t="s">
        <v>3550</v>
      </c>
    </row>
    <row r="2455" spans="1:14" x14ac:dyDescent="0.25">
      <c r="A2455" s="91" t="s">
        <v>1317</v>
      </c>
      <c r="B2455" s="91" t="s">
        <v>1331</v>
      </c>
      <c r="C2455" s="91" t="s">
        <v>3655</v>
      </c>
      <c r="D2455" s="91" t="s">
        <v>15</v>
      </c>
      <c r="E2455" s="91"/>
      <c r="F2455">
        <v>22</v>
      </c>
      <c r="G2455" t="s">
        <v>1419</v>
      </c>
      <c r="H2455" s="89">
        <v>46193</v>
      </c>
      <c r="I2455" s="89">
        <v>46195</v>
      </c>
      <c r="J2455" s="91" t="s">
        <v>3549</v>
      </c>
      <c r="K2455" s="91"/>
      <c r="M2455" s="91"/>
      <c r="N2455" s="91" t="s">
        <v>3550</v>
      </c>
    </row>
    <row r="2456" spans="1:14" x14ac:dyDescent="0.25">
      <c r="A2456" s="91" t="s">
        <v>1318</v>
      </c>
      <c r="B2456" s="91" t="s">
        <v>1332</v>
      </c>
      <c r="C2456" s="91" t="s">
        <v>3656</v>
      </c>
      <c r="D2456" s="91" t="s">
        <v>15</v>
      </c>
      <c r="E2456" s="91"/>
      <c r="F2456">
        <v>38</v>
      </c>
      <c r="G2456" t="s">
        <v>1419</v>
      </c>
      <c r="H2456" s="89">
        <v>46193</v>
      </c>
      <c r="I2456" s="89">
        <v>46195</v>
      </c>
      <c r="J2456" s="91" t="s">
        <v>3549</v>
      </c>
      <c r="K2456" s="91"/>
      <c r="M2456" s="91"/>
      <c r="N2456" s="91" t="s">
        <v>3550</v>
      </c>
    </row>
    <row r="2457" spans="1:14" x14ac:dyDescent="0.25">
      <c r="A2457" s="91" t="s">
        <v>1320</v>
      </c>
      <c r="B2457" s="91" t="s">
        <v>1334</v>
      </c>
      <c r="C2457" s="91" t="s">
        <v>3657</v>
      </c>
      <c r="D2457" s="91" t="s">
        <v>28</v>
      </c>
      <c r="E2457" s="91"/>
      <c r="F2457">
        <v>960</v>
      </c>
      <c r="G2457">
        <v>20</v>
      </c>
      <c r="H2457" s="89">
        <v>46193</v>
      </c>
      <c r="I2457" s="89">
        <v>46198</v>
      </c>
      <c r="J2457" s="91" t="s">
        <v>3658</v>
      </c>
      <c r="K2457" s="91"/>
      <c r="M2457" s="91"/>
      <c r="N2457" s="91" t="s">
        <v>3550</v>
      </c>
    </row>
    <row r="2458" spans="1:14" x14ac:dyDescent="0.25">
      <c r="A2458" s="91" t="s">
        <v>1320</v>
      </c>
      <c r="B2458" s="91" t="s">
        <v>1334</v>
      </c>
      <c r="C2458" s="91" t="s">
        <v>3657</v>
      </c>
      <c r="D2458" s="91" t="s">
        <v>28</v>
      </c>
      <c r="E2458" s="91"/>
      <c r="F2458">
        <v>288</v>
      </c>
      <c r="G2458">
        <v>6</v>
      </c>
      <c r="H2458" s="89">
        <v>46193</v>
      </c>
      <c r="I2458" s="89">
        <v>46197</v>
      </c>
      <c r="J2458" s="91" t="s">
        <v>3645</v>
      </c>
      <c r="K2458" s="91"/>
      <c r="M2458" s="91"/>
      <c r="N2458" s="91" t="s">
        <v>3550</v>
      </c>
    </row>
    <row r="2459" spans="1:14" x14ac:dyDescent="0.25">
      <c r="A2459" s="91" t="s">
        <v>1313</v>
      </c>
      <c r="B2459" s="91" t="s">
        <v>1327</v>
      </c>
      <c r="C2459" s="91" t="s">
        <v>3657</v>
      </c>
      <c r="D2459" s="91" t="s">
        <v>28</v>
      </c>
      <c r="E2459" s="91"/>
      <c r="F2459">
        <v>192</v>
      </c>
      <c r="G2459">
        <v>4</v>
      </c>
      <c r="H2459" s="89">
        <v>46193</v>
      </c>
      <c r="I2459" s="89">
        <v>46198</v>
      </c>
      <c r="J2459" s="91" t="s">
        <v>3639</v>
      </c>
      <c r="K2459" s="91"/>
      <c r="M2459" s="91"/>
      <c r="N2459" s="91" t="s">
        <v>3550</v>
      </c>
    </row>
    <row r="2460" spans="1:14" x14ac:dyDescent="0.25">
      <c r="A2460" s="91" t="s">
        <v>1315</v>
      </c>
      <c r="B2460" s="91" t="s">
        <v>1329</v>
      </c>
      <c r="C2460" s="91" t="s">
        <v>3657</v>
      </c>
      <c r="D2460" s="91" t="s">
        <v>28</v>
      </c>
      <c r="E2460" s="91"/>
      <c r="F2460">
        <v>30</v>
      </c>
      <c r="G2460" t="s">
        <v>1419</v>
      </c>
      <c r="H2460" s="89">
        <v>46193</v>
      </c>
      <c r="I2460" s="89">
        <v>46195</v>
      </c>
      <c r="J2460" s="91" t="s">
        <v>3549</v>
      </c>
      <c r="K2460" s="91"/>
      <c r="M2460" s="91"/>
      <c r="N2460" s="91" t="s">
        <v>3550</v>
      </c>
    </row>
    <row r="2461" spans="1:14" x14ac:dyDescent="0.25">
      <c r="A2461" s="91" t="s">
        <v>1316</v>
      </c>
      <c r="B2461" s="91" t="s">
        <v>1330</v>
      </c>
      <c r="C2461" s="91" t="s">
        <v>3659</v>
      </c>
      <c r="D2461" s="91" t="s">
        <v>28</v>
      </c>
      <c r="E2461" s="91"/>
      <c r="F2461">
        <v>43</v>
      </c>
      <c r="G2461" t="s">
        <v>1419</v>
      </c>
      <c r="H2461" s="89">
        <v>46193</v>
      </c>
      <c r="I2461" s="89">
        <v>46195</v>
      </c>
      <c r="J2461" s="91" t="s">
        <v>3549</v>
      </c>
      <c r="K2461" s="91"/>
      <c r="M2461" s="91"/>
      <c r="N2461" s="91" t="s">
        <v>3550</v>
      </c>
    </row>
    <row r="2462" spans="1:14" x14ac:dyDescent="0.25">
      <c r="A2462" s="91" t="s">
        <v>1317</v>
      </c>
      <c r="B2462" s="91" t="s">
        <v>1331</v>
      </c>
      <c r="C2462" s="91" t="s">
        <v>3660</v>
      </c>
      <c r="D2462" s="91" t="s">
        <v>28</v>
      </c>
      <c r="E2462" s="91"/>
      <c r="F2462">
        <v>7</v>
      </c>
      <c r="G2462" t="s">
        <v>1419</v>
      </c>
      <c r="H2462" s="89">
        <v>46193</v>
      </c>
      <c r="I2462" s="89">
        <v>46195</v>
      </c>
      <c r="J2462" s="91" t="s">
        <v>3549</v>
      </c>
      <c r="K2462" s="91"/>
      <c r="M2462" s="91"/>
      <c r="N2462" s="91" t="s">
        <v>3550</v>
      </c>
    </row>
    <row r="2463" spans="1:14" x14ac:dyDescent="0.25">
      <c r="A2463" s="91" t="s">
        <v>1318</v>
      </c>
      <c r="B2463" s="91" t="s">
        <v>1332</v>
      </c>
      <c r="C2463" s="91" t="s">
        <v>3661</v>
      </c>
      <c r="D2463" s="91" t="s">
        <v>28</v>
      </c>
      <c r="E2463" s="91"/>
      <c r="F2463">
        <v>45</v>
      </c>
      <c r="G2463" t="s">
        <v>1419</v>
      </c>
      <c r="H2463" s="89">
        <v>46193</v>
      </c>
      <c r="I2463" s="89">
        <v>46195</v>
      </c>
      <c r="J2463" s="91" t="s">
        <v>3549</v>
      </c>
      <c r="K2463" s="91"/>
      <c r="M2463" s="91"/>
      <c r="N2463" s="91" t="s">
        <v>3550</v>
      </c>
    </row>
    <row r="2464" spans="1:14" x14ac:dyDescent="0.25">
      <c r="A2464" s="91"/>
      <c r="B2464" s="91" t="s">
        <v>3662</v>
      </c>
      <c r="C2464" s="91" t="s">
        <v>1655</v>
      </c>
      <c r="D2464" s="91"/>
      <c r="E2464" s="91"/>
      <c r="H2464" s="89">
        <v>5</v>
      </c>
      <c r="I2464" s="89">
        <v>5</v>
      </c>
      <c r="J2464" s="91" t="s">
        <v>3549</v>
      </c>
      <c r="K2464" s="91"/>
      <c r="M2464" s="91"/>
      <c r="N2464" s="91" t="s">
        <v>3550</v>
      </c>
    </row>
    <row r="2465" spans="1:14" x14ac:dyDescent="0.25">
      <c r="A2465" s="91" t="s">
        <v>1324</v>
      </c>
      <c r="B2465" s="91" t="s">
        <v>1338</v>
      </c>
      <c r="C2465" s="91" t="s">
        <v>3663</v>
      </c>
      <c r="D2465" s="91" t="s">
        <v>13</v>
      </c>
      <c r="E2465" s="91"/>
      <c r="F2465">
        <v>960</v>
      </c>
      <c r="G2465">
        <v>20</v>
      </c>
      <c r="H2465" s="89">
        <v>46195</v>
      </c>
      <c r="I2465" s="89">
        <v>46202</v>
      </c>
      <c r="J2465" s="91" t="s">
        <v>3664</v>
      </c>
      <c r="K2465" s="91"/>
      <c r="M2465" s="91"/>
      <c r="N2465" s="91" t="s">
        <v>3665</v>
      </c>
    </row>
    <row r="2466" spans="1:14" x14ac:dyDescent="0.25">
      <c r="A2466" s="91" t="s">
        <v>1320</v>
      </c>
      <c r="B2466" s="91" t="s">
        <v>1334</v>
      </c>
      <c r="C2466" s="91" t="s">
        <v>3666</v>
      </c>
      <c r="D2466" s="91" t="s">
        <v>21</v>
      </c>
      <c r="E2466" s="91"/>
      <c r="F2466">
        <v>960</v>
      </c>
      <c r="G2466">
        <v>20</v>
      </c>
      <c r="H2466" s="89">
        <v>46195</v>
      </c>
      <c r="I2466" s="89">
        <v>46199</v>
      </c>
      <c r="J2466" s="91" t="s">
        <v>3667</v>
      </c>
      <c r="K2466" s="91"/>
      <c r="M2466" s="91"/>
      <c r="N2466" s="91" t="s">
        <v>3665</v>
      </c>
    </row>
    <row r="2467" spans="1:14" x14ac:dyDescent="0.25">
      <c r="A2467" s="91" t="s">
        <v>1313</v>
      </c>
      <c r="B2467" s="91" t="s">
        <v>1327</v>
      </c>
      <c r="C2467" s="91" t="s">
        <v>3666</v>
      </c>
      <c r="D2467" s="91" t="s">
        <v>21</v>
      </c>
      <c r="E2467" s="91"/>
      <c r="F2467">
        <v>384</v>
      </c>
      <c r="G2467">
        <v>8</v>
      </c>
      <c r="H2467" s="89">
        <v>46195</v>
      </c>
      <c r="I2467" s="89">
        <v>46199</v>
      </c>
      <c r="J2467" s="91" t="s">
        <v>3668</v>
      </c>
      <c r="K2467" s="91"/>
      <c r="M2467" s="91"/>
      <c r="N2467" s="91" t="s">
        <v>3665</v>
      </c>
    </row>
    <row r="2468" spans="1:14" x14ac:dyDescent="0.25">
      <c r="A2468" s="91" t="s">
        <v>1314</v>
      </c>
      <c r="B2468" s="91" t="s">
        <v>1328</v>
      </c>
      <c r="C2468" s="91" t="s">
        <v>3666</v>
      </c>
      <c r="D2468" s="91" t="s">
        <v>21</v>
      </c>
      <c r="E2468" s="91"/>
      <c r="F2468">
        <v>96</v>
      </c>
      <c r="G2468">
        <v>2</v>
      </c>
      <c r="H2468" s="89">
        <v>46195</v>
      </c>
      <c r="I2468" s="89">
        <v>46199</v>
      </c>
      <c r="J2468" s="91" t="s">
        <v>3669</v>
      </c>
      <c r="K2468" s="91"/>
      <c r="M2468" s="91"/>
      <c r="N2468" s="91" t="s">
        <v>3665</v>
      </c>
    </row>
    <row r="2469" spans="1:14" x14ac:dyDescent="0.25">
      <c r="A2469" s="91" t="s">
        <v>1315</v>
      </c>
      <c r="B2469" s="91" t="s">
        <v>1329</v>
      </c>
      <c r="C2469" s="91" t="s">
        <v>3666</v>
      </c>
      <c r="D2469" s="91" t="s">
        <v>21</v>
      </c>
      <c r="E2469" s="91"/>
      <c r="F2469">
        <v>37</v>
      </c>
      <c r="G2469" t="s">
        <v>1419</v>
      </c>
      <c r="H2469" s="89">
        <v>46195</v>
      </c>
      <c r="I2469" s="89">
        <v>46197</v>
      </c>
      <c r="J2469" s="91" t="s">
        <v>3549</v>
      </c>
      <c r="K2469" s="91"/>
      <c r="M2469" s="91"/>
      <c r="N2469" s="91" t="s">
        <v>3665</v>
      </c>
    </row>
    <row r="2470" spans="1:14" x14ac:dyDescent="0.25">
      <c r="A2470" s="91" t="s">
        <v>1316</v>
      </c>
      <c r="B2470" s="91" t="s">
        <v>1330</v>
      </c>
      <c r="C2470" s="91" t="s">
        <v>3670</v>
      </c>
      <c r="D2470" s="91" t="s">
        <v>21</v>
      </c>
      <c r="E2470" s="91"/>
      <c r="F2470">
        <v>12</v>
      </c>
      <c r="G2470" t="s">
        <v>1419</v>
      </c>
      <c r="H2470" s="89">
        <v>46195</v>
      </c>
      <c r="I2470" s="89">
        <v>46197</v>
      </c>
      <c r="J2470" s="91" t="s">
        <v>3549</v>
      </c>
      <c r="K2470" s="91"/>
      <c r="M2470" s="91"/>
      <c r="N2470" s="91" t="s">
        <v>3665</v>
      </c>
    </row>
    <row r="2471" spans="1:14" x14ac:dyDescent="0.25">
      <c r="A2471" s="91" t="s">
        <v>1317</v>
      </c>
      <c r="B2471" s="91" t="s">
        <v>1331</v>
      </c>
      <c r="C2471" s="91" t="s">
        <v>3671</v>
      </c>
      <c r="D2471" s="91" t="s">
        <v>21</v>
      </c>
      <c r="E2471" s="91"/>
      <c r="F2471">
        <v>11</v>
      </c>
      <c r="G2471" t="s">
        <v>1419</v>
      </c>
      <c r="H2471" s="89">
        <v>46195</v>
      </c>
      <c r="I2471" s="89">
        <v>46197</v>
      </c>
      <c r="J2471" s="91" t="s">
        <v>3549</v>
      </c>
      <c r="K2471" s="91"/>
      <c r="M2471" s="91"/>
      <c r="N2471" s="91" t="s">
        <v>3665</v>
      </c>
    </row>
    <row r="2472" spans="1:14" x14ac:dyDescent="0.25">
      <c r="A2472" s="91" t="s">
        <v>1318</v>
      </c>
      <c r="B2472" s="91" t="s">
        <v>1332</v>
      </c>
      <c r="C2472" s="91" t="s">
        <v>3672</v>
      </c>
      <c r="D2472" s="91" t="s">
        <v>21</v>
      </c>
      <c r="E2472" s="91"/>
      <c r="F2472">
        <v>65</v>
      </c>
      <c r="G2472" t="s">
        <v>1419</v>
      </c>
      <c r="H2472" s="89">
        <v>46195</v>
      </c>
      <c r="I2472" s="89">
        <v>46197</v>
      </c>
      <c r="J2472" s="91" t="s">
        <v>3549</v>
      </c>
      <c r="K2472" s="91"/>
      <c r="M2472" s="91"/>
      <c r="N2472" s="91" t="s">
        <v>3665</v>
      </c>
    </row>
    <row r="2473" spans="1:14" x14ac:dyDescent="0.25">
      <c r="A2473" s="91" t="s">
        <v>1320</v>
      </c>
      <c r="B2473" s="91" t="s">
        <v>1334</v>
      </c>
      <c r="C2473" s="91" t="s">
        <v>3673</v>
      </c>
      <c r="D2473" s="91" t="s">
        <v>15</v>
      </c>
      <c r="E2473" s="91"/>
      <c r="F2473">
        <v>960</v>
      </c>
      <c r="G2473">
        <v>20</v>
      </c>
      <c r="H2473" s="89">
        <v>46195</v>
      </c>
      <c r="I2473" s="89">
        <v>46199</v>
      </c>
      <c r="J2473" s="91" t="s">
        <v>3674</v>
      </c>
      <c r="K2473" s="91"/>
      <c r="M2473" s="91"/>
      <c r="N2473" s="91" t="s">
        <v>3665</v>
      </c>
    </row>
    <row r="2474" spans="1:14" x14ac:dyDescent="0.25">
      <c r="A2474" s="91" t="s">
        <v>1313</v>
      </c>
      <c r="B2474" s="91" t="s">
        <v>1327</v>
      </c>
      <c r="C2474" s="91" t="s">
        <v>3673</v>
      </c>
      <c r="D2474" s="91" t="s">
        <v>15</v>
      </c>
      <c r="E2474" s="91"/>
      <c r="F2474">
        <v>288</v>
      </c>
      <c r="G2474">
        <v>6</v>
      </c>
      <c r="H2474" s="89">
        <v>46195</v>
      </c>
      <c r="I2474" s="89">
        <v>46198</v>
      </c>
      <c r="J2474" s="91" t="s">
        <v>3639</v>
      </c>
      <c r="K2474" s="91"/>
      <c r="M2474" s="91"/>
      <c r="N2474" s="91" t="s">
        <v>3665</v>
      </c>
    </row>
    <row r="2475" spans="1:14" x14ac:dyDescent="0.25">
      <c r="A2475" s="91" t="s">
        <v>1314</v>
      </c>
      <c r="B2475" s="91" t="s">
        <v>1328</v>
      </c>
      <c r="C2475" s="91" t="s">
        <v>3673</v>
      </c>
      <c r="D2475" s="91" t="s">
        <v>15</v>
      </c>
      <c r="E2475" s="91"/>
      <c r="F2475">
        <v>288</v>
      </c>
      <c r="G2475">
        <v>6</v>
      </c>
      <c r="H2475" s="89">
        <v>46195</v>
      </c>
      <c r="I2475" s="89">
        <v>46198</v>
      </c>
      <c r="J2475" s="91" t="s">
        <v>3675</v>
      </c>
      <c r="K2475" s="91"/>
      <c r="M2475" s="91"/>
      <c r="N2475" s="91" t="s">
        <v>3665</v>
      </c>
    </row>
    <row r="2476" spans="1:14" x14ac:dyDescent="0.25">
      <c r="A2476" s="91" t="s">
        <v>1313</v>
      </c>
      <c r="B2476" s="91" t="s">
        <v>1327</v>
      </c>
      <c r="C2476" s="91" t="s">
        <v>3673</v>
      </c>
      <c r="D2476" s="91" t="s">
        <v>15</v>
      </c>
      <c r="E2476" s="91"/>
      <c r="F2476">
        <v>48</v>
      </c>
      <c r="G2476">
        <v>1</v>
      </c>
      <c r="H2476" s="89">
        <v>46195</v>
      </c>
      <c r="I2476" s="89">
        <v>46199</v>
      </c>
      <c r="J2476" s="91" t="s">
        <v>3668</v>
      </c>
      <c r="K2476" s="91"/>
      <c r="M2476" s="91"/>
      <c r="N2476" s="91" t="s">
        <v>3665</v>
      </c>
    </row>
    <row r="2477" spans="1:14" x14ac:dyDescent="0.25">
      <c r="A2477" s="91" t="s">
        <v>1315</v>
      </c>
      <c r="B2477" s="91" t="s">
        <v>1329</v>
      </c>
      <c r="C2477" s="91" t="s">
        <v>3673</v>
      </c>
      <c r="D2477" s="91" t="s">
        <v>15</v>
      </c>
      <c r="E2477" s="91"/>
      <c r="F2477">
        <v>6</v>
      </c>
      <c r="G2477" t="s">
        <v>1419</v>
      </c>
      <c r="H2477" s="89">
        <v>46195</v>
      </c>
      <c r="I2477" s="89">
        <v>46197</v>
      </c>
      <c r="J2477" s="91" t="s">
        <v>3549</v>
      </c>
      <c r="K2477" s="91"/>
      <c r="M2477" s="91"/>
      <c r="N2477" s="91" t="s">
        <v>3665</v>
      </c>
    </row>
    <row r="2478" spans="1:14" x14ac:dyDescent="0.25">
      <c r="A2478" s="91" t="s">
        <v>1316</v>
      </c>
      <c r="B2478" s="91" t="s">
        <v>1330</v>
      </c>
      <c r="C2478" s="91" t="s">
        <v>3676</v>
      </c>
      <c r="D2478" s="91" t="s">
        <v>15</v>
      </c>
      <c r="E2478" s="91"/>
      <c r="F2478">
        <v>98</v>
      </c>
      <c r="G2478" t="s">
        <v>1419</v>
      </c>
      <c r="H2478" s="89">
        <v>46195</v>
      </c>
      <c r="I2478" s="89">
        <v>46197</v>
      </c>
      <c r="J2478" s="91" t="s">
        <v>3549</v>
      </c>
      <c r="K2478" s="91"/>
      <c r="M2478" s="91"/>
      <c r="N2478" s="91" t="s">
        <v>3665</v>
      </c>
    </row>
    <row r="2479" spans="1:14" x14ac:dyDescent="0.25">
      <c r="A2479" s="91" t="s">
        <v>1317</v>
      </c>
      <c r="B2479" s="91" t="s">
        <v>1331</v>
      </c>
      <c r="C2479" s="91" t="s">
        <v>3677</v>
      </c>
      <c r="D2479" s="91" t="s">
        <v>15</v>
      </c>
      <c r="E2479" s="91"/>
      <c r="F2479">
        <v>22</v>
      </c>
      <c r="G2479" t="s">
        <v>1419</v>
      </c>
      <c r="H2479" s="89">
        <v>46195</v>
      </c>
      <c r="I2479" s="89">
        <v>46197</v>
      </c>
      <c r="J2479" s="91" t="s">
        <v>3549</v>
      </c>
      <c r="K2479" s="91"/>
      <c r="M2479" s="91"/>
      <c r="N2479" s="91" t="s">
        <v>3665</v>
      </c>
    </row>
    <row r="2480" spans="1:14" x14ac:dyDescent="0.25">
      <c r="A2480" s="91" t="s">
        <v>1318</v>
      </c>
      <c r="B2480" s="91" t="s">
        <v>1332</v>
      </c>
      <c r="C2480" s="91" t="s">
        <v>3678</v>
      </c>
      <c r="D2480" s="91" t="s">
        <v>15</v>
      </c>
      <c r="E2480" s="91"/>
      <c r="F2480">
        <v>39</v>
      </c>
      <c r="G2480" t="s">
        <v>1419</v>
      </c>
      <c r="H2480" s="89">
        <v>46195</v>
      </c>
      <c r="I2480" s="89">
        <v>46197</v>
      </c>
      <c r="J2480" s="91" t="s">
        <v>3549</v>
      </c>
      <c r="K2480" s="91"/>
      <c r="M2480" s="91"/>
      <c r="N2480" s="91" t="s">
        <v>3665</v>
      </c>
    </row>
    <row r="2481" spans="1:14" x14ac:dyDescent="0.25">
      <c r="A2481" s="91" t="s">
        <v>1323</v>
      </c>
      <c r="B2481" s="91" t="s">
        <v>1337</v>
      </c>
      <c r="C2481" s="91" t="s">
        <v>3679</v>
      </c>
      <c r="D2481" s="91" t="s">
        <v>20</v>
      </c>
      <c r="E2481" s="91"/>
      <c r="F2481">
        <v>918</v>
      </c>
      <c r="G2481">
        <v>17</v>
      </c>
      <c r="H2481" s="89">
        <v>46195</v>
      </c>
      <c r="I2481" s="89">
        <v>46199</v>
      </c>
      <c r="J2481" s="91" t="s">
        <v>3680</v>
      </c>
      <c r="K2481" s="91"/>
      <c r="M2481" s="91"/>
      <c r="N2481" s="91" t="s">
        <v>3665</v>
      </c>
    </row>
    <row r="2482" spans="1:14" x14ac:dyDescent="0.25">
      <c r="A2482" s="91" t="s">
        <v>1322</v>
      </c>
      <c r="B2482" s="91" t="s">
        <v>1336</v>
      </c>
      <c r="C2482" s="91" t="s">
        <v>3679</v>
      </c>
      <c r="D2482" s="91" t="s">
        <v>20</v>
      </c>
      <c r="E2482" s="91"/>
      <c r="F2482">
        <v>162</v>
      </c>
      <c r="G2482">
        <v>3</v>
      </c>
      <c r="H2482" s="89">
        <v>46195</v>
      </c>
      <c r="I2482" s="89">
        <v>46199</v>
      </c>
      <c r="J2482" s="91" t="s">
        <v>3680</v>
      </c>
      <c r="K2482" s="91"/>
      <c r="M2482" s="91"/>
      <c r="N2482" s="91" t="s">
        <v>3665</v>
      </c>
    </row>
    <row r="2483" spans="1:14" x14ac:dyDescent="0.25">
      <c r="A2483" s="91" t="s">
        <v>1313</v>
      </c>
      <c r="B2483" s="91" t="s">
        <v>1327</v>
      </c>
      <c r="C2483" s="91" t="s">
        <v>3679</v>
      </c>
      <c r="D2483" s="91" t="s">
        <v>20</v>
      </c>
      <c r="E2483" s="91"/>
      <c r="F2483">
        <v>24</v>
      </c>
      <c r="G2483">
        <v>0.5</v>
      </c>
      <c r="H2483" s="89">
        <v>46195</v>
      </c>
      <c r="I2483" s="89">
        <v>46199</v>
      </c>
      <c r="J2483" s="91" t="s">
        <v>3668</v>
      </c>
      <c r="K2483" s="91"/>
      <c r="M2483" s="91"/>
      <c r="N2483" s="91" t="s">
        <v>3665</v>
      </c>
    </row>
    <row r="2484" spans="1:14" x14ac:dyDescent="0.25">
      <c r="A2484" s="91" t="s">
        <v>1316</v>
      </c>
      <c r="B2484" s="91" t="s">
        <v>1330</v>
      </c>
      <c r="C2484" s="91" t="s">
        <v>3681</v>
      </c>
      <c r="D2484" s="91" t="s">
        <v>20</v>
      </c>
      <c r="E2484" s="91"/>
      <c r="F2484">
        <v>79</v>
      </c>
      <c r="G2484" t="s">
        <v>1419</v>
      </c>
      <c r="H2484" s="89">
        <v>46195</v>
      </c>
      <c r="I2484" s="89">
        <v>46197</v>
      </c>
      <c r="J2484" s="91" t="s">
        <v>3549</v>
      </c>
      <c r="K2484" s="91"/>
      <c r="M2484" s="91"/>
      <c r="N2484" s="91" t="s">
        <v>3665</v>
      </c>
    </row>
    <row r="2485" spans="1:14" x14ac:dyDescent="0.25">
      <c r="A2485" s="91" t="s">
        <v>1317</v>
      </c>
      <c r="B2485" s="91" t="s">
        <v>1331</v>
      </c>
      <c r="C2485" s="91" t="s">
        <v>3682</v>
      </c>
      <c r="D2485" s="91" t="s">
        <v>20</v>
      </c>
      <c r="E2485" s="91"/>
      <c r="F2485">
        <v>6</v>
      </c>
      <c r="G2485" t="s">
        <v>1419</v>
      </c>
      <c r="H2485" s="89">
        <v>46195</v>
      </c>
      <c r="I2485" s="89">
        <v>46197</v>
      </c>
      <c r="J2485" s="91" t="s">
        <v>3549</v>
      </c>
      <c r="K2485" s="91"/>
      <c r="M2485" s="91"/>
      <c r="N2485" s="91" t="s">
        <v>3665</v>
      </c>
    </row>
    <row r="2486" spans="1:14" x14ac:dyDescent="0.25">
      <c r="A2486" s="91" t="s">
        <v>1318</v>
      </c>
      <c r="B2486" s="91" t="s">
        <v>1332</v>
      </c>
      <c r="C2486" s="91" t="s">
        <v>3683</v>
      </c>
      <c r="D2486" s="91" t="s">
        <v>20</v>
      </c>
      <c r="E2486" s="91"/>
      <c r="F2486">
        <v>43</v>
      </c>
      <c r="G2486" t="s">
        <v>1419</v>
      </c>
      <c r="H2486" s="89">
        <v>46195</v>
      </c>
      <c r="I2486" s="89">
        <v>46197</v>
      </c>
      <c r="J2486" s="91" t="s">
        <v>3549</v>
      </c>
      <c r="K2486" s="91"/>
      <c r="M2486" s="91"/>
      <c r="N2486" s="91" t="s">
        <v>3665</v>
      </c>
    </row>
    <row r="2487" spans="1:14" x14ac:dyDescent="0.25">
      <c r="A2487" s="91" t="s">
        <v>1324</v>
      </c>
      <c r="B2487" s="91" t="s">
        <v>1338</v>
      </c>
      <c r="C2487" s="91" t="s">
        <v>3684</v>
      </c>
      <c r="D2487" s="91" t="s">
        <v>118</v>
      </c>
      <c r="E2487" s="91"/>
      <c r="F2487">
        <v>576</v>
      </c>
      <c r="G2487">
        <v>12</v>
      </c>
      <c r="H2487" s="89">
        <v>46196</v>
      </c>
      <c r="I2487" s="89">
        <v>46202</v>
      </c>
      <c r="J2487" s="91" t="s">
        <v>3664</v>
      </c>
      <c r="K2487" s="91"/>
      <c r="M2487" s="91"/>
      <c r="N2487" s="91" t="s">
        <v>3665</v>
      </c>
    </row>
    <row r="2488" spans="1:14" x14ac:dyDescent="0.25">
      <c r="A2488" s="91" t="s">
        <v>1324</v>
      </c>
      <c r="B2488" s="91" t="s">
        <v>1338</v>
      </c>
      <c r="C2488" s="91" t="s">
        <v>3685</v>
      </c>
      <c r="D2488" s="91" t="s">
        <v>152</v>
      </c>
      <c r="E2488" s="91"/>
      <c r="F2488">
        <v>384</v>
      </c>
      <c r="G2488">
        <v>8</v>
      </c>
      <c r="H2488" s="89">
        <v>46196</v>
      </c>
      <c r="I2488" s="89">
        <v>46202</v>
      </c>
      <c r="J2488" s="91" t="s">
        <v>3686</v>
      </c>
      <c r="K2488" s="91"/>
      <c r="M2488" s="91"/>
      <c r="N2488" s="91" t="s">
        <v>3665</v>
      </c>
    </row>
    <row r="2489" spans="1:14" x14ac:dyDescent="0.25">
      <c r="A2489" s="91" t="s">
        <v>1326</v>
      </c>
      <c r="B2489" s="91" t="s">
        <v>1340</v>
      </c>
      <c r="C2489" s="91" t="s">
        <v>3687</v>
      </c>
      <c r="D2489" s="91" t="s">
        <v>32</v>
      </c>
      <c r="E2489" s="91"/>
      <c r="F2489">
        <v>840</v>
      </c>
      <c r="G2489">
        <v>20</v>
      </c>
      <c r="H2489" s="89">
        <v>46196</v>
      </c>
      <c r="I2489" s="89">
        <v>46203</v>
      </c>
      <c r="J2489" s="91" t="s">
        <v>3688</v>
      </c>
      <c r="K2489" s="91"/>
      <c r="M2489" s="91"/>
      <c r="N2489" s="91" t="s">
        <v>3665</v>
      </c>
    </row>
    <row r="2490" spans="1:14" x14ac:dyDescent="0.25">
      <c r="A2490" s="91" t="s">
        <v>1320</v>
      </c>
      <c r="B2490" s="91" t="s">
        <v>1334</v>
      </c>
      <c r="C2490" s="91" t="s">
        <v>3689</v>
      </c>
      <c r="D2490" s="91" t="s">
        <v>23</v>
      </c>
      <c r="E2490" s="91"/>
      <c r="F2490">
        <v>960</v>
      </c>
      <c r="G2490">
        <v>20</v>
      </c>
      <c r="H2490" s="89">
        <v>46196</v>
      </c>
      <c r="I2490" s="89">
        <v>46200</v>
      </c>
      <c r="J2490" s="91" t="s">
        <v>3690</v>
      </c>
      <c r="K2490" s="91"/>
      <c r="M2490" s="91"/>
      <c r="N2490" s="91" t="s">
        <v>3665</v>
      </c>
    </row>
    <row r="2491" spans="1:14" x14ac:dyDescent="0.25">
      <c r="A2491" s="91" t="s">
        <v>1321</v>
      </c>
      <c r="B2491" s="91" t="s">
        <v>1335</v>
      </c>
      <c r="C2491" s="91" t="s">
        <v>3691</v>
      </c>
      <c r="D2491" s="91" t="s">
        <v>159</v>
      </c>
      <c r="E2491" s="91"/>
      <c r="F2491">
        <v>144</v>
      </c>
      <c r="G2491">
        <v>3</v>
      </c>
      <c r="H2491" s="89">
        <v>46196</v>
      </c>
      <c r="I2491" s="89">
        <v>46202</v>
      </c>
      <c r="J2491" s="91" t="s">
        <v>3664</v>
      </c>
      <c r="K2491" s="91"/>
      <c r="M2491" s="91"/>
      <c r="N2491" s="91" t="s">
        <v>3665</v>
      </c>
    </row>
    <row r="2492" spans="1:14" x14ac:dyDescent="0.25">
      <c r="A2492" s="91" t="s">
        <v>1321</v>
      </c>
      <c r="B2492" s="91" t="s">
        <v>1335</v>
      </c>
      <c r="C2492" s="91" t="s">
        <v>3691</v>
      </c>
      <c r="D2492" s="91" t="s">
        <v>159</v>
      </c>
      <c r="E2492" s="91"/>
      <c r="F2492">
        <v>96</v>
      </c>
      <c r="G2492">
        <v>2</v>
      </c>
      <c r="H2492" s="89">
        <v>46196</v>
      </c>
      <c r="I2492" s="89">
        <v>46202</v>
      </c>
      <c r="J2492" s="91" t="s">
        <v>3686</v>
      </c>
      <c r="K2492" s="91"/>
      <c r="M2492" s="91"/>
      <c r="N2492" s="91" t="s">
        <v>3665</v>
      </c>
    </row>
    <row r="2493" spans="1:14" x14ac:dyDescent="0.25">
      <c r="A2493" s="91" t="s">
        <v>1325</v>
      </c>
      <c r="B2493" s="91" t="s">
        <v>1339</v>
      </c>
      <c r="C2493" s="91" t="s">
        <v>3691</v>
      </c>
      <c r="D2493" s="91" t="s">
        <v>159</v>
      </c>
      <c r="E2493" s="91"/>
      <c r="F2493">
        <v>192</v>
      </c>
      <c r="G2493">
        <v>4</v>
      </c>
      <c r="H2493" s="89">
        <v>46196</v>
      </c>
      <c r="I2493" s="89">
        <v>46197</v>
      </c>
      <c r="J2493" s="91" t="s">
        <v>3549</v>
      </c>
      <c r="K2493" s="91"/>
      <c r="M2493" s="91"/>
      <c r="N2493" s="91" t="s">
        <v>3665</v>
      </c>
    </row>
    <row r="2494" spans="1:14" x14ac:dyDescent="0.25">
      <c r="A2494" s="91" t="s">
        <v>1324</v>
      </c>
      <c r="B2494" s="91" t="s">
        <v>1338</v>
      </c>
      <c r="C2494" s="91" t="s">
        <v>3692</v>
      </c>
      <c r="D2494" s="91" t="s">
        <v>28</v>
      </c>
      <c r="E2494" s="91"/>
      <c r="F2494">
        <v>864</v>
      </c>
      <c r="G2494">
        <v>18</v>
      </c>
      <c r="H2494" s="89">
        <v>46196</v>
      </c>
      <c r="I2494" s="89">
        <v>46202</v>
      </c>
      <c r="J2494" s="91" t="s">
        <v>3686</v>
      </c>
      <c r="K2494" s="91"/>
      <c r="M2494" s="91"/>
      <c r="N2494" s="91" t="s">
        <v>3665</v>
      </c>
    </row>
    <row r="2495" spans="1:14" x14ac:dyDescent="0.25">
      <c r="A2495" s="91" t="s">
        <v>1313</v>
      </c>
      <c r="B2495" s="91" t="s">
        <v>1327</v>
      </c>
      <c r="C2495" s="91" t="s">
        <v>3692</v>
      </c>
      <c r="D2495" s="91" t="s">
        <v>28</v>
      </c>
      <c r="E2495" s="91"/>
      <c r="F2495">
        <v>96</v>
      </c>
      <c r="G2495">
        <v>1.5</v>
      </c>
      <c r="H2495" s="89">
        <v>46196</v>
      </c>
      <c r="I2495" s="89">
        <v>46199</v>
      </c>
      <c r="J2495" s="91" t="s">
        <v>3668</v>
      </c>
      <c r="K2495" s="91"/>
      <c r="M2495" s="91"/>
      <c r="N2495" s="91" t="s">
        <v>3665</v>
      </c>
    </row>
    <row r="2496" spans="1:14" x14ac:dyDescent="0.25">
      <c r="A2496" s="91" t="s">
        <v>1315</v>
      </c>
      <c r="B2496" s="91" t="s">
        <v>1329</v>
      </c>
      <c r="C2496" s="91" t="s">
        <v>3692</v>
      </c>
      <c r="D2496" s="91" t="s">
        <v>28</v>
      </c>
      <c r="E2496" s="91"/>
      <c r="F2496">
        <v>13</v>
      </c>
      <c r="G2496" t="s">
        <v>1419</v>
      </c>
      <c r="H2496" s="89">
        <v>46196</v>
      </c>
      <c r="I2496" s="89">
        <v>46198</v>
      </c>
      <c r="J2496" s="91" t="s">
        <v>3549</v>
      </c>
      <c r="K2496" s="91"/>
      <c r="M2496" s="91"/>
      <c r="N2496" s="91" t="s">
        <v>3665</v>
      </c>
    </row>
    <row r="2497" spans="1:14" x14ac:dyDescent="0.25">
      <c r="A2497" s="91" t="s">
        <v>1316</v>
      </c>
      <c r="B2497" s="91" t="s">
        <v>1330</v>
      </c>
      <c r="C2497" s="91" t="s">
        <v>3693</v>
      </c>
      <c r="D2497" s="91" t="s">
        <v>28</v>
      </c>
      <c r="E2497" s="91"/>
      <c r="F2497">
        <v>9</v>
      </c>
      <c r="G2497" t="s">
        <v>1419</v>
      </c>
      <c r="H2497" s="89">
        <v>46196</v>
      </c>
      <c r="I2497" s="89">
        <v>46198</v>
      </c>
      <c r="J2497" s="91" t="s">
        <v>3549</v>
      </c>
      <c r="K2497" s="91"/>
      <c r="M2497" s="91"/>
      <c r="N2497" s="91" t="s">
        <v>3665</v>
      </c>
    </row>
    <row r="2498" spans="1:14" x14ac:dyDescent="0.25">
      <c r="A2498" s="91" t="s">
        <v>1317</v>
      </c>
      <c r="B2498" s="91" t="s">
        <v>1331</v>
      </c>
      <c r="C2498" s="91" t="s">
        <v>3694</v>
      </c>
      <c r="D2498" s="91" t="s">
        <v>28</v>
      </c>
      <c r="E2498" s="91"/>
      <c r="F2498">
        <v>1</v>
      </c>
      <c r="G2498" t="s">
        <v>1419</v>
      </c>
      <c r="H2498" s="89">
        <v>46196</v>
      </c>
      <c r="I2498" s="89">
        <v>46198</v>
      </c>
      <c r="J2498" s="91" t="s">
        <v>3549</v>
      </c>
      <c r="K2498" s="91"/>
      <c r="M2498" s="91"/>
      <c r="N2498" s="91" t="s">
        <v>3665</v>
      </c>
    </row>
    <row r="2499" spans="1:14" x14ac:dyDescent="0.25">
      <c r="A2499" s="91" t="s">
        <v>1318</v>
      </c>
      <c r="B2499" s="91" t="s">
        <v>1332</v>
      </c>
      <c r="C2499" s="91" t="s">
        <v>3695</v>
      </c>
      <c r="D2499" s="91" t="s">
        <v>28</v>
      </c>
      <c r="E2499" s="91"/>
      <c r="F2499">
        <v>46</v>
      </c>
      <c r="G2499" t="s">
        <v>1419</v>
      </c>
      <c r="H2499" s="89">
        <v>46196</v>
      </c>
      <c r="I2499" s="89">
        <v>46198</v>
      </c>
      <c r="J2499" s="91" t="s">
        <v>3549</v>
      </c>
      <c r="K2499" s="91"/>
      <c r="M2499" s="91"/>
      <c r="N2499" s="91" t="s">
        <v>3665</v>
      </c>
    </row>
    <row r="2500" spans="1:14" x14ac:dyDescent="0.25">
      <c r="A2500" s="91" t="s">
        <v>1313</v>
      </c>
      <c r="B2500" s="91" t="s">
        <v>1327</v>
      </c>
      <c r="C2500" s="91" t="s">
        <v>3696</v>
      </c>
      <c r="D2500" s="91" t="s">
        <v>20</v>
      </c>
      <c r="E2500" s="91"/>
      <c r="H2500" s="89">
        <v>46196</v>
      </c>
      <c r="I2500" s="89">
        <v>46200</v>
      </c>
      <c r="J2500" s="91" t="s">
        <v>3697</v>
      </c>
      <c r="K2500" s="91"/>
      <c r="M2500" s="91"/>
      <c r="N2500" s="91" t="s">
        <v>3665</v>
      </c>
    </row>
    <row r="2501" spans="1:14" x14ac:dyDescent="0.25">
      <c r="A2501" s="91" t="s">
        <v>1319</v>
      </c>
      <c r="B2501" s="91" t="s">
        <v>1333</v>
      </c>
      <c r="C2501" s="91" t="s">
        <v>3696</v>
      </c>
      <c r="D2501" s="91" t="s">
        <v>20</v>
      </c>
      <c r="E2501" s="91"/>
      <c r="H2501" s="89">
        <v>46196</v>
      </c>
      <c r="I2501" s="89">
        <v>46200</v>
      </c>
      <c r="J2501" s="91" t="s">
        <v>3697</v>
      </c>
      <c r="K2501" s="91"/>
      <c r="M2501" s="91"/>
      <c r="N2501" s="91" t="s">
        <v>3665</v>
      </c>
    </row>
    <row r="2502" spans="1:14" x14ac:dyDescent="0.25">
      <c r="A2502" s="91" t="s">
        <v>1313</v>
      </c>
      <c r="B2502" s="91" t="s">
        <v>1327</v>
      </c>
      <c r="C2502" s="91" t="s">
        <v>3696</v>
      </c>
      <c r="D2502" s="91" t="s">
        <v>20</v>
      </c>
      <c r="E2502" s="91"/>
      <c r="F2502">
        <v>48</v>
      </c>
      <c r="G2502">
        <v>1</v>
      </c>
      <c r="H2502" s="89">
        <v>46196</v>
      </c>
      <c r="I2502" s="89">
        <v>46199</v>
      </c>
      <c r="J2502" s="91" t="s">
        <v>3668</v>
      </c>
      <c r="K2502" s="91"/>
      <c r="M2502" s="91"/>
      <c r="N2502" s="91" t="s">
        <v>3665</v>
      </c>
    </row>
    <row r="2503" spans="1:14" x14ac:dyDescent="0.25">
      <c r="A2503" s="91" t="s">
        <v>1566</v>
      </c>
      <c r="B2503" s="91" t="s">
        <v>1567</v>
      </c>
      <c r="C2503" s="91" t="s">
        <v>3696</v>
      </c>
      <c r="D2503" s="91" t="s">
        <v>20</v>
      </c>
      <c r="E2503" s="91"/>
      <c r="F2503">
        <v>5</v>
      </c>
      <c r="G2503">
        <v>0.10416666666666669</v>
      </c>
      <c r="H2503" s="89">
        <v>46196</v>
      </c>
      <c r="I2503" s="89">
        <v>46201</v>
      </c>
      <c r="J2503" s="91" t="s">
        <v>3698</v>
      </c>
      <c r="K2503" s="91"/>
      <c r="M2503" s="91"/>
      <c r="N2503" s="91" t="s">
        <v>3665</v>
      </c>
    </row>
    <row r="2504" spans="1:14" x14ac:dyDescent="0.25">
      <c r="A2504" s="91" t="s">
        <v>1313</v>
      </c>
      <c r="B2504" s="91" t="s">
        <v>1327</v>
      </c>
      <c r="C2504" s="91" t="s">
        <v>3696</v>
      </c>
      <c r="D2504" s="91" t="s">
        <v>20</v>
      </c>
      <c r="E2504" s="91"/>
      <c r="F2504">
        <v>1147</v>
      </c>
      <c r="G2504">
        <v>23.895833333333332</v>
      </c>
      <c r="H2504" s="89">
        <v>46196</v>
      </c>
      <c r="I2504" s="89">
        <v>46201</v>
      </c>
      <c r="J2504" s="91" t="s">
        <v>3699</v>
      </c>
      <c r="K2504" s="91"/>
      <c r="M2504" s="91"/>
      <c r="N2504" s="91" t="s">
        <v>3665</v>
      </c>
    </row>
    <row r="2505" spans="1:14" x14ac:dyDescent="0.25">
      <c r="A2505" s="91" t="s">
        <v>1315</v>
      </c>
      <c r="B2505" s="91" t="s">
        <v>1329</v>
      </c>
      <c r="C2505" s="91" t="s">
        <v>3696</v>
      </c>
      <c r="D2505" s="91" t="s">
        <v>20</v>
      </c>
      <c r="E2505" s="91"/>
      <c r="F2505">
        <v>55</v>
      </c>
      <c r="G2505" t="s">
        <v>1419</v>
      </c>
      <c r="H2505" s="89">
        <v>46196</v>
      </c>
      <c r="I2505" s="89">
        <v>46198</v>
      </c>
      <c r="J2505" s="91" t="s">
        <v>3549</v>
      </c>
      <c r="K2505" s="91"/>
      <c r="M2505" s="91"/>
      <c r="N2505" s="91" t="s">
        <v>3665</v>
      </c>
    </row>
    <row r="2506" spans="1:14" x14ac:dyDescent="0.25">
      <c r="A2506" s="91" t="s">
        <v>1316</v>
      </c>
      <c r="B2506" s="91" t="s">
        <v>1330</v>
      </c>
      <c r="C2506" s="91" t="s">
        <v>3700</v>
      </c>
      <c r="D2506" s="91" t="s">
        <v>20</v>
      </c>
      <c r="E2506" s="91"/>
      <c r="F2506">
        <v>79</v>
      </c>
      <c r="G2506" t="s">
        <v>1419</v>
      </c>
      <c r="H2506" s="89">
        <v>46196</v>
      </c>
      <c r="I2506" s="89">
        <v>46198</v>
      </c>
      <c r="J2506" s="91" t="s">
        <v>3549</v>
      </c>
      <c r="K2506" s="91"/>
      <c r="M2506" s="91"/>
      <c r="N2506" s="91" t="s">
        <v>3665</v>
      </c>
    </row>
    <row r="2507" spans="1:14" x14ac:dyDescent="0.25">
      <c r="A2507" s="91" t="s">
        <v>1317</v>
      </c>
      <c r="B2507" s="91" t="s">
        <v>1331</v>
      </c>
      <c r="C2507" s="91" t="s">
        <v>3701</v>
      </c>
      <c r="D2507" s="91" t="s">
        <v>20</v>
      </c>
      <c r="E2507" s="91"/>
      <c r="F2507">
        <v>4</v>
      </c>
      <c r="G2507" t="s">
        <v>1419</v>
      </c>
      <c r="H2507" s="89">
        <v>46196</v>
      </c>
      <c r="I2507" s="89">
        <v>46198</v>
      </c>
      <c r="J2507" s="91" t="s">
        <v>3549</v>
      </c>
      <c r="K2507" s="91"/>
      <c r="M2507" s="91"/>
      <c r="N2507" s="91" t="s">
        <v>3665</v>
      </c>
    </row>
    <row r="2508" spans="1:14" x14ac:dyDescent="0.25">
      <c r="A2508" s="91" t="s">
        <v>1318</v>
      </c>
      <c r="B2508" s="91" t="s">
        <v>1332</v>
      </c>
      <c r="C2508" s="91" t="s">
        <v>3702</v>
      </c>
      <c r="D2508" s="91" t="s">
        <v>20</v>
      </c>
      <c r="E2508" s="91"/>
      <c r="F2508">
        <v>50</v>
      </c>
      <c r="G2508" t="s">
        <v>1419</v>
      </c>
      <c r="H2508" s="89">
        <v>46196</v>
      </c>
      <c r="I2508" s="89">
        <v>46198</v>
      </c>
      <c r="J2508" s="91" t="s">
        <v>3549</v>
      </c>
      <c r="K2508" s="91"/>
      <c r="M2508" s="91"/>
      <c r="N2508" s="91" t="s">
        <v>3665</v>
      </c>
    </row>
    <row r="2509" spans="1:14" x14ac:dyDescent="0.25">
      <c r="A2509" s="91" t="s">
        <v>1324</v>
      </c>
      <c r="B2509" s="91" t="s">
        <v>1338</v>
      </c>
      <c r="C2509" s="91" t="s">
        <v>3703</v>
      </c>
      <c r="D2509" s="91" t="s">
        <v>15</v>
      </c>
      <c r="E2509" s="91"/>
      <c r="F2509">
        <v>240</v>
      </c>
      <c r="G2509">
        <v>5</v>
      </c>
      <c r="H2509" s="89">
        <v>46196</v>
      </c>
      <c r="I2509" s="89">
        <v>46202</v>
      </c>
      <c r="J2509" s="91" t="s">
        <v>3664</v>
      </c>
      <c r="K2509" s="91"/>
      <c r="M2509" s="91"/>
      <c r="N2509" s="91" t="s">
        <v>3665</v>
      </c>
    </row>
    <row r="2510" spans="1:14" x14ac:dyDescent="0.25">
      <c r="A2510" s="91" t="s">
        <v>1313</v>
      </c>
      <c r="B2510" s="91" t="s">
        <v>1327</v>
      </c>
      <c r="C2510" s="91" t="s">
        <v>3703</v>
      </c>
      <c r="D2510" s="91" t="s">
        <v>15</v>
      </c>
      <c r="E2510" s="91"/>
      <c r="F2510">
        <v>240</v>
      </c>
      <c r="G2510">
        <v>5</v>
      </c>
      <c r="H2510" s="89">
        <v>46196</v>
      </c>
      <c r="I2510" s="89">
        <v>46199</v>
      </c>
      <c r="J2510" s="91" t="s">
        <v>3668</v>
      </c>
      <c r="K2510" s="91"/>
      <c r="M2510" s="91"/>
      <c r="N2510" s="91" t="s">
        <v>3665</v>
      </c>
    </row>
    <row r="2511" spans="1:14" x14ac:dyDescent="0.25">
      <c r="A2511" s="91" t="s">
        <v>1313</v>
      </c>
      <c r="B2511" s="91" t="s">
        <v>1327</v>
      </c>
      <c r="C2511" s="91" t="s">
        <v>3703</v>
      </c>
      <c r="D2511" s="91" t="s">
        <v>15</v>
      </c>
      <c r="E2511" s="91"/>
      <c r="F2511">
        <v>1152</v>
      </c>
      <c r="G2511">
        <v>24</v>
      </c>
      <c r="H2511" s="89">
        <v>46196</v>
      </c>
      <c r="I2511" s="89">
        <v>46200</v>
      </c>
      <c r="J2511" s="91" t="s">
        <v>3704</v>
      </c>
      <c r="K2511" s="91"/>
      <c r="M2511" s="91"/>
      <c r="N2511" s="91" t="s">
        <v>3665</v>
      </c>
    </row>
    <row r="2512" spans="1:14" x14ac:dyDescent="0.25">
      <c r="A2512" s="91" t="s">
        <v>1313</v>
      </c>
      <c r="B2512" s="91" t="s">
        <v>1327</v>
      </c>
      <c r="C2512" s="91" t="s">
        <v>3703</v>
      </c>
      <c r="D2512" s="91" t="s">
        <v>15</v>
      </c>
      <c r="E2512" s="91"/>
      <c r="F2512">
        <v>48</v>
      </c>
      <c r="G2512">
        <v>1</v>
      </c>
      <c r="H2512" s="89">
        <v>46196</v>
      </c>
      <c r="I2512" s="89">
        <v>46201</v>
      </c>
      <c r="J2512" s="91" t="s">
        <v>3705</v>
      </c>
      <c r="K2512" s="91"/>
      <c r="M2512" s="91"/>
      <c r="N2512" s="91" t="s">
        <v>3665</v>
      </c>
    </row>
    <row r="2513" spans="1:14" x14ac:dyDescent="0.25">
      <c r="A2513" s="91" t="s">
        <v>1315</v>
      </c>
      <c r="B2513" s="91" t="s">
        <v>1329</v>
      </c>
      <c r="C2513" s="91" t="s">
        <v>3703</v>
      </c>
      <c r="D2513" s="91" t="s">
        <v>15</v>
      </c>
      <c r="E2513" s="91"/>
      <c r="F2513">
        <v>19</v>
      </c>
      <c r="G2513" t="s">
        <v>1419</v>
      </c>
      <c r="H2513" s="89">
        <v>46196</v>
      </c>
      <c r="I2513" s="89">
        <v>46198</v>
      </c>
      <c r="J2513" s="91" t="s">
        <v>3549</v>
      </c>
      <c r="K2513" s="91"/>
      <c r="M2513" s="91"/>
      <c r="N2513" s="91" t="s">
        <v>3665</v>
      </c>
    </row>
    <row r="2514" spans="1:14" x14ac:dyDescent="0.25">
      <c r="A2514" s="91" t="s">
        <v>1316</v>
      </c>
      <c r="B2514" s="91" t="s">
        <v>1330</v>
      </c>
      <c r="C2514" s="91" t="s">
        <v>3706</v>
      </c>
      <c r="D2514" s="91" t="s">
        <v>15</v>
      </c>
      <c r="E2514" s="91"/>
      <c r="F2514">
        <v>70</v>
      </c>
      <c r="G2514" t="s">
        <v>1419</v>
      </c>
      <c r="H2514" s="89">
        <v>46196</v>
      </c>
      <c r="I2514" s="89">
        <v>46198</v>
      </c>
      <c r="J2514" s="91" t="s">
        <v>3549</v>
      </c>
      <c r="K2514" s="91"/>
      <c r="M2514" s="91"/>
      <c r="N2514" s="91" t="s">
        <v>3665</v>
      </c>
    </row>
    <row r="2515" spans="1:14" x14ac:dyDescent="0.25">
      <c r="A2515" s="91" t="s">
        <v>1317</v>
      </c>
      <c r="B2515" s="91" t="s">
        <v>1331</v>
      </c>
      <c r="C2515" s="91" t="s">
        <v>3707</v>
      </c>
      <c r="D2515" s="91" t="s">
        <v>15</v>
      </c>
      <c r="E2515" s="91"/>
      <c r="F2515">
        <v>28</v>
      </c>
      <c r="G2515" t="s">
        <v>1419</v>
      </c>
      <c r="H2515" s="89">
        <v>46196</v>
      </c>
      <c r="I2515" s="89">
        <v>46198</v>
      </c>
      <c r="J2515" s="91" t="s">
        <v>3549</v>
      </c>
      <c r="K2515" s="91"/>
      <c r="M2515" s="91"/>
      <c r="N2515" s="91" t="s">
        <v>3665</v>
      </c>
    </row>
    <row r="2516" spans="1:14" x14ac:dyDescent="0.25">
      <c r="A2516" s="91" t="s">
        <v>1318</v>
      </c>
      <c r="B2516" s="91" t="s">
        <v>1332</v>
      </c>
      <c r="C2516" s="91" t="s">
        <v>3708</v>
      </c>
      <c r="D2516" s="91" t="s">
        <v>15</v>
      </c>
      <c r="E2516" s="91"/>
      <c r="F2516">
        <v>37</v>
      </c>
      <c r="G2516" t="s">
        <v>1419</v>
      </c>
      <c r="H2516" s="89">
        <v>46196</v>
      </c>
      <c r="I2516" s="89">
        <v>46198</v>
      </c>
      <c r="J2516" s="91" t="s">
        <v>3549</v>
      </c>
      <c r="K2516" s="91"/>
      <c r="M2516" s="91"/>
      <c r="N2516" s="91" t="s">
        <v>3665</v>
      </c>
    </row>
    <row r="2517" spans="1:14" x14ac:dyDescent="0.25">
      <c r="A2517" s="91" t="s">
        <v>1320</v>
      </c>
      <c r="B2517" s="91" t="s">
        <v>1334</v>
      </c>
      <c r="C2517" s="91" t="s">
        <v>3709</v>
      </c>
      <c r="D2517" s="91" t="s">
        <v>150</v>
      </c>
      <c r="E2517" s="91"/>
      <c r="F2517">
        <v>960</v>
      </c>
      <c r="G2517">
        <v>20</v>
      </c>
      <c r="H2517" s="89">
        <v>46197</v>
      </c>
      <c r="I2517" s="89">
        <v>46200</v>
      </c>
      <c r="J2517" s="91" t="s">
        <v>3710</v>
      </c>
      <c r="K2517" s="91"/>
      <c r="M2517" s="91"/>
      <c r="N2517" s="91" t="s">
        <v>3665</v>
      </c>
    </row>
    <row r="2518" spans="1:14" x14ac:dyDescent="0.25">
      <c r="A2518" s="91" t="s">
        <v>1320</v>
      </c>
      <c r="B2518" s="91" t="s">
        <v>1334</v>
      </c>
      <c r="C2518" s="91" t="s">
        <v>3711</v>
      </c>
      <c r="D2518" s="91" t="s">
        <v>23</v>
      </c>
      <c r="E2518" s="91"/>
      <c r="F2518">
        <v>960</v>
      </c>
      <c r="G2518">
        <v>20</v>
      </c>
      <c r="H2518" s="89">
        <v>46197</v>
      </c>
      <c r="I2518" s="89">
        <v>46202</v>
      </c>
      <c r="J2518" s="91" t="s">
        <v>3712</v>
      </c>
      <c r="K2518" s="91"/>
      <c r="M2518" s="91"/>
      <c r="N2518" s="91" t="s">
        <v>3665</v>
      </c>
    </row>
    <row r="2519" spans="1:14" x14ac:dyDescent="0.25">
      <c r="A2519" s="91" t="s">
        <v>1324</v>
      </c>
      <c r="B2519" s="91" t="s">
        <v>1338</v>
      </c>
      <c r="C2519" s="91" t="s">
        <v>3713</v>
      </c>
      <c r="D2519" s="91" t="s">
        <v>15</v>
      </c>
      <c r="E2519" s="91"/>
      <c r="F2519">
        <v>288</v>
      </c>
      <c r="G2519">
        <v>6</v>
      </c>
      <c r="H2519" s="89">
        <v>46197</v>
      </c>
      <c r="I2519" s="89">
        <v>46202</v>
      </c>
      <c r="J2519" s="91" t="s">
        <v>3686</v>
      </c>
      <c r="K2519" s="91"/>
      <c r="M2519" s="91"/>
      <c r="N2519" s="91" t="s">
        <v>3665</v>
      </c>
    </row>
    <row r="2520" spans="1:14" x14ac:dyDescent="0.25">
      <c r="A2520" s="91" t="s">
        <v>1314</v>
      </c>
      <c r="B2520" s="91" t="s">
        <v>1328</v>
      </c>
      <c r="C2520" s="91" t="s">
        <v>3713</v>
      </c>
      <c r="D2520" s="91" t="s">
        <v>15</v>
      </c>
      <c r="E2520" s="91"/>
      <c r="F2520">
        <v>288</v>
      </c>
      <c r="G2520">
        <v>6</v>
      </c>
      <c r="H2520" s="89">
        <v>46197</v>
      </c>
      <c r="I2520" s="89">
        <v>46201</v>
      </c>
      <c r="J2520" s="91" t="s">
        <v>3714</v>
      </c>
      <c r="K2520" s="91"/>
      <c r="M2520" s="91"/>
      <c r="N2520" s="91" t="s">
        <v>3665</v>
      </c>
    </row>
    <row r="2521" spans="1:14" x14ac:dyDescent="0.25">
      <c r="A2521" s="91" t="s">
        <v>1313</v>
      </c>
      <c r="B2521" s="91" t="s">
        <v>1327</v>
      </c>
      <c r="C2521" s="91" t="s">
        <v>3713</v>
      </c>
      <c r="D2521" s="91" t="s">
        <v>15</v>
      </c>
      <c r="E2521" s="91"/>
      <c r="F2521">
        <v>816</v>
      </c>
      <c r="G2521">
        <v>17</v>
      </c>
      <c r="H2521" s="89">
        <v>46197</v>
      </c>
      <c r="I2521" s="89">
        <v>46201</v>
      </c>
      <c r="J2521" s="91" t="s">
        <v>3705</v>
      </c>
      <c r="K2521" s="91"/>
      <c r="M2521" s="91"/>
      <c r="N2521" s="91" t="s">
        <v>3665</v>
      </c>
    </row>
    <row r="2522" spans="1:14" x14ac:dyDescent="0.25">
      <c r="A2522" s="91" t="s">
        <v>1314</v>
      </c>
      <c r="B2522" s="91" t="s">
        <v>1328</v>
      </c>
      <c r="C2522" s="91" t="s">
        <v>3713</v>
      </c>
      <c r="D2522" s="91" t="s">
        <v>15</v>
      </c>
      <c r="E2522" s="91"/>
      <c r="F2522">
        <v>96</v>
      </c>
      <c r="G2522">
        <v>2</v>
      </c>
      <c r="H2522" s="89">
        <v>46197</v>
      </c>
      <c r="I2522" s="89">
        <v>46202</v>
      </c>
      <c r="J2522" s="91" t="s">
        <v>3715</v>
      </c>
      <c r="K2522" s="91"/>
      <c r="M2522" s="91"/>
      <c r="N2522" s="91" t="s">
        <v>3665</v>
      </c>
    </row>
    <row r="2523" spans="1:14" x14ac:dyDescent="0.25">
      <c r="A2523" s="91" t="s">
        <v>1566</v>
      </c>
      <c r="B2523" s="91" t="s">
        <v>1567</v>
      </c>
      <c r="C2523" s="91" t="s">
        <v>3713</v>
      </c>
      <c r="D2523" s="91" t="s">
        <v>15</v>
      </c>
      <c r="E2523" s="91"/>
      <c r="F2523">
        <v>5</v>
      </c>
      <c r="G2523">
        <v>0.10416666666666669</v>
      </c>
      <c r="H2523" s="89">
        <v>46197</v>
      </c>
      <c r="I2523" s="89">
        <v>46202</v>
      </c>
      <c r="J2523" s="91" t="s">
        <v>3715</v>
      </c>
      <c r="K2523" s="91"/>
      <c r="M2523" s="91"/>
      <c r="N2523" s="91" t="s">
        <v>3665</v>
      </c>
    </row>
    <row r="2524" spans="1:14" x14ac:dyDescent="0.25">
      <c r="A2524" s="91" t="s">
        <v>1315</v>
      </c>
      <c r="B2524" s="91" t="s">
        <v>1329</v>
      </c>
      <c r="C2524" s="91" t="s">
        <v>3713</v>
      </c>
      <c r="D2524" s="91" t="s">
        <v>15</v>
      </c>
      <c r="E2524" s="91"/>
      <c r="F2524">
        <v>16</v>
      </c>
      <c r="G2524" t="s">
        <v>1419</v>
      </c>
      <c r="H2524" s="89">
        <v>46197</v>
      </c>
      <c r="I2524" s="89">
        <v>46199</v>
      </c>
      <c r="J2524" s="91" t="s">
        <v>3549</v>
      </c>
      <c r="K2524" s="91"/>
      <c r="M2524" s="91"/>
      <c r="N2524" s="91" t="s">
        <v>3665</v>
      </c>
    </row>
    <row r="2525" spans="1:14" x14ac:dyDescent="0.25">
      <c r="A2525" s="91" t="s">
        <v>1316</v>
      </c>
      <c r="B2525" s="91" t="s">
        <v>1330</v>
      </c>
      <c r="C2525" s="91" t="s">
        <v>3716</v>
      </c>
      <c r="D2525" s="91" t="s">
        <v>15</v>
      </c>
      <c r="E2525" s="91"/>
      <c r="F2525">
        <v>55</v>
      </c>
      <c r="G2525" t="s">
        <v>1419</v>
      </c>
      <c r="H2525" s="89">
        <v>46197</v>
      </c>
      <c r="I2525" s="89">
        <v>46199</v>
      </c>
      <c r="J2525" s="91" t="s">
        <v>3549</v>
      </c>
      <c r="K2525" s="91"/>
      <c r="M2525" s="91"/>
      <c r="N2525" s="91" t="s">
        <v>3665</v>
      </c>
    </row>
    <row r="2526" spans="1:14" x14ac:dyDescent="0.25">
      <c r="A2526" s="91" t="s">
        <v>1317</v>
      </c>
      <c r="B2526" s="91" t="s">
        <v>1331</v>
      </c>
      <c r="C2526" s="91" t="s">
        <v>3717</v>
      </c>
      <c r="D2526" s="91" t="s">
        <v>15</v>
      </c>
      <c r="E2526" s="91"/>
      <c r="F2526">
        <v>31</v>
      </c>
      <c r="G2526" t="s">
        <v>1419</v>
      </c>
      <c r="H2526" s="89">
        <v>46197</v>
      </c>
      <c r="I2526" s="89">
        <v>46199</v>
      </c>
      <c r="J2526" s="91" t="s">
        <v>3549</v>
      </c>
      <c r="K2526" s="91"/>
      <c r="M2526" s="91"/>
      <c r="N2526" s="91" t="s">
        <v>3665</v>
      </c>
    </row>
    <row r="2527" spans="1:14" x14ac:dyDescent="0.25">
      <c r="A2527" s="91" t="s">
        <v>1318</v>
      </c>
      <c r="B2527" s="91" t="s">
        <v>1332</v>
      </c>
      <c r="C2527" s="91" t="s">
        <v>3718</v>
      </c>
      <c r="D2527" s="91" t="s">
        <v>15</v>
      </c>
      <c r="E2527" s="91"/>
      <c r="F2527">
        <v>26</v>
      </c>
      <c r="G2527" t="s">
        <v>1419</v>
      </c>
      <c r="H2527" s="89">
        <v>46197</v>
      </c>
      <c r="I2527" s="89">
        <v>46199</v>
      </c>
      <c r="J2527" s="91" t="s">
        <v>3549</v>
      </c>
      <c r="K2527" s="91"/>
      <c r="M2527" s="91"/>
      <c r="N2527" s="91" t="s">
        <v>3665</v>
      </c>
    </row>
    <row r="2528" spans="1:14" x14ac:dyDescent="0.25">
      <c r="A2528" s="91" t="s">
        <v>1313</v>
      </c>
      <c r="B2528" s="91" t="s">
        <v>1327</v>
      </c>
      <c r="C2528" s="91" t="s">
        <v>3719</v>
      </c>
      <c r="D2528" s="91" t="s">
        <v>20</v>
      </c>
      <c r="E2528" s="91"/>
      <c r="F2528">
        <v>1051</v>
      </c>
      <c r="G2528">
        <v>21.895833333333332</v>
      </c>
      <c r="H2528" s="89">
        <v>46197</v>
      </c>
      <c r="I2528" s="89">
        <v>46202</v>
      </c>
      <c r="J2528" s="91" t="s">
        <v>3720</v>
      </c>
      <c r="K2528" s="91"/>
      <c r="M2528" s="91"/>
      <c r="N2528" s="91" t="s">
        <v>3665</v>
      </c>
    </row>
    <row r="2529" spans="1:14" x14ac:dyDescent="0.25">
      <c r="A2529" s="91" t="s">
        <v>1315</v>
      </c>
      <c r="B2529" s="91" t="s">
        <v>1329</v>
      </c>
      <c r="C2529" s="91" t="s">
        <v>3719</v>
      </c>
      <c r="D2529" s="91" t="s">
        <v>20</v>
      </c>
      <c r="E2529" s="91"/>
      <c r="F2529">
        <v>53</v>
      </c>
      <c r="G2529" t="s">
        <v>1419</v>
      </c>
      <c r="H2529" s="89">
        <v>46197</v>
      </c>
      <c r="I2529" s="89">
        <v>46202</v>
      </c>
      <c r="J2529" s="91" t="s">
        <v>3549</v>
      </c>
      <c r="K2529" s="91"/>
      <c r="M2529" s="91"/>
      <c r="N2529" s="91" t="s">
        <v>3665</v>
      </c>
    </row>
    <row r="2530" spans="1:14" x14ac:dyDescent="0.25">
      <c r="A2530" s="91" t="s">
        <v>1316</v>
      </c>
      <c r="B2530" s="91" t="s">
        <v>1330</v>
      </c>
      <c r="C2530" s="91" t="s">
        <v>3721</v>
      </c>
      <c r="D2530" s="91" t="s">
        <v>20</v>
      </c>
      <c r="E2530" s="91"/>
      <c r="F2530">
        <v>82</v>
      </c>
      <c r="G2530" t="s">
        <v>1419</v>
      </c>
      <c r="H2530" s="89">
        <v>46197</v>
      </c>
      <c r="I2530" s="89">
        <v>46199</v>
      </c>
      <c r="J2530" s="91" t="s">
        <v>3549</v>
      </c>
      <c r="K2530" s="91"/>
      <c r="M2530" s="91"/>
      <c r="N2530" s="91" t="s">
        <v>3665</v>
      </c>
    </row>
    <row r="2531" spans="1:14" x14ac:dyDescent="0.25">
      <c r="A2531" s="91" t="s">
        <v>1317</v>
      </c>
      <c r="B2531" s="91" t="s">
        <v>1331</v>
      </c>
      <c r="C2531" s="91" t="s">
        <v>3722</v>
      </c>
      <c r="D2531" s="91" t="s">
        <v>20</v>
      </c>
      <c r="E2531" s="91"/>
      <c r="F2531">
        <v>7</v>
      </c>
      <c r="G2531" t="s">
        <v>1419</v>
      </c>
      <c r="H2531" s="89">
        <v>46197</v>
      </c>
      <c r="I2531" s="89">
        <v>46199</v>
      </c>
      <c r="J2531" s="91" t="s">
        <v>3549</v>
      </c>
      <c r="K2531" s="91"/>
      <c r="M2531" s="91"/>
      <c r="N2531" s="91" t="s">
        <v>3665</v>
      </c>
    </row>
    <row r="2532" spans="1:14" x14ac:dyDescent="0.25">
      <c r="A2532" s="91" t="s">
        <v>1318</v>
      </c>
      <c r="B2532" s="91" t="s">
        <v>1332</v>
      </c>
      <c r="C2532" s="91" t="s">
        <v>3723</v>
      </c>
      <c r="D2532" s="91" t="s">
        <v>20</v>
      </c>
      <c r="E2532" s="91"/>
      <c r="F2532">
        <v>49</v>
      </c>
      <c r="G2532" t="s">
        <v>1419</v>
      </c>
      <c r="H2532" s="89">
        <v>46197</v>
      </c>
      <c r="I2532" s="89">
        <v>46199</v>
      </c>
      <c r="J2532" s="91" t="s">
        <v>3549</v>
      </c>
      <c r="K2532" s="91"/>
      <c r="M2532" s="91"/>
      <c r="N2532" s="91" t="s">
        <v>3665</v>
      </c>
    </row>
    <row r="2533" spans="1:14" x14ac:dyDescent="0.25">
      <c r="A2533" s="91" t="s">
        <v>1320</v>
      </c>
      <c r="B2533" s="91" t="s">
        <v>1334</v>
      </c>
      <c r="C2533" s="91" t="s">
        <v>3724</v>
      </c>
      <c r="D2533" s="91" t="s">
        <v>21</v>
      </c>
      <c r="E2533" s="91"/>
      <c r="F2533">
        <v>960</v>
      </c>
      <c r="G2533">
        <v>20</v>
      </c>
      <c r="H2533" s="89">
        <v>46197</v>
      </c>
      <c r="I2533" s="89">
        <v>46202</v>
      </c>
      <c r="J2533" s="91" t="s">
        <v>3725</v>
      </c>
      <c r="K2533" s="91"/>
      <c r="M2533" s="91"/>
      <c r="N2533" s="91" t="s">
        <v>3665</v>
      </c>
    </row>
    <row r="2534" spans="1:14" x14ac:dyDescent="0.25">
      <c r="A2534" s="91" t="s">
        <v>1313</v>
      </c>
      <c r="B2534" s="91" t="s">
        <v>1327</v>
      </c>
      <c r="C2534" s="91" t="s">
        <v>3724</v>
      </c>
      <c r="D2534" s="91" t="s">
        <v>21</v>
      </c>
      <c r="E2534" s="91"/>
      <c r="F2534">
        <v>720</v>
      </c>
      <c r="G2534">
        <v>15</v>
      </c>
      <c r="H2534" s="89">
        <v>46197</v>
      </c>
      <c r="I2534" s="89">
        <v>46202</v>
      </c>
      <c r="J2534" s="91" t="s">
        <v>3726</v>
      </c>
      <c r="K2534" s="91"/>
      <c r="M2534" s="91"/>
      <c r="N2534" s="91" t="s">
        <v>3665</v>
      </c>
    </row>
    <row r="2535" spans="1:14" x14ac:dyDescent="0.25">
      <c r="A2535" s="91" t="s">
        <v>1315</v>
      </c>
      <c r="B2535" s="91" t="s">
        <v>1329</v>
      </c>
      <c r="C2535" s="91" t="s">
        <v>3724</v>
      </c>
      <c r="D2535" s="91" t="s">
        <v>21</v>
      </c>
      <c r="E2535" s="91"/>
      <c r="F2535">
        <v>47</v>
      </c>
      <c r="G2535" t="s">
        <v>1419</v>
      </c>
      <c r="H2535" s="89">
        <v>46197</v>
      </c>
      <c r="I2535" s="89">
        <v>46199</v>
      </c>
      <c r="J2535" s="91" t="s">
        <v>3549</v>
      </c>
      <c r="K2535" s="91"/>
      <c r="M2535" s="91"/>
      <c r="N2535" s="91" t="s">
        <v>3665</v>
      </c>
    </row>
    <row r="2536" spans="1:14" x14ac:dyDescent="0.25">
      <c r="A2536" s="91" t="s">
        <v>1316</v>
      </c>
      <c r="B2536" s="91" t="s">
        <v>1330</v>
      </c>
      <c r="C2536" s="91" t="s">
        <v>3727</v>
      </c>
      <c r="D2536" s="91" t="s">
        <v>21</v>
      </c>
      <c r="E2536" s="91"/>
      <c r="F2536">
        <v>19</v>
      </c>
      <c r="G2536" t="s">
        <v>1419</v>
      </c>
      <c r="H2536" s="89">
        <v>46197</v>
      </c>
      <c r="I2536" s="89">
        <v>46199</v>
      </c>
      <c r="J2536" s="91" t="s">
        <v>3549</v>
      </c>
      <c r="K2536" s="91"/>
      <c r="M2536" s="91"/>
      <c r="N2536" s="91" t="s">
        <v>3665</v>
      </c>
    </row>
    <row r="2537" spans="1:14" x14ac:dyDescent="0.25">
      <c r="A2537" s="91" t="s">
        <v>1317</v>
      </c>
      <c r="B2537" s="91" t="s">
        <v>1331</v>
      </c>
      <c r="C2537" s="91" t="s">
        <v>3728</v>
      </c>
      <c r="D2537" s="91" t="s">
        <v>21</v>
      </c>
      <c r="E2537" s="91"/>
      <c r="F2537">
        <v>4</v>
      </c>
      <c r="G2537" t="s">
        <v>1419</v>
      </c>
      <c r="H2537" s="89">
        <v>46197</v>
      </c>
      <c r="I2537" s="89">
        <v>46199</v>
      </c>
      <c r="J2537" s="91" t="s">
        <v>3549</v>
      </c>
      <c r="K2537" s="91"/>
      <c r="M2537" s="91"/>
      <c r="N2537" s="91" t="s">
        <v>3665</v>
      </c>
    </row>
    <row r="2538" spans="1:14" x14ac:dyDescent="0.25">
      <c r="A2538" s="91" t="s">
        <v>1318</v>
      </c>
      <c r="B2538" s="91" t="s">
        <v>1332</v>
      </c>
      <c r="C2538" s="91" t="s">
        <v>3729</v>
      </c>
      <c r="D2538" s="91" t="s">
        <v>21</v>
      </c>
      <c r="E2538" s="91"/>
      <c r="F2538">
        <v>79</v>
      </c>
      <c r="G2538" t="s">
        <v>1419</v>
      </c>
      <c r="H2538" s="89">
        <v>46197</v>
      </c>
      <c r="I2538" s="89">
        <v>46199</v>
      </c>
      <c r="J2538" s="91" t="s">
        <v>3549</v>
      </c>
      <c r="K2538" s="91"/>
      <c r="M2538" s="91"/>
      <c r="N2538" s="91" t="s">
        <v>3665</v>
      </c>
    </row>
    <row r="2539" spans="1:14" x14ac:dyDescent="0.25">
      <c r="A2539" s="91" t="s">
        <v>1324</v>
      </c>
      <c r="B2539" s="91" t="s">
        <v>1338</v>
      </c>
      <c r="C2539" s="91" t="s">
        <v>3730</v>
      </c>
      <c r="D2539" s="91" t="s">
        <v>23</v>
      </c>
      <c r="E2539" s="91"/>
      <c r="F2539">
        <v>960</v>
      </c>
      <c r="G2539">
        <v>20</v>
      </c>
      <c r="H2539" s="89">
        <v>46198</v>
      </c>
      <c r="I2539" s="89">
        <v>46204</v>
      </c>
      <c r="J2539" s="91" t="s">
        <v>3731</v>
      </c>
      <c r="K2539" s="91"/>
      <c r="M2539" s="91"/>
      <c r="N2539" s="91" t="s">
        <v>3665</v>
      </c>
    </row>
    <row r="2540" spans="1:14" x14ac:dyDescent="0.25">
      <c r="A2540" s="91" t="s">
        <v>1320</v>
      </c>
      <c r="B2540" s="91" t="s">
        <v>1334</v>
      </c>
      <c r="C2540" s="91" t="s">
        <v>3732</v>
      </c>
      <c r="D2540" s="91" t="s">
        <v>150</v>
      </c>
      <c r="E2540" s="91"/>
      <c r="F2540">
        <v>960</v>
      </c>
      <c r="G2540">
        <v>20</v>
      </c>
      <c r="H2540" s="89">
        <v>46198</v>
      </c>
      <c r="I2540" s="89">
        <v>46204</v>
      </c>
      <c r="J2540" s="91" t="s">
        <v>3733</v>
      </c>
      <c r="K2540" s="91"/>
      <c r="M2540" s="91"/>
      <c r="N2540" s="91" t="s">
        <v>3665</v>
      </c>
    </row>
    <row r="2541" spans="1:14" x14ac:dyDescent="0.25">
      <c r="A2541" s="91" t="s">
        <v>1320</v>
      </c>
      <c r="B2541" s="91" t="s">
        <v>1334</v>
      </c>
      <c r="C2541" s="91" t="s">
        <v>3734</v>
      </c>
      <c r="D2541" s="91" t="s">
        <v>30</v>
      </c>
      <c r="E2541" s="91"/>
      <c r="F2541">
        <v>576</v>
      </c>
      <c r="G2541">
        <v>12</v>
      </c>
      <c r="H2541" s="89">
        <v>46198</v>
      </c>
      <c r="I2541" s="89">
        <v>46203</v>
      </c>
      <c r="J2541" s="91" t="s">
        <v>3735</v>
      </c>
      <c r="K2541" s="91"/>
      <c r="M2541" s="91"/>
      <c r="N2541" s="91" t="s">
        <v>3665</v>
      </c>
    </row>
    <row r="2542" spans="1:14" x14ac:dyDescent="0.25">
      <c r="A2542" s="91" t="s">
        <v>1324</v>
      </c>
      <c r="B2542" s="91" t="s">
        <v>1338</v>
      </c>
      <c r="C2542" s="91" t="s">
        <v>3736</v>
      </c>
      <c r="D2542" s="91" t="s">
        <v>103</v>
      </c>
      <c r="E2542" s="91"/>
      <c r="F2542">
        <v>960</v>
      </c>
      <c r="G2542">
        <v>20</v>
      </c>
      <c r="H2542" s="89">
        <v>46198</v>
      </c>
      <c r="I2542" s="89">
        <v>46204</v>
      </c>
      <c r="J2542" s="91" t="s">
        <v>3731</v>
      </c>
      <c r="K2542" s="91"/>
      <c r="M2542" s="91"/>
      <c r="N2542" s="91" t="s">
        <v>3665</v>
      </c>
    </row>
    <row r="2543" spans="1:14" x14ac:dyDescent="0.25">
      <c r="A2543" s="91" t="s">
        <v>1320</v>
      </c>
      <c r="B2543" s="91" t="s">
        <v>1334</v>
      </c>
      <c r="C2543" s="91" t="s">
        <v>3737</v>
      </c>
      <c r="D2543" s="91" t="s">
        <v>21</v>
      </c>
      <c r="E2543" s="91"/>
      <c r="F2543">
        <v>960</v>
      </c>
      <c r="G2543">
        <v>20</v>
      </c>
      <c r="H2543" s="89">
        <v>46198</v>
      </c>
      <c r="I2543" s="89">
        <v>46203</v>
      </c>
      <c r="J2543" s="91" t="s">
        <v>3738</v>
      </c>
      <c r="K2543" s="91"/>
      <c r="M2543" s="91"/>
      <c r="N2543" s="91" t="s">
        <v>3665</v>
      </c>
    </row>
    <row r="2544" spans="1:14" x14ac:dyDescent="0.25">
      <c r="A2544" s="91" t="s">
        <v>1314</v>
      </c>
      <c r="B2544" s="91" t="s">
        <v>1328</v>
      </c>
      <c r="C2544" s="91" t="s">
        <v>3737</v>
      </c>
      <c r="D2544" s="91" t="s">
        <v>21</v>
      </c>
      <c r="E2544" s="91"/>
      <c r="F2544">
        <v>96</v>
      </c>
      <c r="G2544">
        <v>2</v>
      </c>
      <c r="H2544" s="89">
        <v>46198</v>
      </c>
      <c r="I2544" s="89">
        <v>46202</v>
      </c>
      <c r="J2544" s="91" t="s">
        <v>3739</v>
      </c>
      <c r="K2544" s="91"/>
      <c r="M2544" s="91"/>
      <c r="N2544" s="91" t="s">
        <v>3665</v>
      </c>
    </row>
    <row r="2545" spans="1:14" x14ac:dyDescent="0.25">
      <c r="A2545" s="91" t="s">
        <v>1313</v>
      </c>
      <c r="B2545" s="91" t="s">
        <v>1327</v>
      </c>
      <c r="C2545" s="91" t="s">
        <v>3737</v>
      </c>
      <c r="D2545" s="91" t="s">
        <v>21</v>
      </c>
      <c r="E2545" s="91"/>
      <c r="F2545">
        <v>336</v>
      </c>
      <c r="G2545">
        <v>7</v>
      </c>
      <c r="H2545" s="89">
        <v>46198</v>
      </c>
      <c r="I2545" s="89">
        <v>46202</v>
      </c>
      <c r="J2545" s="91" t="s">
        <v>3726</v>
      </c>
      <c r="K2545" s="91"/>
      <c r="M2545" s="91"/>
      <c r="N2545" s="91" t="s">
        <v>3665</v>
      </c>
    </row>
    <row r="2546" spans="1:14" x14ac:dyDescent="0.25">
      <c r="A2546" s="91" t="s">
        <v>1315</v>
      </c>
      <c r="B2546" s="91" t="s">
        <v>1329</v>
      </c>
      <c r="C2546" s="91" t="s">
        <v>3737</v>
      </c>
      <c r="D2546" s="91" t="s">
        <v>21</v>
      </c>
      <c r="E2546" s="91"/>
      <c r="F2546">
        <v>78</v>
      </c>
      <c r="G2546" t="s">
        <v>1419</v>
      </c>
      <c r="H2546" s="89">
        <v>46198</v>
      </c>
      <c r="I2546" s="89">
        <v>46200</v>
      </c>
      <c r="J2546" s="91" t="s">
        <v>3549</v>
      </c>
      <c r="K2546" s="91"/>
      <c r="M2546" s="91"/>
      <c r="N2546" s="91" t="s">
        <v>3665</v>
      </c>
    </row>
    <row r="2547" spans="1:14" x14ac:dyDescent="0.25">
      <c r="A2547" s="91" t="s">
        <v>1316</v>
      </c>
      <c r="B2547" s="91" t="s">
        <v>1330</v>
      </c>
      <c r="C2547" s="91" t="s">
        <v>3740</v>
      </c>
      <c r="D2547" s="91" t="s">
        <v>21</v>
      </c>
      <c r="E2547" s="91"/>
      <c r="F2547">
        <v>12</v>
      </c>
      <c r="G2547" t="s">
        <v>1419</v>
      </c>
      <c r="H2547" s="89">
        <v>46198</v>
      </c>
      <c r="I2547" s="89">
        <v>46200</v>
      </c>
      <c r="J2547" s="91" t="s">
        <v>3549</v>
      </c>
      <c r="K2547" s="91"/>
      <c r="M2547" s="91"/>
      <c r="N2547" s="91" t="s">
        <v>3665</v>
      </c>
    </row>
    <row r="2548" spans="1:14" x14ac:dyDescent="0.25">
      <c r="A2548" s="91" t="s">
        <v>1317</v>
      </c>
      <c r="B2548" s="91" t="s">
        <v>1331</v>
      </c>
      <c r="C2548" s="91" t="s">
        <v>3741</v>
      </c>
      <c r="D2548" s="91" t="s">
        <v>21</v>
      </c>
      <c r="E2548" s="91"/>
      <c r="F2548">
        <v>15</v>
      </c>
      <c r="G2548" t="s">
        <v>1419</v>
      </c>
      <c r="H2548" s="89">
        <v>46198</v>
      </c>
      <c r="I2548" s="89">
        <v>46200</v>
      </c>
      <c r="J2548" s="91" t="s">
        <v>3549</v>
      </c>
      <c r="K2548" s="91"/>
      <c r="M2548" s="91"/>
      <c r="N2548" s="91" t="s">
        <v>3665</v>
      </c>
    </row>
    <row r="2549" spans="1:14" x14ac:dyDescent="0.25">
      <c r="A2549" s="91" t="s">
        <v>1318</v>
      </c>
      <c r="B2549" s="91" t="s">
        <v>1332</v>
      </c>
      <c r="C2549" s="91" t="s">
        <v>3742</v>
      </c>
      <c r="D2549" s="91" t="s">
        <v>21</v>
      </c>
      <c r="E2549" s="91"/>
      <c r="F2549">
        <v>59</v>
      </c>
      <c r="G2549" t="s">
        <v>1419</v>
      </c>
      <c r="H2549" s="89">
        <v>46198</v>
      </c>
      <c r="I2549" s="89">
        <v>46200</v>
      </c>
      <c r="J2549" s="91" t="s">
        <v>3549</v>
      </c>
      <c r="K2549" s="91"/>
      <c r="M2549" s="91"/>
      <c r="N2549" s="91" t="s">
        <v>3665</v>
      </c>
    </row>
    <row r="2550" spans="1:14" x14ac:dyDescent="0.25">
      <c r="A2550" s="91" t="s">
        <v>1313</v>
      </c>
      <c r="B2550" s="91" t="s">
        <v>1327</v>
      </c>
      <c r="C2550" s="91" t="s">
        <v>3743</v>
      </c>
      <c r="D2550" s="91" t="s">
        <v>20</v>
      </c>
      <c r="E2550" s="91"/>
      <c r="F2550">
        <v>912</v>
      </c>
      <c r="G2550">
        <v>19</v>
      </c>
      <c r="H2550" s="89">
        <v>46198</v>
      </c>
      <c r="I2550" s="89">
        <v>46204</v>
      </c>
      <c r="J2550" s="91" t="s">
        <v>3744</v>
      </c>
      <c r="K2550" s="91"/>
      <c r="M2550" s="91"/>
      <c r="N2550" s="91" t="s">
        <v>3665</v>
      </c>
    </row>
    <row r="2551" spans="1:14" x14ac:dyDescent="0.25">
      <c r="A2551" s="91" t="s">
        <v>1315</v>
      </c>
      <c r="B2551" s="91" t="s">
        <v>1329</v>
      </c>
      <c r="C2551" s="91" t="s">
        <v>3743</v>
      </c>
      <c r="D2551" s="91" t="s">
        <v>20</v>
      </c>
      <c r="E2551" s="91"/>
      <c r="F2551">
        <v>21</v>
      </c>
      <c r="G2551" t="s">
        <v>1419</v>
      </c>
      <c r="H2551" s="89">
        <v>46198</v>
      </c>
      <c r="I2551" s="89">
        <v>46200</v>
      </c>
      <c r="J2551" s="91" t="s">
        <v>3549</v>
      </c>
      <c r="K2551" s="91"/>
      <c r="M2551" s="91"/>
      <c r="N2551" s="91" t="s">
        <v>3665</v>
      </c>
    </row>
    <row r="2552" spans="1:14" x14ac:dyDescent="0.25">
      <c r="A2552" s="91" t="s">
        <v>1316</v>
      </c>
      <c r="B2552" s="91" t="s">
        <v>1330</v>
      </c>
      <c r="C2552" s="91" t="s">
        <v>3745</v>
      </c>
      <c r="D2552" s="91" t="s">
        <v>20</v>
      </c>
      <c r="E2552" s="91"/>
      <c r="F2552">
        <v>56</v>
      </c>
      <c r="G2552" t="s">
        <v>1419</v>
      </c>
      <c r="H2552" s="89">
        <v>46198</v>
      </c>
      <c r="I2552" s="89">
        <v>46200</v>
      </c>
      <c r="J2552" s="91" t="s">
        <v>3549</v>
      </c>
      <c r="K2552" s="91"/>
      <c r="M2552" s="91"/>
      <c r="N2552" s="91" t="s">
        <v>3665</v>
      </c>
    </row>
    <row r="2553" spans="1:14" x14ac:dyDescent="0.25">
      <c r="A2553" s="91" t="s">
        <v>1317</v>
      </c>
      <c r="B2553" s="91" t="s">
        <v>1331</v>
      </c>
      <c r="C2553" s="91" t="s">
        <v>3746</v>
      </c>
      <c r="D2553" s="91" t="s">
        <v>20</v>
      </c>
      <c r="E2553" s="91"/>
      <c r="F2553">
        <v>1</v>
      </c>
      <c r="G2553" t="s">
        <v>1419</v>
      </c>
      <c r="H2553" s="89">
        <v>46198</v>
      </c>
      <c r="I2553" s="89">
        <v>46200</v>
      </c>
      <c r="J2553" s="91" t="s">
        <v>3549</v>
      </c>
      <c r="K2553" s="91"/>
      <c r="M2553" s="91"/>
      <c r="N2553" s="91" t="s">
        <v>3665</v>
      </c>
    </row>
    <row r="2554" spans="1:14" x14ac:dyDescent="0.25">
      <c r="A2554" s="91" t="s">
        <v>1318</v>
      </c>
      <c r="B2554" s="91" t="s">
        <v>1332</v>
      </c>
      <c r="C2554" s="91" t="s">
        <v>3747</v>
      </c>
      <c r="D2554" s="91" t="s">
        <v>20</v>
      </c>
      <c r="E2554" s="91"/>
      <c r="F2554">
        <v>38</v>
      </c>
      <c r="G2554" t="s">
        <v>1419</v>
      </c>
      <c r="H2554" s="89">
        <v>46198</v>
      </c>
      <c r="I2554" s="89">
        <v>46200</v>
      </c>
      <c r="J2554" s="91" t="s">
        <v>3549</v>
      </c>
      <c r="K2554" s="91"/>
      <c r="M2554" s="91"/>
      <c r="N2554" s="91" t="s">
        <v>3665</v>
      </c>
    </row>
    <row r="2555" spans="1:14" x14ac:dyDescent="0.25">
      <c r="A2555" s="91" t="s">
        <v>1314</v>
      </c>
      <c r="B2555" s="91" t="s">
        <v>1328</v>
      </c>
      <c r="C2555" s="91" t="s">
        <v>3748</v>
      </c>
      <c r="D2555" s="91" t="s">
        <v>15</v>
      </c>
      <c r="E2555" s="91"/>
      <c r="F2555">
        <v>288</v>
      </c>
      <c r="G2555">
        <v>6</v>
      </c>
      <c r="H2555" s="89">
        <v>46198</v>
      </c>
      <c r="I2555" s="89">
        <v>46203</v>
      </c>
      <c r="J2555" s="91" t="s">
        <v>3749</v>
      </c>
      <c r="K2555" s="91"/>
      <c r="M2555" s="91"/>
      <c r="N2555" s="91" t="s">
        <v>3665</v>
      </c>
    </row>
    <row r="2556" spans="1:14" x14ac:dyDescent="0.25">
      <c r="A2556" s="91" t="s">
        <v>1313</v>
      </c>
      <c r="B2556" s="91" t="s">
        <v>1327</v>
      </c>
      <c r="C2556" s="91" t="s">
        <v>3748</v>
      </c>
      <c r="D2556" s="91" t="s">
        <v>15</v>
      </c>
      <c r="E2556" s="91"/>
      <c r="F2556">
        <v>864</v>
      </c>
      <c r="G2556">
        <v>18</v>
      </c>
      <c r="H2556" s="89">
        <v>46198</v>
      </c>
      <c r="I2556" s="89">
        <v>46203</v>
      </c>
      <c r="J2556" s="91" t="s">
        <v>3750</v>
      </c>
      <c r="K2556" s="91"/>
      <c r="M2556" s="91"/>
      <c r="N2556" s="91" t="s">
        <v>3665</v>
      </c>
    </row>
    <row r="2557" spans="1:14" x14ac:dyDescent="0.25">
      <c r="A2557" s="91" t="s">
        <v>1313</v>
      </c>
      <c r="B2557" s="91" t="s">
        <v>1327</v>
      </c>
      <c r="C2557" s="91" t="s">
        <v>3748</v>
      </c>
      <c r="D2557" s="91" t="s">
        <v>15</v>
      </c>
      <c r="E2557" s="91"/>
      <c r="F2557">
        <v>240</v>
      </c>
      <c r="G2557">
        <v>5</v>
      </c>
      <c r="H2557" s="89">
        <v>46198</v>
      </c>
      <c r="I2557" s="89">
        <v>46204</v>
      </c>
      <c r="J2557" s="91" t="s">
        <v>3751</v>
      </c>
      <c r="K2557" s="91"/>
      <c r="M2557" s="91"/>
      <c r="N2557" s="91" t="s">
        <v>3665</v>
      </c>
    </row>
    <row r="2558" spans="1:14" x14ac:dyDescent="0.25">
      <c r="A2558" s="91" t="s">
        <v>1315</v>
      </c>
      <c r="B2558" s="91" t="s">
        <v>1329</v>
      </c>
      <c r="C2558" s="91" t="s">
        <v>3748</v>
      </c>
      <c r="D2558" s="91" t="s">
        <v>15</v>
      </c>
      <c r="E2558" s="91"/>
      <c r="F2558">
        <v>43</v>
      </c>
      <c r="G2558" t="s">
        <v>1419</v>
      </c>
      <c r="H2558" s="89">
        <v>46198</v>
      </c>
      <c r="I2558" s="89">
        <v>46200</v>
      </c>
      <c r="J2558" s="91" t="s">
        <v>3549</v>
      </c>
      <c r="K2558" s="91"/>
      <c r="M2558" s="91"/>
      <c r="N2558" s="91" t="s">
        <v>3665</v>
      </c>
    </row>
    <row r="2559" spans="1:14" x14ac:dyDescent="0.25">
      <c r="A2559" s="91" t="s">
        <v>1316</v>
      </c>
      <c r="B2559" s="91" t="s">
        <v>1330</v>
      </c>
      <c r="C2559" s="91" t="s">
        <v>3752</v>
      </c>
      <c r="D2559" s="91" t="s">
        <v>15</v>
      </c>
      <c r="E2559" s="91"/>
      <c r="F2559">
        <v>47</v>
      </c>
      <c r="G2559" t="s">
        <v>1419</v>
      </c>
      <c r="H2559" s="89">
        <v>46198</v>
      </c>
      <c r="I2559" s="89">
        <v>46200</v>
      </c>
      <c r="J2559" s="91" t="s">
        <v>3549</v>
      </c>
      <c r="K2559" s="91"/>
      <c r="M2559" s="91"/>
      <c r="N2559" s="91" t="s">
        <v>3665</v>
      </c>
    </row>
    <row r="2560" spans="1:14" x14ac:dyDescent="0.25">
      <c r="A2560" s="91" t="s">
        <v>1317</v>
      </c>
      <c r="B2560" s="91" t="s">
        <v>1331</v>
      </c>
      <c r="C2560" s="91" t="s">
        <v>3753</v>
      </c>
      <c r="D2560" s="91" t="s">
        <v>15</v>
      </c>
      <c r="E2560" s="91"/>
      <c r="F2560">
        <v>30</v>
      </c>
      <c r="G2560" t="s">
        <v>1419</v>
      </c>
      <c r="H2560" s="89">
        <v>46198</v>
      </c>
      <c r="I2560" s="89">
        <v>46200</v>
      </c>
      <c r="J2560" s="91" t="s">
        <v>3549</v>
      </c>
      <c r="K2560" s="91"/>
      <c r="M2560" s="91"/>
      <c r="N2560" s="91" t="s">
        <v>3665</v>
      </c>
    </row>
    <row r="2561" spans="1:14" x14ac:dyDescent="0.25">
      <c r="A2561" s="91" t="s">
        <v>1318</v>
      </c>
      <c r="B2561" s="91" t="s">
        <v>1332</v>
      </c>
      <c r="C2561" s="91" t="s">
        <v>3754</v>
      </c>
      <c r="D2561" s="91" t="s">
        <v>15</v>
      </c>
      <c r="E2561" s="91"/>
      <c r="F2561">
        <v>27</v>
      </c>
      <c r="G2561" t="s">
        <v>1419</v>
      </c>
      <c r="H2561" s="89">
        <v>46198</v>
      </c>
      <c r="I2561" s="89">
        <v>46200</v>
      </c>
      <c r="J2561" s="91" t="s">
        <v>3549</v>
      </c>
      <c r="K2561" s="91"/>
      <c r="M2561" s="91"/>
      <c r="N2561" s="91" t="s">
        <v>3665</v>
      </c>
    </row>
    <row r="2562" spans="1:14" x14ac:dyDescent="0.25">
      <c r="A2562" s="91" t="s">
        <v>1324</v>
      </c>
      <c r="B2562" s="91" t="s">
        <v>1338</v>
      </c>
      <c r="C2562" s="91" t="s">
        <v>3755</v>
      </c>
      <c r="D2562" s="91" t="s">
        <v>138</v>
      </c>
      <c r="E2562" s="91"/>
      <c r="H2562" s="89">
        <v>46199</v>
      </c>
      <c r="I2562" s="89">
        <v>46207</v>
      </c>
      <c r="J2562" s="91" t="s">
        <v>3756</v>
      </c>
      <c r="K2562" s="91"/>
      <c r="M2562" s="91"/>
      <c r="N2562" s="91" t="s">
        <v>3665</v>
      </c>
    </row>
    <row r="2563" spans="1:14" x14ac:dyDescent="0.25">
      <c r="A2563" s="91" t="s">
        <v>1313</v>
      </c>
      <c r="B2563" s="91" t="s">
        <v>1327</v>
      </c>
      <c r="C2563" s="91" t="s">
        <v>3757</v>
      </c>
      <c r="D2563" s="91" t="s">
        <v>15</v>
      </c>
      <c r="E2563" s="91"/>
      <c r="H2563" s="89">
        <v>46199</v>
      </c>
      <c r="I2563" s="89">
        <v>46203</v>
      </c>
      <c r="J2563" s="91" t="s">
        <v>3758</v>
      </c>
      <c r="K2563" s="91"/>
      <c r="M2563" s="91"/>
      <c r="N2563" s="91" t="s">
        <v>3665</v>
      </c>
    </row>
    <row r="2564" spans="1:14" x14ac:dyDescent="0.25">
      <c r="A2564" s="91" t="s">
        <v>1320</v>
      </c>
      <c r="B2564" s="91" t="s">
        <v>1334</v>
      </c>
      <c r="C2564" s="91" t="s">
        <v>3759</v>
      </c>
      <c r="D2564" s="91" t="s">
        <v>150</v>
      </c>
      <c r="E2564" s="91"/>
      <c r="F2564">
        <v>960</v>
      </c>
      <c r="G2564">
        <v>20</v>
      </c>
      <c r="H2564" s="89">
        <v>46199</v>
      </c>
      <c r="I2564" s="89">
        <v>46205</v>
      </c>
      <c r="J2564" s="91" t="s">
        <v>3760</v>
      </c>
      <c r="K2564" s="91"/>
      <c r="M2564" s="91"/>
      <c r="N2564" s="91" t="s">
        <v>3665</v>
      </c>
    </row>
    <row r="2565" spans="1:14" x14ac:dyDescent="0.25">
      <c r="A2565" s="91" t="s">
        <v>1325</v>
      </c>
      <c r="B2565" s="91" t="s">
        <v>1339</v>
      </c>
      <c r="C2565" s="91" t="s">
        <v>3755</v>
      </c>
      <c r="D2565" s="91" t="s">
        <v>138</v>
      </c>
      <c r="E2565" s="91"/>
      <c r="F2565">
        <v>384</v>
      </c>
      <c r="G2565">
        <v>8</v>
      </c>
      <c r="H2565" s="89">
        <v>46199</v>
      </c>
      <c r="I2565" s="89">
        <v>46200</v>
      </c>
      <c r="J2565" s="91" t="s">
        <v>3549</v>
      </c>
      <c r="K2565" s="91"/>
      <c r="M2565" s="91"/>
      <c r="N2565" s="91" t="s">
        <v>3665</v>
      </c>
    </row>
    <row r="2566" spans="1:14" x14ac:dyDescent="0.25">
      <c r="A2566" s="91" t="s">
        <v>1313</v>
      </c>
      <c r="B2566" s="91" t="s">
        <v>1327</v>
      </c>
      <c r="C2566" s="91" t="s">
        <v>3761</v>
      </c>
      <c r="D2566" s="91" t="s">
        <v>147</v>
      </c>
      <c r="E2566" s="91"/>
      <c r="F2566">
        <v>624</v>
      </c>
      <c r="G2566">
        <v>13</v>
      </c>
      <c r="H2566" s="89">
        <v>46199</v>
      </c>
      <c r="I2566" s="89">
        <v>46206</v>
      </c>
      <c r="J2566" s="91" t="s">
        <v>3762</v>
      </c>
      <c r="K2566" s="91"/>
      <c r="M2566" s="91"/>
      <c r="N2566" s="91" t="s">
        <v>3665</v>
      </c>
    </row>
    <row r="2567" spans="1:14" x14ac:dyDescent="0.25">
      <c r="A2567" s="91" t="s">
        <v>1313</v>
      </c>
      <c r="B2567" s="91" t="s">
        <v>1327</v>
      </c>
      <c r="C2567" s="91" t="s">
        <v>3763</v>
      </c>
      <c r="D2567" s="91" t="s">
        <v>152</v>
      </c>
      <c r="E2567" s="91"/>
      <c r="F2567">
        <v>480</v>
      </c>
      <c r="G2567">
        <v>10</v>
      </c>
      <c r="H2567" s="89">
        <v>46199</v>
      </c>
      <c r="I2567" s="89">
        <v>46206</v>
      </c>
      <c r="J2567" s="91" t="s">
        <v>3762</v>
      </c>
      <c r="K2567" s="91"/>
      <c r="M2567" s="91"/>
      <c r="N2567" s="91" t="s">
        <v>3665</v>
      </c>
    </row>
    <row r="2568" spans="1:14" x14ac:dyDescent="0.25">
      <c r="A2568" s="91" t="s">
        <v>1319</v>
      </c>
      <c r="B2568" s="91" t="s">
        <v>1333</v>
      </c>
      <c r="C2568" s="91" t="s">
        <v>3763</v>
      </c>
      <c r="D2568" s="91" t="s">
        <v>152</v>
      </c>
      <c r="E2568" s="91"/>
      <c r="F2568">
        <v>48</v>
      </c>
      <c r="G2568">
        <v>1</v>
      </c>
      <c r="H2568" s="89">
        <v>46199</v>
      </c>
      <c r="I2568" s="89">
        <v>46206</v>
      </c>
      <c r="J2568" s="91" t="s">
        <v>3762</v>
      </c>
      <c r="K2568" s="91"/>
      <c r="M2568" s="91"/>
      <c r="N2568" s="91" t="s">
        <v>3665</v>
      </c>
    </row>
    <row r="2569" spans="1:14" x14ac:dyDescent="0.25">
      <c r="A2569" s="91" t="s">
        <v>1320</v>
      </c>
      <c r="B2569" s="91" t="s">
        <v>1334</v>
      </c>
      <c r="C2569" s="91" t="s">
        <v>3764</v>
      </c>
      <c r="D2569" s="91" t="s">
        <v>30</v>
      </c>
      <c r="E2569" s="91"/>
      <c r="F2569">
        <v>384</v>
      </c>
      <c r="G2569">
        <v>8</v>
      </c>
      <c r="H2569" s="89">
        <v>46199</v>
      </c>
      <c r="I2569" s="89">
        <v>46203</v>
      </c>
      <c r="J2569" s="91" t="s">
        <v>3735</v>
      </c>
      <c r="K2569" s="91"/>
      <c r="M2569" s="91"/>
      <c r="N2569" s="91" t="s">
        <v>3665</v>
      </c>
    </row>
    <row r="2570" spans="1:14" x14ac:dyDescent="0.25">
      <c r="A2570" s="91" t="s">
        <v>1320</v>
      </c>
      <c r="B2570" s="91" t="s">
        <v>1334</v>
      </c>
      <c r="C2570" s="91" t="s">
        <v>3765</v>
      </c>
      <c r="D2570" s="91" t="s">
        <v>93</v>
      </c>
      <c r="E2570" s="91"/>
      <c r="F2570">
        <v>960</v>
      </c>
      <c r="G2570">
        <v>20</v>
      </c>
      <c r="H2570" s="89">
        <v>46199</v>
      </c>
      <c r="I2570" s="89">
        <v>46205</v>
      </c>
      <c r="J2570" s="91" t="s">
        <v>3766</v>
      </c>
      <c r="K2570" s="91"/>
      <c r="M2570" s="91"/>
      <c r="N2570" s="91" t="s">
        <v>3665</v>
      </c>
    </row>
    <row r="2571" spans="1:14" x14ac:dyDescent="0.25">
      <c r="A2571" s="91" t="s">
        <v>1320</v>
      </c>
      <c r="B2571" s="91" t="s">
        <v>1334</v>
      </c>
      <c r="C2571" s="91" t="s">
        <v>3767</v>
      </c>
      <c r="D2571" s="91" t="s">
        <v>28</v>
      </c>
      <c r="E2571" s="91"/>
      <c r="F2571">
        <v>960</v>
      </c>
      <c r="G2571">
        <v>20</v>
      </c>
      <c r="H2571" s="89">
        <v>46199</v>
      </c>
      <c r="I2571" s="89">
        <v>46204</v>
      </c>
      <c r="J2571" s="91" t="s">
        <v>3768</v>
      </c>
      <c r="K2571" s="91"/>
      <c r="M2571" s="91"/>
      <c r="N2571" s="91" t="s">
        <v>3665</v>
      </c>
    </row>
    <row r="2572" spans="1:14" x14ac:dyDescent="0.25">
      <c r="A2572" s="91" t="s">
        <v>1315</v>
      </c>
      <c r="B2572" s="91" t="s">
        <v>1329</v>
      </c>
      <c r="C2572" s="91" t="s">
        <v>3767</v>
      </c>
      <c r="D2572" s="91" t="s">
        <v>28</v>
      </c>
      <c r="E2572" s="91"/>
      <c r="F2572">
        <v>119</v>
      </c>
      <c r="G2572" t="s">
        <v>1419</v>
      </c>
      <c r="H2572" s="89">
        <v>46199</v>
      </c>
      <c r="I2572" s="89">
        <v>46201</v>
      </c>
      <c r="J2572" s="91" t="s">
        <v>3549</v>
      </c>
      <c r="K2572" s="91"/>
      <c r="M2572" s="91"/>
      <c r="N2572" s="91" t="s">
        <v>3665</v>
      </c>
    </row>
    <row r="2573" spans="1:14" x14ac:dyDescent="0.25">
      <c r="A2573" s="91" t="s">
        <v>1316</v>
      </c>
      <c r="B2573" s="91" t="s">
        <v>1330</v>
      </c>
      <c r="C2573" s="91" t="s">
        <v>3769</v>
      </c>
      <c r="D2573" s="91" t="s">
        <v>28</v>
      </c>
      <c r="E2573" s="91"/>
      <c r="F2573">
        <v>15</v>
      </c>
      <c r="G2573" t="s">
        <v>1419</v>
      </c>
      <c r="H2573" s="89">
        <v>46199</v>
      </c>
      <c r="I2573" s="89">
        <v>46201</v>
      </c>
      <c r="J2573" s="91" t="s">
        <v>3549</v>
      </c>
      <c r="K2573" s="91"/>
      <c r="M2573" s="91"/>
      <c r="N2573" s="91" t="s">
        <v>3665</v>
      </c>
    </row>
    <row r="2574" spans="1:14" x14ac:dyDescent="0.25">
      <c r="A2574" s="91" t="s">
        <v>1317</v>
      </c>
      <c r="B2574" s="91" t="s">
        <v>1331</v>
      </c>
      <c r="C2574" s="91" t="s">
        <v>3770</v>
      </c>
      <c r="D2574" s="91" t="s">
        <v>28</v>
      </c>
      <c r="E2574" s="91"/>
      <c r="F2574">
        <v>15</v>
      </c>
      <c r="G2574" t="s">
        <v>1419</v>
      </c>
      <c r="H2574" s="89">
        <v>46199</v>
      </c>
      <c r="I2574" s="89">
        <v>46201</v>
      </c>
      <c r="J2574" s="91" t="s">
        <v>3549</v>
      </c>
      <c r="K2574" s="91"/>
      <c r="M2574" s="91"/>
      <c r="N2574" s="91" t="s">
        <v>3665</v>
      </c>
    </row>
    <row r="2575" spans="1:14" x14ac:dyDescent="0.25">
      <c r="A2575" s="91" t="s">
        <v>1318</v>
      </c>
      <c r="B2575" s="91" t="s">
        <v>1332</v>
      </c>
      <c r="C2575" s="91" t="s">
        <v>3771</v>
      </c>
      <c r="D2575" s="91" t="s">
        <v>28</v>
      </c>
      <c r="E2575" s="91"/>
      <c r="F2575">
        <v>48</v>
      </c>
      <c r="G2575" t="s">
        <v>1419</v>
      </c>
      <c r="H2575" s="89">
        <v>46199</v>
      </c>
      <c r="I2575" s="89">
        <v>46201</v>
      </c>
      <c r="J2575" s="91" t="s">
        <v>3549</v>
      </c>
      <c r="K2575" s="91"/>
      <c r="M2575" s="91"/>
      <c r="N2575" s="91" t="s">
        <v>3665</v>
      </c>
    </row>
    <row r="2576" spans="1:14" x14ac:dyDescent="0.25">
      <c r="A2576" s="91" t="s">
        <v>1313</v>
      </c>
      <c r="B2576" s="91" t="s">
        <v>1327</v>
      </c>
      <c r="C2576" s="91" t="s">
        <v>3772</v>
      </c>
      <c r="D2576" s="91" t="s">
        <v>20</v>
      </c>
      <c r="E2576" s="91"/>
      <c r="F2576">
        <v>1056</v>
      </c>
      <c r="G2576">
        <v>22</v>
      </c>
      <c r="H2576" s="89">
        <v>46199</v>
      </c>
      <c r="I2576" s="89">
        <v>46204</v>
      </c>
      <c r="J2576" s="91" t="s">
        <v>3773</v>
      </c>
      <c r="K2576" s="91"/>
      <c r="M2576" s="91"/>
      <c r="N2576" s="91" t="s">
        <v>3665</v>
      </c>
    </row>
    <row r="2577" spans="1:14" x14ac:dyDescent="0.25">
      <c r="A2577" s="91" t="s">
        <v>1315</v>
      </c>
      <c r="B2577" s="91" t="s">
        <v>1329</v>
      </c>
      <c r="C2577" s="91" t="s">
        <v>3772</v>
      </c>
      <c r="D2577" s="91" t="s">
        <v>20</v>
      </c>
      <c r="E2577" s="91"/>
      <c r="F2577">
        <v>63</v>
      </c>
      <c r="G2577" t="s">
        <v>1419</v>
      </c>
      <c r="H2577" s="89">
        <v>46199</v>
      </c>
      <c r="I2577" s="89">
        <v>46201</v>
      </c>
      <c r="J2577" s="91" t="s">
        <v>3549</v>
      </c>
      <c r="K2577" s="91"/>
      <c r="M2577" s="91"/>
      <c r="N2577" s="91" t="s">
        <v>3665</v>
      </c>
    </row>
    <row r="2578" spans="1:14" x14ac:dyDescent="0.25">
      <c r="A2578" s="91" t="s">
        <v>1316</v>
      </c>
      <c r="B2578" s="91" t="s">
        <v>1330</v>
      </c>
      <c r="C2578" s="91" t="s">
        <v>3774</v>
      </c>
      <c r="D2578" s="91" t="s">
        <v>20</v>
      </c>
      <c r="E2578" s="91"/>
      <c r="F2578">
        <v>98</v>
      </c>
      <c r="G2578" t="s">
        <v>1419</v>
      </c>
      <c r="H2578" s="89">
        <v>46199</v>
      </c>
      <c r="I2578" s="89">
        <v>46201</v>
      </c>
      <c r="J2578" s="91" t="s">
        <v>3549</v>
      </c>
      <c r="K2578" s="91"/>
      <c r="M2578" s="91"/>
      <c r="N2578" s="91" t="s">
        <v>3665</v>
      </c>
    </row>
    <row r="2579" spans="1:14" x14ac:dyDescent="0.25">
      <c r="A2579" s="91" t="s">
        <v>1317</v>
      </c>
      <c r="B2579" s="91" t="s">
        <v>1331</v>
      </c>
      <c r="C2579" s="91" t="s">
        <v>3775</v>
      </c>
      <c r="D2579" s="91" t="s">
        <v>20</v>
      </c>
      <c r="E2579" s="91"/>
      <c r="F2579">
        <v>20</v>
      </c>
      <c r="G2579" t="s">
        <v>1419</v>
      </c>
      <c r="H2579" s="89">
        <v>46199</v>
      </c>
      <c r="I2579" s="89">
        <v>46201</v>
      </c>
      <c r="J2579" s="91" t="s">
        <v>3549</v>
      </c>
      <c r="K2579" s="91"/>
      <c r="M2579" s="91"/>
      <c r="N2579" s="91" t="s">
        <v>3665</v>
      </c>
    </row>
    <row r="2580" spans="1:14" x14ac:dyDescent="0.25">
      <c r="A2580" s="91" t="s">
        <v>1318</v>
      </c>
      <c r="B2580" s="91" t="s">
        <v>1332</v>
      </c>
      <c r="C2580" s="91" t="s">
        <v>3776</v>
      </c>
      <c r="D2580" s="91" t="s">
        <v>20</v>
      </c>
      <c r="E2580" s="91"/>
      <c r="F2580">
        <v>49</v>
      </c>
      <c r="G2580" t="s">
        <v>1419</v>
      </c>
      <c r="H2580" s="89">
        <v>46199</v>
      </c>
      <c r="I2580" s="89">
        <v>46201</v>
      </c>
      <c r="J2580" s="91" t="s">
        <v>3549</v>
      </c>
      <c r="K2580" s="91"/>
      <c r="M2580" s="91"/>
      <c r="N2580" s="91" t="s">
        <v>3665</v>
      </c>
    </row>
    <row r="2581" spans="1:14" x14ac:dyDescent="0.25">
      <c r="A2581" s="91" t="s">
        <v>1320</v>
      </c>
      <c r="B2581" s="91" t="s">
        <v>1334</v>
      </c>
      <c r="C2581" s="91" t="s">
        <v>3757</v>
      </c>
      <c r="D2581" s="91" t="s">
        <v>15</v>
      </c>
      <c r="E2581" s="91"/>
      <c r="F2581">
        <v>960</v>
      </c>
      <c r="G2581">
        <v>20</v>
      </c>
      <c r="H2581" s="89">
        <v>46199</v>
      </c>
      <c r="I2581" s="89">
        <v>46206</v>
      </c>
      <c r="J2581" s="91" t="s">
        <v>3777</v>
      </c>
      <c r="K2581" s="91"/>
      <c r="M2581" s="91"/>
      <c r="N2581" s="91" t="s">
        <v>3665</v>
      </c>
    </row>
    <row r="2582" spans="1:14" x14ac:dyDescent="0.25">
      <c r="A2582" s="91" t="s">
        <v>1314</v>
      </c>
      <c r="B2582" s="91" t="s">
        <v>1328</v>
      </c>
      <c r="C2582" s="91" t="s">
        <v>3757</v>
      </c>
      <c r="D2582" s="91" t="s">
        <v>15</v>
      </c>
      <c r="E2582" s="91"/>
      <c r="F2582">
        <v>96</v>
      </c>
      <c r="G2582">
        <v>2</v>
      </c>
      <c r="H2582" s="89">
        <v>46199</v>
      </c>
      <c r="I2582" s="89">
        <v>46204</v>
      </c>
      <c r="J2582" s="91" t="s">
        <v>3778</v>
      </c>
      <c r="K2582" s="91"/>
      <c r="M2582" s="91"/>
      <c r="N2582" s="91" t="s">
        <v>3665</v>
      </c>
    </row>
    <row r="2583" spans="1:14" x14ac:dyDescent="0.25">
      <c r="A2583" s="91" t="s">
        <v>1314</v>
      </c>
      <c r="B2583" s="91" t="s">
        <v>1328</v>
      </c>
      <c r="C2583" s="91" t="s">
        <v>3757</v>
      </c>
      <c r="D2583" s="91" t="s">
        <v>15</v>
      </c>
      <c r="E2583" s="91"/>
      <c r="F2583">
        <v>96</v>
      </c>
      <c r="G2583">
        <v>2</v>
      </c>
      <c r="H2583" s="89">
        <v>46199</v>
      </c>
      <c r="I2583" s="89">
        <v>46204</v>
      </c>
      <c r="J2583" s="91" t="s">
        <v>3779</v>
      </c>
      <c r="K2583" s="91"/>
      <c r="M2583" s="91"/>
      <c r="N2583" s="91" t="s">
        <v>3665</v>
      </c>
    </row>
    <row r="2584" spans="1:14" x14ac:dyDescent="0.25">
      <c r="A2584" s="91" t="s">
        <v>1313</v>
      </c>
      <c r="B2584" s="91" t="s">
        <v>1327</v>
      </c>
      <c r="C2584" s="91" t="s">
        <v>3757</v>
      </c>
      <c r="D2584" s="91" t="s">
        <v>15</v>
      </c>
      <c r="E2584" s="91"/>
      <c r="F2584">
        <v>432</v>
      </c>
      <c r="G2584">
        <v>9</v>
      </c>
      <c r="H2584" s="89">
        <v>46199</v>
      </c>
      <c r="I2584" s="89">
        <v>46204</v>
      </c>
      <c r="J2584" s="91" t="s">
        <v>3751</v>
      </c>
      <c r="K2584" s="91"/>
      <c r="M2584" s="91"/>
      <c r="N2584" s="91" t="s">
        <v>3665</v>
      </c>
    </row>
    <row r="2585" spans="1:14" x14ac:dyDescent="0.25">
      <c r="A2585" s="91" t="s">
        <v>1315</v>
      </c>
      <c r="B2585" s="91" t="s">
        <v>1329</v>
      </c>
      <c r="C2585" s="91" t="s">
        <v>3757</v>
      </c>
      <c r="D2585" s="91" t="s">
        <v>15</v>
      </c>
      <c r="E2585" s="91"/>
      <c r="F2585">
        <v>23</v>
      </c>
      <c r="G2585" t="s">
        <v>1419</v>
      </c>
      <c r="H2585" s="89">
        <v>46199</v>
      </c>
      <c r="I2585" s="89">
        <v>46201</v>
      </c>
      <c r="J2585" s="91" t="s">
        <v>3549</v>
      </c>
      <c r="K2585" s="91"/>
      <c r="M2585" s="91"/>
      <c r="N2585" s="91" t="s">
        <v>3665</v>
      </c>
    </row>
    <row r="2586" spans="1:14" x14ac:dyDescent="0.25">
      <c r="A2586" s="91" t="s">
        <v>1316</v>
      </c>
      <c r="B2586" s="91" t="s">
        <v>1330</v>
      </c>
      <c r="C2586" s="91" t="s">
        <v>3780</v>
      </c>
      <c r="D2586" s="91" t="s">
        <v>15</v>
      </c>
      <c r="E2586" s="91"/>
      <c r="F2586">
        <v>58</v>
      </c>
      <c r="G2586" t="s">
        <v>1419</v>
      </c>
      <c r="H2586" s="89">
        <v>46199</v>
      </c>
      <c r="I2586" s="89">
        <v>46201</v>
      </c>
      <c r="J2586" s="91" t="s">
        <v>3549</v>
      </c>
      <c r="K2586" s="91"/>
      <c r="M2586" s="91"/>
      <c r="N2586" s="91" t="s">
        <v>3665</v>
      </c>
    </row>
    <row r="2587" spans="1:14" x14ac:dyDescent="0.25">
      <c r="A2587" s="91" t="s">
        <v>1317</v>
      </c>
      <c r="B2587" s="91" t="s">
        <v>1331</v>
      </c>
      <c r="C2587" s="91" t="s">
        <v>3781</v>
      </c>
      <c r="D2587" s="91" t="s">
        <v>15</v>
      </c>
      <c r="E2587" s="91"/>
      <c r="F2587">
        <v>21</v>
      </c>
      <c r="G2587" t="s">
        <v>1419</v>
      </c>
      <c r="H2587" s="89">
        <v>46199</v>
      </c>
      <c r="I2587" s="89">
        <v>46201</v>
      </c>
      <c r="J2587" s="91" t="s">
        <v>3549</v>
      </c>
      <c r="K2587" s="91"/>
      <c r="M2587" s="91"/>
      <c r="N2587" s="91" t="s">
        <v>3665</v>
      </c>
    </row>
    <row r="2588" spans="1:14" x14ac:dyDescent="0.25">
      <c r="A2588" s="91" t="s">
        <v>1318</v>
      </c>
      <c r="B2588" s="91" t="s">
        <v>1332</v>
      </c>
      <c r="C2588" s="91" t="s">
        <v>3782</v>
      </c>
      <c r="D2588" s="91" t="s">
        <v>15</v>
      </c>
      <c r="E2588" s="91"/>
      <c r="F2588">
        <v>43</v>
      </c>
      <c r="G2588" t="s">
        <v>1419</v>
      </c>
      <c r="H2588" s="89">
        <v>46199</v>
      </c>
      <c r="I2588" s="89">
        <v>46201</v>
      </c>
      <c r="J2588" s="91" t="s">
        <v>3549</v>
      </c>
      <c r="K2588" s="91"/>
      <c r="M2588" s="91"/>
      <c r="N2588" s="91" t="s">
        <v>3665</v>
      </c>
    </row>
    <row r="2589" spans="1:14" x14ac:dyDescent="0.25">
      <c r="A2589" s="91" t="s">
        <v>1324</v>
      </c>
      <c r="B2589" s="91" t="s">
        <v>1338</v>
      </c>
      <c r="C2589" s="91" t="s">
        <v>3783</v>
      </c>
      <c r="D2589" s="91" t="s">
        <v>15</v>
      </c>
      <c r="E2589" s="91"/>
      <c r="H2589" s="89">
        <v>46200</v>
      </c>
      <c r="I2589" s="89">
        <v>46207</v>
      </c>
      <c r="J2589" s="91" t="s">
        <v>3756</v>
      </c>
      <c r="K2589" s="91"/>
      <c r="M2589" s="91"/>
      <c r="N2589" s="91" t="s">
        <v>3665</v>
      </c>
    </row>
    <row r="2590" spans="1:14" x14ac:dyDescent="0.25">
      <c r="A2590" s="91" t="s">
        <v>1324</v>
      </c>
      <c r="B2590" s="91" t="s">
        <v>1338</v>
      </c>
      <c r="C2590" s="91" t="s">
        <v>3784</v>
      </c>
      <c r="D2590" s="91" t="s">
        <v>23</v>
      </c>
      <c r="E2590" s="91"/>
      <c r="F2590">
        <v>960</v>
      </c>
      <c r="G2590">
        <v>20</v>
      </c>
      <c r="H2590" s="89">
        <v>46200</v>
      </c>
      <c r="I2590" s="89">
        <v>46205</v>
      </c>
      <c r="J2590" s="91" t="s">
        <v>3785</v>
      </c>
      <c r="K2590" s="91"/>
      <c r="M2590" s="91"/>
      <c r="N2590" s="91" t="s">
        <v>3665</v>
      </c>
    </row>
    <row r="2591" spans="1:14" x14ac:dyDescent="0.25">
      <c r="A2591" s="91" t="s">
        <v>1324</v>
      </c>
      <c r="B2591" s="91" t="s">
        <v>1338</v>
      </c>
      <c r="C2591" s="91" t="s">
        <v>3786</v>
      </c>
      <c r="D2591" s="91" t="s">
        <v>93</v>
      </c>
      <c r="E2591" s="91"/>
      <c r="F2591">
        <v>480</v>
      </c>
      <c r="G2591">
        <v>10</v>
      </c>
      <c r="H2591" s="89">
        <v>46200</v>
      </c>
      <c r="I2591" s="89">
        <v>46207</v>
      </c>
      <c r="J2591" s="91" t="s">
        <v>3756</v>
      </c>
      <c r="K2591" s="91"/>
      <c r="M2591" s="91"/>
      <c r="N2591" s="91" t="s">
        <v>3665</v>
      </c>
    </row>
    <row r="2592" spans="1:14" x14ac:dyDescent="0.25">
      <c r="A2592" s="91" t="s">
        <v>1324</v>
      </c>
      <c r="B2592" s="91" t="s">
        <v>1338</v>
      </c>
      <c r="C2592" s="91" t="s">
        <v>3787</v>
      </c>
      <c r="D2592" s="91" t="s">
        <v>92</v>
      </c>
      <c r="E2592" s="91"/>
      <c r="F2592">
        <v>480</v>
      </c>
      <c r="G2592">
        <v>10</v>
      </c>
      <c r="H2592" s="89">
        <v>46200</v>
      </c>
      <c r="I2592" s="89">
        <v>46207</v>
      </c>
      <c r="J2592" s="91" t="s">
        <v>3756</v>
      </c>
      <c r="K2592" s="91"/>
      <c r="M2592" s="91"/>
      <c r="N2592" s="91" t="s">
        <v>3665</v>
      </c>
    </row>
    <row r="2593" spans="1:14" x14ac:dyDescent="0.25">
      <c r="A2593" s="91" t="s">
        <v>1313</v>
      </c>
      <c r="B2593" s="91" t="s">
        <v>1327</v>
      </c>
      <c r="C2593" s="91" t="s">
        <v>3788</v>
      </c>
      <c r="D2593" s="91" t="s">
        <v>3789</v>
      </c>
      <c r="E2593" s="91"/>
      <c r="F2593">
        <v>1152</v>
      </c>
      <c r="G2593">
        <v>24</v>
      </c>
      <c r="H2593" s="89">
        <v>46200</v>
      </c>
      <c r="I2593" s="89">
        <v>46207</v>
      </c>
      <c r="J2593" s="91" t="s">
        <v>3790</v>
      </c>
      <c r="K2593" s="91"/>
      <c r="M2593" s="91"/>
      <c r="N2593" s="91" t="s">
        <v>3665</v>
      </c>
    </row>
    <row r="2594" spans="1:14" x14ac:dyDescent="0.25">
      <c r="A2594" s="91" t="s">
        <v>1324</v>
      </c>
      <c r="B2594" s="91" t="s">
        <v>1338</v>
      </c>
      <c r="C2594" s="91" t="s">
        <v>3791</v>
      </c>
      <c r="D2594" s="91" t="s">
        <v>21</v>
      </c>
      <c r="E2594" s="91"/>
      <c r="F2594">
        <v>192</v>
      </c>
      <c r="G2594">
        <v>4</v>
      </c>
      <c r="H2594" s="89">
        <v>46200</v>
      </c>
      <c r="I2594" s="89">
        <v>46205</v>
      </c>
      <c r="J2594" s="91" t="s">
        <v>3785</v>
      </c>
      <c r="K2594" s="91"/>
      <c r="M2594" s="91"/>
      <c r="N2594" s="91" t="s">
        <v>3665</v>
      </c>
    </row>
    <row r="2595" spans="1:14" x14ac:dyDescent="0.25">
      <c r="A2595" s="91" t="s">
        <v>1313</v>
      </c>
      <c r="B2595" s="91" t="s">
        <v>1327</v>
      </c>
      <c r="C2595" s="91" t="s">
        <v>3791</v>
      </c>
      <c r="D2595" s="91" t="s">
        <v>21</v>
      </c>
      <c r="E2595" s="91"/>
      <c r="F2595">
        <v>384</v>
      </c>
      <c r="G2595">
        <v>8</v>
      </c>
      <c r="H2595" s="89">
        <v>46200</v>
      </c>
      <c r="I2595" s="89">
        <v>46204</v>
      </c>
      <c r="J2595" s="91" t="s">
        <v>3751</v>
      </c>
      <c r="K2595" s="91"/>
      <c r="M2595" s="91"/>
      <c r="N2595" s="91" t="s">
        <v>3665</v>
      </c>
    </row>
    <row r="2596" spans="1:14" x14ac:dyDescent="0.25">
      <c r="A2596" s="91" t="s">
        <v>1313</v>
      </c>
      <c r="B2596" s="91" t="s">
        <v>1327</v>
      </c>
      <c r="C2596" s="91" t="s">
        <v>3791</v>
      </c>
      <c r="D2596" s="91" t="s">
        <v>21</v>
      </c>
      <c r="E2596" s="91"/>
      <c r="F2596">
        <v>240</v>
      </c>
      <c r="G2596">
        <v>5</v>
      </c>
      <c r="H2596" s="89">
        <v>46200</v>
      </c>
      <c r="I2596" s="89">
        <v>46204</v>
      </c>
      <c r="J2596" s="91" t="s">
        <v>3744</v>
      </c>
      <c r="K2596" s="91"/>
      <c r="M2596" s="91"/>
      <c r="N2596" s="91" t="s">
        <v>3665</v>
      </c>
    </row>
    <row r="2597" spans="1:14" x14ac:dyDescent="0.25">
      <c r="A2597" s="91" t="s">
        <v>1313</v>
      </c>
      <c r="B2597" s="91" t="s">
        <v>1327</v>
      </c>
      <c r="C2597" s="91" t="s">
        <v>3791</v>
      </c>
      <c r="D2597" s="91" t="s">
        <v>21</v>
      </c>
      <c r="E2597" s="91"/>
      <c r="F2597">
        <v>144</v>
      </c>
      <c r="G2597">
        <v>3</v>
      </c>
      <c r="H2597" s="89">
        <v>46200</v>
      </c>
      <c r="I2597" s="89">
        <v>46205</v>
      </c>
      <c r="J2597" s="91" t="s">
        <v>3792</v>
      </c>
      <c r="K2597" s="91"/>
      <c r="M2597" s="91"/>
      <c r="N2597" s="91" t="s">
        <v>3665</v>
      </c>
    </row>
    <row r="2598" spans="1:14" x14ac:dyDescent="0.25">
      <c r="A2598" s="91" t="s">
        <v>1315</v>
      </c>
      <c r="B2598" s="91" t="s">
        <v>1329</v>
      </c>
      <c r="C2598" s="91" t="s">
        <v>3791</v>
      </c>
      <c r="D2598" s="91" t="s">
        <v>21</v>
      </c>
      <c r="E2598" s="91"/>
      <c r="F2598">
        <v>46</v>
      </c>
      <c r="G2598" t="s">
        <v>1419</v>
      </c>
      <c r="H2598" s="89">
        <v>46200</v>
      </c>
      <c r="I2598" s="89">
        <v>46202</v>
      </c>
      <c r="J2598" s="91" t="s">
        <v>3549</v>
      </c>
      <c r="K2598" s="91"/>
      <c r="M2598" s="91"/>
      <c r="N2598" s="91" t="s">
        <v>3665</v>
      </c>
    </row>
    <row r="2599" spans="1:14" x14ac:dyDescent="0.25">
      <c r="A2599" s="91" t="s">
        <v>1316</v>
      </c>
      <c r="B2599" s="91" t="s">
        <v>1330</v>
      </c>
      <c r="C2599" s="91" t="s">
        <v>3793</v>
      </c>
      <c r="D2599" s="91" t="s">
        <v>21</v>
      </c>
      <c r="E2599" s="91"/>
      <c r="F2599">
        <v>23</v>
      </c>
      <c r="G2599" t="s">
        <v>1419</v>
      </c>
      <c r="H2599" s="89">
        <v>46200</v>
      </c>
      <c r="I2599" s="89">
        <v>46202</v>
      </c>
      <c r="J2599" s="91" t="s">
        <v>3549</v>
      </c>
      <c r="K2599" s="91"/>
      <c r="M2599" s="91"/>
      <c r="N2599" s="91" t="s">
        <v>3665</v>
      </c>
    </row>
    <row r="2600" spans="1:14" x14ac:dyDescent="0.25">
      <c r="A2600" s="91" t="s">
        <v>1317</v>
      </c>
      <c r="B2600" s="91" t="s">
        <v>1331</v>
      </c>
      <c r="C2600" s="91" t="s">
        <v>3794</v>
      </c>
      <c r="D2600" s="91" t="s">
        <v>21</v>
      </c>
      <c r="E2600" s="91"/>
      <c r="F2600">
        <v>24</v>
      </c>
      <c r="G2600" t="s">
        <v>1419</v>
      </c>
      <c r="H2600" s="89">
        <v>46200</v>
      </c>
      <c r="I2600" s="89">
        <v>46202</v>
      </c>
      <c r="J2600" s="91" t="s">
        <v>3549</v>
      </c>
      <c r="K2600" s="91"/>
      <c r="M2600" s="91"/>
      <c r="N2600" s="91" t="s">
        <v>3665</v>
      </c>
    </row>
    <row r="2601" spans="1:14" x14ac:dyDescent="0.25">
      <c r="A2601" s="91" t="s">
        <v>1318</v>
      </c>
      <c r="B2601" s="91" t="s">
        <v>1332</v>
      </c>
      <c r="C2601" s="91" t="s">
        <v>3795</v>
      </c>
      <c r="D2601" s="91" t="s">
        <v>21</v>
      </c>
      <c r="E2601" s="91"/>
      <c r="F2601">
        <v>41</v>
      </c>
      <c r="G2601" t="s">
        <v>1419</v>
      </c>
      <c r="H2601" s="89">
        <v>46200</v>
      </c>
      <c r="I2601" s="89">
        <v>46202</v>
      </c>
      <c r="J2601" s="91" t="s">
        <v>3549</v>
      </c>
      <c r="K2601" s="91"/>
      <c r="M2601" s="91"/>
      <c r="N2601" s="91" t="s">
        <v>3665</v>
      </c>
    </row>
    <row r="2602" spans="1:14" x14ac:dyDescent="0.25">
      <c r="A2602" s="91" t="s">
        <v>1313</v>
      </c>
      <c r="B2602" s="91" t="s">
        <v>1327</v>
      </c>
      <c r="C2602" s="91" t="s">
        <v>3783</v>
      </c>
      <c r="D2602" s="91" t="s">
        <v>15</v>
      </c>
      <c r="E2602" s="91"/>
      <c r="F2602">
        <v>144</v>
      </c>
      <c r="G2602">
        <v>3</v>
      </c>
      <c r="H2602" s="89">
        <v>46200</v>
      </c>
      <c r="I2602" s="89">
        <v>46205</v>
      </c>
      <c r="J2602" s="91" t="s">
        <v>3792</v>
      </c>
      <c r="K2602" s="91"/>
      <c r="M2602" s="91"/>
      <c r="N2602" s="91" t="s">
        <v>3665</v>
      </c>
    </row>
    <row r="2603" spans="1:14" x14ac:dyDescent="0.25">
      <c r="A2603" s="91" t="s">
        <v>1315</v>
      </c>
      <c r="B2603" s="91" t="s">
        <v>1329</v>
      </c>
      <c r="C2603" s="91" t="s">
        <v>3783</v>
      </c>
      <c r="D2603" s="91" t="s">
        <v>15</v>
      </c>
      <c r="E2603" s="91"/>
      <c r="F2603">
        <v>7</v>
      </c>
      <c r="G2603" t="s">
        <v>1419</v>
      </c>
      <c r="H2603" s="89">
        <v>46200</v>
      </c>
      <c r="I2603" s="89">
        <v>46202</v>
      </c>
      <c r="J2603" s="91" t="s">
        <v>3549</v>
      </c>
      <c r="K2603" s="91"/>
      <c r="M2603" s="91"/>
      <c r="N2603" s="91" t="s">
        <v>3665</v>
      </c>
    </row>
    <row r="2604" spans="1:14" x14ac:dyDescent="0.25">
      <c r="A2604" s="91" t="s">
        <v>1316</v>
      </c>
      <c r="B2604" s="91" t="s">
        <v>1330</v>
      </c>
      <c r="C2604" s="91" t="s">
        <v>3796</v>
      </c>
      <c r="D2604" s="91" t="s">
        <v>15</v>
      </c>
      <c r="E2604" s="91"/>
      <c r="F2604">
        <v>50</v>
      </c>
      <c r="G2604" t="s">
        <v>1419</v>
      </c>
      <c r="H2604" s="89">
        <v>46200</v>
      </c>
      <c r="I2604" s="89">
        <v>46202</v>
      </c>
      <c r="J2604" s="91" t="s">
        <v>3549</v>
      </c>
      <c r="K2604" s="91"/>
      <c r="M2604" s="91"/>
      <c r="N2604" s="91" t="s">
        <v>3665</v>
      </c>
    </row>
    <row r="2605" spans="1:14" x14ac:dyDescent="0.25">
      <c r="A2605" s="91" t="s">
        <v>1317</v>
      </c>
      <c r="B2605" s="91" t="s">
        <v>1331</v>
      </c>
      <c r="C2605" s="91" t="s">
        <v>3797</v>
      </c>
      <c r="D2605" s="91" t="s">
        <v>15</v>
      </c>
      <c r="E2605" s="91"/>
      <c r="F2605">
        <v>21</v>
      </c>
      <c r="G2605" t="s">
        <v>1419</v>
      </c>
      <c r="H2605" s="89">
        <v>46200</v>
      </c>
      <c r="I2605" s="89">
        <v>46202</v>
      </c>
      <c r="J2605" s="91" t="s">
        <v>3549</v>
      </c>
      <c r="K2605" s="91"/>
      <c r="M2605" s="91"/>
      <c r="N2605" s="91" t="s">
        <v>3665</v>
      </c>
    </row>
    <row r="2606" spans="1:14" x14ac:dyDescent="0.25">
      <c r="A2606" s="91" t="s">
        <v>1318</v>
      </c>
      <c r="B2606" s="91" t="s">
        <v>1332</v>
      </c>
      <c r="C2606" s="91" t="s">
        <v>3798</v>
      </c>
      <c r="D2606" s="91" t="s">
        <v>15</v>
      </c>
      <c r="E2606" s="91"/>
      <c r="F2606">
        <v>26</v>
      </c>
      <c r="G2606" t="s">
        <v>1419</v>
      </c>
      <c r="H2606" s="89">
        <v>46200</v>
      </c>
      <c r="I2606" s="89">
        <v>46202</v>
      </c>
      <c r="J2606" s="91" t="s">
        <v>3549</v>
      </c>
      <c r="K2606" s="91"/>
      <c r="M2606" s="91"/>
      <c r="N2606" s="91" t="s">
        <v>3665</v>
      </c>
    </row>
    <row r="2607" spans="1:14" x14ac:dyDescent="0.25">
      <c r="A2607" s="91" t="s">
        <v>1324</v>
      </c>
      <c r="B2607" s="91" t="s">
        <v>1338</v>
      </c>
      <c r="C2607" s="91" t="s">
        <v>3799</v>
      </c>
      <c r="D2607" s="91" t="s">
        <v>23</v>
      </c>
      <c r="E2607" s="91"/>
      <c r="F2607">
        <v>960</v>
      </c>
      <c r="G2607">
        <v>20</v>
      </c>
      <c r="H2607" s="89">
        <v>46202</v>
      </c>
      <c r="I2607" s="89">
        <v>46207</v>
      </c>
      <c r="J2607" s="91" t="s">
        <v>3800</v>
      </c>
      <c r="K2607" s="91"/>
      <c r="M2607" s="91"/>
      <c r="N2607" s="91" t="s">
        <v>3801</v>
      </c>
    </row>
    <row r="2608" spans="1:14" x14ac:dyDescent="0.25">
      <c r="A2608" s="91" t="s">
        <v>1321</v>
      </c>
      <c r="B2608" s="91" t="s">
        <v>1335</v>
      </c>
      <c r="C2608" s="91" t="s">
        <v>3802</v>
      </c>
      <c r="D2608" s="91" t="s">
        <v>159</v>
      </c>
      <c r="E2608" s="91"/>
      <c r="F2608">
        <v>144</v>
      </c>
      <c r="G2608">
        <v>3</v>
      </c>
      <c r="H2608" s="89">
        <v>46202</v>
      </c>
      <c r="I2608" s="89">
        <v>46209</v>
      </c>
      <c r="J2608" s="91" t="s">
        <v>3803</v>
      </c>
      <c r="K2608" s="91"/>
      <c r="M2608" s="91"/>
      <c r="N2608" s="91" t="s">
        <v>3801</v>
      </c>
    </row>
    <row r="2609" spans="1:14" x14ac:dyDescent="0.25">
      <c r="A2609" s="91" t="s">
        <v>1321</v>
      </c>
      <c r="B2609" s="91" t="s">
        <v>1335</v>
      </c>
      <c r="C2609" s="91" t="s">
        <v>3802</v>
      </c>
      <c r="D2609" s="91" t="s">
        <v>159</v>
      </c>
      <c r="E2609" s="91"/>
      <c r="F2609">
        <v>96</v>
      </c>
      <c r="G2609">
        <v>2</v>
      </c>
      <c r="H2609" s="89">
        <v>46202</v>
      </c>
      <c r="I2609" s="89">
        <v>46207</v>
      </c>
      <c r="J2609" s="91" t="s">
        <v>3800</v>
      </c>
      <c r="K2609" s="91"/>
      <c r="M2609" s="91"/>
      <c r="N2609" s="91" t="s">
        <v>3801</v>
      </c>
    </row>
    <row r="2610" spans="1:14" x14ac:dyDescent="0.25">
      <c r="A2610" s="91" t="s">
        <v>1325</v>
      </c>
      <c r="B2610" s="91" t="s">
        <v>1339</v>
      </c>
      <c r="C2610" s="91" t="s">
        <v>3802</v>
      </c>
      <c r="D2610" s="91" t="s">
        <v>159</v>
      </c>
      <c r="E2610" s="91"/>
      <c r="F2610">
        <v>192</v>
      </c>
      <c r="G2610">
        <v>4</v>
      </c>
      <c r="H2610" s="89">
        <v>46202</v>
      </c>
      <c r="I2610" s="89">
        <v>46204</v>
      </c>
      <c r="J2610" s="91" t="s">
        <v>3549</v>
      </c>
      <c r="K2610" s="91"/>
      <c r="M2610" s="91"/>
      <c r="N2610" s="91" t="s">
        <v>3801</v>
      </c>
    </row>
    <row r="2611" spans="1:14" x14ac:dyDescent="0.25">
      <c r="A2611" s="91" t="s">
        <v>1320</v>
      </c>
      <c r="B2611" s="91" t="s">
        <v>1334</v>
      </c>
      <c r="C2611" s="91" t="s">
        <v>3804</v>
      </c>
      <c r="D2611" s="91" t="s">
        <v>20</v>
      </c>
      <c r="E2611" s="91"/>
      <c r="F2611">
        <v>960</v>
      </c>
      <c r="G2611">
        <v>20</v>
      </c>
      <c r="H2611" s="89">
        <v>46202</v>
      </c>
      <c r="I2611" s="89">
        <v>46206</v>
      </c>
      <c r="J2611" s="91" t="s">
        <v>3805</v>
      </c>
      <c r="K2611" s="91"/>
      <c r="M2611" s="91"/>
      <c r="N2611" s="91" t="s">
        <v>3801</v>
      </c>
    </row>
    <row r="2612" spans="1:14" x14ac:dyDescent="0.25">
      <c r="A2612" s="91" t="s">
        <v>1313</v>
      </c>
      <c r="B2612" s="91" t="s">
        <v>1327</v>
      </c>
      <c r="C2612" s="91" t="s">
        <v>3804</v>
      </c>
      <c r="D2612" s="91" t="s">
        <v>20</v>
      </c>
      <c r="E2612" s="91"/>
      <c r="F2612">
        <v>336</v>
      </c>
      <c r="G2612">
        <v>7</v>
      </c>
      <c r="H2612" s="89">
        <v>46202</v>
      </c>
      <c r="I2612" s="89">
        <v>46205</v>
      </c>
      <c r="J2612" s="91" t="s">
        <v>3792</v>
      </c>
      <c r="K2612" s="91"/>
      <c r="M2612" s="91"/>
      <c r="N2612" s="91" t="s">
        <v>3801</v>
      </c>
    </row>
    <row r="2613" spans="1:14" x14ac:dyDescent="0.25">
      <c r="A2613" s="91" t="s">
        <v>1313</v>
      </c>
      <c r="B2613" s="91" t="s">
        <v>1327</v>
      </c>
      <c r="C2613" s="91" t="s">
        <v>3804</v>
      </c>
      <c r="D2613" s="91" t="s">
        <v>20</v>
      </c>
      <c r="E2613" s="91"/>
      <c r="F2613">
        <v>48</v>
      </c>
      <c r="G2613">
        <v>1</v>
      </c>
      <c r="H2613" s="89">
        <v>46202</v>
      </c>
      <c r="I2613" s="89">
        <v>46208</v>
      </c>
      <c r="J2613" s="91" t="s">
        <v>3806</v>
      </c>
      <c r="K2613" s="91"/>
      <c r="M2613" s="91"/>
      <c r="N2613" s="91" t="s">
        <v>3801</v>
      </c>
    </row>
    <row r="2614" spans="1:14" x14ac:dyDescent="0.25">
      <c r="A2614" s="91" t="s">
        <v>1315</v>
      </c>
      <c r="B2614" s="91" t="s">
        <v>1329</v>
      </c>
      <c r="C2614" s="91" t="s">
        <v>3804</v>
      </c>
      <c r="D2614" s="91" t="s">
        <v>20</v>
      </c>
      <c r="E2614" s="91"/>
      <c r="F2614">
        <v>21</v>
      </c>
      <c r="G2614" t="s">
        <v>1419</v>
      </c>
      <c r="H2614" s="89">
        <v>46202</v>
      </c>
      <c r="I2614" s="89">
        <v>46204</v>
      </c>
      <c r="J2614" s="91" t="s">
        <v>3549</v>
      </c>
      <c r="K2614" s="91"/>
      <c r="M2614" s="91"/>
      <c r="N2614" s="91" t="s">
        <v>3801</v>
      </c>
    </row>
    <row r="2615" spans="1:14" x14ac:dyDescent="0.25">
      <c r="A2615" s="91" t="s">
        <v>1316</v>
      </c>
      <c r="B2615" s="91" t="s">
        <v>1330</v>
      </c>
      <c r="C2615" s="91" t="s">
        <v>3807</v>
      </c>
      <c r="D2615" s="91" t="s">
        <v>20</v>
      </c>
      <c r="E2615" s="91"/>
      <c r="F2615">
        <v>152</v>
      </c>
      <c r="G2615" t="s">
        <v>1419</v>
      </c>
      <c r="H2615" s="89">
        <v>46202</v>
      </c>
      <c r="I2615" s="89">
        <v>46204</v>
      </c>
      <c r="J2615" s="91" t="s">
        <v>3549</v>
      </c>
      <c r="K2615" s="91"/>
      <c r="M2615" s="91"/>
      <c r="N2615" s="91" t="s">
        <v>3801</v>
      </c>
    </row>
    <row r="2616" spans="1:14" x14ac:dyDescent="0.25">
      <c r="A2616" s="91" t="s">
        <v>1317</v>
      </c>
      <c r="B2616" s="91" t="s">
        <v>1331</v>
      </c>
      <c r="C2616" s="91" t="s">
        <v>3804</v>
      </c>
      <c r="D2616" s="91" t="s">
        <v>20</v>
      </c>
      <c r="E2616" s="91"/>
      <c r="F2616">
        <v>14</v>
      </c>
      <c r="G2616" t="s">
        <v>1419</v>
      </c>
      <c r="H2616" s="89">
        <v>46202</v>
      </c>
      <c r="I2616" s="89">
        <v>46204</v>
      </c>
      <c r="J2616" s="91" t="s">
        <v>3549</v>
      </c>
      <c r="K2616" s="91"/>
      <c r="M2616" s="91"/>
      <c r="N2616" s="91" t="s">
        <v>3801</v>
      </c>
    </row>
    <row r="2617" spans="1:14" x14ac:dyDescent="0.25">
      <c r="A2617" s="91" t="s">
        <v>1318</v>
      </c>
      <c r="B2617" s="91" t="s">
        <v>1332</v>
      </c>
      <c r="C2617" s="91" t="s">
        <v>3808</v>
      </c>
      <c r="D2617" s="91" t="s">
        <v>20</v>
      </c>
      <c r="E2617" s="91"/>
      <c r="F2617">
        <v>71</v>
      </c>
      <c r="G2617" t="s">
        <v>1419</v>
      </c>
      <c r="H2617" s="89">
        <v>46202</v>
      </c>
      <c r="I2617" s="89">
        <v>46204</v>
      </c>
      <c r="J2617" s="91" t="s">
        <v>3549</v>
      </c>
      <c r="K2617" s="91"/>
      <c r="M2617" s="91"/>
      <c r="N2617" s="91" t="s">
        <v>3801</v>
      </c>
    </row>
    <row r="2618" spans="1:14" x14ac:dyDescent="0.25">
      <c r="A2618" s="91" t="s">
        <v>1314</v>
      </c>
      <c r="B2618" s="91" t="s">
        <v>1328</v>
      </c>
      <c r="C2618" s="91" t="s">
        <v>3809</v>
      </c>
      <c r="D2618" s="91" t="s">
        <v>15</v>
      </c>
      <c r="E2618" s="91"/>
      <c r="F2618">
        <v>288</v>
      </c>
      <c r="G2618">
        <v>6</v>
      </c>
      <c r="H2618" s="89">
        <v>46202</v>
      </c>
      <c r="I2618" s="89">
        <v>46205</v>
      </c>
      <c r="J2618" s="91" t="s">
        <v>3810</v>
      </c>
      <c r="K2618" s="91"/>
      <c r="M2618" s="91"/>
      <c r="N2618" s="91" t="s">
        <v>3801</v>
      </c>
    </row>
    <row r="2619" spans="1:14" x14ac:dyDescent="0.25">
      <c r="A2619" s="91" t="s">
        <v>1313</v>
      </c>
      <c r="B2619" s="91" t="s">
        <v>1327</v>
      </c>
      <c r="C2619" s="91" t="s">
        <v>3809</v>
      </c>
      <c r="D2619" s="91" t="s">
        <v>15</v>
      </c>
      <c r="E2619" s="91"/>
      <c r="F2619">
        <v>144</v>
      </c>
      <c r="G2619">
        <v>3</v>
      </c>
      <c r="H2619" s="89">
        <v>46202</v>
      </c>
      <c r="I2619" s="89">
        <v>46205</v>
      </c>
      <c r="J2619" s="91" t="s">
        <v>3792</v>
      </c>
      <c r="K2619" s="91"/>
      <c r="M2619" s="91"/>
      <c r="N2619" s="91" t="s">
        <v>3801</v>
      </c>
    </row>
    <row r="2620" spans="1:14" x14ac:dyDescent="0.25">
      <c r="A2620" s="91" t="s">
        <v>1324</v>
      </c>
      <c r="B2620" s="91" t="s">
        <v>1338</v>
      </c>
      <c r="C2620" s="91" t="s">
        <v>3809</v>
      </c>
      <c r="D2620" s="91" t="s">
        <v>15</v>
      </c>
      <c r="E2620" s="91"/>
      <c r="F2620">
        <v>864</v>
      </c>
      <c r="G2620">
        <v>18</v>
      </c>
      <c r="H2620" s="89">
        <v>46202</v>
      </c>
      <c r="I2620" s="89">
        <v>46207</v>
      </c>
      <c r="J2620" s="91" t="s">
        <v>3800</v>
      </c>
      <c r="K2620" s="91"/>
      <c r="M2620" s="91"/>
      <c r="N2620" s="91" t="s">
        <v>3801</v>
      </c>
    </row>
    <row r="2621" spans="1:14" x14ac:dyDescent="0.25">
      <c r="A2621" s="91" t="s">
        <v>1315</v>
      </c>
      <c r="B2621" s="91" t="s">
        <v>1329</v>
      </c>
      <c r="C2621" s="91" t="s">
        <v>3809</v>
      </c>
      <c r="D2621" s="91" t="s">
        <v>15</v>
      </c>
      <c r="E2621" s="91"/>
      <c r="F2621">
        <v>1</v>
      </c>
      <c r="G2621" t="s">
        <v>1419</v>
      </c>
      <c r="H2621" s="89">
        <v>46202</v>
      </c>
      <c r="I2621" s="89">
        <v>46204</v>
      </c>
      <c r="J2621" s="91" t="s">
        <v>3549</v>
      </c>
      <c r="K2621" s="91"/>
      <c r="M2621" s="91"/>
      <c r="N2621" s="91" t="s">
        <v>3801</v>
      </c>
    </row>
    <row r="2622" spans="1:14" x14ac:dyDescent="0.25">
      <c r="A2622" s="91" t="s">
        <v>1316</v>
      </c>
      <c r="B2622" s="91" t="s">
        <v>1330</v>
      </c>
      <c r="C2622" s="91" t="s">
        <v>3811</v>
      </c>
      <c r="D2622" s="91" t="s">
        <v>15</v>
      </c>
      <c r="E2622" s="91"/>
      <c r="F2622">
        <v>84</v>
      </c>
      <c r="G2622" t="s">
        <v>1419</v>
      </c>
      <c r="H2622" s="89">
        <v>46202</v>
      </c>
      <c r="I2622" s="89">
        <v>46204</v>
      </c>
      <c r="J2622" s="91" t="s">
        <v>3549</v>
      </c>
      <c r="K2622" s="91"/>
      <c r="M2622" s="91"/>
      <c r="N2622" s="91" t="s">
        <v>3801</v>
      </c>
    </row>
    <row r="2623" spans="1:14" x14ac:dyDescent="0.25">
      <c r="A2623" s="91" t="s">
        <v>1317</v>
      </c>
      <c r="B2623" s="91" t="s">
        <v>1331</v>
      </c>
      <c r="C2623" s="91" t="s">
        <v>3809</v>
      </c>
      <c r="D2623" s="91" t="s">
        <v>15</v>
      </c>
      <c r="E2623" s="91"/>
      <c r="F2623">
        <v>24</v>
      </c>
      <c r="G2623" t="s">
        <v>1419</v>
      </c>
      <c r="H2623" s="89">
        <v>46202</v>
      </c>
      <c r="I2623" s="89">
        <v>46204</v>
      </c>
      <c r="J2623" s="91" t="s">
        <v>3549</v>
      </c>
      <c r="K2623" s="91"/>
      <c r="M2623" s="91"/>
      <c r="N2623" s="91" t="s">
        <v>3801</v>
      </c>
    </row>
    <row r="2624" spans="1:14" x14ac:dyDescent="0.25">
      <c r="A2624" s="91" t="s">
        <v>1318</v>
      </c>
      <c r="B2624" s="91" t="s">
        <v>1332</v>
      </c>
      <c r="C2624" s="91" t="s">
        <v>3812</v>
      </c>
      <c r="D2624" s="91" t="s">
        <v>15</v>
      </c>
      <c r="E2624" s="91"/>
      <c r="F2624">
        <v>31</v>
      </c>
      <c r="G2624" t="s">
        <v>1419</v>
      </c>
      <c r="H2624" s="89">
        <v>46202</v>
      </c>
      <c r="I2624" s="89">
        <v>46204</v>
      </c>
      <c r="J2624" s="91" t="s">
        <v>3549</v>
      </c>
      <c r="K2624" s="91"/>
      <c r="M2624" s="91"/>
      <c r="N2624" s="91" t="s">
        <v>3801</v>
      </c>
    </row>
    <row r="2625" spans="1:14" x14ac:dyDescent="0.25">
      <c r="A2625" s="91" t="s">
        <v>1324</v>
      </c>
      <c r="B2625" s="91" t="s">
        <v>1338</v>
      </c>
      <c r="C2625" s="91" t="s">
        <v>3813</v>
      </c>
      <c r="D2625" s="91" t="s">
        <v>23</v>
      </c>
      <c r="E2625" s="91"/>
      <c r="F2625">
        <v>384</v>
      </c>
      <c r="G2625">
        <v>8</v>
      </c>
      <c r="H2625" s="89">
        <v>46203</v>
      </c>
      <c r="I2625" s="89">
        <v>46209</v>
      </c>
      <c r="J2625" s="91" t="s">
        <v>3803</v>
      </c>
      <c r="K2625" s="91"/>
      <c r="M2625" s="91"/>
      <c r="N2625" s="91" t="s">
        <v>3801</v>
      </c>
    </row>
    <row r="2626" spans="1:14" x14ac:dyDescent="0.25">
      <c r="A2626" s="91" t="s">
        <v>1324</v>
      </c>
      <c r="B2626" s="91" t="s">
        <v>1338</v>
      </c>
      <c r="C2626" s="91" t="s">
        <v>3814</v>
      </c>
      <c r="D2626" s="91" t="s">
        <v>13</v>
      </c>
      <c r="E2626" s="91"/>
      <c r="F2626">
        <v>576</v>
      </c>
      <c r="G2626">
        <v>12</v>
      </c>
      <c r="H2626" s="89">
        <v>46203</v>
      </c>
      <c r="I2626" s="89">
        <v>46209</v>
      </c>
      <c r="J2626" s="91" t="s">
        <v>3815</v>
      </c>
      <c r="K2626" s="91"/>
      <c r="M2626" s="91"/>
      <c r="N2626" s="91" t="s">
        <v>3801</v>
      </c>
    </row>
    <row r="2627" spans="1:14" x14ac:dyDescent="0.25">
      <c r="A2627" s="91" t="s">
        <v>1324</v>
      </c>
      <c r="B2627" s="91" t="s">
        <v>1338</v>
      </c>
      <c r="C2627" s="91" t="s">
        <v>3816</v>
      </c>
      <c r="D2627" s="91" t="s">
        <v>152</v>
      </c>
      <c r="E2627" s="91"/>
      <c r="F2627">
        <v>384</v>
      </c>
      <c r="G2627">
        <v>8</v>
      </c>
      <c r="H2627" s="89">
        <v>46203</v>
      </c>
      <c r="I2627" s="89">
        <v>46209</v>
      </c>
      <c r="J2627" s="91" t="s">
        <v>3815</v>
      </c>
      <c r="K2627" s="91"/>
      <c r="M2627" s="91"/>
      <c r="N2627" s="91" t="s">
        <v>3801</v>
      </c>
    </row>
    <row r="2628" spans="1:14" x14ac:dyDescent="0.25">
      <c r="A2628" s="91" t="s">
        <v>1324</v>
      </c>
      <c r="B2628" s="91" t="s">
        <v>1338</v>
      </c>
      <c r="C2628" s="91" t="s">
        <v>3817</v>
      </c>
      <c r="D2628" s="91" t="s">
        <v>150</v>
      </c>
      <c r="E2628" s="91"/>
      <c r="F2628">
        <v>960</v>
      </c>
      <c r="G2628">
        <v>20</v>
      </c>
      <c r="H2628" s="89">
        <v>46203</v>
      </c>
      <c r="I2628" s="89">
        <v>46209</v>
      </c>
      <c r="J2628" s="91" t="s">
        <v>3815</v>
      </c>
      <c r="K2628" s="91"/>
      <c r="M2628" s="91"/>
      <c r="N2628" s="91" t="s">
        <v>3801</v>
      </c>
    </row>
    <row r="2629" spans="1:14" x14ac:dyDescent="0.25">
      <c r="A2629" s="91" t="s">
        <v>1566</v>
      </c>
      <c r="B2629" s="91" t="s">
        <v>1567</v>
      </c>
      <c r="C2629" s="91" t="s">
        <v>3818</v>
      </c>
      <c r="D2629" s="91" t="s">
        <v>15</v>
      </c>
      <c r="E2629" s="91"/>
      <c r="F2629">
        <v>5</v>
      </c>
      <c r="G2629">
        <v>0.10416666666666669</v>
      </c>
      <c r="H2629" s="89">
        <v>46203</v>
      </c>
      <c r="I2629" s="89">
        <v>46208</v>
      </c>
      <c r="J2629" s="91" t="s">
        <v>3819</v>
      </c>
      <c r="K2629" s="91"/>
      <c r="M2629" s="91"/>
      <c r="N2629" s="91" t="s">
        <v>3801</v>
      </c>
    </row>
    <row r="2630" spans="1:14" x14ac:dyDescent="0.25">
      <c r="A2630" s="91" t="s">
        <v>1313</v>
      </c>
      <c r="B2630" s="91" t="s">
        <v>1327</v>
      </c>
      <c r="C2630" s="91" t="s">
        <v>3818</v>
      </c>
      <c r="D2630" s="91" t="s">
        <v>15</v>
      </c>
      <c r="E2630" s="91"/>
      <c r="F2630">
        <v>955</v>
      </c>
      <c r="G2630">
        <v>19.895833333333332</v>
      </c>
      <c r="H2630" s="89">
        <v>46203</v>
      </c>
      <c r="I2630" s="89">
        <v>46208</v>
      </c>
      <c r="J2630" s="91" t="s">
        <v>3806</v>
      </c>
      <c r="K2630" s="91"/>
      <c r="M2630" s="91"/>
      <c r="N2630" s="91" t="s">
        <v>3801</v>
      </c>
    </row>
    <row r="2631" spans="1:14" x14ac:dyDescent="0.25">
      <c r="A2631" s="91" t="s">
        <v>1313</v>
      </c>
      <c r="B2631" s="91" t="s">
        <v>1327</v>
      </c>
      <c r="C2631" s="91" t="s">
        <v>3818</v>
      </c>
      <c r="D2631" s="91" t="s">
        <v>15</v>
      </c>
      <c r="E2631" s="91"/>
      <c r="F2631">
        <v>96</v>
      </c>
      <c r="G2631">
        <v>2</v>
      </c>
      <c r="H2631" s="89">
        <v>46203</v>
      </c>
      <c r="I2631" s="89">
        <v>46205</v>
      </c>
      <c r="J2631" s="91" t="s">
        <v>3792</v>
      </c>
      <c r="K2631" s="91"/>
      <c r="M2631" s="91"/>
      <c r="N2631" s="91" t="s">
        <v>3801</v>
      </c>
    </row>
    <row r="2632" spans="1:14" x14ac:dyDescent="0.25">
      <c r="A2632" s="91" t="s">
        <v>1320</v>
      </c>
      <c r="B2632" s="91" t="s">
        <v>1334</v>
      </c>
      <c r="C2632" s="91" t="s">
        <v>3818</v>
      </c>
      <c r="D2632" s="91" t="s">
        <v>15</v>
      </c>
      <c r="E2632" s="91"/>
      <c r="F2632">
        <v>240</v>
      </c>
      <c r="G2632">
        <v>5</v>
      </c>
      <c r="H2632" s="89">
        <v>46203</v>
      </c>
      <c r="I2632" s="89">
        <v>46207</v>
      </c>
      <c r="J2632" s="91" t="s">
        <v>3820</v>
      </c>
      <c r="K2632" s="91"/>
      <c r="M2632" s="91"/>
      <c r="N2632" s="91" t="s">
        <v>3801</v>
      </c>
    </row>
    <row r="2633" spans="1:14" x14ac:dyDescent="0.25">
      <c r="A2633" s="91" t="s">
        <v>1315</v>
      </c>
      <c r="B2633" s="91" t="s">
        <v>1329</v>
      </c>
      <c r="C2633" s="91" t="s">
        <v>3818</v>
      </c>
      <c r="D2633" s="91" t="s">
        <v>15</v>
      </c>
      <c r="E2633" s="91"/>
      <c r="F2633">
        <v>22</v>
      </c>
      <c r="G2633" t="s">
        <v>1419</v>
      </c>
      <c r="H2633" s="89">
        <v>46203</v>
      </c>
      <c r="I2633" s="89">
        <v>46205</v>
      </c>
      <c r="J2633" s="91" t="s">
        <v>3549</v>
      </c>
      <c r="K2633" s="91"/>
      <c r="M2633" s="91"/>
      <c r="N2633" s="91" t="s">
        <v>3801</v>
      </c>
    </row>
    <row r="2634" spans="1:14" x14ac:dyDescent="0.25">
      <c r="A2634" s="91" t="s">
        <v>1316</v>
      </c>
      <c r="B2634" s="91" t="s">
        <v>1330</v>
      </c>
      <c r="C2634" s="91" t="s">
        <v>3821</v>
      </c>
      <c r="D2634" s="91" t="s">
        <v>15</v>
      </c>
      <c r="E2634" s="91"/>
      <c r="F2634">
        <v>56</v>
      </c>
      <c r="G2634" t="s">
        <v>1419</v>
      </c>
      <c r="H2634" s="89">
        <v>46203</v>
      </c>
      <c r="I2634" s="89">
        <v>46205</v>
      </c>
      <c r="J2634" s="91" t="s">
        <v>3549</v>
      </c>
      <c r="K2634" s="91"/>
      <c r="M2634" s="91"/>
      <c r="N2634" s="91" t="s">
        <v>3801</v>
      </c>
    </row>
    <row r="2635" spans="1:14" x14ac:dyDescent="0.25">
      <c r="A2635" s="91" t="s">
        <v>1317</v>
      </c>
      <c r="B2635" s="91" t="s">
        <v>1331</v>
      </c>
      <c r="C2635" s="91" t="s">
        <v>3818</v>
      </c>
      <c r="D2635" s="91" t="s">
        <v>15</v>
      </c>
      <c r="E2635" s="91"/>
      <c r="F2635">
        <v>23</v>
      </c>
      <c r="G2635" t="s">
        <v>1419</v>
      </c>
      <c r="H2635" s="89">
        <v>46203</v>
      </c>
      <c r="I2635" s="89">
        <v>46205</v>
      </c>
      <c r="J2635" s="91" t="s">
        <v>3549</v>
      </c>
      <c r="K2635" s="91"/>
      <c r="M2635" s="91"/>
      <c r="N2635" s="91" t="s">
        <v>3801</v>
      </c>
    </row>
    <row r="2636" spans="1:14" x14ac:dyDescent="0.25">
      <c r="A2636" s="91" t="s">
        <v>1318</v>
      </c>
      <c r="B2636" s="91" t="s">
        <v>1332</v>
      </c>
      <c r="C2636" s="91" t="s">
        <v>3822</v>
      </c>
      <c r="D2636" s="91" t="s">
        <v>15</v>
      </c>
      <c r="E2636" s="91"/>
      <c r="F2636">
        <v>25</v>
      </c>
      <c r="G2636" t="s">
        <v>1419</v>
      </c>
      <c r="H2636" s="89">
        <v>46203</v>
      </c>
      <c r="I2636" s="89">
        <v>46205</v>
      </c>
      <c r="J2636" s="91" t="s">
        <v>3549</v>
      </c>
      <c r="K2636" s="91"/>
      <c r="M2636" s="91"/>
      <c r="N2636" s="91" t="s">
        <v>3801</v>
      </c>
    </row>
    <row r="2637" spans="1:14" x14ac:dyDescent="0.25">
      <c r="A2637" s="91" t="s">
        <v>1324</v>
      </c>
      <c r="B2637" s="91" t="s">
        <v>1338</v>
      </c>
      <c r="C2637" s="91" t="s">
        <v>3823</v>
      </c>
      <c r="D2637" s="91" t="s">
        <v>28</v>
      </c>
      <c r="E2637" s="91"/>
      <c r="F2637">
        <v>576</v>
      </c>
      <c r="G2637">
        <v>12</v>
      </c>
      <c r="H2637" s="89">
        <v>46203</v>
      </c>
      <c r="I2637" s="89">
        <v>46209</v>
      </c>
      <c r="J2637" s="91" t="s">
        <v>3803</v>
      </c>
      <c r="K2637" s="91"/>
      <c r="M2637" s="91"/>
      <c r="N2637" s="91" t="s">
        <v>3801</v>
      </c>
    </row>
    <row r="2638" spans="1:14" x14ac:dyDescent="0.25">
      <c r="A2638" s="91" t="s">
        <v>1320</v>
      </c>
      <c r="B2638" s="91" t="s">
        <v>1334</v>
      </c>
      <c r="C2638" s="91" t="s">
        <v>3823</v>
      </c>
      <c r="D2638" s="91" t="s">
        <v>28</v>
      </c>
      <c r="E2638" s="91"/>
      <c r="F2638">
        <v>336</v>
      </c>
      <c r="G2638">
        <v>7</v>
      </c>
      <c r="H2638" s="89">
        <v>46203</v>
      </c>
      <c r="I2638" s="89">
        <v>46207</v>
      </c>
      <c r="J2638" s="91" t="s">
        <v>3820</v>
      </c>
      <c r="K2638" s="91"/>
      <c r="M2638" s="91"/>
      <c r="N2638" s="91" t="s">
        <v>3801</v>
      </c>
    </row>
    <row r="2639" spans="1:14" x14ac:dyDescent="0.25">
      <c r="A2639" s="91" t="s">
        <v>1315</v>
      </c>
      <c r="B2639" s="91" t="s">
        <v>1329</v>
      </c>
      <c r="C2639" s="91" t="s">
        <v>3823</v>
      </c>
      <c r="D2639" s="91" t="s">
        <v>28</v>
      </c>
      <c r="E2639" s="91"/>
      <c r="F2639">
        <v>137</v>
      </c>
      <c r="G2639" t="s">
        <v>1419</v>
      </c>
      <c r="H2639" s="89">
        <v>46203</v>
      </c>
      <c r="I2639" s="89">
        <v>46205</v>
      </c>
      <c r="J2639" s="91" t="s">
        <v>3549</v>
      </c>
      <c r="K2639" s="91"/>
      <c r="M2639" s="91"/>
      <c r="N2639" s="91" t="s">
        <v>3801</v>
      </c>
    </row>
    <row r="2640" spans="1:14" x14ac:dyDescent="0.25">
      <c r="A2640" s="91" t="s">
        <v>1316</v>
      </c>
      <c r="B2640" s="91" t="s">
        <v>1330</v>
      </c>
      <c r="C2640" s="91" t="s">
        <v>3824</v>
      </c>
      <c r="D2640" s="91" t="s">
        <v>28</v>
      </c>
      <c r="E2640" s="91"/>
      <c r="F2640">
        <v>16</v>
      </c>
      <c r="G2640" t="s">
        <v>1419</v>
      </c>
      <c r="H2640" s="89">
        <v>46203</v>
      </c>
      <c r="I2640" s="89">
        <v>46205</v>
      </c>
      <c r="J2640" s="91" t="s">
        <v>3549</v>
      </c>
      <c r="K2640" s="91"/>
      <c r="M2640" s="91"/>
      <c r="N2640" s="91" t="s">
        <v>3801</v>
      </c>
    </row>
    <row r="2641" spans="1:14" x14ac:dyDescent="0.25">
      <c r="A2641" s="91" t="s">
        <v>1317</v>
      </c>
      <c r="B2641" s="91" t="s">
        <v>1331</v>
      </c>
      <c r="C2641" s="91" t="s">
        <v>3823</v>
      </c>
      <c r="D2641" s="91" t="s">
        <v>28</v>
      </c>
      <c r="E2641" s="91"/>
      <c r="F2641">
        <v>24</v>
      </c>
      <c r="G2641" t="s">
        <v>1419</v>
      </c>
      <c r="H2641" s="89">
        <v>46203</v>
      </c>
      <c r="I2641" s="89">
        <v>46205</v>
      </c>
      <c r="J2641" s="91" t="s">
        <v>3549</v>
      </c>
      <c r="K2641" s="91"/>
      <c r="M2641" s="91"/>
      <c r="N2641" s="91" t="s">
        <v>3801</v>
      </c>
    </row>
    <row r="2642" spans="1:14" x14ac:dyDescent="0.25">
      <c r="A2642" s="91" t="s">
        <v>1318</v>
      </c>
      <c r="B2642" s="91" t="s">
        <v>1332</v>
      </c>
      <c r="C2642" s="91" t="s">
        <v>3825</v>
      </c>
      <c r="D2642" s="91" t="s">
        <v>28</v>
      </c>
      <c r="E2642" s="91"/>
      <c r="F2642">
        <v>62</v>
      </c>
      <c r="G2642" t="s">
        <v>1419</v>
      </c>
      <c r="H2642" s="89">
        <v>46203</v>
      </c>
      <c r="I2642" s="89">
        <v>46205</v>
      </c>
      <c r="J2642" s="91" t="s">
        <v>3549</v>
      </c>
      <c r="K2642" s="91"/>
      <c r="M2642" s="91"/>
      <c r="N2642" s="91" t="s">
        <v>3801</v>
      </c>
    </row>
    <row r="2643" spans="1:14" x14ac:dyDescent="0.25">
      <c r="A2643" s="91" t="s">
        <v>1323</v>
      </c>
      <c r="B2643" s="91" t="s">
        <v>1337</v>
      </c>
      <c r="C2643" s="91" t="s">
        <v>3826</v>
      </c>
      <c r="D2643" s="91" t="s">
        <v>20</v>
      </c>
      <c r="E2643" s="91"/>
      <c r="F2643">
        <v>756</v>
      </c>
      <c r="G2643">
        <v>14</v>
      </c>
      <c r="H2643" s="89">
        <v>46203</v>
      </c>
      <c r="I2643" s="89">
        <v>46207</v>
      </c>
      <c r="J2643" s="91" t="s">
        <v>3827</v>
      </c>
      <c r="K2643" s="91"/>
      <c r="M2643" s="91"/>
      <c r="N2643" s="91" t="s">
        <v>3801</v>
      </c>
    </row>
    <row r="2644" spans="1:14" x14ac:dyDescent="0.25">
      <c r="A2644" s="91" t="s">
        <v>1322</v>
      </c>
      <c r="B2644" s="91" t="s">
        <v>1336</v>
      </c>
      <c r="C2644" s="91" t="s">
        <v>3826</v>
      </c>
      <c r="D2644" s="91" t="s">
        <v>20</v>
      </c>
      <c r="E2644" s="91"/>
      <c r="F2644">
        <v>324</v>
      </c>
      <c r="G2644">
        <v>6</v>
      </c>
      <c r="H2644" s="89">
        <v>46203</v>
      </c>
      <c r="I2644" s="89">
        <v>46207</v>
      </c>
      <c r="J2644" s="91" t="s">
        <v>3827</v>
      </c>
      <c r="K2644" s="91"/>
      <c r="M2644" s="91"/>
      <c r="N2644" s="91" t="s">
        <v>3801</v>
      </c>
    </row>
    <row r="2645" spans="1:14" x14ac:dyDescent="0.25">
      <c r="A2645" s="91" t="s">
        <v>1315</v>
      </c>
      <c r="B2645" s="91" t="s">
        <v>1329</v>
      </c>
      <c r="C2645" s="91" t="s">
        <v>3826</v>
      </c>
      <c r="D2645" s="91" t="s">
        <v>20</v>
      </c>
      <c r="E2645" s="91"/>
      <c r="F2645">
        <v>31</v>
      </c>
      <c r="G2645" t="s">
        <v>1419</v>
      </c>
      <c r="H2645" s="89">
        <v>46203</v>
      </c>
      <c r="I2645" s="89">
        <v>46205</v>
      </c>
      <c r="J2645" s="91" t="s">
        <v>3549</v>
      </c>
      <c r="K2645" s="91"/>
      <c r="M2645" s="91"/>
      <c r="N2645" s="91" t="s">
        <v>3801</v>
      </c>
    </row>
    <row r="2646" spans="1:14" x14ac:dyDescent="0.25">
      <c r="A2646" s="91" t="s">
        <v>1316</v>
      </c>
      <c r="B2646" s="91" t="s">
        <v>1330</v>
      </c>
      <c r="C2646" s="91" t="s">
        <v>3828</v>
      </c>
      <c r="D2646" s="91" t="s">
        <v>20</v>
      </c>
      <c r="E2646" s="91"/>
      <c r="F2646">
        <v>72</v>
      </c>
      <c r="G2646" t="s">
        <v>1419</v>
      </c>
      <c r="H2646" s="89">
        <v>46203</v>
      </c>
      <c r="I2646" s="89">
        <v>46205</v>
      </c>
      <c r="J2646" s="91" t="s">
        <v>3549</v>
      </c>
      <c r="K2646" s="91"/>
      <c r="M2646" s="91"/>
      <c r="N2646" s="91" t="s">
        <v>3801</v>
      </c>
    </row>
    <row r="2647" spans="1:14" x14ac:dyDescent="0.25">
      <c r="A2647" s="91" t="s">
        <v>1317</v>
      </c>
      <c r="B2647" s="91" t="s">
        <v>1331</v>
      </c>
      <c r="C2647" s="91" t="s">
        <v>3826</v>
      </c>
      <c r="D2647" s="91" t="s">
        <v>20</v>
      </c>
      <c r="E2647" s="91"/>
      <c r="F2647">
        <v>7</v>
      </c>
      <c r="G2647" t="s">
        <v>1419</v>
      </c>
      <c r="H2647" s="89">
        <v>46203</v>
      </c>
      <c r="I2647" s="89">
        <v>46205</v>
      </c>
      <c r="J2647" s="91" t="s">
        <v>3549</v>
      </c>
      <c r="K2647" s="91"/>
      <c r="M2647" s="91"/>
      <c r="N2647" s="91" t="s">
        <v>3801</v>
      </c>
    </row>
    <row r="2648" spans="1:14" x14ac:dyDescent="0.25">
      <c r="A2648" s="91" t="s">
        <v>1318</v>
      </c>
      <c r="B2648" s="91" t="s">
        <v>1332</v>
      </c>
      <c r="C2648" s="91" t="s">
        <v>3829</v>
      </c>
      <c r="D2648" s="91" t="s">
        <v>20</v>
      </c>
      <c r="E2648" s="91"/>
      <c r="F2648">
        <v>54</v>
      </c>
      <c r="G2648" t="s">
        <v>1419</v>
      </c>
      <c r="H2648" s="89">
        <v>46203</v>
      </c>
      <c r="I2648" s="89">
        <v>46205</v>
      </c>
      <c r="J2648" s="91" t="s">
        <v>3549</v>
      </c>
      <c r="K2648" s="91"/>
      <c r="M2648" s="91"/>
      <c r="N2648" s="91" t="s">
        <v>3801</v>
      </c>
    </row>
    <row r="2649" spans="1:14" x14ac:dyDescent="0.25">
      <c r="A2649" s="91" t="s">
        <v>1320</v>
      </c>
      <c r="B2649" s="91" t="s">
        <v>1334</v>
      </c>
      <c r="C2649" s="91" t="s">
        <v>3830</v>
      </c>
      <c r="D2649" s="91" t="s">
        <v>23</v>
      </c>
      <c r="E2649" s="91"/>
      <c r="F2649">
        <v>960</v>
      </c>
      <c r="G2649">
        <v>20</v>
      </c>
      <c r="H2649" s="89">
        <v>46204</v>
      </c>
      <c r="I2649" s="89">
        <v>46209</v>
      </c>
      <c r="J2649" s="91" t="s">
        <v>3831</v>
      </c>
      <c r="K2649" s="91"/>
      <c r="M2649" s="91"/>
      <c r="N2649" s="91" t="s">
        <v>3801</v>
      </c>
    </row>
    <row r="2650" spans="1:14" x14ac:dyDescent="0.25">
      <c r="A2650" s="91" t="s">
        <v>1313</v>
      </c>
      <c r="B2650" s="91" t="s">
        <v>1327</v>
      </c>
      <c r="C2650" s="91" t="s">
        <v>3832</v>
      </c>
      <c r="D2650" s="91" t="s">
        <v>150</v>
      </c>
      <c r="E2650" s="91"/>
      <c r="F2650">
        <v>1056</v>
      </c>
      <c r="G2650">
        <v>22</v>
      </c>
      <c r="H2650" s="89">
        <v>46204</v>
      </c>
      <c r="I2650" s="89">
        <v>46209</v>
      </c>
      <c r="J2650" s="91" t="s">
        <v>3833</v>
      </c>
      <c r="K2650" s="91"/>
      <c r="M2650" s="91"/>
      <c r="N2650" s="91" t="s">
        <v>3801</v>
      </c>
    </row>
    <row r="2651" spans="1:14" x14ac:dyDescent="0.25">
      <c r="A2651" s="91" t="s">
        <v>1320</v>
      </c>
      <c r="B2651" s="91" t="s">
        <v>1334</v>
      </c>
      <c r="C2651" s="91" t="s">
        <v>3834</v>
      </c>
      <c r="D2651" s="91" t="s">
        <v>13</v>
      </c>
      <c r="E2651" s="91"/>
      <c r="F2651">
        <v>960</v>
      </c>
      <c r="G2651">
        <v>20</v>
      </c>
      <c r="H2651" s="89">
        <v>46204</v>
      </c>
      <c r="I2651" s="89">
        <v>46209</v>
      </c>
      <c r="J2651" s="91" t="s">
        <v>3835</v>
      </c>
      <c r="K2651" s="91"/>
      <c r="M2651" s="91"/>
      <c r="N2651" s="91" t="s">
        <v>3801</v>
      </c>
    </row>
    <row r="2652" spans="1:14" x14ac:dyDescent="0.25">
      <c r="A2652" s="91" t="s">
        <v>1320</v>
      </c>
      <c r="B2652" s="91" t="s">
        <v>1334</v>
      </c>
      <c r="C2652" s="91" t="s">
        <v>3836</v>
      </c>
      <c r="D2652" s="91" t="s">
        <v>21</v>
      </c>
      <c r="E2652" s="91"/>
      <c r="F2652">
        <v>960</v>
      </c>
      <c r="G2652">
        <v>20</v>
      </c>
      <c r="H2652" s="89">
        <v>46204</v>
      </c>
      <c r="I2652" s="89">
        <v>46207</v>
      </c>
      <c r="J2652" s="91" t="s">
        <v>3837</v>
      </c>
      <c r="K2652" s="91"/>
      <c r="M2652" s="91"/>
      <c r="N2652" s="91" t="s">
        <v>3801</v>
      </c>
    </row>
    <row r="2653" spans="1:14" x14ac:dyDescent="0.25">
      <c r="A2653" s="91" t="s">
        <v>1313</v>
      </c>
      <c r="B2653" s="91" t="s">
        <v>1327</v>
      </c>
      <c r="C2653" s="91" t="s">
        <v>3836</v>
      </c>
      <c r="D2653" s="91" t="s">
        <v>21</v>
      </c>
      <c r="E2653" s="91"/>
      <c r="F2653">
        <v>432</v>
      </c>
      <c r="G2653">
        <v>9</v>
      </c>
      <c r="H2653" s="89">
        <v>46204</v>
      </c>
      <c r="I2653" s="89">
        <v>46210</v>
      </c>
      <c r="J2653" s="91" t="s">
        <v>3838</v>
      </c>
      <c r="K2653" s="91"/>
      <c r="M2653" s="91"/>
      <c r="N2653" s="91" t="s">
        <v>3801</v>
      </c>
    </row>
    <row r="2654" spans="1:14" x14ac:dyDescent="0.25">
      <c r="A2654" s="91" t="s">
        <v>1315</v>
      </c>
      <c r="B2654" s="91" t="s">
        <v>1329</v>
      </c>
      <c r="C2654" s="91" t="s">
        <v>3836</v>
      </c>
      <c r="D2654" s="91" t="s">
        <v>21</v>
      </c>
      <c r="E2654" s="91"/>
      <c r="F2654">
        <v>36</v>
      </c>
      <c r="G2654" t="s">
        <v>1419</v>
      </c>
      <c r="H2654" s="89">
        <v>46204</v>
      </c>
      <c r="I2654" s="89">
        <v>46206</v>
      </c>
      <c r="J2654" s="91" t="s">
        <v>3549</v>
      </c>
      <c r="K2654" s="91"/>
      <c r="M2654" s="91"/>
      <c r="N2654" s="91" t="s">
        <v>3801</v>
      </c>
    </row>
    <row r="2655" spans="1:14" x14ac:dyDescent="0.25">
      <c r="A2655" s="91" t="s">
        <v>1316</v>
      </c>
      <c r="B2655" s="91" t="s">
        <v>1330</v>
      </c>
      <c r="C2655" s="91" t="s">
        <v>3839</v>
      </c>
      <c r="D2655" s="91" t="s">
        <v>21</v>
      </c>
      <c r="E2655" s="91"/>
      <c r="F2655">
        <v>21</v>
      </c>
      <c r="G2655" t="s">
        <v>1419</v>
      </c>
      <c r="H2655" s="89">
        <v>46204</v>
      </c>
      <c r="I2655" s="89">
        <v>46206</v>
      </c>
      <c r="J2655" s="91" t="s">
        <v>3549</v>
      </c>
      <c r="K2655" s="91"/>
      <c r="M2655" s="91"/>
      <c r="N2655" s="91" t="s">
        <v>3801</v>
      </c>
    </row>
    <row r="2656" spans="1:14" x14ac:dyDescent="0.25">
      <c r="A2656" s="91" t="s">
        <v>1317</v>
      </c>
      <c r="B2656" s="91" t="s">
        <v>1331</v>
      </c>
      <c r="C2656" s="91" t="s">
        <v>3836</v>
      </c>
      <c r="D2656" s="91" t="s">
        <v>21</v>
      </c>
      <c r="E2656" s="91"/>
      <c r="F2656">
        <v>26</v>
      </c>
      <c r="G2656" t="s">
        <v>1419</v>
      </c>
      <c r="H2656" s="89">
        <v>46204</v>
      </c>
      <c r="I2656" s="89">
        <v>46206</v>
      </c>
      <c r="J2656" s="91" t="s">
        <v>3549</v>
      </c>
      <c r="K2656" s="91"/>
      <c r="M2656" s="91"/>
      <c r="N2656" s="91" t="s">
        <v>3801</v>
      </c>
    </row>
    <row r="2657" spans="1:14" x14ac:dyDescent="0.25">
      <c r="A2657" s="91" t="s">
        <v>1318</v>
      </c>
      <c r="B2657" s="91" t="s">
        <v>1332</v>
      </c>
      <c r="C2657" s="91" t="s">
        <v>3840</v>
      </c>
      <c r="D2657" s="91" t="s">
        <v>21</v>
      </c>
      <c r="E2657" s="91"/>
      <c r="F2657">
        <v>71</v>
      </c>
      <c r="G2657" t="s">
        <v>1419</v>
      </c>
      <c r="H2657" s="89">
        <v>46204</v>
      </c>
      <c r="I2657" s="89">
        <v>46206</v>
      </c>
      <c r="J2657" s="91" t="s">
        <v>3549</v>
      </c>
      <c r="K2657" s="91"/>
      <c r="M2657" s="91"/>
      <c r="N2657" s="91" t="s">
        <v>3801</v>
      </c>
    </row>
    <row r="2658" spans="1:14" x14ac:dyDescent="0.25">
      <c r="A2658" s="91" t="s">
        <v>1320</v>
      </c>
      <c r="B2658" s="91" t="s">
        <v>1334</v>
      </c>
      <c r="C2658" s="91" t="s">
        <v>3841</v>
      </c>
      <c r="D2658" s="91" t="s">
        <v>15</v>
      </c>
      <c r="E2658" s="91"/>
      <c r="F2658">
        <v>384</v>
      </c>
      <c r="G2658">
        <v>8</v>
      </c>
      <c r="H2658" s="89">
        <v>46204</v>
      </c>
      <c r="I2658" s="89">
        <v>46207</v>
      </c>
      <c r="J2658" s="91" t="s">
        <v>3820</v>
      </c>
      <c r="K2658" s="91"/>
      <c r="M2658" s="91"/>
      <c r="N2658" s="91" t="s">
        <v>3801</v>
      </c>
    </row>
    <row r="2659" spans="1:14" x14ac:dyDescent="0.25">
      <c r="A2659" s="91" t="s">
        <v>1313</v>
      </c>
      <c r="B2659" s="91" t="s">
        <v>1327</v>
      </c>
      <c r="C2659" s="91" t="s">
        <v>3841</v>
      </c>
      <c r="D2659" s="91" t="s">
        <v>15</v>
      </c>
      <c r="E2659" s="91"/>
      <c r="F2659">
        <v>144</v>
      </c>
      <c r="G2659">
        <v>3</v>
      </c>
      <c r="H2659" s="89">
        <v>46204</v>
      </c>
      <c r="I2659" s="89">
        <v>46208</v>
      </c>
      <c r="J2659" s="91" t="s">
        <v>3806</v>
      </c>
      <c r="K2659" s="91"/>
      <c r="M2659" s="91"/>
      <c r="N2659" s="91" t="s">
        <v>3801</v>
      </c>
    </row>
    <row r="2660" spans="1:14" x14ac:dyDescent="0.25">
      <c r="A2660" s="91" t="s">
        <v>1313</v>
      </c>
      <c r="B2660" s="91" t="s">
        <v>1327</v>
      </c>
      <c r="C2660" s="91" t="s">
        <v>3841</v>
      </c>
      <c r="D2660" s="91" t="s">
        <v>15</v>
      </c>
      <c r="E2660" s="91"/>
      <c r="F2660">
        <v>912</v>
      </c>
      <c r="G2660">
        <v>19</v>
      </c>
      <c r="H2660" s="89">
        <v>46204</v>
      </c>
      <c r="I2660" s="89">
        <v>46209</v>
      </c>
      <c r="J2660" s="91" t="s">
        <v>3842</v>
      </c>
      <c r="K2660" s="91"/>
      <c r="M2660" s="91"/>
      <c r="N2660" s="91" t="s">
        <v>3801</v>
      </c>
    </row>
    <row r="2661" spans="1:14" x14ac:dyDescent="0.25">
      <c r="A2661" s="91" t="s">
        <v>1315</v>
      </c>
      <c r="B2661" s="91" t="s">
        <v>1329</v>
      </c>
      <c r="C2661" s="91" t="s">
        <v>3841</v>
      </c>
      <c r="D2661" s="91" t="s">
        <v>15</v>
      </c>
      <c r="E2661" s="91"/>
      <c r="F2661">
        <v>12</v>
      </c>
      <c r="G2661" t="s">
        <v>1419</v>
      </c>
      <c r="H2661" s="89">
        <v>46204</v>
      </c>
      <c r="I2661" s="89">
        <v>46206</v>
      </c>
      <c r="J2661" s="91" t="s">
        <v>3549</v>
      </c>
      <c r="K2661" s="91"/>
      <c r="M2661" s="91"/>
      <c r="N2661" s="91" t="s">
        <v>3801</v>
      </c>
    </row>
    <row r="2662" spans="1:14" x14ac:dyDescent="0.25">
      <c r="A2662" s="91" t="s">
        <v>1316</v>
      </c>
      <c r="B2662" s="91" t="s">
        <v>1330</v>
      </c>
      <c r="C2662" s="91" t="s">
        <v>3843</v>
      </c>
      <c r="D2662" s="91" t="s">
        <v>15</v>
      </c>
      <c r="E2662" s="91"/>
      <c r="F2662">
        <v>73</v>
      </c>
      <c r="G2662" t="s">
        <v>1419</v>
      </c>
      <c r="H2662" s="89">
        <v>46204</v>
      </c>
      <c r="I2662" s="89">
        <v>46206</v>
      </c>
      <c r="J2662" s="91" t="s">
        <v>3549</v>
      </c>
      <c r="K2662" s="91"/>
      <c r="M2662" s="91"/>
      <c r="N2662" s="91" t="s">
        <v>3801</v>
      </c>
    </row>
    <row r="2663" spans="1:14" x14ac:dyDescent="0.25">
      <c r="A2663" s="91" t="s">
        <v>1317</v>
      </c>
      <c r="B2663" s="91" t="s">
        <v>1331</v>
      </c>
      <c r="C2663" s="91" t="s">
        <v>3841</v>
      </c>
      <c r="D2663" s="91" t="s">
        <v>15</v>
      </c>
      <c r="E2663" s="91"/>
      <c r="F2663">
        <v>15</v>
      </c>
      <c r="G2663" t="s">
        <v>1419</v>
      </c>
      <c r="H2663" s="89">
        <v>46204</v>
      </c>
      <c r="I2663" s="89">
        <v>46206</v>
      </c>
      <c r="J2663" s="91" t="s">
        <v>3549</v>
      </c>
      <c r="K2663" s="91"/>
      <c r="M2663" s="91"/>
      <c r="N2663" s="91" t="s">
        <v>3801</v>
      </c>
    </row>
    <row r="2664" spans="1:14" x14ac:dyDescent="0.25">
      <c r="A2664" s="91" t="s">
        <v>1318</v>
      </c>
      <c r="B2664" s="91" t="s">
        <v>1332</v>
      </c>
      <c r="C2664" s="91" t="s">
        <v>3844</v>
      </c>
      <c r="D2664" s="91" t="s">
        <v>15</v>
      </c>
      <c r="E2664" s="91"/>
      <c r="F2664">
        <v>36</v>
      </c>
      <c r="G2664" t="s">
        <v>1419</v>
      </c>
      <c r="H2664" s="89">
        <v>46204</v>
      </c>
      <c r="I2664" s="89">
        <v>46206</v>
      </c>
      <c r="J2664" s="91" t="s">
        <v>3549</v>
      </c>
      <c r="K2664" s="91"/>
      <c r="M2664" s="91"/>
      <c r="N2664" s="91" t="s">
        <v>3801</v>
      </c>
    </row>
    <row r="2665" spans="1:14" x14ac:dyDescent="0.25">
      <c r="A2665" s="91" t="s">
        <v>1320</v>
      </c>
      <c r="B2665" s="91" t="s">
        <v>1334</v>
      </c>
      <c r="C2665" s="91" t="s">
        <v>3845</v>
      </c>
      <c r="D2665" s="91" t="s">
        <v>20</v>
      </c>
      <c r="E2665" s="91"/>
      <c r="F2665">
        <v>960</v>
      </c>
      <c r="G2665">
        <v>20</v>
      </c>
      <c r="H2665" s="89">
        <v>46204</v>
      </c>
      <c r="I2665" s="89">
        <v>46210</v>
      </c>
      <c r="J2665" s="91" t="s">
        <v>3846</v>
      </c>
      <c r="K2665" s="91"/>
      <c r="M2665" s="91"/>
      <c r="N2665" s="91" t="s">
        <v>3801</v>
      </c>
    </row>
    <row r="2666" spans="1:14" x14ac:dyDescent="0.25">
      <c r="A2666" s="91" t="s">
        <v>1315</v>
      </c>
      <c r="B2666" s="91" t="s">
        <v>1329</v>
      </c>
      <c r="C2666" s="91" t="s">
        <v>3845</v>
      </c>
      <c r="D2666" s="91" t="s">
        <v>20</v>
      </c>
      <c r="E2666" s="91"/>
      <c r="F2666">
        <v>162</v>
      </c>
      <c r="G2666" t="s">
        <v>1419</v>
      </c>
      <c r="H2666" s="89">
        <v>46204</v>
      </c>
      <c r="I2666" s="89">
        <v>46206</v>
      </c>
      <c r="J2666" s="91" t="s">
        <v>3549</v>
      </c>
      <c r="K2666" s="91"/>
      <c r="M2666" s="91"/>
      <c r="N2666" s="91" t="s">
        <v>3801</v>
      </c>
    </row>
    <row r="2667" spans="1:14" x14ac:dyDescent="0.25">
      <c r="A2667" s="91" t="s">
        <v>1316</v>
      </c>
      <c r="B2667" s="91" t="s">
        <v>1330</v>
      </c>
      <c r="C2667" s="91" t="s">
        <v>3847</v>
      </c>
      <c r="D2667" s="91" t="s">
        <v>20</v>
      </c>
      <c r="E2667" s="91"/>
      <c r="F2667">
        <v>83</v>
      </c>
      <c r="G2667" t="s">
        <v>1419</v>
      </c>
      <c r="H2667" s="89">
        <v>46204</v>
      </c>
      <c r="I2667" s="89">
        <v>46206</v>
      </c>
      <c r="J2667" s="91" t="s">
        <v>3549</v>
      </c>
      <c r="K2667" s="91"/>
      <c r="M2667" s="91"/>
      <c r="N2667" s="91" t="s">
        <v>3801</v>
      </c>
    </row>
    <row r="2668" spans="1:14" x14ac:dyDescent="0.25">
      <c r="A2668" s="91" t="s">
        <v>1317</v>
      </c>
      <c r="B2668" s="91" t="s">
        <v>1331</v>
      </c>
      <c r="C2668" s="91" t="s">
        <v>3845</v>
      </c>
      <c r="D2668" s="91" t="s">
        <v>20</v>
      </c>
      <c r="E2668" s="91"/>
      <c r="F2668">
        <v>2</v>
      </c>
      <c r="G2668" t="s">
        <v>1419</v>
      </c>
      <c r="H2668" s="89">
        <v>46204</v>
      </c>
      <c r="I2668" s="89">
        <v>46206</v>
      </c>
      <c r="J2668" s="91" t="s">
        <v>3549</v>
      </c>
      <c r="K2668" s="91"/>
      <c r="M2668" s="91"/>
      <c r="N2668" s="91" t="s">
        <v>3801</v>
      </c>
    </row>
    <row r="2669" spans="1:14" x14ac:dyDescent="0.25">
      <c r="A2669" s="91" t="s">
        <v>1318</v>
      </c>
      <c r="B2669" s="91" t="s">
        <v>1332</v>
      </c>
      <c r="C2669" s="91" t="s">
        <v>3848</v>
      </c>
      <c r="D2669" s="91" t="s">
        <v>20</v>
      </c>
      <c r="E2669" s="91"/>
      <c r="F2669">
        <v>45</v>
      </c>
      <c r="G2669" t="s">
        <v>1419</v>
      </c>
      <c r="H2669" s="89">
        <v>46204</v>
      </c>
      <c r="I2669" s="89">
        <v>46206</v>
      </c>
      <c r="J2669" s="91" t="s">
        <v>3549</v>
      </c>
      <c r="K2669" s="91"/>
      <c r="M2669" s="91"/>
      <c r="N2669" s="91" t="s">
        <v>3801</v>
      </c>
    </row>
    <row r="2670" spans="1:14" x14ac:dyDescent="0.25">
      <c r="A2670" s="91" t="s">
        <v>1325</v>
      </c>
      <c r="B2670" s="91" t="s">
        <v>1339</v>
      </c>
      <c r="C2670" s="91" t="s">
        <v>3849</v>
      </c>
      <c r="D2670" s="91" t="s">
        <v>159</v>
      </c>
      <c r="E2670" s="91"/>
      <c r="F2670">
        <v>384</v>
      </c>
      <c r="G2670">
        <v>8</v>
      </c>
      <c r="H2670" s="89">
        <v>46205</v>
      </c>
      <c r="I2670" s="89">
        <v>46208</v>
      </c>
      <c r="J2670" s="91" t="s">
        <v>3549</v>
      </c>
      <c r="K2670" s="91"/>
      <c r="M2670" s="91"/>
      <c r="N2670" s="91" t="s">
        <v>3801</v>
      </c>
    </row>
    <row r="2671" spans="1:14" x14ac:dyDescent="0.25">
      <c r="A2671" s="91" t="s">
        <v>1320</v>
      </c>
      <c r="B2671" s="91" t="s">
        <v>1334</v>
      </c>
      <c r="C2671" s="91" t="s">
        <v>3850</v>
      </c>
      <c r="D2671" s="91" t="s">
        <v>30</v>
      </c>
      <c r="E2671" s="91"/>
      <c r="F2671">
        <v>576</v>
      </c>
      <c r="G2671">
        <v>12</v>
      </c>
      <c r="H2671" s="89">
        <v>46205</v>
      </c>
      <c r="I2671" s="89">
        <v>46212</v>
      </c>
      <c r="J2671" s="91" t="s">
        <v>3851</v>
      </c>
      <c r="K2671" s="91"/>
      <c r="M2671" s="91"/>
      <c r="N2671" s="91" t="s">
        <v>3801</v>
      </c>
    </row>
    <row r="2672" spans="1:14" x14ac:dyDescent="0.25">
      <c r="A2672" s="91" t="s">
        <v>1313</v>
      </c>
      <c r="B2672" s="91" t="s">
        <v>1327</v>
      </c>
      <c r="C2672" s="91" t="s">
        <v>3852</v>
      </c>
      <c r="D2672" s="91" t="s">
        <v>20</v>
      </c>
      <c r="E2672" s="91"/>
      <c r="F2672">
        <v>864</v>
      </c>
      <c r="G2672">
        <v>18</v>
      </c>
      <c r="H2672" s="89">
        <v>46205</v>
      </c>
      <c r="I2672" s="89">
        <v>46208</v>
      </c>
      <c r="J2672" s="91" t="s">
        <v>3853</v>
      </c>
      <c r="K2672" s="91"/>
      <c r="M2672" s="91"/>
      <c r="N2672" s="91" t="s">
        <v>3801</v>
      </c>
    </row>
    <row r="2673" spans="1:14" x14ac:dyDescent="0.25">
      <c r="A2673" s="91" t="s">
        <v>1313</v>
      </c>
      <c r="B2673" s="91" t="s">
        <v>1327</v>
      </c>
      <c r="C2673" s="91" t="s">
        <v>3852</v>
      </c>
      <c r="D2673" s="91" t="s">
        <v>20</v>
      </c>
      <c r="E2673" s="91"/>
      <c r="F2673">
        <v>139</v>
      </c>
      <c r="G2673">
        <v>2.8958333333333335</v>
      </c>
      <c r="H2673" s="89">
        <v>46205</v>
      </c>
      <c r="I2673" s="89">
        <v>46209</v>
      </c>
      <c r="J2673" s="91" t="s">
        <v>3842</v>
      </c>
      <c r="K2673" s="91"/>
      <c r="M2673" s="91"/>
      <c r="N2673" s="91" t="s">
        <v>3801</v>
      </c>
    </row>
    <row r="2674" spans="1:14" x14ac:dyDescent="0.25">
      <c r="A2674" s="91" t="s">
        <v>1566</v>
      </c>
      <c r="B2674" s="91" t="s">
        <v>1567</v>
      </c>
      <c r="C2674" s="91" t="s">
        <v>3852</v>
      </c>
      <c r="D2674" s="91" t="s">
        <v>20</v>
      </c>
      <c r="E2674" s="91"/>
      <c r="F2674">
        <v>5</v>
      </c>
      <c r="G2674">
        <v>0.10416666666666669</v>
      </c>
      <c r="H2674" s="89">
        <v>46205</v>
      </c>
      <c r="I2674" s="89">
        <v>46209</v>
      </c>
      <c r="J2674" s="91" t="s">
        <v>3854</v>
      </c>
      <c r="K2674" s="91"/>
      <c r="M2674" s="91"/>
      <c r="N2674" s="91" t="s">
        <v>3801</v>
      </c>
    </row>
    <row r="2675" spans="1:14" x14ac:dyDescent="0.25">
      <c r="A2675" s="91" t="s">
        <v>1313</v>
      </c>
      <c r="B2675" s="91" t="s">
        <v>1327</v>
      </c>
      <c r="C2675" s="91" t="s">
        <v>3852</v>
      </c>
      <c r="D2675" s="91" t="s">
        <v>20</v>
      </c>
      <c r="E2675" s="91"/>
      <c r="F2675">
        <v>96</v>
      </c>
      <c r="G2675">
        <v>2</v>
      </c>
      <c r="H2675" s="89">
        <v>46205</v>
      </c>
      <c r="I2675" s="89">
        <v>46211</v>
      </c>
      <c r="J2675" s="91" t="s">
        <v>3855</v>
      </c>
      <c r="K2675" s="91"/>
      <c r="M2675" s="91"/>
      <c r="N2675" s="91" t="s">
        <v>3801</v>
      </c>
    </row>
    <row r="2676" spans="1:14" x14ac:dyDescent="0.25">
      <c r="A2676" s="91" t="s">
        <v>1315</v>
      </c>
      <c r="B2676" s="91" t="s">
        <v>1329</v>
      </c>
      <c r="C2676" s="91" t="s">
        <v>3852</v>
      </c>
      <c r="D2676" s="91" t="s">
        <v>20</v>
      </c>
      <c r="E2676" s="91"/>
      <c r="F2676">
        <v>110</v>
      </c>
      <c r="G2676" t="s">
        <v>1419</v>
      </c>
      <c r="H2676" s="89">
        <v>46205</v>
      </c>
      <c r="I2676" s="89">
        <v>46207</v>
      </c>
      <c r="J2676" s="91" t="s">
        <v>3549</v>
      </c>
      <c r="K2676" s="91"/>
      <c r="M2676" s="91"/>
      <c r="N2676" s="91" t="s">
        <v>3801</v>
      </c>
    </row>
    <row r="2677" spans="1:14" x14ac:dyDescent="0.25">
      <c r="A2677" s="91" t="s">
        <v>1316</v>
      </c>
      <c r="B2677" s="91" t="s">
        <v>1330</v>
      </c>
      <c r="C2677" s="91" t="s">
        <v>3856</v>
      </c>
      <c r="D2677" s="91" t="s">
        <v>20</v>
      </c>
      <c r="E2677" s="91"/>
      <c r="F2677">
        <v>91</v>
      </c>
      <c r="G2677" t="s">
        <v>1419</v>
      </c>
      <c r="H2677" s="89">
        <v>46205</v>
      </c>
      <c r="I2677" s="89">
        <v>46207</v>
      </c>
      <c r="J2677" s="91" t="s">
        <v>3549</v>
      </c>
      <c r="K2677" s="91"/>
      <c r="M2677" s="91"/>
      <c r="N2677" s="91" t="s">
        <v>3801</v>
      </c>
    </row>
    <row r="2678" spans="1:14" x14ac:dyDescent="0.25">
      <c r="A2678" s="91" t="s">
        <v>1317</v>
      </c>
      <c r="B2678" s="91" t="s">
        <v>1331</v>
      </c>
      <c r="C2678" s="91" t="s">
        <v>3852</v>
      </c>
      <c r="D2678" s="91" t="s">
        <v>20</v>
      </c>
      <c r="E2678" s="91"/>
      <c r="F2678">
        <v>27</v>
      </c>
      <c r="G2678" t="s">
        <v>1419</v>
      </c>
      <c r="H2678" s="89">
        <v>46205</v>
      </c>
      <c r="I2678" s="89">
        <v>46207</v>
      </c>
      <c r="J2678" s="91" t="s">
        <v>3549</v>
      </c>
      <c r="K2678" s="91"/>
      <c r="M2678" s="91"/>
      <c r="N2678" s="91" t="s">
        <v>3801</v>
      </c>
    </row>
    <row r="2679" spans="1:14" x14ac:dyDescent="0.25">
      <c r="A2679" s="91" t="s">
        <v>1318</v>
      </c>
      <c r="B2679" s="91" t="s">
        <v>1332</v>
      </c>
      <c r="C2679" s="91" t="s">
        <v>3857</v>
      </c>
      <c r="D2679" s="91" t="s">
        <v>20</v>
      </c>
      <c r="E2679" s="91"/>
      <c r="F2679">
        <v>57</v>
      </c>
      <c r="G2679" t="s">
        <v>1419</v>
      </c>
      <c r="H2679" s="89">
        <v>46205</v>
      </c>
      <c r="I2679" s="89">
        <v>46207</v>
      </c>
      <c r="J2679" s="91" t="s">
        <v>3549</v>
      </c>
      <c r="K2679" s="91"/>
      <c r="M2679" s="91"/>
      <c r="N2679" s="91" t="s">
        <v>3801</v>
      </c>
    </row>
    <row r="2680" spans="1:14" x14ac:dyDescent="0.25">
      <c r="A2680" s="91" t="s">
        <v>1314</v>
      </c>
      <c r="B2680" s="91" t="s">
        <v>1328</v>
      </c>
      <c r="C2680" s="91" t="s">
        <v>3858</v>
      </c>
      <c r="D2680" s="91" t="s">
        <v>15</v>
      </c>
      <c r="E2680" s="91"/>
      <c r="F2680">
        <v>288</v>
      </c>
      <c r="G2680">
        <v>6</v>
      </c>
      <c r="H2680" s="89">
        <v>46205</v>
      </c>
      <c r="I2680" s="89">
        <v>46208</v>
      </c>
      <c r="J2680" s="91" t="s">
        <v>3859</v>
      </c>
      <c r="K2680" s="91"/>
      <c r="M2680" s="91"/>
      <c r="N2680" s="91" t="s">
        <v>3801</v>
      </c>
    </row>
    <row r="2681" spans="1:14" x14ac:dyDescent="0.25">
      <c r="A2681" s="91" t="s">
        <v>1314</v>
      </c>
      <c r="B2681" s="91" t="s">
        <v>1328</v>
      </c>
      <c r="C2681" s="91" t="s">
        <v>3858</v>
      </c>
      <c r="D2681" s="91" t="s">
        <v>15</v>
      </c>
      <c r="E2681" s="91"/>
      <c r="F2681">
        <v>96</v>
      </c>
      <c r="G2681">
        <v>2</v>
      </c>
      <c r="H2681" s="89">
        <v>46205</v>
      </c>
      <c r="I2681" s="89">
        <v>46209</v>
      </c>
      <c r="J2681" s="91" t="s">
        <v>3854</v>
      </c>
      <c r="K2681" s="91"/>
      <c r="M2681" s="91"/>
      <c r="N2681" s="91" t="s">
        <v>3801</v>
      </c>
    </row>
    <row r="2682" spans="1:14" x14ac:dyDescent="0.25">
      <c r="A2682" s="91" t="s">
        <v>1320</v>
      </c>
      <c r="B2682" s="91" t="s">
        <v>1334</v>
      </c>
      <c r="C2682" s="91" t="s">
        <v>3858</v>
      </c>
      <c r="D2682" s="91" t="s">
        <v>15</v>
      </c>
      <c r="E2682" s="91"/>
      <c r="F2682">
        <v>960</v>
      </c>
      <c r="G2682">
        <v>20</v>
      </c>
      <c r="H2682" s="89">
        <v>46205</v>
      </c>
      <c r="I2682" s="89">
        <v>46211</v>
      </c>
      <c r="J2682" s="91" t="s">
        <v>3860</v>
      </c>
      <c r="K2682" s="91"/>
      <c r="M2682" s="91"/>
      <c r="N2682" s="91" t="s">
        <v>3801</v>
      </c>
    </row>
    <row r="2683" spans="1:14" x14ac:dyDescent="0.25">
      <c r="A2683" s="91" t="s">
        <v>1314</v>
      </c>
      <c r="B2683" s="91" t="s">
        <v>1328</v>
      </c>
      <c r="C2683" s="91" t="s">
        <v>3858</v>
      </c>
      <c r="D2683" s="91" t="s">
        <v>15</v>
      </c>
      <c r="E2683" s="91"/>
      <c r="F2683">
        <v>48</v>
      </c>
      <c r="G2683">
        <v>1</v>
      </c>
      <c r="H2683" s="89">
        <v>46205</v>
      </c>
      <c r="I2683" s="89">
        <v>46209</v>
      </c>
      <c r="J2683" s="91" t="s">
        <v>3833</v>
      </c>
      <c r="K2683" s="91"/>
      <c r="M2683" s="91"/>
      <c r="N2683" s="91" t="s">
        <v>3801</v>
      </c>
    </row>
    <row r="2684" spans="1:14" x14ac:dyDescent="0.25">
      <c r="A2684" s="91" t="s">
        <v>1313</v>
      </c>
      <c r="B2684" s="91" t="s">
        <v>1327</v>
      </c>
      <c r="C2684" s="91" t="s">
        <v>3858</v>
      </c>
      <c r="D2684" s="91" t="s">
        <v>15</v>
      </c>
      <c r="E2684" s="91"/>
      <c r="F2684">
        <v>48</v>
      </c>
      <c r="G2684">
        <v>1</v>
      </c>
      <c r="H2684" s="89">
        <v>46205</v>
      </c>
      <c r="I2684" s="89">
        <v>46209</v>
      </c>
      <c r="J2684" s="91" t="s">
        <v>3833</v>
      </c>
      <c r="K2684" s="91"/>
      <c r="M2684" s="91"/>
      <c r="N2684" s="91" t="s">
        <v>3801</v>
      </c>
    </row>
    <row r="2685" spans="1:14" x14ac:dyDescent="0.25">
      <c r="A2685" s="91" t="s">
        <v>1315</v>
      </c>
      <c r="B2685" s="91" t="s">
        <v>1329</v>
      </c>
      <c r="C2685" s="91" t="s">
        <v>3858</v>
      </c>
      <c r="D2685" s="91" t="s">
        <v>15</v>
      </c>
      <c r="E2685" s="91"/>
      <c r="F2685">
        <v>10</v>
      </c>
      <c r="G2685" t="s">
        <v>1419</v>
      </c>
      <c r="H2685" s="89">
        <v>46205</v>
      </c>
      <c r="I2685" s="89">
        <v>46207</v>
      </c>
      <c r="J2685" s="91" t="s">
        <v>3549</v>
      </c>
      <c r="K2685" s="91"/>
      <c r="M2685" s="91"/>
      <c r="N2685" s="91" t="s">
        <v>3801</v>
      </c>
    </row>
    <row r="2686" spans="1:14" x14ac:dyDescent="0.25">
      <c r="A2686" s="91" t="s">
        <v>1316</v>
      </c>
      <c r="B2686" s="91" t="s">
        <v>1330</v>
      </c>
      <c r="C2686" s="91" t="s">
        <v>3861</v>
      </c>
      <c r="D2686" s="91" t="s">
        <v>15</v>
      </c>
      <c r="E2686" s="91"/>
      <c r="F2686">
        <v>70</v>
      </c>
      <c r="G2686" t="s">
        <v>1419</v>
      </c>
      <c r="H2686" s="89">
        <v>46205</v>
      </c>
      <c r="I2686" s="89">
        <v>46207</v>
      </c>
      <c r="J2686" s="91" t="s">
        <v>3549</v>
      </c>
      <c r="K2686" s="91"/>
      <c r="M2686" s="91"/>
      <c r="N2686" s="91" t="s">
        <v>3801</v>
      </c>
    </row>
    <row r="2687" spans="1:14" x14ac:dyDescent="0.25">
      <c r="A2687" s="91" t="s">
        <v>1317</v>
      </c>
      <c r="B2687" s="91" t="s">
        <v>1331</v>
      </c>
      <c r="C2687" s="91" t="s">
        <v>3858</v>
      </c>
      <c r="D2687" s="91" t="s">
        <v>15</v>
      </c>
      <c r="E2687" s="91"/>
      <c r="F2687">
        <v>19</v>
      </c>
      <c r="G2687" t="s">
        <v>1419</v>
      </c>
      <c r="H2687" s="89">
        <v>46205</v>
      </c>
      <c r="I2687" s="89">
        <v>46207</v>
      </c>
      <c r="J2687" s="91" t="s">
        <v>3549</v>
      </c>
      <c r="K2687" s="91"/>
      <c r="M2687" s="91"/>
      <c r="N2687" s="91" t="s">
        <v>3801</v>
      </c>
    </row>
    <row r="2688" spans="1:14" x14ac:dyDescent="0.25">
      <c r="A2688" s="91" t="s">
        <v>1318</v>
      </c>
      <c r="B2688" s="91" t="s">
        <v>1332</v>
      </c>
      <c r="C2688" s="91" t="s">
        <v>3862</v>
      </c>
      <c r="D2688" s="91" t="s">
        <v>15</v>
      </c>
      <c r="E2688" s="91"/>
      <c r="F2688">
        <v>24</v>
      </c>
      <c r="G2688" t="s">
        <v>1419</v>
      </c>
      <c r="H2688" s="89">
        <v>46205</v>
      </c>
      <c r="I2688" s="89">
        <v>46207</v>
      </c>
      <c r="J2688" s="91" t="s">
        <v>3549</v>
      </c>
      <c r="K2688" s="91"/>
      <c r="M2688" s="91"/>
      <c r="N2688" s="91" t="s">
        <v>3801</v>
      </c>
    </row>
    <row r="2689" spans="1:14" x14ac:dyDescent="0.25">
      <c r="A2689" s="91" t="s">
        <v>1320</v>
      </c>
      <c r="B2689" s="91" t="s">
        <v>1334</v>
      </c>
      <c r="C2689" s="91" t="s">
        <v>3863</v>
      </c>
      <c r="D2689" s="91" t="s">
        <v>21</v>
      </c>
      <c r="E2689" s="91"/>
      <c r="F2689">
        <v>960</v>
      </c>
      <c r="G2689">
        <v>20</v>
      </c>
      <c r="H2689" s="89">
        <v>46205</v>
      </c>
      <c r="I2689" s="89">
        <v>46210</v>
      </c>
      <c r="J2689" s="91" t="s">
        <v>3864</v>
      </c>
      <c r="K2689" s="91"/>
      <c r="M2689" s="91"/>
      <c r="N2689" s="91" t="s">
        <v>3801</v>
      </c>
    </row>
    <row r="2690" spans="1:14" x14ac:dyDescent="0.25">
      <c r="A2690" s="91" t="s">
        <v>1313</v>
      </c>
      <c r="B2690" s="91" t="s">
        <v>1327</v>
      </c>
      <c r="C2690" s="91" t="s">
        <v>3863</v>
      </c>
      <c r="D2690" s="91" t="s">
        <v>21</v>
      </c>
      <c r="E2690" s="91"/>
      <c r="F2690">
        <v>432</v>
      </c>
      <c r="G2690">
        <v>9</v>
      </c>
      <c r="H2690" s="89">
        <v>46205</v>
      </c>
      <c r="I2690" s="89">
        <v>46210</v>
      </c>
      <c r="J2690" s="91" t="s">
        <v>3838</v>
      </c>
      <c r="K2690" s="91"/>
      <c r="M2690" s="91"/>
      <c r="N2690" s="91" t="s">
        <v>3801</v>
      </c>
    </row>
    <row r="2691" spans="1:14" x14ac:dyDescent="0.25">
      <c r="A2691" s="91" t="s">
        <v>1315</v>
      </c>
      <c r="B2691" s="91" t="s">
        <v>1329</v>
      </c>
      <c r="C2691" s="91" t="s">
        <v>3863</v>
      </c>
      <c r="D2691" s="91" t="s">
        <v>21</v>
      </c>
      <c r="E2691" s="91"/>
      <c r="F2691">
        <v>34</v>
      </c>
      <c r="G2691" t="s">
        <v>1419</v>
      </c>
      <c r="H2691" s="89">
        <v>46205</v>
      </c>
      <c r="I2691" s="89">
        <v>46207</v>
      </c>
      <c r="J2691" s="91" t="s">
        <v>3549</v>
      </c>
      <c r="K2691" s="91"/>
      <c r="M2691" s="91"/>
      <c r="N2691" s="91" t="s">
        <v>3801</v>
      </c>
    </row>
    <row r="2692" spans="1:14" x14ac:dyDescent="0.25">
      <c r="A2692" s="91" t="s">
        <v>1316</v>
      </c>
      <c r="B2692" s="91" t="s">
        <v>1330</v>
      </c>
      <c r="C2692" s="91" t="s">
        <v>3865</v>
      </c>
      <c r="D2692" s="91" t="s">
        <v>21</v>
      </c>
      <c r="E2692" s="91"/>
      <c r="F2692">
        <v>47</v>
      </c>
      <c r="G2692" t="s">
        <v>1419</v>
      </c>
      <c r="H2692" s="89">
        <v>46205</v>
      </c>
      <c r="I2692" s="89">
        <v>46207</v>
      </c>
      <c r="J2692" s="91" t="s">
        <v>3549</v>
      </c>
      <c r="K2692" s="91"/>
      <c r="M2692" s="91"/>
      <c r="N2692" s="91" t="s">
        <v>3801</v>
      </c>
    </row>
    <row r="2693" spans="1:14" x14ac:dyDescent="0.25">
      <c r="A2693" s="91" t="s">
        <v>1317</v>
      </c>
      <c r="B2693" s="91" t="s">
        <v>1331</v>
      </c>
      <c r="C2693" s="91" t="s">
        <v>3863</v>
      </c>
      <c r="D2693" s="91" t="s">
        <v>21</v>
      </c>
      <c r="E2693" s="91"/>
      <c r="F2693">
        <v>22</v>
      </c>
      <c r="G2693" t="s">
        <v>1419</v>
      </c>
      <c r="H2693" s="89">
        <v>46205</v>
      </c>
      <c r="I2693" s="89">
        <v>46207</v>
      </c>
      <c r="J2693" s="91" t="s">
        <v>3549</v>
      </c>
      <c r="K2693" s="91"/>
      <c r="M2693" s="91"/>
      <c r="N2693" s="91" t="s">
        <v>3801</v>
      </c>
    </row>
    <row r="2694" spans="1:14" x14ac:dyDescent="0.25">
      <c r="A2694" s="91" t="s">
        <v>1318</v>
      </c>
      <c r="B2694" s="91" t="s">
        <v>1332</v>
      </c>
      <c r="C2694" s="91" t="s">
        <v>3866</v>
      </c>
      <c r="D2694" s="91" t="s">
        <v>21</v>
      </c>
      <c r="E2694" s="91"/>
      <c r="F2694">
        <v>75</v>
      </c>
      <c r="G2694" t="s">
        <v>1419</v>
      </c>
      <c r="H2694" s="89">
        <v>46205</v>
      </c>
      <c r="I2694" s="89">
        <v>46207</v>
      </c>
      <c r="J2694" s="91" t="s">
        <v>3549</v>
      </c>
      <c r="K2694" s="91"/>
      <c r="M2694" s="91"/>
      <c r="N2694" s="91" t="s">
        <v>3801</v>
      </c>
    </row>
    <row r="2695" spans="1:14" x14ac:dyDescent="0.25">
      <c r="A2695" s="91" t="s">
        <v>1324</v>
      </c>
      <c r="B2695" s="91" t="s">
        <v>1338</v>
      </c>
      <c r="C2695" s="91" t="s">
        <v>3867</v>
      </c>
      <c r="D2695" s="91" t="s">
        <v>23</v>
      </c>
      <c r="E2695" s="91"/>
      <c r="F2695">
        <v>960</v>
      </c>
      <c r="G2695">
        <v>20</v>
      </c>
      <c r="H2695" s="89">
        <v>46206</v>
      </c>
      <c r="I2695" s="89">
        <v>46212</v>
      </c>
      <c r="J2695" s="91" t="s">
        <v>3868</v>
      </c>
      <c r="K2695" s="91"/>
      <c r="M2695" s="91"/>
      <c r="N2695" s="91" t="s">
        <v>3801</v>
      </c>
    </row>
    <row r="2696" spans="1:14" x14ac:dyDescent="0.25">
      <c r="A2696" s="91" t="s">
        <v>1326</v>
      </c>
      <c r="B2696" s="91" t="s">
        <v>1340</v>
      </c>
      <c r="C2696" s="91" t="s">
        <v>3869</v>
      </c>
      <c r="D2696" s="91" t="s">
        <v>32</v>
      </c>
      <c r="E2696" s="91"/>
      <c r="F2696">
        <v>840</v>
      </c>
      <c r="G2696">
        <v>20</v>
      </c>
      <c r="H2696" s="89">
        <v>46206</v>
      </c>
      <c r="I2696" s="89">
        <v>46210</v>
      </c>
      <c r="J2696" s="91" t="s">
        <v>3870</v>
      </c>
      <c r="K2696" s="91"/>
      <c r="M2696" s="91"/>
      <c r="N2696" s="91" t="s">
        <v>3801</v>
      </c>
    </row>
    <row r="2697" spans="1:14" x14ac:dyDescent="0.25">
      <c r="A2697" s="91" t="s">
        <v>1320</v>
      </c>
      <c r="B2697" s="91" t="s">
        <v>1334</v>
      </c>
      <c r="C2697" s="91" t="s">
        <v>3871</v>
      </c>
      <c r="D2697" s="91" t="s">
        <v>97</v>
      </c>
      <c r="E2697" s="91"/>
      <c r="F2697">
        <v>480</v>
      </c>
      <c r="G2697">
        <v>10</v>
      </c>
      <c r="H2697" s="89">
        <v>46206</v>
      </c>
      <c r="I2697" s="89">
        <v>46212</v>
      </c>
      <c r="J2697" s="91" t="s">
        <v>3872</v>
      </c>
      <c r="K2697" s="91"/>
      <c r="M2697" s="91"/>
      <c r="N2697" s="91" t="s">
        <v>3801</v>
      </c>
    </row>
    <row r="2698" spans="1:14" x14ac:dyDescent="0.25">
      <c r="A2698" s="91" t="s">
        <v>1324</v>
      </c>
      <c r="B2698" s="91" t="s">
        <v>1338</v>
      </c>
      <c r="C2698" s="91" t="s">
        <v>3873</v>
      </c>
      <c r="D2698" s="91" t="s">
        <v>88</v>
      </c>
      <c r="E2698" s="91"/>
      <c r="F2698">
        <v>480</v>
      </c>
      <c r="G2698">
        <v>10</v>
      </c>
      <c r="H2698" s="89">
        <v>46206</v>
      </c>
      <c r="I2698" s="89">
        <v>46213</v>
      </c>
      <c r="J2698" s="91" t="s">
        <v>3874</v>
      </c>
      <c r="K2698" s="91"/>
      <c r="M2698" s="91"/>
      <c r="N2698" s="91" t="s">
        <v>3801</v>
      </c>
    </row>
    <row r="2699" spans="1:14" x14ac:dyDescent="0.25">
      <c r="A2699" s="91" t="s">
        <v>1320</v>
      </c>
      <c r="B2699" s="91" t="s">
        <v>1334</v>
      </c>
      <c r="C2699" s="91" t="s">
        <v>3875</v>
      </c>
      <c r="D2699" s="91" t="s">
        <v>30</v>
      </c>
      <c r="E2699" s="91"/>
      <c r="F2699">
        <v>384</v>
      </c>
      <c r="G2699">
        <v>8</v>
      </c>
      <c r="H2699" s="89">
        <v>46206</v>
      </c>
      <c r="I2699" s="89">
        <v>46212</v>
      </c>
      <c r="J2699" s="91" t="s">
        <v>3851</v>
      </c>
      <c r="K2699" s="91"/>
      <c r="M2699" s="91"/>
      <c r="N2699" s="91" t="s">
        <v>3801</v>
      </c>
    </row>
    <row r="2700" spans="1:14" x14ac:dyDescent="0.25">
      <c r="A2700" s="91" t="s">
        <v>1314</v>
      </c>
      <c r="B2700" s="91" t="s">
        <v>1328</v>
      </c>
      <c r="C2700" s="91" t="s">
        <v>3876</v>
      </c>
      <c r="D2700" s="91" t="s">
        <v>15</v>
      </c>
      <c r="E2700" s="91"/>
      <c r="F2700">
        <v>288</v>
      </c>
      <c r="G2700">
        <v>6</v>
      </c>
      <c r="H2700" s="89">
        <v>46206</v>
      </c>
      <c r="I2700" s="89">
        <v>46210</v>
      </c>
      <c r="J2700" s="91" t="s">
        <v>3877</v>
      </c>
      <c r="K2700" s="91"/>
      <c r="M2700" s="91"/>
      <c r="N2700" s="91" t="s">
        <v>3801</v>
      </c>
    </row>
    <row r="2701" spans="1:14" x14ac:dyDescent="0.25">
      <c r="A2701" s="91" t="s">
        <v>1313</v>
      </c>
      <c r="B2701" s="91" t="s">
        <v>1327</v>
      </c>
      <c r="C2701" s="91" t="s">
        <v>3876</v>
      </c>
      <c r="D2701" s="91" t="s">
        <v>15</v>
      </c>
      <c r="E2701" s="91"/>
      <c r="F2701">
        <v>96</v>
      </c>
      <c r="G2701">
        <v>2</v>
      </c>
      <c r="H2701" s="89">
        <v>46206</v>
      </c>
      <c r="I2701" s="89">
        <v>46211</v>
      </c>
      <c r="J2701" s="91" t="s">
        <v>3855</v>
      </c>
      <c r="K2701" s="91"/>
      <c r="M2701" s="91"/>
      <c r="N2701" s="91" t="s">
        <v>3801</v>
      </c>
    </row>
    <row r="2702" spans="1:14" x14ac:dyDescent="0.25">
      <c r="A2702" s="91" t="s">
        <v>1324</v>
      </c>
      <c r="B2702" s="91" t="s">
        <v>1338</v>
      </c>
      <c r="C2702" s="91" t="s">
        <v>3876</v>
      </c>
      <c r="D2702" s="91" t="s">
        <v>15</v>
      </c>
      <c r="E2702" s="91"/>
      <c r="F2702">
        <v>960</v>
      </c>
      <c r="G2702">
        <v>20</v>
      </c>
      <c r="H2702" s="89">
        <v>46206</v>
      </c>
      <c r="I2702" s="89">
        <v>46212</v>
      </c>
      <c r="J2702" s="91" t="s">
        <v>3868</v>
      </c>
      <c r="K2702" s="91"/>
      <c r="M2702" s="91"/>
      <c r="N2702" s="91" t="s">
        <v>3801</v>
      </c>
    </row>
    <row r="2703" spans="1:14" x14ac:dyDescent="0.25">
      <c r="A2703" s="91" t="s">
        <v>1320</v>
      </c>
      <c r="B2703" s="91" t="s">
        <v>1334</v>
      </c>
      <c r="C2703" s="91" t="s">
        <v>3876</v>
      </c>
      <c r="D2703" s="91" t="s">
        <v>15</v>
      </c>
      <c r="E2703" s="91"/>
      <c r="F2703">
        <v>48</v>
      </c>
      <c r="G2703">
        <v>1</v>
      </c>
      <c r="H2703" s="89">
        <v>46206</v>
      </c>
      <c r="I2703" s="89">
        <v>46211</v>
      </c>
      <c r="J2703" s="91" t="s">
        <v>3878</v>
      </c>
      <c r="K2703" s="91"/>
      <c r="M2703" s="91"/>
      <c r="N2703" s="91" t="s">
        <v>3801</v>
      </c>
    </row>
    <row r="2704" spans="1:14" x14ac:dyDescent="0.25">
      <c r="A2704" s="91" t="s">
        <v>1315</v>
      </c>
      <c r="B2704" s="91" t="s">
        <v>1329</v>
      </c>
      <c r="C2704" s="91" t="s">
        <v>3876</v>
      </c>
      <c r="D2704" s="91" t="s">
        <v>15</v>
      </c>
      <c r="E2704" s="91"/>
      <c r="F2704">
        <v>27</v>
      </c>
      <c r="G2704" t="s">
        <v>1419</v>
      </c>
      <c r="H2704" s="89">
        <v>46206</v>
      </c>
      <c r="I2704" s="89">
        <v>46208</v>
      </c>
      <c r="J2704" s="91" t="s">
        <v>3549</v>
      </c>
      <c r="K2704" s="91"/>
      <c r="M2704" s="91"/>
      <c r="N2704" s="91" t="s">
        <v>3801</v>
      </c>
    </row>
    <row r="2705" spans="1:14" x14ac:dyDescent="0.25">
      <c r="A2705" s="91" t="s">
        <v>1316</v>
      </c>
      <c r="B2705" s="91" t="s">
        <v>1330</v>
      </c>
      <c r="C2705" s="91" t="s">
        <v>3879</v>
      </c>
      <c r="D2705" s="91" t="s">
        <v>15</v>
      </c>
      <c r="E2705" s="91"/>
      <c r="F2705">
        <v>89</v>
      </c>
      <c r="G2705" t="s">
        <v>1419</v>
      </c>
      <c r="H2705" s="89">
        <v>46206</v>
      </c>
      <c r="I2705" s="89">
        <v>46208</v>
      </c>
      <c r="J2705" s="91" t="s">
        <v>3549</v>
      </c>
      <c r="K2705" s="91"/>
      <c r="M2705" s="91"/>
      <c r="N2705" s="91" t="s">
        <v>3801</v>
      </c>
    </row>
    <row r="2706" spans="1:14" x14ac:dyDescent="0.25">
      <c r="A2706" s="91" t="s">
        <v>1317</v>
      </c>
      <c r="B2706" s="91" t="s">
        <v>1331</v>
      </c>
      <c r="C2706" s="91" t="s">
        <v>3876</v>
      </c>
      <c r="D2706" s="91" t="s">
        <v>15</v>
      </c>
      <c r="E2706" s="91"/>
      <c r="F2706">
        <v>35</v>
      </c>
      <c r="G2706" t="s">
        <v>1419</v>
      </c>
      <c r="H2706" s="89">
        <v>46206</v>
      </c>
      <c r="I2706" s="89">
        <v>46208</v>
      </c>
      <c r="J2706" s="91" t="s">
        <v>3549</v>
      </c>
      <c r="K2706" s="91"/>
      <c r="M2706" s="91"/>
      <c r="N2706" s="91" t="s">
        <v>3801</v>
      </c>
    </row>
    <row r="2707" spans="1:14" x14ac:dyDescent="0.25">
      <c r="A2707" s="91" t="s">
        <v>1318</v>
      </c>
      <c r="B2707" s="91" t="s">
        <v>1332</v>
      </c>
      <c r="C2707" s="91" t="s">
        <v>3880</v>
      </c>
      <c r="D2707" s="91" t="s">
        <v>15</v>
      </c>
      <c r="E2707" s="91"/>
      <c r="F2707">
        <v>21</v>
      </c>
      <c r="G2707" t="s">
        <v>1419</v>
      </c>
      <c r="H2707" s="89">
        <v>46206</v>
      </c>
      <c r="I2707" s="89">
        <v>46208</v>
      </c>
      <c r="J2707" s="91" t="s">
        <v>3549</v>
      </c>
      <c r="K2707" s="91"/>
      <c r="M2707" s="91"/>
      <c r="N2707" s="91" t="s">
        <v>3801</v>
      </c>
    </row>
    <row r="2708" spans="1:14" x14ac:dyDescent="0.25">
      <c r="A2708" s="91" t="s">
        <v>1313</v>
      </c>
      <c r="B2708" s="91" t="s">
        <v>1327</v>
      </c>
      <c r="C2708" s="91" t="s">
        <v>3881</v>
      </c>
      <c r="D2708" s="91" t="s">
        <v>21</v>
      </c>
      <c r="E2708" s="91"/>
      <c r="F2708">
        <v>1104</v>
      </c>
      <c r="G2708">
        <v>23</v>
      </c>
      <c r="H2708" s="89">
        <v>46206</v>
      </c>
      <c r="I2708" s="89">
        <v>46211</v>
      </c>
      <c r="J2708" s="91" t="s">
        <v>3882</v>
      </c>
      <c r="K2708" s="91"/>
      <c r="M2708" s="91"/>
      <c r="N2708" s="91" t="s">
        <v>3801</v>
      </c>
    </row>
    <row r="2709" spans="1:14" x14ac:dyDescent="0.25">
      <c r="A2709" s="91" t="s">
        <v>1314</v>
      </c>
      <c r="B2709" s="91" t="s">
        <v>1328</v>
      </c>
      <c r="C2709" s="91" t="s">
        <v>3881</v>
      </c>
      <c r="D2709" s="91" t="s">
        <v>21</v>
      </c>
      <c r="E2709" s="91"/>
      <c r="F2709">
        <v>48</v>
      </c>
      <c r="G2709">
        <v>1</v>
      </c>
      <c r="H2709" s="89">
        <v>46206</v>
      </c>
      <c r="I2709" s="89">
        <v>46211</v>
      </c>
      <c r="J2709" s="91" t="s">
        <v>3882</v>
      </c>
      <c r="K2709" s="91"/>
      <c r="M2709" s="91"/>
      <c r="N2709" s="91" t="s">
        <v>3801</v>
      </c>
    </row>
    <row r="2710" spans="1:14" x14ac:dyDescent="0.25">
      <c r="A2710" s="91" t="s">
        <v>1313</v>
      </c>
      <c r="B2710" s="91" t="s">
        <v>1327</v>
      </c>
      <c r="C2710" s="91" t="s">
        <v>3881</v>
      </c>
      <c r="D2710" s="91" t="s">
        <v>21</v>
      </c>
      <c r="E2710" s="91"/>
      <c r="F2710">
        <v>144</v>
      </c>
      <c r="G2710">
        <v>3</v>
      </c>
      <c r="H2710" s="89">
        <v>46206</v>
      </c>
      <c r="I2710" s="89">
        <v>46212</v>
      </c>
      <c r="J2710" s="91" t="s">
        <v>3883</v>
      </c>
      <c r="K2710" s="91"/>
      <c r="M2710" s="91"/>
      <c r="N2710" s="91" t="s">
        <v>3801</v>
      </c>
    </row>
    <row r="2711" spans="1:14" x14ac:dyDescent="0.25">
      <c r="A2711" s="91" t="s">
        <v>1315</v>
      </c>
      <c r="B2711" s="91" t="s">
        <v>1329</v>
      </c>
      <c r="C2711" s="91" t="s">
        <v>3881</v>
      </c>
      <c r="D2711" s="91" t="s">
        <v>21</v>
      </c>
      <c r="E2711" s="91"/>
      <c r="F2711">
        <v>37</v>
      </c>
      <c r="G2711" t="s">
        <v>1419</v>
      </c>
      <c r="H2711" s="89">
        <v>46206</v>
      </c>
      <c r="I2711" s="89">
        <v>46208</v>
      </c>
      <c r="J2711" s="91" t="s">
        <v>3549</v>
      </c>
      <c r="K2711" s="91"/>
      <c r="M2711" s="91"/>
      <c r="N2711" s="91" t="s">
        <v>3801</v>
      </c>
    </row>
    <row r="2712" spans="1:14" x14ac:dyDescent="0.25">
      <c r="A2712" s="91" t="s">
        <v>1316</v>
      </c>
      <c r="B2712" s="91" t="s">
        <v>1330</v>
      </c>
      <c r="C2712" s="91" t="s">
        <v>3884</v>
      </c>
      <c r="D2712" s="91" t="s">
        <v>21</v>
      </c>
      <c r="E2712" s="91"/>
      <c r="F2712">
        <v>48</v>
      </c>
      <c r="G2712" t="s">
        <v>1419</v>
      </c>
      <c r="H2712" s="89">
        <v>46206</v>
      </c>
      <c r="I2712" s="89">
        <v>46208</v>
      </c>
      <c r="J2712" s="91" t="s">
        <v>3549</v>
      </c>
      <c r="K2712" s="91"/>
      <c r="M2712" s="91"/>
      <c r="N2712" s="91" t="s">
        <v>3801</v>
      </c>
    </row>
    <row r="2713" spans="1:14" x14ac:dyDescent="0.25">
      <c r="A2713" s="91" t="s">
        <v>1317</v>
      </c>
      <c r="B2713" s="91" t="s">
        <v>1331</v>
      </c>
      <c r="C2713" s="91" t="s">
        <v>3881</v>
      </c>
      <c r="D2713" s="91" t="s">
        <v>21</v>
      </c>
      <c r="E2713" s="91"/>
      <c r="F2713">
        <v>34</v>
      </c>
      <c r="G2713" t="s">
        <v>1419</v>
      </c>
      <c r="H2713" s="89">
        <v>46206</v>
      </c>
      <c r="I2713" s="89">
        <v>46208</v>
      </c>
      <c r="J2713" s="91" t="s">
        <v>3549</v>
      </c>
      <c r="K2713" s="91"/>
      <c r="M2713" s="91"/>
      <c r="N2713" s="91" t="s">
        <v>3801</v>
      </c>
    </row>
    <row r="2714" spans="1:14" x14ac:dyDescent="0.25">
      <c r="A2714" s="91" t="s">
        <v>1318</v>
      </c>
      <c r="B2714" s="91" t="s">
        <v>1332</v>
      </c>
      <c r="C2714" s="91" t="s">
        <v>3885</v>
      </c>
      <c r="D2714" s="91" t="s">
        <v>21</v>
      </c>
      <c r="E2714" s="91"/>
      <c r="F2714">
        <v>49</v>
      </c>
      <c r="G2714" t="s">
        <v>1419</v>
      </c>
      <c r="H2714" s="89">
        <v>46206</v>
      </c>
      <c r="I2714" s="89">
        <v>46208</v>
      </c>
      <c r="J2714" s="91" t="s">
        <v>3549</v>
      </c>
      <c r="K2714" s="91"/>
      <c r="M2714" s="91"/>
      <c r="N2714" s="91" t="s">
        <v>3801</v>
      </c>
    </row>
    <row r="2715" spans="1:14" x14ac:dyDescent="0.25">
      <c r="A2715" s="91" t="s">
        <v>1313</v>
      </c>
      <c r="B2715" s="91" t="s">
        <v>1327</v>
      </c>
      <c r="C2715" s="91" t="s">
        <v>3886</v>
      </c>
      <c r="D2715" s="91" t="s">
        <v>20</v>
      </c>
      <c r="E2715" s="91"/>
      <c r="F2715">
        <v>960</v>
      </c>
      <c r="G2715">
        <v>20</v>
      </c>
      <c r="H2715" s="89">
        <v>46206</v>
      </c>
      <c r="I2715" s="89">
        <v>46211</v>
      </c>
      <c r="J2715" s="91" t="s">
        <v>3855</v>
      </c>
      <c r="K2715" s="91"/>
      <c r="M2715" s="91"/>
      <c r="N2715" s="91" t="s">
        <v>3801</v>
      </c>
    </row>
    <row r="2716" spans="1:14" x14ac:dyDescent="0.25">
      <c r="A2716" s="91" t="s">
        <v>1315</v>
      </c>
      <c r="B2716" s="91" t="s">
        <v>1329</v>
      </c>
      <c r="C2716" s="91" t="s">
        <v>3886</v>
      </c>
      <c r="D2716" s="91" t="s">
        <v>20</v>
      </c>
      <c r="E2716" s="91"/>
      <c r="F2716">
        <v>82</v>
      </c>
      <c r="G2716" t="s">
        <v>1419</v>
      </c>
      <c r="H2716" s="89">
        <v>46206</v>
      </c>
      <c r="I2716" s="89">
        <v>46208</v>
      </c>
      <c r="J2716" s="91" t="s">
        <v>3549</v>
      </c>
      <c r="K2716" s="91"/>
      <c r="M2716" s="91"/>
      <c r="N2716" s="91" t="s">
        <v>3801</v>
      </c>
    </row>
    <row r="2717" spans="1:14" x14ac:dyDescent="0.25">
      <c r="A2717" s="91" t="s">
        <v>1316</v>
      </c>
      <c r="B2717" s="91" t="s">
        <v>1330</v>
      </c>
      <c r="C2717" s="91" t="s">
        <v>3887</v>
      </c>
      <c r="D2717" s="91" t="s">
        <v>20</v>
      </c>
      <c r="E2717" s="91"/>
      <c r="F2717">
        <v>79</v>
      </c>
      <c r="G2717" t="s">
        <v>1419</v>
      </c>
      <c r="H2717" s="89">
        <v>46206</v>
      </c>
      <c r="I2717" s="89">
        <v>46208</v>
      </c>
      <c r="J2717" s="91" t="s">
        <v>3549</v>
      </c>
      <c r="K2717" s="91"/>
      <c r="M2717" s="91"/>
      <c r="N2717" s="91" t="s">
        <v>3801</v>
      </c>
    </row>
    <row r="2718" spans="1:14" x14ac:dyDescent="0.25">
      <c r="A2718" s="91" t="s">
        <v>1317</v>
      </c>
      <c r="B2718" s="91" t="s">
        <v>1331</v>
      </c>
      <c r="C2718" s="91" t="s">
        <v>3886</v>
      </c>
      <c r="D2718" s="91" t="s">
        <v>20</v>
      </c>
      <c r="E2718" s="91"/>
      <c r="F2718">
        <v>13</v>
      </c>
      <c r="G2718" t="s">
        <v>1419</v>
      </c>
      <c r="H2718" s="89">
        <v>46206</v>
      </c>
      <c r="I2718" s="89">
        <v>46208</v>
      </c>
      <c r="J2718" s="91" t="s">
        <v>3549</v>
      </c>
      <c r="K2718" s="91"/>
      <c r="M2718" s="91"/>
      <c r="N2718" s="91" t="s">
        <v>3801</v>
      </c>
    </row>
    <row r="2719" spans="1:14" x14ac:dyDescent="0.25">
      <c r="A2719" s="91" t="s">
        <v>1318</v>
      </c>
      <c r="B2719" s="91" t="s">
        <v>1332</v>
      </c>
      <c r="C2719" s="91" t="s">
        <v>3888</v>
      </c>
      <c r="D2719" s="91" t="s">
        <v>20</v>
      </c>
      <c r="E2719" s="91"/>
      <c r="F2719">
        <v>29</v>
      </c>
      <c r="G2719" t="s">
        <v>1419</v>
      </c>
      <c r="H2719" s="89">
        <v>46206</v>
      </c>
      <c r="I2719" s="89">
        <v>46208</v>
      </c>
      <c r="J2719" s="91" t="s">
        <v>3549</v>
      </c>
      <c r="K2719" s="91"/>
      <c r="M2719" s="91"/>
      <c r="N2719" s="91" t="s">
        <v>3801</v>
      </c>
    </row>
    <row r="2720" spans="1:14" x14ac:dyDescent="0.25">
      <c r="A2720" s="91" t="s">
        <v>1324</v>
      </c>
      <c r="B2720" s="91" t="s">
        <v>1338</v>
      </c>
      <c r="C2720" s="91" t="s">
        <v>3889</v>
      </c>
      <c r="D2720" s="91" t="s">
        <v>92</v>
      </c>
      <c r="E2720" s="91"/>
      <c r="F2720">
        <v>816</v>
      </c>
      <c r="G2720">
        <v>17</v>
      </c>
      <c r="H2720" s="89">
        <v>46207</v>
      </c>
      <c r="I2720" s="89">
        <v>46214</v>
      </c>
      <c r="J2720" s="91" t="s">
        <v>3890</v>
      </c>
      <c r="K2720" s="91"/>
      <c r="M2720" s="91"/>
      <c r="N2720" s="91" t="s">
        <v>3801</v>
      </c>
    </row>
    <row r="2721" spans="1:14" x14ac:dyDescent="0.25">
      <c r="A2721" s="91" t="s">
        <v>1324</v>
      </c>
      <c r="B2721" s="91" t="s">
        <v>1338</v>
      </c>
      <c r="C2721" s="91" t="s">
        <v>3891</v>
      </c>
      <c r="D2721" s="91" t="s">
        <v>93</v>
      </c>
      <c r="E2721" s="91"/>
      <c r="F2721">
        <v>480</v>
      </c>
      <c r="G2721">
        <v>10</v>
      </c>
      <c r="H2721" s="89">
        <v>46207</v>
      </c>
      <c r="I2721" s="89">
        <v>46214</v>
      </c>
      <c r="J2721" s="91" t="s">
        <v>3890</v>
      </c>
      <c r="K2721" s="91"/>
      <c r="M2721" s="91"/>
      <c r="N2721" s="91" t="s">
        <v>3801</v>
      </c>
    </row>
    <row r="2722" spans="1:14" x14ac:dyDescent="0.25">
      <c r="A2722" s="91" t="s">
        <v>1320</v>
      </c>
      <c r="B2722" s="91" t="s">
        <v>1334</v>
      </c>
      <c r="C2722" s="91" t="s">
        <v>3892</v>
      </c>
      <c r="D2722" s="91" t="s">
        <v>97</v>
      </c>
      <c r="E2722" s="91"/>
      <c r="F2722">
        <v>480</v>
      </c>
      <c r="G2722">
        <v>10</v>
      </c>
      <c r="H2722" s="89">
        <v>46207</v>
      </c>
      <c r="I2722" s="89">
        <v>46212</v>
      </c>
      <c r="J2722" s="91" t="s">
        <v>3872</v>
      </c>
      <c r="K2722" s="91"/>
      <c r="M2722" s="91"/>
      <c r="N2722" s="91" t="s">
        <v>3801</v>
      </c>
    </row>
    <row r="2723" spans="1:14" x14ac:dyDescent="0.25">
      <c r="A2723" s="91" t="s">
        <v>1324</v>
      </c>
      <c r="B2723" s="91" t="s">
        <v>1338</v>
      </c>
      <c r="C2723" s="91" t="s">
        <v>3893</v>
      </c>
      <c r="D2723" s="91" t="s">
        <v>88</v>
      </c>
      <c r="E2723" s="91"/>
      <c r="F2723">
        <v>480</v>
      </c>
      <c r="G2723">
        <v>10</v>
      </c>
      <c r="H2723" s="89">
        <v>46207</v>
      </c>
      <c r="I2723" s="89">
        <v>46213</v>
      </c>
      <c r="J2723" s="91" t="s">
        <v>3874</v>
      </c>
      <c r="K2723" s="91"/>
      <c r="M2723" s="91"/>
      <c r="N2723" s="91" t="s">
        <v>3801</v>
      </c>
    </row>
    <row r="2724" spans="1:14" x14ac:dyDescent="0.25">
      <c r="A2724" s="91" t="s">
        <v>1320</v>
      </c>
      <c r="B2724" s="91" t="s">
        <v>1334</v>
      </c>
      <c r="C2724" s="91" t="s">
        <v>3894</v>
      </c>
      <c r="D2724" s="91" t="s">
        <v>15</v>
      </c>
      <c r="E2724" s="91"/>
      <c r="F2724">
        <v>912</v>
      </c>
      <c r="G2724">
        <v>19</v>
      </c>
      <c r="H2724" s="89">
        <v>46207</v>
      </c>
      <c r="I2724" s="89">
        <v>46211</v>
      </c>
      <c r="J2724" s="91" t="s">
        <v>3878</v>
      </c>
      <c r="K2724" s="91"/>
      <c r="M2724" s="91"/>
      <c r="N2724" s="91" t="s">
        <v>3801</v>
      </c>
    </row>
    <row r="2725" spans="1:14" x14ac:dyDescent="0.25">
      <c r="A2725" s="91" t="s">
        <v>1313</v>
      </c>
      <c r="B2725" s="91" t="s">
        <v>1327</v>
      </c>
      <c r="C2725" s="91" t="s">
        <v>3894</v>
      </c>
      <c r="D2725" s="91" t="s">
        <v>15</v>
      </c>
      <c r="E2725" s="91"/>
      <c r="F2725">
        <v>240</v>
      </c>
      <c r="G2725">
        <v>5</v>
      </c>
      <c r="H2725" s="89">
        <v>46207</v>
      </c>
      <c r="I2725" s="89">
        <v>46212</v>
      </c>
      <c r="J2725" s="91" t="s">
        <v>3883</v>
      </c>
      <c r="K2725" s="91"/>
      <c r="M2725" s="91"/>
      <c r="N2725" s="91" t="s">
        <v>3801</v>
      </c>
    </row>
    <row r="2726" spans="1:14" x14ac:dyDescent="0.25">
      <c r="A2726" s="91" t="s">
        <v>1315</v>
      </c>
      <c r="B2726" s="91" t="s">
        <v>1329</v>
      </c>
      <c r="C2726" s="91" t="s">
        <v>3894</v>
      </c>
      <c r="D2726" s="91" t="s">
        <v>15</v>
      </c>
      <c r="E2726" s="91"/>
      <c r="F2726">
        <v>11</v>
      </c>
      <c r="G2726" t="s">
        <v>1419</v>
      </c>
      <c r="H2726" s="89">
        <v>46207</v>
      </c>
      <c r="I2726" s="89">
        <v>46209</v>
      </c>
      <c r="J2726" s="91" t="s">
        <v>3549</v>
      </c>
      <c r="K2726" s="91"/>
      <c r="M2726" s="91"/>
      <c r="N2726" s="91" t="s">
        <v>3801</v>
      </c>
    </row>
    <row r="2727" spans="1:14" x14ac:dyDescent="0.25">
      <c r="A2727" s="91" t="s">
        <v>1316</v>
      </c>
      <c r="B2727" s="91" t="s">
        <v>1330</v>
      </c>
      <c r="C2727" s="91" t="s">
        <v>3895</v>
      </c>
      <c r="D2727" s="91" t="s">
        <v>15</v>
      </c>
      <c r="E2727" s="91"/>
      <c r="F2727">
        <v>49</v>
      </c>
      <c r="G2727" t="s">
        <v>1419</v>
      </c>
      <c r="H2727" s="89">
        <v>46207</v>
      </c>
      <c r="I2727" s="89">
        <v>46209</v>
      </c>
      <c r="J2727" s="91" t="s">
        <v>3549</v>
      </c>
      <c r="K2727" s="91"/>
      <c r="M2727" s="91"/>
      <c r="N2727" s="91" t="s">
        <v>3801</v>
      </c>
    </row>
    <row r="2728" spans="1:14" x14ac:dyDescent="0.25">
      <c r="A2728" s="91" t="s">
        <v>1317</v>
      </c>
      <c r="B2728" s="91" t="s">
        <v>1331</v>
      </c>
      <c r="C2728" s="91" t="s">
        <v>3894</v>
      </c>
      <c r="D2728" s="91" t="s">
        <v>15</v>
      </c>
      <c r="E2728" s="91"/>
      <c r="F2728">
        <v>27</v>
      </c>
      <c r="G2728" t="s">
        <v>1419</v>
      </c>
      <c r="H2728" s="89">
        <v>46207</v>
      </c>
      <c r="I2728" s="89">
        <v>46209</v>
      </c>
      <c r="J2728" s="91" t="s">
        <v>3549</v>
      </c>
      <c r="K2728" s="91"/>
      <c r="M2728" s="91"/>
      <c r="N2728" s="91" t="s">
        <v>3801</v>
      </c>
    </row>
    <row r="2729" spans="1:14" x14ac:dyDescent="0.25">
      <c r="A2729" s="91" t="s">
        <v>1318</v>
      </c>
      <c r="B2729" s="91" t="s">
        <v>1332</v>
      </c>
      <c r="C2729" s="91" t="s">
        <v>3896</v>
      </c>
      <c r="D2729" s="91" t="s">
        <v>15</v>
      </c>
      <c r="E2729" s="91"/>
      <c r="F2729">
        <v>34</v>
      </c>
      <c r="G2729" t="s">
        <v>1419</v>
      </c>
      <c r="H2729" s="89">
        <v>46207</v>
      </c>
      <c r="I2729" s="89">
        <v>46209</v>
      </c>
      <c r="J2729" s="91" t="s">
        <v>3549</v>
      </c>
      <c r="K2729" s="91"/>
      <c r="M2729" s="91"/>
      <c r="N2729" s="91" t="s">
        <v>3801</v>
      </c>
    </row>
    <row r="2730" spans="1:14" x14ac:dyDescent="0.25">
      <c r="A2730" s="91" t="s">
        <v>1324</v>
      </c>
      <c r="B2730" s="91" t="s">
        <v>1338</v>
      </c>
      <c r="C2730" s="91" t="s">
        <v>3897</v>
      </c>
      <c r="D2730" s="91" t="s">
        <v>21</v>
      </c>
      <c r="E2730" s="91"/>
      <c r="F2730">
        <v>960</v>
      </c>
      <c r="G2730">
        <v>20</v>
      </c>
      <c r="H2730" s="89">
        <v>46207</v>
      </c>
      <c r="I2730" s="89">
        <v>46213</v>
      </c>
      <c r="J2730" s="91" t="s">
        <v>3874</v>
      </c>
      <c r="K2730" s="91"/>
      <c r="M2730" s="91"/>
      <c r="N2730" s="91" t="s">
        <v>3801</v>
      </c>
    </row>
    <row r="2731" spans="1:14" x14ac:dyDescent="0.25">
      <c r="A2731" s="91" t="s">
        <v>1315</v>
      </c>
      <c r="B2731" s="91" t="s">
        <v>1329</v>
      </c>
      <c r="C2731" s="91" t="s">
        <v>3897</v>
      </c>
      <c r="D2731" s="91" t="s">
        <v>21</v>
      </c>
      <c r="E2731" s="91"/>
      <c r="F2731">
        <v>94</v>
      </c>
      <c r="G2731" t="s">
        <v>1419</v>
      </c>
      <c r="H2731" s="89">
        <v>46207</v>
      </c>
      <c r="I2731" s="89">
        <v>46209</v>
      </c>
      <c r="J2731" s="91" t="s">
        <v>3549</v>
      </c>
      <c r="K2731" s="91"/>
      <c r="M2731" s="91"/>
      <c r="N2731" s="91" t="s">
        <v>3801</v>
      </c>
    </row>
    <row r="2732" spans="1:14" x14ac:dyDescent="0.25">
      <c r="A2732" s="91" t="s">
        <v>1316</v>
      </c>
      <c r="B2732" s="91" t="s">
        <v>1330</v>
      </c>
      <c r="C2732" s="91" t="s">
        <v>3898</v>
      </c>
      <c r="D2732" s="91" t="s">
        <v>21</v>
      </c>
      <c r="E2732" s="91"/>
      <c r="F2732">
        <v>42</v>
      </c>
      <c r="G2732" t="s">
        <v>1419</v>
      </c>
      <c r="H2732" s="89">
        <v>46207</v>
      </c>
      <c r="I2732" s="89">
        <v>46209</v>
      </c>
      <c r="J2732" s="91" t="s">
        <v>3549</v>
      </c>
      <c r="K2732" s="91"/>
      <c r="M2732" s="91"/>
      <c r="N2732" s="91" t="s">
        <v>3801</v>
      </c>
    </row>
    <row r="2733" spans="1:14" x14ac:dyDescent="0.25">
      <c r="A2733" s="91" t="s">
        <v>1317</v>
      </c>
      <c r="B2733" s="91" t="s">
        <v>1331</v>
      </c>
      <c r="C2733" s="91" t="s">
        <v>3899</v>
      </c>
      <c r="D2733" s="91" t="s">
        <v>21</v>
      </c>
      <c r="E2733" s="91"/>
      <c r="F2733">
        <v>21</v>
      </c>
      <c r="G2733" t="s">
        <v>1419</v>
      </c>
      <c r="H2733" s="89">
        <v>46207</v>
      </c>
      <c r="I2733" s="89">
        <v>46209</v>
      </c>
      <c r="J2733" s="91" t="s">
        <v>3549</v>
      </c>
      <c r="K2733" s="91"/>
      <c r="M2733" s="91"/>
      <c r="N2733" s="91" t="s">
        <v>3801</v>
      </c>
    </row>
    <row r="2734" spans="1:14" x14ac:dyDescent="0.25">
      <c r="A2734" s="91" t="s">
        <v>1318</v>
      </c>
      <c r="B2734" s="91" t="s">
        <v>1332</v>
      </c>
      <c r="C2734" s="91" t="s">
        <v>3900</v>
      </c>
      <c r="D2734" s="91" t="s">
        <v>21</v>
      </c>
      <c r="E2734" s="91"/>
      <c r="F2734">
        <v>59</v>
      </c>
      <c r="G2734" t="s">
        <v>1419</v>
      </c>
      <c r="H2734" s="89">
        <v>46207</v>
      </c>
      <c r="I2734" s="89">
        <v>46209</v>
      </c>
      <c r="J2734" s="91" t="s">
        <v>3549</v>
      </c>
      <c r="K2734" s="91"/>
      <c r="M2734" s="91"/>
      <c r="N2734" s="91" t="s">
        <v>3801</v>
      </c>
    </row>
    <row r="2735" spans="1:14" x14ac:dyDescent="0.25">
      <c r="A2735" s="91" t="s">
        <v>1320</v>
      </c>
      <c r="B2735" s="91" t="s">
        <v>1334</v>
      </c>
      <c r="C2735" s="91" t="s">
        <v>3901</v>
      </c>
      <c r="D2735" s="91" t="s">
        <v>13</v>
      </c>
      <c r="E2735" s="91"/>
      <c r="F2735">
        <v>960</v>
      </c>
      <c r="G2735">
        <v>20</v>
      </c>
      <c r="H2735" s="89">
        <v>46209</v>
      </c>
      <c r="I2735" s="89">
        <v>46213</v>
      </c>
      <c r="J2735" s="91" t="s">
        <v>3902</v>
      </c>
      <c r="K2735" s="91"/>
      <c r="M2735" s="91"/>
      <c r="N2735" s="91" t="s">
        <v>3903</v>
      </c>
    </row>
    <row r="2736" spans="1:14" x14ac:dyDescent="0.25">
      <c r="A2736" s="91" t="s">
        <v>1320</v>
      </c>
      <c r="B2736" s="91" t="s">
        <v>1334</v>
      </c>
      <c r="C2736" s="91" t="s">
        <v>3904</v>
      </c>
      <c r="D2736" s="91" t="s">
        <v>15</v>
      </c>
      <c r="E2736" s="91"/>
      <c r="F2736">
        <v>960</v>
      </c>
      <c r="G2736">
        <v>20</v>
      </c>
      <c r="H2736" s="89">
        <v>46209</v>
      </c>
      <c r="I2736" s="89">
        <v>46213</v>
      </c>
      <c r="J2736" s="91" t="s">
        <v>3905</v>
      </c>
      <c r="K2736" s="91"/>
      <c r="M2736" s="91"/>
      <c r="N2736" s="91" t="s">
        <v>3903</v>
      </c>
    </row>
    <row r="2737" spans="1:14" x14ac:dyDescent="0.25">
      <c r="A2737" s="91" t="s">
        <v>1313</v>
      </c>
      <c r="B2737" s="91" t="s">
        <v>1327</v>
      </c>
      <c r="C2737" s="91" t="s">
        <v>3904</v>
      </c>
      <c r="D2737" s="91" t="s">
        <v>15</v>
      </c>
      <c r="E2737" s="91"/>
      <c r="F2737">
        <v>192</v>
      </c>
      <c r="G2737">
        <v>4</v>
      </c>
      <c r="H2737" s="89">
        <v>46209</v>
      </c>
      <c r="I2737" s="89">
        <v>46212</v>
      </c>
      <c r="J2737" s="91" t="s">
        <v>3883</v>
      </c>
      <c r="K2737" s="91"/>
      <c r="M2737" s="91"/>
      <c r="N2737" s="91" t="s">
        <v>3903</v>
      </c>
    </row>
    <row r="2738" spans="1:14" x14ac:dyDescent="0.25">
      <c r="A2738" s="91" t="s">
        <v>1315</v>
      </c>
      <c r="B2738" s="91" t="s">
        <v>1329</v>
      </c>
      <c r="C2738" s="91" t="s">
        <v>3904</v>
      </c>
      <c r="D2738" s="91" t="s">
        <v>15</v>
      </c>
      <c r="E2738" s="91"/>
      <c r="F2738">
        <v>5</v>
      </c>
      <c r="G2738" t="s">
        <v>1419</v>
      </c>
      <c r="H2738" s="89">
        <v>46209</v>
      </c>
      <c r="I2738" s="89">
        <v>46213</v>
      </c>
      <c r="J2738" s="91" t="s">
        <v>3549</v>
      </c>
      <c r="K2738" s="91"/>
      <c r="M2738" s="91"/>
      <c r="N2738" s="91" t="s">
        <v>3903</v>
      </c>
    </row>
    <row r="2739" spans="1:14" x14ac:dyDescent="0.25">
      <c r="A2739" s="91" t="s">
        <v>1316</v>
      </c>
      <c r="B2739" s="91" t="s">
        <v>1330</v>
      </c>
      <c r="C2739" s="91" t="s">
        <v>3906</v>
      </c>
      <c r="D2739" s="91" t="s">
        <v>15</v>
      </c>
      <c r="E2739" s="91"/>
      <c r="F2739">
        <v>43</v>
      </c>
      <c r="G2739" t="s">
        <v>1419</v>
      </c>
      <c r="H2739" s="89">
        <v>46209</v>
      </c>
      <c r="I2739" s="89">
        <v>46211</v>
      </c>
      <c r="J2739" s="91" t="s">
        <v>3549</v>
      </c>
      <c r="K2739" s="91"/>
      <c r="M2739" s="91"/>
      <c r="N2739" s="91" t="s">
        <v>3903</v>
      </c>
    </row>
    <row r="2740" spans="1:14" x14ac:dyDescent="0.25">
      <c r="A2740" s="91" t="s">
        <v>1317</v>
      </c>
      <c r="B2740" s="91" t="s">
        <v>1331</v>
      </c>
      <c r="C2740" s="91" t="s">
        <v>3907</v>
      </c>
      <c r="D2740" s="91" t="s">
        <v>15</v>
      </c>
      <c r="E2740" s="91"/>
      <c r="F2740">
        <v>26</v>
      </c>
      <c r="G2740" t="s">
        <v>1419</v>
      </c>
      <c r="H2740" s="89">
        <v>46209</v>
      </c>
      <c r="I2740" s="89">
        <v>46211</v>
      </c>
      <c r="J2740" s="91" t="s">
        <v>3549</v>
      </c>
      <c r="K2740" s="91"/>
      <c r="M2740" s="91"/>
      <c r="N2740" s="91" t="s">
        <v>3903</v>
      </c>
    </row>
    <row r="2741" spans="1:14" x14ac:dyDescent="0.25">
      <c r="A2741" s="91" t="s">
        <v>1318</v>
      </c>
      <c r="B2741" s="91" t="s">
        <v>1332</v>
      </c>
      <c r="C2741" s="91" t="s">
        <v>3908</v>
      </c>
      <c r="D2741" s="91" t="s">
        <v>15</v>
      </c>
      <c r="E2741" s="91"/>
      <c r="F2741">
        <v>26</v>
      </c>
      <c r="G2741" t="s">
        <v>1419</v>
      </c>
      <c r="H2741" s="89">
        <v>46209</v>
      </c>
      <c r="I2741" s="89">
        <v>46211</v>
      </c>
      <c r="J2741" s="91" t="s">
        <v>3549</v>
      </c>
      <c r="K2741" s="91"/>
      <c r="M2741" s="91"/>
      <c r="N2741" s="91" t="s">
        <v>3903</v>
      </c>
    </row>
    <row r="2742" spans="1:14" x14ac:dyDescent="0.25">
      <c r="A2742" s="91" t="s">
        <v>1313</v>
      </c>
      <c r="B2742" s="91" t="s">
        <v>1327</v>
      </c>
      <c r="C2742" s="91" t="s">
        <v>3909</v>
      </c>
      <c r="D2742" s="91" t="s">
        <v>28</v>
      </c>
      <c r="E2742" s="91"/>
      <c r="F2742">
        <v>960</v>
      </c>
      <c r="G2742">
        <v>20</v>
      </c>
      <c r="H2742" s="89">
        <v>46209</v>
      </c>
      <c r="I2742" s="89">
        <v>46213</v>
      </c>
      <c r="J2742" s="91" t="s">
        <v>3910</v>
      </c>
      <c r="K2742" s="91"/>
      <c r="M2742" s="91"/>
      <c r="N2742" s="91" t="s">
        <v>3903</v>
      </c>
    </row>
    <row r="2743" spans="1:14" x14ac:dyDescent="0.25">
      <c r="A2743" s="91" t="s">
        <v>1319</v>
      </c>
      <c r="B2743" s="91" t="s">
        <v>1333</v>
      </c>
      <c r="C2743" s="91" t="s">
        <v>3909</v>
      </c>
      <c r="D2743" s="91" t="s">
        <v>28</v>
      </c>
      <c r="E2743" s="91"/>
      <c r="F2743">
        <v>42</v>
      </c>
      <c r="G2743">
        <v>1</v>
      </c>
      <c r="H2743" s="89">
        <v>46209</v>
      </c>
      <c r="I2743" s="89">
        <v>46213</v>
      </c>
      <c r="J2743" s="91" t="s">
        <v>3910</v>
      </c>
      <c r="K2743" s="91"/>
      <c r="M2743" s="91"/>
      <c r="N2743" s="91" t="s">
        <v>3903</v>
      </c>
    </row>
    <row r="2744" spans="1:14" x14ac:dyDescent="0.25">
      <c r="A2744" s="91" t="s">
        <v>1315</v>
      </c>
      <c r="B2744" s="91" t="s">
        <v>1329</v>
      </c>
      <c r="C2744" s="91" t="s">
        <v>3909</v>
      </c>
      <c r="D2744" s="91" t="s">
        <v>28</v>
      </c>
      <c r="E2744" s="91"/>
      <c r="F2744">
        <v>98</v>
      </c>
      <c r="G2744" t="s">
        <v>1419</v>
      </c>
      <c r="H2744" s="89">
        <v>46209</v>
      </c>
      <c r="I2744" s="89">
        <v>46213</v>
      </c>
      <c r="J2744" s="91" t="s">
        <v>3549</v>
      </c>
      <c r="K2744" s="91"/>
      <c r="M2744" s="91"/>
      <c r="N2744" s="91" t="s">
        <v>3903</v>
      </c>
    </row>
    <row r="2745" spans="1:14" x14ac:dyDescent="0.25">
      <c r="A2745" s="91" t="s">
        <v>1316</v>
      </c>
      <c r="B2745" s="91" t="s">
        <v>1330</v>
      </c>
      <c r="C2745" s="91" t="s">
        <v>3911</v>
      </c>
      <c r="D2745" s="91" t="s">
        <v>28</v>
      </c>
      <c r="E2745" s="91"/>
      <c r="F2745">
        <v>19</v>
      </c>
      <c r="G2745" t="s">
        <v>1419</v>
      </c>
      <c r="H2745" s="89">
        <v>46209</v>
      </c>
      <c r="I2745" s="89">
        <v>46211</v>
      </c>
      <c r="J2745" s="91" t="s">
        <v>3549</v>
      </c>
      <c r="K2745" s="91"/>
      <c r="M2745" s="91"/>
      <c r="N2745" s="91" t="s">
        <v>3903</v>
      </c>
    </row>
    <row r="2746" spans="1:14" x14ac:dyDescent="0.25">
      <c r="A2746" s="91" t="s">
        <v>1317</v>
      </c>
      <c r="B2746" s="91" t="s">
        <v>1331</v>
      </c>
      <c r="C2746" s="91" t="s">
        <v>3912</v>
      </c>
      <c r="D2746" s="91" t="s">
        <v>28</v>
      </c>
      <c r="E2746" s="91"/>
      <c r="F2746">
        <v>7</v>
      </c>
      <c r="G2746" t="s">
        <v>1419</v>
      </c>
      <c r="H2746" s="89">
        <v>46209</v>
      </c>
      <c r="I2746" s="89">
        <v>46211</v>
      </c>
      <c r="J2746" s="91" t="s">
        <v>3549</v>
      </c>
      <c r="K2746" s="91"/>
      <c r="M2746" s="91"/>
      <c r="N2746" s="91" t="s">
        <v>3903</v>
      </c>
    </row>
    <row r="2747" spans="1:14" x14ac:dyDescent="0.25">
      <c r="A2747" s="91" t="s">
        <v>1318</v>
      </c>
      <c r="B2747" s="91" t="s">
        <v>1332</v>
      </c>
      <c r="C2747" s="91" t="s">
        <v>3913</v>
      </c>
      <c r="D2747" s="91" t="s">
        <v>28</v>
      </c>
      <c r="E2747" s="91"/>
      <c r="F2747">
        <v>48</v>
      </c>
      <c r="G2747" t="s">
        <v>1419</v>
      </c>
      <c r="H2747" s="89">
        <v>46209</v>
      </c>
      <c r="I2747" s="89">
        <v>46211</v>
      </c>
      <c r="J2747" s="91" t="s">
        <v>3549</v>
      </c>
      <c r="K2747" s="91"/>
      <c r="M2747" s="91"/>
      <c r="N2747" s="91" t="s">
        <v>3903</v>
      </c>
    </row>
    <row r="2748" spans="1:14" x14ac:dyDescent="0.25">
      <c r="A2748" s="91" t="s">
        <v>1324</v>
      </c>
      <c r="B2748" s="91" t="s">
        <v>1338</v>
      </c>
      <c r="C2748" s="91" t="s">
        <v>3914</v>
      </c>
      <c r="D2748" s="91" t="s">
        <v>23</v>
      </c>
      <c r="E2748" s="91"/>
      <c r="F2748">
        <v>960</v>
      </c>
      <c r="G2748">
        <v>20</v>
      </c>
      <c r="H2748" s="89">
        <v>46210</v>
      </c>
      <c r="I2748" s="89">
        <v>46216</v>
      </c>
      <c r="J2748" s="91" t="s">
        <v>3915</v>
      </c>
      <c r="K2748" s="91"/>
      <c r="M2748" s="91"/>
      <c r="N2748" s="91" t="s">
        <v>3903</v>
      </c>
    </row>
    <row r="2749" spans="1:14" x14ac:dyDescent="0.25">
      <c r="A2749" s="91" t="s">
        <v>1324</v>
      </c>
      <c r="B2749" s="91" t="s">
        <v>1338</v>
      </c>
      <c r="C2749" s="91" t="s">
        <v>3916</v>
      </c>
      <c r="D2749" s="91" t="s">
        <v>118</v>
      </c>
      <c r="E2749" s="91"/>
      <c r="F2749">
        <v>480</v>
      </c>
      <c r="G2749">
        <v>10</v>
      </c>
      <c r="H2749" s="89">
        <v>46210</v>
      </c>
      <c r="I2749" s="89">
        <v>46216</v>
      </c>
      <c r="J2749" s="91" t="s">
        <v>3915</v>
      </c>
      <c r="K2749" s="91"/>
      <c r="M2749" s="91"/>
      <c r="N2749" s="91" t="s">
        <v>3903</v>
      </c>
    </row>
    <row r="2750" spans="1:14" x14ac:dyDescent="0.25">
      <c r="A2750" s="91" t="s">
        <v>1324</v>
      </c>
      <c r="B2750" s="91" t="s">
        <v>1338</v>
      </c>
      <c r="C2750" s="91" t="s">
        <v>3917</v>
      </c>
      <c r="D2750" s="91" t="s">
        <v>147</v>
      </c>
      <c r="E2750" s="91"/>
      <c r="F2750">
        <v>480</v>
      </c>
      <c r="G2750">
        <v>10</v>
      </c>
      <c r="H2750" s="89">
        <v>46210</v>
      </c>
      <c r="I2750" s="89">
        <v>46216</v>
      </c>
      <c r="J2750" s="91" t="s">
        <v>3915</v>
      </c>
      <c r="K2750" s="91"/>
      <c r="M2750" s="91"/>
      <c r="N2750" s="91" t="s">
        <v>3903</v>
      </c>
    </row>
    <row r="2751" spans="1:14" x14ac:dyDescent="0.25">
      <c r="A2751" s="91" t="s">
        <v>1325</v>
      </c>
      <c r="B2751" s="91" t="s">
        <v>1339</v>
      </c>
      <c r="C2751" s="91" t="s">
        <v>3918</v>
      </c>
      <c r="D2751" s="91" t="s">
        <v>159</v>
      </c>
      <c r="E2751" s="91"/>
      <c r="F2751">
        <v>288</v>
      </c>
      <c r="G2751">
        <v>6</v>
      </c>
      <c r="H2751" s="89">
        <v>46210</v>
      </c>
      <c r="I2751" s="89">
        <v>46212</v>
      </c>
      <c r="J2751" s="91" t="s">
        <v>3549</v>
      </c>
      <c r="K2751" s="91"/>
      <c r="M2751" s="91"/>
      <c r="N2751" s="91" t="s">
        <v>3903</v>
      </c>
    </row>
    <row r="2752" spans="1:14" x14ac:dyDescent="0.25">
      <c r="A2752" s="91" t="s">
        <v>1320</v>
      </c>
      <c r="B2752" s="91" t="s">
        <v>1334</v>
      </c>
      <c r="C2752" s="91" t="s">
        <v>3919</v>
      </c>
      <c r="D2752" s="91" t="s">
        <v>15</v>
      </c>
      <c r="E2752" s="91"/>
      <c r="F2752">
        <v>960</v>
      </c>
      <c r="G2752">
        <v>20</v>
      </c>
      <c r="H2752" s="89">
        <v>46210</v>
      </c>
      <c r="I2752" s="89">
        <v>46214</v>
      </c>
      <c r="J2752" s="91" t="s">
        <v>3920</v>
      </c>
      <c r="K2752" s="91"/>
      <c r="M2752" s="91"/>
      <c r="N2752" s="91" t="s">
        <v>3903</v>
      </c>
    </row>
    <row r="2753" spans="1:14" x14ac:dyDescent="0.25">
      <c r="A2753" s="91" t="s">
        <v>1314</v>
      </c>
      <c r="B2753" s="91" t="s">
        <v>1328</v>
      </c>
      <c r="C2753" s="91" t="s">
        <v>3919</v>
      </c>
      <c r="D2753" s="91" t="s">
        <v>15</v>
      </c>
      <c r="E2753" s="91"/>
      <c r="F2753">
        <v>288</v>
      </c>
      <c r="G2753">
        <v>6</v>
      </c>
      <c r="H2753" s="89">
        <v>46210</v>
      </c>
      <c r="I2753" s="89">
        <v>46212</v>
      </c>
      <c r="J2753" s="91" t="s">
        <v>3921</v>
      </c>
      <c r="K2753" s="91"/>
      <c r="M2753" s="91"/>
      <c r="N2753" s="91" t="s">
        <v>3903</v>
      </c>
    </row>
    <row r="2754" spans="1:14" x14ac:dyDescent="0.25">
      <c r="A2754" s="91" t="s">
        <v>1315</v>
      </c>
      <c r="B2754" s="91" t="s">
        <v>1329</v>
      </c>
      <c r="C2754" s="91" t="s">
        <v>3919</v>
      </c>
      <c r="D2754" s="91" t="s">
        <v>15</v>
      </c>
      <c r="E2754" s="91"/>
      <c r="F2754">
        <v>4</v>
      </c>
      <c r="G2754" t="s">
        <v>1419</v>
      </c>
      <c r="H2754" s="89">
        <v>46210</v>
      </c>
      <c r="I2754" s="89">
        <v>46212</v>
      </c>
      <c r="J2754" s="91" t="s">
        <v>3549</v>
      </c>
      <c r="K2754" s="91"/>
      <c r="M2754" s="91"/>
      <c r="N2754" s="91" t="s">
        <v>3903</v>
      </c>
    </row>
    <row r="2755" spans="1:14" x14ac:dyDescent="0.25">
      <c r="A2755" s="91" t="s">
        <v>1316</v>
      </c>
      <c r="B2755" s="91" t="s">
        <v>1330</v>
      </c>
      <c r="C2755" s="91" t="s">
        <v>3922</v>
      </c>
      <c r="D2755" s="91" t="s">
        <v>15</v>
      </c>
      <c r="E2755" s="91"/>
      <c r="F2755">
        <v>70</v>
      </c>
      <c r="G2755" t="s">
        <v>1419</v>
      </c>
      <c r="H2755" s="89">
        <v>46210</v>
      </c>
      <c r="I2755" s="89">
        <v>46212</v>
      </c>
      <c r="J2755" s="91" t="s">
        <v>3549</v>
      </c>
      <c r="K2755" s="91"/>
      <c r="M2755" s="91"/>
      <c r="N2755" s="91" t="s">
        <v>3903</v>
      </c>
    </row>
    <row r="2756" spans="1:14" x14ac:dyDescent="0.25">
      <c r="A2756" s="91" t="s">
        <v>1317</v>
      </c>
      <c r="B2756" s="91" t="s">
        <v>1331</v>
      </c>
      <c r="C2756" s="91" t="s">
        <v>3923</v>
      </c>
      <c r="D2756" s="91" t="s">
        <v>15</v>
      </c>
      <c r="E2756" s="91"/>
      <c r="F2756">
        <v>69</v>
      </c>
      <c r="G2756" t="s">
        <v>1419</v>
      </c>
      <c r="H2756" s="89">
        <v>46210</v>
      </c>
      <c r="I2756" s="89">
        <v>46212</v>
      </c>
      <c r="J2756" s="91" t="s">
        <v>3549</v>
      </c>
      <c r="K2756" s="91"/>
      <c r="M2756" s="91"/>
      <c r="N2756" s="91" t="s">
        <v>3903</v>
      </c>
    </row>
    <row r="2757" spans="1:14" x14ac:dyDescent="0.25">
      <c r="A2757" s="91" t="s">
        <v>1318</v>
      </c>
      <c r="B2757" s="91" t="s">
        <v>1332</v>
      </c>
      <c r="C2757" s="91" t="s">
        <v>3924</v>
      </c>
      <c r="D2757" s="91" t="s">
        <v>15</v>
      </c>
      <c r="E2757" s="91"/>
      <c r="F2757">
        <v>26</v>
      </c>
      <c r="G2757" t="s">
        <v>1419</v>
      </c>
      <c r="H2757" s="89">
        <v>46210</v>
      </c>
      <c r="I2757" s="89">
        <v>46212</v>
      </c>
      <c r="J2757" s="91" t="s">
        <v>3549</v>
      </c>
      <c r="K2757" s="91"/>
      <c r="M2757" s="91"/>
      <c r="N2757" s="91" t="s">
        <v>3903</v>
      </c>
    </row>
    <row r="2758" spans="1:14" x14ac:dyDescent="0.25">
      <c r="A2758" s="91" t="s">
        <v>1323</v>
      </c>
      <c r="B2758" s="91" t="s">
        <v>1337</v>
      </c>
      <c r="C2758" s="91" t="s">
        <v>3925</v>
      </c>
      <c r="D2758" s="91" t="s">
        <v>20</v>
      </c>
      <c r="E2758" s="91"/>
      <c r="F2758">
        <v>918</v>
      </c>
      <c r="G2758">
        <v>17</v>
      </c>
      <c r="H2758" s="89">
        <v>46210</v>
      </c>
      <c r="I2758" s="89">
        <v>46213</v>
      </c>
      <c r="J2758" s="91" t="s">
        <v>3926</v>
      </c>
      <c r="K2758" s="91"/>
      <c r="M2758" s="91"/>
      <c r="N2758" s="91" t="s">
        <v>3903</v>
      </c>
    </row>
    <row r="2759" spans="1:14" x14ac:dyDescent="0.25">
      <c r="A2759" s="91" t="s">
        <v>1322</v>
      </c>
      <c r="B2759" s="91" t="s">
        <v>1336</v>
      </c>
      <c r="C2759" s="91" t="s">
        <v>3925</v>
      </c>
      <c r="D2759" s="91" t="s">
        <v>20</v>
      </c>
      <c r="E2759" s="91"/>
      <c r="F2759">
        <v>162</v>
      </c>
      <c r="G2759">
        <v>3</v>
      </c>
      <c r="H2759" s="89">
        <v>46210</v>
      </c>
      <c r="I2759" s="89">
        <v>46213</v>
      </c>
      <c r="J2759" s="91" t="s">
        <v>3926</v>
      </c>
      <c r="K2759" s="91"/>
      <c r="M2759" s="91"/>
      <c r="N2759" s="91" t="s">
        <v>3903</v>
      </c>
    </row>
    <row r="2760" spans="1:14" x14ac:dyDescent="0.25">
      <c r="A2760" s="91" t="s">
        <v>1315</v>
      </c>
      <c r="B2760" s="91" t="s">
        <v>1329</v>
      </c>
      <c r="C2760" s="91" t="s">
        <v>3925</v>
      </c>
      <c r="D2760" s="91" t="s">
        <v>20</v>
      </c>
      <c r="E2760" s="91"/>
      <c r="F2760">
        <v>98</v>
      </c>
      <c r="G2760" t="s">
        <v>1419</v>
      </c>
      <c r="H2760" s="89">
        <v>46210</v>
      </c>
      <c r="I2760" s="89">
        <v>46212</v>
      </c>
      <c r="J2760" s="91" t="s">
        <v>3549</v>
      </c>
      <c r="K2760" s="91"/>
      <c r="M2760" s="91"/>
      <c r="N2760" s="91" t="s">
        <v>3903</v>
      </c>
    </row>
    <row r="2761" spans="1:14" x14ac:dyDescent="0.25">
      <c r="A2761" s="91" t="s">
        <v>1316</v>
      </c>
      <c r="B2761" s="91" t="s">
        <v>1330</v>
      </c>
      <c r="C2761" s="91" t="s">
        <v>3927</v>
      </c>
      <c r="D2761" s="91" t="s">
        <v>20</v>
      </c>
      <c r="E2761" s="91"/>
      <c r="F2761">
        <v>44</v>
      </c>
      <c r="G2761" t="s">
        <v>1419</v>
      </c>
      <c r="H2761" s="89">
        <v>46210</v>
      </c>
      <c r="I2761" s="89">
        <v>46212</v>
      </c>
      <c r="J2761" s="91" t="s">
        <v>3549</v>
      </c>
      <c r="K2761" s="91"/>
      <c r="M2761" s="91"/>
      <c r="N2761" s="91" t="s">
        <v>3903</v>
      </c>
    </row>
    <row r="2762" spans="1:14" x14ac:dyDescent="0.25">
      <c r="A2762" s="91" t="s">
        <v>1317</v>
      </c>
      <c r="B2762" s="91" t="s">
        <v>1331</v>
      </c>
      <c r="C2762" s="91" t="s">
        <v>3928</v>
      </c>
      <c r="D2762" s="91" t="s">
        <v>20</v>
      </c>
      <c r="E2762" s="91"/>
      <c r="F2762">
        <v>9</v>
      </c>
      <c r="G2762" t="s">
        <v>1419</v>
      </c>
      <c r="H2762" s="89">
        <v>46210</v>
      </c>
      <c r="I2762" s="89">
        <v>46212</v>
      </c>
      <c r="J2762" s="91" t="s">
        <v>3549</v>
      </c>
      <c r="K2762" s="91"/>
      <c r="M2762" s="91"/>
      <c r="N2762" s="91" t="s">
        <v>3903</v>
      </c>
    </row>
    <row r="2763" spans="1:14" x14ac:dyDescent="0.25">
      <c r="A2763" s="91" t="s">
        <v>1318</v>
      </c>
      <c r="B2763" s="91" t="s">
        <v>1332</v>
      </c>
      <c r="C2763" s="91" t="s">
        <v>3929</v>
      </c>
      <c r="D2763" s="91" t="s">
        <v>20</v>
      </c>
      <c r="E2763" s="91"/>
      <c r="F2763">
        <v>27</v>
      </c>
      <c r="G2763" t="s">
        <v>1419</v>
      </c>
      <c r="H2763" s="89">
        <v>46210</v>
      </c>
      <c r="I2763" s="89">
        <v>46212</v>
      </c>
      <c r="J2763" s="91" t="s">
        <v>3549</v>
      </c>
      <c r="K2763" s="91"/>
      <c r="M2763" s="91"/>
      <c r="N2763" s="91" t="s">
        <v>3903</v>
      </c>
    </row>
    <row r="2764" spans="1:14" x14ac:dyDescent="0.25">
      <c r="A2764" s="91" t="s">
        <v>1313</v>
      </c>
      <c r="B2764" s="91" t="s">
        <v>1327</v>
      </c>
      <c r="C2764" s="91" t="s">
        <v>3930</v>
      </c>
      <c r="D2764" s="91" t="s">
        <v>21</v>
      </c>
      <c r="E2764" s="91"/>
      <c r="F2764">
        <v>288</v>
      </c>
      <c r="G2764">
        <v>6</v>
      </c>
      <c r="H2764" s="89">
        <v>46210</v>
      </c>
      <c r="I2764" s="89">
        <v>46212</v>
      </c>
      <c r="J2764" s="91" t="s">
        <v>3883</v>
      </c>
      <c r="K2764" s="91"/>
      <c r="M2764" s="91"/>
      <c r="N2764" s="91" t="s">
        <v>3903</v>
      </c>
    </row>
    <row r="2765" spans="1:14" x14ac:dyDescent="0.25">
      <c r="A2765" s="91" t="s">
        <v>1320</v>
      </c>
      <c r="B2765" s="91" t="s">
        <v>1334</v>
      </c>
      <c r="C2765" s="91" t="s">
        <v>3930</v>
      </c>
      <c r="D2765" s="91" t="s">
        <v>21</v>
      </c>
      <c r="E2765" s="91"/>
      <c r="F2765">
        <v>960</v>
      </c>
      <c r="G2765">
        <v>20</v>
      </c>
      <c r="H2765" s="89">
        <v>46210</v>
      </c>
      <c r="I2765" s="89">
        <v>46214</v>
      </c>
      <c r="J2765" s="91" t="s">
        <v>3931</v>
      </c>
      <c r="K2765" s="91"/>
      <c r="M2765" s="91"/>
      <c r="N2765" s="91" t="s">
        <v>3903</v>
      </c>
    </row>
    <row r="2766" spans="1:14" x14ac:dyDescent="0.25">
      <c r="A2766" s="91" t="s">
        <v>1315</v>
      </c>
      <c r="B2766" s="91" t="s">
        <v>1329</v>
      </c>
      <c r="C2766" s="91" t="s">
        <v>3930</v>
      </c>
      <c r="D2766" s="91" t="s">
        <v>21</v>
      </c>
      <c r="E2766" s="91"/>
      <c r="F2766">
        <v>66</v>
      </c>
      <c r="G2766" t="s">
        <v>1419</v>
      </c>
      <c r="H2766" s="89">
        <v>46210</v>
      </c>
      <c r="I2766" s="89">
        <v>46213</v>
      </c>
      <c r="J2766" s="91" t="s">
        <v>3549</v>
      </c>
      <c r="K2766" s="91"/>
      <c r="M2766" s="91"/>
      <c r="N2766" s="91" t="s">
        <v>3903</v>
      </c>
    </row>
    <row r="2767" spans="1:14" x14ac:dyDescent="0.25">
      <c r="A2767" s="91" t="s">
        <v>1316</v>
      </c>
      <c r="B2767" s="91" t="s">
        <v>1330</v>
      </c>
      <c r="C2767" s="91" t="s">
        <v>3932</v>
      </c>
      <c r="D2767" s="91" t="s">
        <v>21</v>
      </c>
      <c r="E2767" s="91"/>
      <c r="F2767">
        <v>22</v>
      </c>
      <c r="G2767" t="s">
        <v>1419</v>
      </c>
      <c r="H2767" s="89">
        <v>46210</v>
      </c>
      <c r="I2767" s="89">
        <v>46212</v>
      </c>
      <c r="J2767" s="91" t="s">
        <v>3549</v>
      </c>
      <c r="K2767" s="91"/>
      <c r="M2767" s="91"/>
      <c r="N2767" s="91" t="s">
        <v>3903</v>
      </c>
    </row>
    <row r="2768" spans="1:14" x14ac:dyDescent="0.25">
      <c r="A2768" s="91" t="s">
        <v>1317</v>
      </c>
      <c r="B2768" s="91" t="s">
        <v>1331</v>
      </c>
      <c r="C2768" s="91" t="s">
        <v>3933</v>
      </c>
      <c r="D2768" s="91" t="s">
        <v>21</v>
      </c>
      <c r="E2768" s="91"/>
      <c r="F2768">
        <v>20</v>
      </c>
      <c r="G2768" t="s">
        <v>1419</v>
      </c>
      <c r="H2768" s="89">
        <v>46210</v>
      </c>
      <c r="I2768" s="89">
        <v>46212</v>
      </c>
      <c r="J2768" s="91" t="s">
        <v>3549</v>
      </c>
      <c r="K2768" s="91"/>
      <c r="M2768" s="91"/>
      <c r="N2768" s="91" t="s">
        <v>3903</v>
      </c>
    </row>
    <row r="2769" spans="1:14" x14ac:dyDescent="0.25">
      <c r="A2769" s="91" t="s">
        <v>1318</v>
      </c>
      <c r="B2769" s="91" t="s">
        <v>1332</v>
      </c>
      <c r="C2769" s="91" t="s">
        <v>3934</v>
      </c>
      <c r="D2769" s="91" t="s">
        <v>21</v>
      </c>
      <c r="E2769" s="91"/>
      <c r="F2769">
        <v>63</v>
      </c>
      <c r="G2769" t="s">
        <v>1419</v>
      </c>
      <c r="H2769" s="89">
        <v>46210</v>
      </c>
      <c r="I2769" s="89">
        <v>46212</v>
      </c>
      <c r="J2769" s="91" t="s">
        <v>3549</v>
      </c>
      <c r="K2769" s="91"/>
      <c r="M2769" s="91"/>
      <c r="N2769" s="91" t="s">
        <v>3903</v>
      </c>
    </row>
    <row r="2770" spans="1:14" x14ac:dyDescent="0.25">
      <c r="A2770" s="91" t="s">
        <v>1313</v>
      </c>
      <c r="B2770" s="91" t="s">
        <v>1327</v>
      </c>
      <c r="C2770" s="91" t="s">
        <v>3935</v>
      </c>
      <c r="D2770" s="91" t="s">
        <v>97</v>
      </c>
      <c r="E2770" s="91"/>
      <c r="F2770">
        <v>864</v>
      </c>
      <c r="G2770">
        <v>18</v>
      </c>
      <c r="H2770" s="89">
        <v>46211</v>
      </c>
      <c r="I2770" s="89">
        <v>46216</v>
      </c>
      <c r="J2770" s="91" t="s">
        <v>3936</v>
      </c>
      <c r="K2770" s="91"/>
      <c r="M2770" s="91"/>
      <c r="N2770" s="91" t="s">
        <v>3903</v>
      </c>
    </row>
    <row r="2771" spans="1:14" x14ac:dyDescent="0.25">
      <c r="A2771" s="91" t="s">
        <v>1313</v>
      </c>
      <c r="B2771" s="91" t="s">
        <v>1327</v>
      </c>
      <c r="C2771" s="91" t="s">
        <v>3937</v>
      </c>
      <c r="D2771" s="91" t="s">
        <v>20</v>
      </c>
      <c r="E2771" s="91"/>
      <c r="F2771">
        <v>1056</v>
      </c>
      <c r="G2771">
        <v>22</v>
      </c>
      <c r="H2771" s="89">
        <v>46211</v>
      </c>
      <c r="I2771" s="89">
        <v>46216</v>
      </c>
      <c r="J2771" s="91" t="s">
        <v>3938</v>
      </c>
      <c r="K2771" s="91"/>
      <c r="M2771" s="91"/>
      <c r="N2771" s="91" t="s">
        <v>3903</v>
      </c>
    </row>
    <row r="2772" spans="1:14" x14ac:dyDescent="0.25">
      <c r="A2772" s="91" t="s">
        <v>1315</v>
      </c>
      <c r="B2772" s="91" t="s">
        <v>1329</v>
      </c>
      <c r="C2772" s="91" t="s">
        <v>3937</v>
      </c>
      <c r="D2772" s="91" t="s">
        <v>20</v>
      </c>
      <c r="E2772" s="91"/>
      <c r="F2772">
        <v>105</v>
      </c>
      <c r="G2772" t="s">
        <v>1419</v>
      </c>
      <c r="H2772" s="89">
        <v>46211</v>
      </c>
      <c r="I2772" s="89">
        <v>46213</v>
      </c>
      <c r="J2772" s="91" t="s">
        <v>3549</v>
      </c>
      <c r="K2772" s="91"/>
      <c r="M2772" s="91"/>
      <c r="N2772" s="91" t="s">
        <v>3903</v>
      </c>
    </row>
    <row r="2773" spans="1:14" x14ac:dyDescent="0.25">
      <c r="A2773" s="91" t="s">
        <v>1316</v>
      </c>
      <c r="B2773" s="91" t="s">
        <v>1330</v>
      </c>
      <c r="C2773" s="91" t="s">
        <v>3939</v>
      </c>
      <c r="D2773" s="91" t="s">
        <v>20</v>
      </c>
      <c r="E2773" s="91"/>
      <c r="F2773">
        <v>110</v>
      </c>
      <c r="G2773" t="s">
        <v>1419</v>
      </c>
      <c r="H2773" s="89">
        <v>46211</v>
      </c>
      <c r="I2773" s="89">
        <v>46213</v>
      </c>
      <c r="J2773" s="91" t="s">
        <v>3549</v>
      </c>
      <c r="K2773" s="91"/>
      <c r="M2773" s="91"/>
      <c r="N2773" s="91" t="s">
        <v>3903</v>
      </c>
    </row>
    <row r="2774" spans="1:14" x14ac:dyDescent="0.25">
      <c r="A2774" s="91" t="s">
        <v>1317</v>
      </c>
      <c r="B2774" s="91" t="s">
        <v>1331</v>
      </c>
      <c r="C2774" s="91" t="s">
        <v>3940</v>
      </c>
      <c r="D2774" s="91" t="s">
        <v>20</v>
      </c>
      <c r="E2774" s="91"/>
      <c r="F2774">
        <v>3</v>
      </c>
      <c r="G2774" t="s">
        <v>1419</v>
      </c>
      <c r="H2774" s="89">
        <v>46211</v>
      </c>
      <c r="I2774" s="89">
        <v>46213</v>
      </c>
      <c r="J2774" s="91" t="s">
        <v>3549</v>
      </c>
      <c r="K2774" s="91"/>
      <c r="M2774" s="91"/>
      <c r="N2774" s="91" t="s">
        <v>3903</v>
      </c>
    </row>
    <row r="2775" spans="1:14" x14ac:dyDescent="0.25">
      <c r="A2775" s="91" t="s">
        <v>1318</v>
      </c>
      <c r="B2775" s="91" t="s">
        <v>1332</v>
      </c>
      <c r="C2775" s="91" t="s">
        <v>3941</v>
      </c>
      <c r="D2775" s="91" t="s">
        <v>20</v>
      </c>
      <c r="E2775" s="91"/>
      <c r="F2775">
        <v>30</v>
      </c>
      <c r="G2775" t="s">
        <v>1419</v>
      </c>
      <c r="H2775" s="89">
        <v>46211</v>
      </c>
      <c r="I2775" s="89">
        <v>46213</v>
      </c>
      <c r="J2775" s="91" t="s">
        <v>3549</v>
      </c>
      <c r="K2775" s="91"/>
      <c r="M2775" s="91"/>
      <c r="N2775" s="91" t="s">
        <v>3903</v>
      </c>
    </row>
    <row r="2776" spans="1:14" x14ac:dyDescent="0.25">
      <c r="A2776" s="91" t="s">
        <v>1313</v>
      </c>
      <c r="B2776" s="91" t="s">
        <v>1327</v>
      </c>
      <c r="C2776" s="91" t="s">
        <v>3942</v>
      </c>
      <c r="D2776" s="91" t="s">
        <v>21</v>
      </c>
      <c r="E2776" s="91"/>
      <c r="F2776">
        <v>912</v>
      </c>
      <c r="G2776">
        <v>19</v>
      </c>
      <c r="H2776" s="89">
        <v>46211</v>
      </c>
      <c r="I2776" s="89">
        <v>46215</v>
      </c>
      <c r="J2776" s="91" t="s">
        <v>3943</v>
      </c>
      <c r="K2776" s="91"/>
      <c r="M2776" s="91"/>
      <c r="N2776" s="91" t="s">
        <v>3903</v>
      </c>
    </row>
    <row r="2777" spans="1:14" x14ac:dyDescent="0.25">
      <c r="A2777" s="91" t="s">
        <v>1314</v>
      </c>
      <c r="B2777" s="91" t="s">
        <v>1328</v>
      </c>
      <c r="C2777" s="91" t="s">
        <v>3942</v>
      </c>
      <c r="D2777" s="91" t="s">
        <v>21</v>
      </c>
      <c r="E2777" s="91"/>
      <c r="F2777">
        <v>240</v>
      </c>
      <c r="G2777">
        <v>5</v>
      </c>
      <c r="H2777" s="89">
        <v>46211</v>
      </c>
      <c r="I2777" s="89">
        <v>46215</v>
      </c>
      <c r="J2777" s="91" t="s">
        <v>3944</v>
      </c>
      <c r="K2777" s="91"/>
      <c r="M2777" s="91"/>
      <c r="N2777" s="91" t="s">
        <v>3903</v>
      </c>
    </row>
    <row r="2778" spans="1:14" x14ac:dyDescent="0.25">
      <c r="A2778" s="91" t="s">
        <v>1315</v>
      </c>
      <c r="B2778" s="91" t="s">
        <v>1329</v>
      </c>
      <c r="C2778" s="91" t="s">
        <v>3942</v>
      </c>
      <c r="D2778" s="91" t="s">
        <v>21</v>
      </c>
      <c r="E2778" s="91"/>
      <c r="F2778">
        <v>28</v>
      </c>
      <c r="G2778" t="s">
        <v>1419</v>
      </c>
      <c r="H2778" s="89">
        <v>46211</v>
      </c>
      <c r="I2778" s="89">
        <v>46213</v>
      </c>
      <c r="J2778" s="91" t="s">
        <v>3549</v>
      </c>
      <c r="K2778" s="91"/>
      <c r="M2778" s="91"/>
      <c r="N2778" s="91" t="s">
        <v>3903</v>
      </c>
    </row>
    <row r="2779" spans="1:14" x14ac:dyDescent="0.25">
      <c r="A2779" s="91" t="s">
        <v>1316</v>
      </c>
      <c r="B2779" s="91" t="s">
        <v>1330</v>
      </c>
      <c r="C2779" s="91" t="s">
        <v>3945</v>
      </c>
      <c r="D2779" s="91" t="s">
        <v>21</v>
      </c>
      <c r="E2779" s="91"/>
      <c r="F2779">
        <v>10</v>
      </c>
      <c r="G2779" t="s">
        <v>1419</v>
      </c>
      <c r="H2779" s="89">
        <v>46211</v>
      </c>
      <c r="I2779" s="89">
        <v>46213</v>
      </c>
      <c r="J2779" s="91" t="s">
        <v>3549</v>
      </c>
      <c r="K2779" s="91"/>
      <c r="M2779" s="91"/>
      <c r="N2779" s="91" t="s">
        <v>3903</v>
      </c>
    </row>
    <row r="2780" spans="1:14" x14ac:dyDescent="0.25">
      <c r="A2780" s="91" t="s">
        <v>1317</v>
      </c>
      <c r="B2780" s="91" t="s">
        <v>1331</v>
      </c>
      <c r="C2780" s="91" t="s">
        <v>3946</v>
      </c>
      <c r="D2780" s="91" t="s">
        <v>21</v>
      </c>
      <c r="E2780" s="91"/>
      <c r="F2780">
        <v>13</v>
      </c>
      <c r="G2780" t="s">
        <v>1419</v>
      </c>
      <c r="H2780" s="89">
        <v>46211</v>
      </c>
      <c r="I2780" s="89">
        <v>46213</v>
      </c>
      <c r="J2780" s="91" t="s">
        <v>3549</v>
      </c>
      <c r="K2780" s="91"/>
      <c r="M2780" s="91"/>
      <c r="N2780" s="91" t="s">
        <v>3903</v>
      </c>
    </row>
    <row r="2781" spans="1:14" x14ac:dyDescent="0.25">
      <c r="A2781" s="91" t="s">
        <v>1318</v>
      </c>
      <c r="B2781" s="91" t="s">
        <v>1332</v>
      </c>
      <c r="C2781" s="91" t="s">
        <v>3947</v>
      </c>
      <c r="D2781" s="91" t="s">
        <v>21</v>
      </c>
      <c r="E2781" s="91"/>
      <c r="F2781">
        <v>46</v>
      </c>
      <c r="G2781" t="s">
        <v>1419</v>
      </c>
      <c r="H2781" s="89">
        <v>46211</v>
      </c>
      <c r="I2781" s="89">
        <v>46213</v>
      </c>
      <c r="J2781" s="91" t="s">
        <v>3549</v>
      </c>
      <c r="K2781" s="91"/>
      <c r="M2781" s="91"/>
      <c r="N2781" s="91" t="s">
        <v>3903</v>
      </c>
    </row>
    <row r="2782" spans="1:14" x14ac:dyDescent="0.25">
      <c r="A2782" s="91" t="s">
        <v>1320</v>
      </c>
      <c r="B2782" s="91" t="s">
        <v>1334</v>
      </c>
      <c r="C2782" s="91" t="s">
        <v>3948</v>
      </c>
      <c r="D2782" s="91" t="s">
        <v>15</v>
      </c>
      <c r="E2782" s="91"/>
      <c r="F2782">
        <v>960</v>
      </c>
      <c r="G2782">
        <v>20</v>
      </c>
      <c r="H2782" s="89">
        <v>46211</v>
      </c>
      <c r="I2782" s="89">
        <v>46216</v>
      </c>
      <c r="J2782" s="91" t="s">
        <v>3949</v>
      </c>
      <c r="K2782" s="91"/>
      <c r="M2782" s="91"/>
      <c r="N2782" s="91" t="s">
        <v>3903</v>
      </c>
    </row>
    <row r="2783" spans="1:14" x14ac:dyDescent="0.25">
      <c r="A2783" s="91" t="s">
        <v>1314</v>
      </c>
      <c r="B2783" s="91" t="s">
        <v>1328</v>
      </c>
      <c r="C2783" s="91" t="s">
        <v>3948</v>
      </c>
      <c r="D2783" s="91" t="s">
        <v>15</v>
      </c>
      <c r="E2783" s="91"/>
      <c r="F2783">
        <v>96</v>
      </c>
      <c r="G2783">
        <v>2</v>
      </c>
      <c r="H2783" s="89">
        <v>46211</v>
      </c>
      <c r="I2783" s="89">
        <v>46216</v>
      </c>
      <c r="J2783" s="91" t="s">
        <v>3938</v>
      </c>
      <c r="K2783" s="91"/>
      <c r="M2783" s="91"/>
      <c r="N2783" s="91" t="s">
        <v>3903</v>
      </c>
    </row>
    <row r="2784" spans="1:14" x14ac:dyDescent="0.25">
      <c r="A2784" s="91" t="s">
        <v>1313</v>
      </c>
      <c r="B2784" s="91" t="s">
        <v>1327</v>
      </c>
      <c r="C2784" s="91" t="s">
        <v>3948</v>
      </c>
      <c r="D2784" s="91" t="s">
        <v>15</v>
      </c>
      <c r="E2784" s="91"/>
      <c r="F2784">
        <v>30</v>
      </c>
      <c r="G2784">
        <v>0.625</v>
      </c>
      <c r="H2784" s="89">
        <v>46211</v>
      </c>
      <c r="I2784" s="89">
        <v>46216</v>
      </c>
      <c r="J2784" s="91" t="s">
        <v>3936</v>
      </c>
      <c r="K2784" s="91"/>
      <c r="M2784" s="91"/>
      <c r="N2784" s="91" t="s">
        <v>3903</v>
      </c>
    </row>
    <row r="2785" spans="1:14" x14ac:dyDescent="0.25">
      <c r="A2785" s="91" t="s">
        <v>1319</v>
      </c>
      <c r="B2785" s="91" t="s">
        <v>1333</v>
      </c>
      <c r="C2785" s="91" t="s">
        <v>3948</v>
      </c>
      <c r="D2785" s="91" t="s">
        <v>15</v>
      </c>
      <c r="E2785" s="91"/>
      <c r="F2785">
        <v>66</v>
      </c>
      <c r="G2785">
        <v>1.375</v>
      </c>
      <c r="H2785" s="89">
        <v>46211</v>
      </c>
      <c r="I2785" s="89">
        <v>46216</v>
      </c>
      <c r="J2785" s="91" t="s">
        <v>3936</v>
      </c>
      <c r="K2785" s="91"/>
      <c r="M2785" s="91"/>
      <c r="N2785" s="91" t="s">
        <v>3903</v>
      </c>
    </row>
    <row r="2786" spans="1:14" x14ac:dyDescent="0.25">
      <c r="A2786" s="91" t="s">
        <v>1313</v>
      </c>
      <c r="B2786" s="91" t="s">
        <v>1327</v>
      </c>
      <c r="C2786" s="91" t="s">
        <v>3948</v>
      </c>
      <c r="D2786" s="91" t="s">
        <v>15</v>
      </c>
      <c r="E2786" s="91"/>
      <c r="F2786">
        <v>48</v>
      </c>
      <c r="G2786">
        <v>1</v>
      </c>
      <c r="H2786" s="89">
        <v>46211</v>
      </c>
      <c r="I2786" s="89">
        <v>46218</v>
      </c>
      <c r="J2786" s="91" t="s">
        <v>3950</v>
      </c>
      <c r="K2786" s="91"/>
      <c r="M2786" s="91"/>
      <c r="N2786" s="91" t="s">
        <v>3903</v>
      </c>
    </row>
    <row r="2787" spans="1:14" x14ac:dyDescent="0.25">
      <c r="A2787" s="91" t="s">
        <v>1315</v>
      </c>
      <c r="B2787" s="91" t="s">
        <v>1329</v>
      </c>
      <c r="C2787" s="91" t="s">
        <v>3948</v>
      </c>
      <c r="D2787" s="91" t="s">
        <v>15</v>
      </c>
      <c r="E2787" s="91"/>
      <c r="F2787">
        <v>26</v>
      </c>
      <c r="G2787" t="s">
        <v>1419</v>
      </c>
      <c r="H2787" s="89">
        <v>46211</v>
      </c>
      <c r="I2787" s="89">
        <v>46213</v>
      </c>
      <c r="J2787" s="91" t="s">
        <v>3549</v>
      </c>
      <c r="K2787" s="91"/>
      <c r="M2787" s="91"/>
      <c r="N2787" s="91" t="s">
        <v>3903</v>
      </c>
    </row>
    <row r="2788" spans="1:14" x14ac:dyDescent="0.25">
      <c r="A2788" s="91" t="s">
        <v>1316</v>
      </c>
      <c r="B2788" s="91" t="s">
        <v>1330</v>
      </c>
      <c r="C2788" s="91" t="s">
        <v>3951</v>
      </c>
      <c r="D2788" s="91" t="s">
        <v>15</v>
      </c>
      <c r="E2788" s="91"/>
      <c r="F2788">
        <v>92</v>
      </c>
      <c r="G2788" t="s">
        <v>1419</v>
      </c>
      <c r="H2788" s="89">
        <v>46211</v>
      </c>
      <c r="I2788" s="89">
        <v>46213</v>
      </c>
      <c r="J2788" s="91" t="s">
        <v>3549</v>
      </c>
      <c r="K2788" s="91"/>
      <c r="M2788" s="91"/>
      <c r="N2788" s="91" t="s">
        <v>3903</v>
      </c>
    </row>
    <row r="2789" spans="1:14" x14ac:dyDescent="0.25">
      <c r="A2789" s="91" t="s">
        <v>1317</v>
      </c>
      <c r="B2789" s="91" t="s">
        <v>1331</v>
      </c>
      <c r="C2789" s="91" t="s">
        <v>3952</v>
      </c>
      <c r="D2789" s="91" t="s">
        <v>15</v>
      </c>
      <c r="E2789" s="91"/>
      <c r="F2789">
        <v>54</v>
      </c>
      <c r="G2789" t="s">
        <v>1419</v>
      </c>
      <c r="H2789" s="89">
        <v>46211</v>
      </c>
      <c r="I2789" s="89">
        <v>46213</v>
      </c>
      <c r="J2789" s="91" t="s">
        <v>3549</v>
      </c>
      <c r="K2789" s="91"/>
      <c r="M2789" s="91"/>
      <c r="N2789" s="91" t="s">
        <v>3903</v>
      </c>
    </row>
    <row r="2790" spans="1:14" x14ac:dyDescent="0.25">
      <c r="A2790" s="91" t="s">
        <v>1318</v>
      </c>
      <c r="B2790" s="91" t="s">
        <v>1332</v>
      </c>
      <c r="C2790" s="91" t="s">
        <v>3953</v>
      </c>
      <c r="D2790" s="91" t="s">
        <v>15</v>
      </c>
      <c r="E2790" s="91"/>
      <c r="F2790">
        <v>16</v>
      </c>
      <c r="G2790" t="s">
        <v>1419</v>
      </c>
      <c r="H2790" s="89">
        <v>46211</v>
      </c>
      <c r="I2790" s="89">
        <v>46213</v>
      </c>
      <c r="J2790" s="91" t="s">
        <v>3549</v>
      </c>
      <c r="K2790" s="91"/>
      <c r="M2790" s="91"/>
      <c r="N2790" s="91" t="s">
        <v>3903</v>
      </c>
    </row>
    <row r="2791" spans="1:14" x14ac:dyDescent="0.25">
      <c r="A2791" s="91" t="s">
        <v>1320</v>
      </c>
      <c r="B2791" s="91" t="s">
        <v>1334</v>
      </c>
      <c r="C2791" s="91" t="s">
        <v>3954</v>
      </c>
      <c r="D2791" s="91" t="s">
        <v>30</v>
      </c>
      <c r="E2791" s="91"/>
      <c r="F2791">
        <v>480</v>
      </c>
      <c r="G2791">
        <v>10</v>
      </c>
      <c r="H2791" s="89">
        <v>46212</v>
      </c>
      <c r="I2791" s="89">
        <v>46216</v>
      </c>
      <c r="J2791" s="91" t="s">
        <v>3955</v>
      </c>
      <c r="K2791" s="91"/>
      <c r="M2791" s="91"/>
      <c r="N2791" s="91" t="s">
        <v>3903</v>
      </c>
    </row>
    <row r="2792" spans="1:14" x14ac:dyDescent="0.25">
      <c r="A2792" s="91" t="s">
        <v>1320</v>
      </c>
      <c r="B2792" s="91" t="s">
        <v>1334</v>
      </c>
      <c r="C2792" s="91" t="s">
        <v>3956</v>
      </c>
      <c r="D2792" s="91" t="s">
        <v>119</v>
      </c>
      <c r="E2792" s="91"/>
      <c r="F2792">
        <v>480</v>
      </c>
      <c r="G2792">
        <v>10</v>
      </c>
      <c r="H2792" s="89">
        <v>46212</v>
      </c>
      <c r="I2792" s="89">
        <v>46216</v>
      </c>
      <c r="J2792" s="91" t="s">
        <v>3955</v>
      </c>
      <c r="K2792" s="91"/>
      <c r="M2792" s="91"/>
      <c r="N2792" s="91" t="s">
        <v>3903</v>
      </c>
    </row>
    <row r="2793" spans="1:14" x14ac:dyDescent="0.25">
      <c r="A2793" s="91" t="s">
        <v>1325</v>
      </c>
      <c r="B2793" s="91" t="s">
        <v>1339</v>
      </c>
      <c r="C2793" s="91" t="s">
        <v>3957</v>
      </c>
      <c r="D2793" s="91" t="s">
        <v>159</v>
      </c>
      <c r="E2793" s="91"/>
      <c r="F2793">
        <v>288</v>
      </c>
      <c r="G2793">
        <v>6</v>
      </c>
      <c r="H2793" s="89">
        <v>46212</v>
      </c>
      <c r="I2793" s="89">
        <v>46215</v>
      </c>
      <c r="J2793" s="91" t="s">
        <v>3549</v>
      </c>
      <c r="K2793" s="91"/>
      <c r="M2793" s="91"/>
      <c r="N2793" s="91" t="s">
        <v>3903</v>
      </c>
    </row>
    <row r="2794" spans="1:14" x14ac:dyDescent="0.25">
      <c r="A2794" s="91" t="s">
        <v>1320</v>
      </c>
      <c r="B2794" s="91" t="s">
        <v>1334</v>
      </c>
      <c r="C2794" s="91" t="s">
        <v>3958</v>
      </c>
      <c r="D2794" s="91" t="s">
        <v>150</v>
      </c>
      <c r="E2794" s="91"/>
      <c r="F2794">
        <v>960</v>
      </c>
      <c r="G2794">
        <v>20</v>
      </c>
      <c r="H2794" s="89">
        <v>46212</v>
      </c>
      <c r="I2794" s="89">
        <v>46216</v>
      </c>
      <c r="J2794" s="91" t="s">
        <v>3959</v>
      </c>
      <c r="K2794" s="91"/>
      <c r="M2794" s="91"/>
      <c r="N2794" s="91" t="s">
        <v>3903</v>
      </c>
    </row>
    <row r="2795" spans="1:14" x14ac:dyDescent="0.25">
      <c r="A2795" s="91" t="s">
        <v>1324</v>
      </c>
      <c r="B2795" s="91" t="s">
        <v>1338</v>
      </c>
      <c r="C2795" s="91" t="s">
        <v>3960</v>
      </c>
      <c r="D2795" s="91" t="s">
        <v>23</v>
      </c>
      <c r="E2795" s="91"/>
      <c r="F2795">
        <v>960</v>
      </c>
      <c r="G2795">
        <v>20</v>
      </c>
      <c r="H2795" s="89">
        <v>46212</v>
      </c>
      <c r="I2795" s="89">
        <v>46218</v>
      </c>
      <c r="J2795" s="91" t="s">
        <v>3961</v>
      </c>
      <c r="K2795" s="91"/>
      <c r="M2795" s="91"/>
      <c r="N2795" s="91" t="s">
        <v>3903</v>
      </c>
    </row>
    <row r="2796" spans="1:14" x14ac:dyDescent="0.25">
      <c r="A2796" s="91" t="s">
        <v>1324</v>
      </c>
      <c r="B2796" s="91" t="s">
        <v>1338</v>
      </c>
      <c r="C2796" s="91" t="s">
        <v>3962</v>
      </c>
      <c r="D2796" s="91" t="s">
        <v>21</v>
      </c>
      <c r="E2796" s="91"/>
      <c r="F2796">
        <v>960</v>
      </c>
      <c r="G2796">
        <v>20</v>
      </c>
      <c r="H2796" s="89">
        <v>46212</v>
      </c>
      <c r="I2796" s="89">
        <v>46218</v>
      </c>
      <c r="J2796" s="91" t="s">
        <v>3961</v>
      </c>
      <c r="K2796" s="91"/>
      <c r="M2796" s="91"/>
      <c r="N2796" s="91" t="s">
        <v>3903</v>
      </c>
    </row>
    <row r="2797" spans="1:14" x14ac:dyDescent="0.25">
      <c r="A2797" s="91" t="s">
        <v>1315</v>
      </c>
      <c r="B2797" s="91" t="s">
        <v>1329</v>
      </c>
      <c r="C2797" s="91" t="s">
        <v>3962</v>
      </c>
      <c r="D2797" s="91" t="s">
        <v>21</v>
      </c>
      <c r="E2797" s="91"/>
      <c r="F2797">
        <v>91</v>
      </c>
      <c r="G2797" t="s">
        <v>1419</v>
      </c>
      <c r="H2797" s="89">
        <v>46212</v>
      </c>
      <c r="I2797" s="89">
        <v>46213</v>
      </c>
      <c r="J2797" s="91" t="s">
        <v>3549</v>
      </c>
      <c r="K2797" s="91"/>
      <c r="M2797" s="91"/>
      <c r="N2797" s="91" t="s">
        <v>3903</v>
      </c>
    </row>
    <row r="2798" spans="1:14" x14ac:dyDescent="0.25">
      <c r="A2798" s="91" t="s">
        <v>1316</v>
      </c>
      <c r="B2798" s="91" t="s">
        <v>1330</v>
      </c>
      <c r="C2798" s="91" t="s">
        <v>3963</v>
      </c>
      <c r="D2798" s="91" t="s">
        <v>21</v>
      </c>
      <c r="E2798" s="91"/>
      <c r="F2798">
        <v>14</v>
      </c>
      <c r="G2798" t="s">
        <v>1419</v>
      </c>
      <c r="H2798" s="89">
        <v>46212</v>
      </c>
      <c r="I2798" s="89">
        <v>46214</v>
      </c>
      <c r="J2798" s="91" t="s">
        <v>3549</v>
      </c>
      <c r="K2798" s="91"/>
      <c r="M2798" s="91"/>
      <c r="N2798" s="91" t="s">
        <v>3903</v>
      </c>
    </row>
    <row r="2799" spans="1:14" x14ac:dyDescent="0.25">
      <c r="A2799" s="91" t="s">
        <v>1317</v>
      </c>
      <c r="B2799" s="91" t="s">
        <v>1331</v>
      </c>
      <c r="C2799" s="91" t="s">
        <v>3964</v>
      </c>
      <c r="D2799" s="91" t="s">
        <v>21</v>
      </c>
      <c r="E2799" s="91"/>
      <c r="F2799">
        <v>23</v>
      </c>
      <c r="G2799" t="s">
        <v>1419</v>
      </c>
      <c r="H2799" s="89">
        <v>46212</v>
      </c>
      <c r="I2799" s="89">
        <v>46214</v>
      </c>
      <c r="J2799" s="91" t="s">
        <v>3549</v>
      </c>
      <c r="K2799" s="91"/>
      <c r="M2799" s="91"/>
      <c r="N2799" s="91" t="s">
        <v>3903</v>
      </c>
    </row>
    <row r="2800" spans="1:14" x14ac:dyDescent="0.25">
      <c r="A2800" s="91" t="s">
        <v>1318</v>
      </c>
      <c r="B2800" s="91" t="s">
        <v>1332</v>
      </c>
      <c r="C2800" s="91" t="s">
        <v>3965</v>
      </c>
      <c r="D2800" s="91" t="s">
        <v>21</v>
      </c>
      <c r="E2800" s="91"/>
      <c r="F2800">
        <v>44</v>
      </c>
      <c r="G2800" t="s">
        <v>1419</v>
      </c>
      <c r="H2800" s="89">
        <v>46212</v>
      </c>
      <c r="I2800" s="89">
        <v>46214</v>
      </c>
      <c r="J2800" s="91" t="s">
        <v>3549</v>
      </c>
      <c r="K2800" s="91"/>
      <c r="M2800" s="91"/>
      <c r="N2800" s="91" t="s">
        <v>3903</v>
      </c>
    </row>
    <row r="2801" spans="1:14" x14ac:dyDescent="0.25">
      <c r="A2801" s="91" t="s">
        <v>1313</v>
      </c>
      <c r="B2801" s="91" t="s">
        <v>1327</v>
      </c>
      <c r="C2801" s="91" t="s">
        <v>3966</v>
      </c>
      <c r="D2801" s="91" t="s">
        <v>15</v>
      </c>
      <c r="E2801" s="91"/>
      <c r="F2801">
        <v>912</v>
      </c>
      <c r="G2801">
        <v>19</v>
      </c>
      <c r="H2801" s="89">
        <v>46212</v>
      </c>
      <c r="I2801" s="89">
        <v>46218</v>
      </c>
      <c r="J2801" s="91" t="s">
        <v>3950</v>
      </c>
      <c r="K2801" s="91"/>
      <c r="M2801" s="91"/>
      <c r="N2801" s="91" t="s">
        <v>3903</v>
      </c>
    </row>
    <row r="2802" spans="1:14" x14ac:dyDescent="0.25">
      <c r="A2802" s="91" t="s">
        <v>1314</v>
      </c>
      <c r="B2802" s="91" t="s">
        <v>1328</v>
      </c>
      <c r="C2802" s="91" t="s">
        <v>3966</v>
      </c>
      <c r="D2802" s="91" t="s">
        <v>15</v>
      </c>
      <c r="E2802" s="91"/>
      <c r="F2802">
        <v>288</v>
      </c>
      <c r="G2802">
        <v>6</v>
      </c>
      <c r="H2802" s="89">
        <v>46212</v>
      </c>
      <c r="I2802" s="89">
        <v>46217</v>
      </c>
      <c r="J2802" s="91" t="s">
        <v>3967</v>
      </c>
      <c r="K2802" s="91"/>
      <c r="M2802" s="91"/>
      <c r="N2802" s="91" t="s">
        <v>3903</v>
      </c>
    </row>
    <row r="2803" spans="1:14" x14ac:dyDescent="0.25">
      <c r="A2803" s="91" t="s">
        <v>1315</v>
      </c>
      <c r="B2803" s="91" t="s">
        <v>1329</v>
      </c>
      <c r="C2803" s="91" t="s">
        <v>3966</v>
      </c>
      <c r="D2803" s="91" t="s">
        <v>15</v>
      </c>
      <c r="E2803" s="91"/>
      <c r="F2803">
        <v>8</v>
      </c>
      <c r="G2803" t="s">
        <v>1419</v>
      </c>
      <c r="H2803" s="89">
        <v>46212</v>
      </c>
      <c r="I2803" s="89">
        <v>46214</v>
      </c>
      <c r="J2803" s="91" t="s">
        <v>3549</v>
      </c>
      <c r="K2803" s="91"/>
      <c r="M2803" s="91"/>
      <c r="N2803" s="91" t="s">
        <v>3903</v>
      </c>
    </row>
    <row r="2804" spans="1:14" x14ac:dyDescent="0.25">
      <c r="A2804" s="91" t="s">
        <v>1316</v>
      </c>
      <c r="B2804" s="91" t="s">
        <v>1330</v>
      </c>
      <c r="C2804" s="91" t="s">
        <v>3968</v>
      </c>
      <c r="D2804" s="91" t="s">
        <v>15</v>
      </c>
      <c r="E2804" s="91"/>
      <c r="F2804">
        <v>57</v>
      </c>
      <c r="G2804" t="s">
        <v>1419</v>
      </c>
      <c r="H2804" s="89">
        <v>46212</v>
      </c>
      <c r="I2804" s="89">
        <v>46214</v>
      </c>
      <c r="J2804" s="91" t="s">
        <v>3549</v>
      </c>
      <c r="K2804" s="91"/>
      <c r="M2804" s="91"/>
      <c r="N2804" s="91" t="s">
        <v>3903</v>
      </c>
    </row>
    <row r="2805" spans="1:14" x14ac:dyDescent="0.25">
      <c r="A2805" s="91" t="s">
        <v>1317</v>
      </c>
      <c r="B2805" s="91" t="s">
        <v>1331</v>
      </c>
      <c r="C2805" s="91" t="s">
        <v>3969</v>
      </c>
      <c r="D2805" s="91" t="s">
        <v>15</v>
      </c>
      <c r="E2805" s="91"/>
      <c r="F2805">
        <v>43</v>
      </c>
      <c r="G2805" t="s">
        <v>1419</v>
      </c>
      <c r="H2805" s="89">
        <v>46212</v>
      </c>
      <c r="I2805" s="89">
        <v>46214</v>
      </c>
      <c r="J2805" s="91" t="s">
        <v>3549</v>
      </c>
      <c r="K2805" s="91"/>
      <c r="M2805" s="91"/>
      <c r="N2805" s="91" t="s">
        <v>3903</v>
      </c>
    </row>
    <row r="2806" spans="1:14" x14ac:dyDescent="0.25">
      <c r="A2806" s="91" t="s">
        <v>1318</v>
      </c>
      <c r="B2806" s="91" t="s">
        <v>1332</v>
      </c>
      <c r="C2806" s="91" t="s">
        <v>3970</v>
      </c>
      <c r="D2806" s="91" t="s">
        <v>15</v>
      </c>
      <c r="E2806" s="91"/>
      <c r="F2806">
        <v>16</v>
      </c>
      <c r="G2806" t="s">
        <v>1419</v>
      </c>
      <c r="H2806" s="89">
        <v>46212</v>
      </c>
      <c r="I2806" s="89">
        <v>46214</v>
      </c>
      <c r="J2806" s="91" t="s">
        <v>3549</v>
      </c>
      <c r="K2806" s="91"/>
      <c r="M2806" s="91"/>
      <c r="N2806" s="91" t="s">
        <v>3903</v>
      </c>
    </row>
    <row r="2807" spans="1:14" x14ac:dyDescent="0.25">
      <c r="A2807" s="91" t="s">
        <v>1320</v>
      </c>
      <c r="B2807" s="91" t="s">
        <v>1334</v>
      </c>
      <c r="C2807" s="91" t="s">
        <v>3971</v>
      </c>
      <c r="D2807" s="91" t="s">
        <v>20</v>
      </c>
      <c r="E2807" s="91"/>
      <c r="F2807">
        <v>960</v>
      </c>
      <c r="G2807">
        <v>20</v>
      </c>
      <c r="H2807" s="89">
        <v>46212</v>
      </c>
      <c r="I2807" s="89">
        <v>46216</v>
      </c>
      <c r="J2807" s="91" t="s">
        <v>3972</v>
      </c>
      <c r="K2807" s="91"/>
      <c r="M2807" s="91"/>
      <c r="N2807" s="91" t="s">
        <v>3903</v>
      </c>
    </row>
    <row r="2808" spans="1:14" x14ac:dyDescent="0.25">
      <c r="A2808" s="91" t="s">
        <v>1315</v>
      </c>
      <c r="B2808" s="91" t="s">
        <v>1329</v>
      </c>
      <c r="C2808" s="91" t="s">
        <v>3971</v>
      </c>
      <c r="D2808" s="91" t="s">
        <v>20</v>
      </c>
      <c r="E2808" s="91"/>
      <c r="F2808">
        <v>125</v>
      </c>
      <c r="G2808" t="s">
        <v>1419</v>
      </c>
      <c r="H2808" s="89">
        <v>46212</v>
      </c>
      <c r="I2808" s="89">
        <v>46214</v>
      </c>
      <c r="J2808" s="91" t="s">
        <v>3549</v>
      </c>
      <c r="K2808" s="91"/>
      <c r="M2808" s="91"/>
      <c r="N2808" s="91" t="s">
        <v>3903</v>
      </c>
    </row>
    <row r="2809" spans="1:14" x14ac:dyDescent="0.25">
      <c r="A2809" s="91" t="s">
        <v>1325</v>
      </c>
      <c r="B2809" s="91" t="s">
        <v>1339</v>
      </c>
      <c r="C2809" s="91" t="s">
        <v>3971</v>
      </c>
      <c r="D2809" s="91" t="s">
        <v>20</v>
      </c>
      <c r="E2809" s="91"/>
      <c r="F2809">
        <v>96</v>
      </c>
      <c r="G2809">
        <v>2</v>
      </c>
      <c r="H2809" s="89">
        <v>46212</v>
      </c>
      <c r="I2809" s="89">
        <v>46215</v>
      </c>
      <c r="J2809" s="91" t="s">
        <v>3549</v>
      </c>
      <c r="K2809" s="91"/>
      <c r="M2809" s="91"/>
      <c r="N2809" s="91" t="s">
        <v>3903</v>
      </c>
    </row>
    <row r="2810" spans="1:14" x14ac:dyDescent="0.25">
      <c r="A2810" s="91" t="s">
        <v>1316</v>
      </c>
      <c r="B2810" s="91" t="s">
        <v>1330</v>
      </c>
      <c r="C2810" s="91" t="s">
        <v>3973</v>
      </c>
      <c r="D2810" s="91" t="s">
        <v>20</v>
      </c>
      <c r="E2810" s="91"/>
      <c r="F2810">
        <v>85</v>
      </c>
      <c r="G2810" t="s">
        <v>1419</v>
      </c>
      <c r="H2810" s="89">
        <v>46212</v>
      </c>
      <c r="I2810" s="89">
        <v>46214</v>
      </c>
      <c r="J2810" s="91" t="s">
        <v>3549</v>
      </c>
      <c r="K2810" s="91"/>
      <c r="M2810" s="91"/>
      <c r="N2810" s="91" t="s">
        <v>3903</v>
      </c>
    </row>
    <row r="2811" spans="1:14" x14ac:dyDescent="0.25">
      <c r="A2811" s="91" t="s">
        <v>1317</v>
      </c>
      <c r="B2811" s="91" t="s">
        <v>1331</v>
      </c>
      <c r="C2811" s="91" t="s">
        <v>3974</v>
      </c>
      <c r="D2811" s="91" t="s">
        <v>20</v>
      </c>
      <c r="E2811" s="91"/>
      <c r="F2811">
        <v>19</v>
      </c>
      <c r="G2811" t="s">
        <v>1419</v>
      </c>
      <c r="H2811" s="89">
        <v>46212</v>
      </c>
      <c r="I2811" s="89">
        <v>46214</v>
      </c>
      <c r="J2811" s="91" t="s">
        <v>3549</v>
      </c>
      <c r="K2811" s="91"/>
      <c r="M2811" s="91"/>
      <c r="N2811" s="91" t="s">
        <v>3903</v>
      </c>
    </row>
    <row r="2812" spans="1:14" x14ac:dyDescent="0.25">
      <c r="A2812" s="91" t="s">
        <v>1318</v>
      </c>
      <c r="B2812" s="91" t="s">
        <v>1332</v>
      </c>
      <c r="C2812" s="91" t="s">
        <v>3975</v>
      </c>
      <c r="D2812" s="91" t="s">
        <v>20</v>
      </c>
      <c r="E2812" s="91"/>
      <c r="F2812">
        <v>47</v>
      </c>
      <c r="G2812" t="s">
        <v>1419</v>
      </c>
      <c r="H2812" s="89">
        <v>46212</v>
      </c>
      <c r="I2812" s="89">
        <v>46214</v>
      </c>
      <c r="J2812" s="91" t="s">
        <v>3549</v>
      </c>
      <c r="K2812" s="91"/>
      <c r="M2812" s="91"/>
      <c r="N2812" s="91" t="s">
        <v>3903</v>
      </c>
    </row>
    <row r="2813" spans="1:14" x14ac:dyDescent="0.25">
      <c r="A2813" s="91" t="s">
        <v>1326</v>
      </c>
      <c r="B2813" s="91" t="s">
        <v>1340</v>
      </c>
      <c r="C2813" s="91" t="s">
        <v>3976</v>
      </c>
      <c r="D2813" s="91" t="s">
        <v>32</v>
      </c>
      <c r="E2813" s="91"/>
      <c r="F2813">
        <v>840</v>
      </c>
      <c r="G2813">
        <v>20</v>
      </c>
      <c r="H2813" s="89">
        <v>46213</v>
      </c>
      <c r="I2813" s="89">
        <v>46217</v>
      </c>
      <c r="J2813" s="91" t="s">
        <v>3977</v>
      </c>
      <c r="K2813" s="91"/>
      <c r="M2813" s="91"/>
      <c r="N2813" s="91" t="s">
        <v>3903</v>
      </c>
    </row>
    <row r="2814" spans="1:14" x14ac:dyDescent="0.25">
      <c r="A2814" s="91" t="s">
        <v>1320</v>
      </c>
      <c r="B2814" s="91" t="s">
        <v>1334</v>
      </c>
      <c r="C2814" s="91" t="s">
        <v>3978</v>
      </c>
      <c r="D2814" s="91" t="s">
        <v>30</v>
      </c>
      <c r="E2814" s="91"/>
      <c r="F2814">
        <v>480</v>
      </c>
      <c r="G2814">
        <v>10</v>
      </c>
      <c r="H2814" s="89">
        <v>46213</v>
      </c>
      <c r="I2814" s="89">
        <v>46217</v>
      </c>
      <c r="J2814" s="91" t="s">
        <v>3979</v>
      </c>
      <c r="K2814" s="91"/>
      <c r="M2814" s="91"/>
      <c r="N2814" s="91" t="s">
        <v>3903</v>
      </c>
    </row>
    <row r="2815" spans="1:14" x14ac:dyDescent="0.25">
      <c r="A2815" s="91" t="s">
        <v>1320</v>
      </c>
      <c r="B2815" s="91" t="s">
        <v>1334</v>
      </c>
      <c r="C2815" s="91" t="s">
        <v>3980</v>
      </c>
      <c r="D2815" s="91" t="s">
        <v>119</v>
      </c>
      <c r="E2815" s="91"/>
      <c r="F2815">
        <v>480</v>
      </c>
      <c r="G2815">
        <v>10</v>
      </c>
      <c r="H2815" s="89">
        <v>46213</v>
      </c>
      <c r="I2815" s="89">
        <v>46217</v>
      </c>
      <c r="J2815" s="91" t="s">
        <v>3979</v>
      </c>
      <c r="K2815" s="91"/>
      <c r="M2815" s="91"/>
      <c r="N2815" s="91" t="s">
        <v>3903</v>
      </c>
    </row>
    <row r="2816" spans="1:14" x14ac:dyDescent="0.25">
      <c r="A2816" s="91" t="s">
        <v>1324</v>
      </c>
      <c r="B2816" s="91" t="s">
        <v>1338</v>
      </c>
      <c r="C2816" s="91" t="s">
        <v>3981</v>
      </c>
      <c r="D2816" s="91" t="s">
        <v>23</v>
      </c>
      <c r="E2816" s="91"/>
      <c r="F2816">
        <v>960</v>
      </c>
      <c r="G2816">
        <v>20</v>
      </c>
      <c r="H2816" s="89">
        <v>46213</v>
      </c>
      <c r="I2816" s="89">
        <v>46221</v>
      </c>
      <c r="J2816" s="91" t="s">
        <v>3982</v>
      </c>
      <c r="K2816" s="91"/>
      <c r="M2816" s="91"/>
      <c r="N2816" s="91" t="s">
        <v>3903</v>
      </c>
    </row>
    <row r="2817" spans="1:14" x14ac:dyDescent="0.25">
      <c r="A2817" s="91" t="s">
        <v>1320</v>
      </c>
      <c r="B2817" s="91" t="s">
        <v>1334</v>
      </c>
      <c r="C2817" s="91" t="s">
        <v>3983</v>
      </c>
      <c r="D2817" s="91" t="s">
        <v>150</v>
      </c>
      <c r="E2817" s="91"/>
      <c r="F2817">
        <v>960</v>
      </c>
      <c r="G2817">
        <v>20</v>
      </c>
      <c r="H2817" s="89">
        <v>46213</v>
      </c>
      <c r="I2817" s="89">
        <v>46219</v>
      </c>
      <c r="J2817" s="91" t="s">
        <v>3984</v>
      </c>
      <c r="K2817" s="91"/>
      <c r="M2817" s="91"/>
      <c r="N2817" s="91" t="s">
        <v>3903</v>
      </c>
    </row>
    <row r="2818" spans="1:14" x14ac:dyDescent="0.25">
      <c r="A2818" s="91" t="s">
        <v>1313</v>
      </c>
      <c r="B2818" s="91" t="s">
        <v>1327</v>
      </c>
      <c r="C2818" s="91" t="s">
        <v>3983</v>
      </c>
      <c r="D2818" s="91" t="s">
        <v>150</v>
      </c>
      <c r="E2818" s="91"/>
      <c r="F2818">
        <v>192</v>
      </c>
      <c r="G2818">
        <v>4</v>
      </c>
      <c r="H2818" s="89">
        <v>46213</v>
      </c>
      <c r="I2818" s="89">
        <v>46218</v>
      </c>
      <c r="J2818" s="91" t="s">
        <v>3950</v>
      </c>
      <c r="K2818" s="91"/>
      <c r="M2818" s="91"/>
      <c r="N2818" s="91" t="s">
        <v>3903</v>
      </c>
    </row>
    <row r="2819" spans="1:14" x14ac:dyDescent="0.25">
      <c r="A2819" s="91" t="s">
        <v>1320</v>
      </c>
      <c r="B2819" s="91" t="s">
        <v>1334</v>
      </c>
      <c r="C2819" s="91" t="s">
        <v>3985</v>
      </c>
      <c r="D2819" s="91" t="s">
        <v>92</v>
      </c>
      <c r="E2819" s="91"/>
      <c r="F2819">
        <v>960</v>
      </c>
      <c r="G2819">
        <v>20</v>
      </c>
      <c r="H2819" s="89">
        <v>46213</v>
      </c>
      <c r="I2819" s="89">
        <v>46218</v>
      </c>
      <c r="J2819" s="91" t="s">
        <v>3986</v>
      </c>
      <c r="K2819" s="91"/>
      <c r="M2819" s="91"/>
      <c r="N2819" s="91" t="s">
        <v>3903</v>
      </c>
    </row>
    <row r="2820" spans="1:14" x14ac:dyDescent="0.25">
      <c r="A2820" s="91" t="s">
        <v>1320</v>
      </c>
      <c r="B2820" s="91" t="s">
        <v>1334</v>
      </c>
      <c r="C2820" s="91" t="s">
        <v>3987</v>
      </c>
      <c r="D2820" s="91" t="s">
        <v>94</v>
      </c>
      <c r="E2820" s="91"/>
      <c r="F2820">
        <v>960</v>
      </c>
      <c r="G2820">
        <v>20</v>
      </c>
      <c r="H2820" s="89">
        <v>46213</v>
      </c>
      <c r="I2820" s="89">
        <v>46219</v>
      </c>
      <c r="J2820" s="91" t="s">
        <v>3988</v>
      </c>
      <c r="K2820" s="91"/>
      <c r="M2820" s="91"/>
      <c r="N2820" s="91" t="s">
        <v>3903</v>
      </c>
    </row>
    <row r="2821" spans="1:14" x14ac:dyDescent="0.25">
      <c r="A2821" s="91" t="s">
        <v>1316</v>
      </c>
      <c r="B2821" s="91" t="s">
        <v>1330</v>
      </c>
      <c r="C2821" s="91" t="s">
        <v>3989</v>
      </c>
      <c r="D2821" s="91" t="s">
        <v>28</v>
      </c>
      <c r="E2821" s="91"/>
      <c r="F2821">
        <v>12</v>
      </c>
      <c r="G2821" t="s">
        <v>1419</v>
      </c>
      <c r="H2821" s="89">
        <v>46213</v>
      </c>
      <c r="I2821" s="89">
        <v>46215</v>
      </c>
      <c r="J2821" s="91" t="s">
        <v>3549</v>
      </c>
      <c r="K2821" s="91"/>
      <c r="M2821" s="91"/>
      <c r="N2821" s="91" t="s">
        <v>3903</v>
      </c>
    </row>
    <row r="2822" spans="1:14" x14ac:dyDescent="0.25">
      <c r="A2822" s="91" t="s">
        <v>1315</v>
      </c>
      <c r="B2822" s="91" t="s">
        <v>1329</v>
      </c>
      <c r="C2822" s="91" t="s">
        <v>3990</v>
      </c>
      <c r="D2822" s="91" t="s">
        <v>20</v>
      </c>
      <c r="E2822" s="91"/>
      <c r="F2822">
        <v>80</v>
      </c>
      <c r="G2822" t="s">
        <v>1419</v>
      </c>
      <c r="H2822" s="89">
        <v>46213</v>
      </c>
      <c r="I2822" s="89">
        <v>46215</v>
      </c>
      <c r="J2822" s="91" t="s">
        <v>3549</v>
      </c>
      <c r="K2822" s="91"/>
      <c r="M2822" s="91"/>
      <c r="N2822" s="91" t="s">
        <v>3903</v>
      </c>
    </row>
    <row r="2823" spans="1:14" x14ac:dyDescent="0.25">
      <c r="A2823" s="91" t="s">
        <v>1325</v>
      </c>
      <c r="B2823" s="91" t="s">
        <v>1339</v>
      </c>
      <c r="C2823" s="91" t="s">
        <v>3990</v>
      </c>
      <c r="D2823" s="91" t="s">
        <v>20</v>
      </c>
      <c r="E2823" s="91"/>
      <c r="F2823">
        <v>48</v>
      </c>
      <c r="G2823">
        <v>1</v>
      </c>
      <c r="H2823" s="89">
        <v>46213</v>
      </c>
      <c r="I2823" s="89">
        <v>46215</v>
      </c>
      <c r="J2823" s="91" t="s">
        <v>3549</v>
      </c>
      <c r="K2823" s="91"/>
      <c r="M2823" s="91"/>
      <c r="N2823" s="91" t="s">
        <v>3903</v>
      </c>
    </row>
    <row r="2824" spans="1:14" x14ac:dyDescent="0.25">
      <c r="A2824" s="91" t="s">
        <v>1316</v>
      </c>
      <c r="B2824" s="91" t="s">
        <v>1330</v>
      </c>
      <c r="C2824" s="91" t="s">
        <v>3991</v>
      </c>
      <c r="D2824" s="91" t="s">
        <v>20</v>
      </c>
      <c r="E2824" s="91"/>
      <c r="F2824">
        <v>93</v>
      </c>
      <c r="G2824" t="s">
        <v>1419</v>
      </c>
      <c r="H2824" s="89">
        <v>46213</v>
      </c>
      <c r="I2824" s="89">
        <v>46215</v>
      </c>
      <c r="J2824" s="91" t="s">
        <v>3549</v>
      </c>
      <c r="K2824" s="91"/>
      <c r="M2824" s="91"/>
      <c r="N2824" s="91" t="s">
        <v>3903</v>
      </c>
    </row>
    <row r="2825" spans="1:14" x14ac:dyDescent="0.25">
      <c r="A2825" s="91" t="s">
        <v>1317</v>
      </c>
      <c r="B2825" s="91" t="s">
        <v>1331</v>
      </c>
      <c r="C2825" s="91" t="s">
        <v>3992</v>
      </c>
      <c r="D2825" s="91" t="s">
        <v>20</v>
      </c>
      <c r="E2825" s="91"/>
      <c r="F2825">
        <v>7</v>
      </c>
      <c r="G2825" t="s">
        <v>1419</v>
      </c>
      <c r="H2825" s="89">
        <v>46213</v>
      </c>
      <c r="I2825" s="89">
        <v>46215</v>
      </c>
      <c r="J2825" s="91" t="s">
        <v>3549</v>
      </c>
      <c r="K2825" s="91"/>
      <c r="M2825" s="91"/>
      <c r="N2825" s="91" t="s">
        <v>3903</v>
      </c>
    </row>
    <row r="2826" spans="1:14" x14ac:dyDescent="0.25">
      <c r="A2826" s="91" t="s">
        <v>1318</v>
      </c>
      <c r="B2826" s="91" t="s">
        <v>1332</v>
      </c>
      <c r="C2826" s="91" t="s">
        <v>3993</v>
      </c>
      <c r="D2826" s="91" t="s">
        <v>20</v>
      </c>
      <c r="E2826" s="91"/>
      <c r="F2826">
        <v>37</v>
      </c>
      <c r="G2826" t="s">
        <v>1419</v>
      </c>
      <c r="H2826" s="89">
        <v>46213</v>
      </c>
      <c r="I2826" s="89">
        <v>46215</v>
      </c>
      <c r="J2826" s="91" t="s">
        <v>3549</v>
      </c>
      <c r="K2826" s="91"/>
      <c r="M2826" s="91"/>
      <c r="N2826" s="91" t="s">
        <v>3903</v>
      </c>
    </row>
    <row r="2827" spans="1:14" x14ac:dyDescent="0.25">
      <c r="A2827" s="91" t="s">
        <v>1313</v>
      </c>
      <c r="B2827" s="91" t="s">
        <v>1327</v>
      </c>
      <c r="C2827" s="91" t="s">
        <v>3994</v>
      </c>
      <c r="D2827" s="91" t="s">
        <v>15</v>
      </c>
      <c r="E2827" s="91"/>
      <c r="F2827">
        <v>864</v>
      </c>
      <c r="G2827">
        <v>20</v>
      </c>
      <c r="H2827" s="89">
        <v>46213</v>
      </c>
      <c r="I2827" s="89">
        <v>46217</v>
      </c>
      <c r="J2827" s="91" t="s">
        <v>3995</v>
      </c>
      <c r="K2827" s="91"/>
      <c r="M2827" s="91"/>
      <c r="N2827" s="91" t="s">
        <v>3903</v>
      </c>
    </row>
    <row r="2828" spans="1:14" x14ac:dyDescent="0.25">
      <c r="A2828" s="91" t="s">
        <v>1313</v>
      </c>
      <c r="B2828" s="91" t="s">
        <v>1327</v>
      </c>
      <c r="C2828" s="91" t="s">
        <v>3994</v>
      </c>
      <c r="D2828" s="91" t="s">
        <v>15</v>
      </c>
      <c r="E2828" s="91"/>
      <c r="F2828">
        <v>240</v>
      </c>
      <c r="G2828">
        <v>5</v>
      </c>
      <c r="H2828" s="89">
        <v>46213</v>
      </c>
      <c r="I2828" s="89">
        <v>46219</v>
      </c>
      <c r="J2828" s="91" t="s">
        <v>3996</v>
      </c>
      <c r="K2828" s="91"/>
      <c r="M2828" s="91"/>
      <c r="N2828" s="91" t="s">
        <v>3903</v>
      </c>
    </row>
    <row r="2829" spans="1:14" x14ac:dyDescent="0.25">
      <c r="A2829" s="91" t="s">
        <v>1315</v>
      </c>
      <c r="B2829" s="91" t="s">
        <v>1329</v>
      </c>
      <c r="C2829" s="91" t="s">
        <v>3994</v>
      </c>
      <c r="D2829" s="91" t="s">
        <v>15</v>
      </c>
      <c r="E2829" s="91"/>
      <c r="F2829">
        <v>32</v>
      </c>
      <c r="G2829" t="s">
        <v>1419</v>
      </c>
      <c r="H2829" s="89">
        <v>46213</v>
      </c>
      <c r="I2829" s="89">
        <v>46215</v>
      </c>
      <c r="J2829" s="91" t="s">
        <v>3549</v>
      </c>
      <c r="K2829" s="91"/>
      <c r="M2829" s="91"/>
      <c r="N2829" s="91" t="s">
        <v>3903</v>
      </c>
    </row>
    <row r="2830" spans="1:14" x14ac:dyDescent="0.25">
      <c r="A2830" s="91" t="s">
        <v>1316</v>
      </c>
      <c r="B2830" s="91" t="s">
        <v>1330</v>
      </c>
      <c r="C2830" s="91" t="s">
        <v>3997</v>
      </c>
      <c r="D2830" s="91" t="s">
        <v>15</v>
      </c>
      <c r="E2830" s="91"/>
      <c r="F2830">
        <v>28</v>
      </c>
      <c r="G2830" t="s">
        <v>1419</v>
      </c>
      <c r="H2830" s="89">
        <v>46213</v>
      </c>
      <c r="I2830" s="89">
        <v>46215</v>
      </c>
      <c r="J2830" s="91" t="s">
        <v>3549</v>
      </c>
      <c r="K2830" s="91"/>
      <c r="M2830" s="91"/>
      <c r="N2830" s="91" t="s">
        <v>3903</v>
      </c>
    </row>
    <row r="2831" spans="1:14" x14ac:dyDescent="0.25">
      <c r="A2831" s="91" t="s">
        <v>1317</v>
      </c>
      <c r="B2831" s="91" t="s">
        <v>1331</v>
      </c>
      <c r="C2831" s="91" t="s">
        <v>3998</v>
      </c>
      <c r="D2831" s="91" t="s">
        <v>15</v>
      </c>
      <c r="E2831" s="91"/>
      <c r="F2831">
        <v>23</v>
      </c>
      <c r="G2831" t="s">
        <v>1419</v>
      </c>
      <c r="H2831" s="89">
        <v>46213</v>
      </c>
      <c r="I2831" s="89">
        <v>46215</v>
      </c>
      <c r="J2831" s="91" t="s">
        <v>3549</v>
      </c>
      <c r="K2831" s="91"/>
      <c r="M2831" s="91"/>
      <c r="N2831" s="91" t="s">
        <v>3903</v>
      </c>
    </row>
    <row r="2832" spans="1:14" x14ac:dyDescent="0.25">
      <c r="A2832" s="91" t="s">
        <v>1318</v>
      </c>
      <c r="B2832" s="91" t="s">
        <v>1332</v>
      </c>
      <c r="C2832" s="91" t="s">
        <v>3999</v>
      </c>
      <c r="D2832" s="91" t="s">
        <v>15</v>
      </c>
      <c r="E2832" s="91"/>
      <c r="F2832">
        <v>12</v>
      </c>
      <c r="G2832" t="s">
        <v>1419</v>
      </c>
      <c r="H2832" s="89">
        <v>46213</v>
      </c>
      <c r="I2832" s="89">
        <v>46215</v>
      </c>
      <c r="J2832" s="91" t="s">
        <v>3549</v>
      </c>
      <c r="K2832" s="91"/>
      <c r="M2832" s="91"/>
      <c r="N2832" s="91" t="s">
        <v>3903</v>
      </c>
    </row>
    <row r="2833" spans="1:14" x14ac:dyDescent="0.25">
      <c r="A2833" s="91" t="s">
        <v>1320</v>
      </c>
      <c r="B2833" s="91" t="s">
        <v>1334</v>
      </c>
      <c r="C2833" s="91" t="s">
        <v>4000</v>
      </c>
      <c r="D2833" s="91" t="s">
        <v>28</v>
      </c>
      <c r="E2833" s="91"/>
      <c r="F2833">
        <v>960</v>
      </c>
      <c r="G2833">
        <v>20</v>
      </c>
      <c r="H2833" s="89">
        <v>46213</v>
      </c>
      <c r="I2833" s="89">
        <v>46218</v>
      </c>
      <c r="J2833" s="91" t="s">
        <v>4001</v>
      </c>
      <c r="K2833" s="91"/>
      <c r="M2833" s="91"/>
      <c r="N2833" s="91" t="s">
        <v>3903</v>
      </c>
    </row>
    <row r="2834" spans="1:14" x14ac:dyDescent="0.25">
      <c r="A2834" s="91" t="s">
        <v>1315</v>
      </c>
      <c r="B2834" s="91" t="s">
        <v>1329</v>
      </c>
      <c r="C2834" s="91" t="s">
        <v>4000</v>
      </c>
      <c r="D2834" s="91" t="s">
        <v>28</v>
      </c>
      <c r="E2834" s="91"/>
      <c r="F2834">
        <v>96</v>
      </c>
      <c r="G2834" t="s">
        <v>1419</v>
      </c>
      <c r="H2834" s="89">
        <v>46213</v>
      </c>
      <c r="I2834" s="89">
        <v>46215</v>
      </c>
      <c r="J2834" s="91" t="s">
        <v>3549</v>
      </c>
      <c r="K2834" s="91"/>
      <c r="M2834" s="91"/>
      <c r="N2834" s="91" t="s">
        <v>3903</v>
      </c>
    </row>
    <row r="2835" spans="1:14" x14ac:dyDescent="0.25">
      <c r="A2835" s="91" t="s">
        <v>1318</v>
      </c>
      <c r="B2835" s="91" t="s">
        <v>1332</v>
      </c>
      <c r="C2835" s="91" t="s">
        <v>4002</v>
      </c>
      <c r="D2835" s="91" t="s">
        <v>28</v>
      </c>
      <c r="E2835" s="91"/>
      <c r="F2835">
        <v>40</v>
      </c>
      <c r="G2835" t="s">
        <v>1419</v>
      </c>
      <c r="H2835" s="89">
        <v>46213</v>
      </c>
      <c r="I2835" s="89">
        <v>46215</v>
      </c>
      <c r="J2835" s="91" t="s">
        <v>3549</v>
      </c>
      <c r="K2835" s="91"/>
      <c r="M2835" s="91"/>
      <c r="N2835" s="91" t="s">
        <v>3903</v>
      </c>
    </row>
    <row r="2836" spans="1:14" x14ac:dyDescent="0.25">
      <c r="A2836" s="91" t="s">
        <v>1324</v>
      </c>
      <c r="B2836" s="91" t="s">
        <v>1338</v>
      </c>
      <c r="C2836" s="91" t="s">
        <v>4003</v>
      </c>
      <c r="D2836" s="91" t="s">
        <v>147</v>
      </c>
      <c r="E2836" s="91"/>
      <c r="F2836">
        <v>480</v>
      </c>
      <c r="G2836">
        <v>10</v>
      </c>
      <c r="H2836" s="89">
        <v>46214</v>
      </c>
      <c r="I2836" s="89">
        <v>46221</v>
      </c>
      <c r="J2836" s="91" t="s">
        <v>3982</v>
      </c>
      <c r="K2836" s="91"/>
      <c r="M2836" s="91"/>
      <c r="N2836" s="91" t="s">
        <v>3903</v>
      </c>
    </row>
    <row r="2837" spans="1:14" x14ac:dyDescent="0.25">
      <c r="A2837" s="91" t="s">
        <v>1324</v>
      </c>
      <c r="B2837" s="91" t="s">
        <v>1338</v>
      </c>
      <c r="C2837" s="91" t="s">
        <v>4004</v>
      </c>
      <c r="D2837" s="91" t="s">
        <v>13</v>
      </c>
      <c r="E2837" s="91"/>
      <c r="F2837">
        <v>480</v>
      </c>
      <c r="G2837">
        <v>10</v>
      </c>
      <c r="H2837" s="89">
        <v>46214</v>
      </c>
      <c r="I2837" s="89">
        <v>46221</v>
      </c>
      <c r="J2837" s="91" t="s">
        <v>3982</v>
      </c>
      <c r="K2837" s="91"/>
      <c r="M2837" s="91"/>
      <c r="N2837" s="91" t="s">
        <v>3903</v>
      </c>
    </row>
    <row r="2838" spans="1:14" x14ac:dyDescent="0.25">
      <c r="A2838" s="91" t="s">
        <v>1313</v>
      </c>
      <c r="B2838" s="91" t="s">
        <v>1327</v>
      </c>
      <c r="C2838" s="91" t="s">
        <v>4005</v>
      </c>
      <c r="D2838" s="91" t="s">
        <v>15</v>
      </c>
      <c r="E2838" s="91"/>
      <c r="F2838">
        <v>912</v>
      </c>
      <c r="G2838">
        <v>19</v>
      </c>
      <c r="H2838" s="89">
        <v>46214</v>
      </c>
      <c r="I2838" s="89">
        <v>46219</v>
      </c>
      <c r="J2838" s="91" t="s">
        <v>3996</v>
      </c>
      <c r="K2838" s="91"/>
      <c r="M2838" s="91"/>
      <c r="N2838" s="91" t="s">
        <v>3903</v>
      </c>
    </row>
    <row r="2839" spans="1:14" x14ac:dyDescent="0.25">
      <c r="A2839" s="91" t="s">
        <v>1314</v>
      </c>
      <c r="B2839" s="91" t="s">
        <v>1328</v>
      </c>
      <c r="C2839" s="91" t="s">
        <v>4005</v>
      </c>
      <c r="D2839" s="91" t="s">
        <v>15</v>
      </c>
      <c r="E2839" s="91"/>
      <c r="F2839">
        <v>240</v>
      </c>
      <c r="G2839">
        <v>5</v>
      </c>
      <c r="H2839" s="89">
        <v>46214</v>
      </c>
      <c r="I2839" s="89">
        <v>46219</v>
      </c>
      <c r="J2839" s="91" t="s">
        <v>4006</v>
      </c>
      <c r="K2839" s="91"/>
      <c r="M2839" s="91"/>
      <c r="N2839" s="91" t="s">
        <v>3903</v>
      </c>
    </row>
    <row r="2840" spans="1:14" x14ac:dyDescent="0.25">
      <c r="A2840" s="91" t="s">
        <v>1315</v>
      </c>
      <c r="B2840" s="91" t="s">
        <v>1329</v>
      </c>
      <c r="C2840" s="91" t="s">
        <v>4005</v>
      </c>
      <c r="D2840" s="91" t="s">
        <v>15</v>
      </c>
      <c r="E2840" s="91"/>
      <c r="F2840">
        <v>21</v>
      </c>
      <c r="G2840" t="s">
        <v>1419</v>
      </c>
      <c r="H2840" s="89">
        <v>46214</v>
      </c>
      <c r="I2840" s="89">
        <v>46216</v>
      </c>
      <c r="J2840" s="91" t="s">
        <v>3549</v>
      </c>
      <c r="K2840" s="91"/>
      <c r="M2840" s="91"/>
      <c r="N2840" s="91" t="s">
        <v>3903</v>
      </c>
    </row>
    <row r="2841" spans="1:14" x14ac:dyDescent="0.25">
      <c r="A2841" s="91" t="s">
        <v>1316</v>
      </c>
      <c r="B2841" s="91" t="s">
        <v>1330</v>
      </c>
      <c r="C2841" s="91" t="s">
        <v>4007</v>
      </c>
      <c r="D2841" s="91" t="s">
        <v>15</v>
      </c>
      <c r="E2841" s="91"/>
      <c r="F2841">
        <v>37</v>
      </c>
      <c r="G2841" t="s">
        <v>1419</v>
      </c>
      <c r="H2841" s="89">
        <v>46214</v>
      </c>
      <c r="I2841" s="89">
        <v>46216</v>
      </c>
      <c r="J2841" s="91" t="s">
        <v>3549</v>
      </c>
      <c r="K2841" s="91"/>
      <c r="M2841" s="91"/>
      <c r="N2841" s="91" t="s">
        <v>3903</v>
      </c>
    </row>
    <row r="2842" spans="1:14" x14ac:dyDescent="0.25">
      <c r="A2842" s="91" t="s">
        <v>1317</v>
      </c>
      <c r="B2842" s="91" t="s">
        <v>1331</v>
      </c>
      <c r="C2842" s="91" t="s">
        <v>4008</v>
      </c>
      <c r="D2842" s="91" t="s">
        <v>15</v>
      </c>
      <c r="E2842" s="91"/>
      <c r="F2842">
        <v>33</v>
      </c>
      <c r="G2842" t="s">
        <v>1419</v>
      </c>
      <c r="H2842" s="89">
        <v>46214</v>
      </c>
      <c r="I2842" s="89">
        <v>46216</v>
      </c>
      <c r="J2842" s="91" t="s">
        <v>3549</v>
      </c>
      <c r="K2842" s="91"/>
      <c r="M2842" s="91"/>
      <c r="N2842" s="91" t="s">
        <v>3903</v>
      </c>
    </row>
    <row r="2843" spans="1:14" x14ac:dyDescent="0.25">
      <c r="A2843" s="91" t="s">
        <v>1318</v>
      </c>
      <c r="B2843" s="91" t="s">
        <v>1332</v>
      </c>
      <c r="C2843" s="91" t="s">
        <v>4009</v>
      </c>
      <c r="D2843" s="91" t="s">
        <v>15</v>
      </c>
      <c r="E2843" s="91"/>
      <c r="F2843">
        <v>13</v>
      </c>
      <c r="G2843" t="s">
        <v>1419</v>
      </c>
      <c r="H2843" s="89">
        <v>46214</v>
      </c>
      <c r="I2843" s="89">
        <v>46216</v>
      </c>
      <c r="J2843" s="91" t="s">
        <v>3549</v>
      </c>
      <c r="K2843" s="91"/>
      <c r="M2843" s="91"/>
      <c r="N2843" s="91" t="s">
        <v>3903</v>
      </c>
    </row>
    <row r="2844" spans="1:14" x14ac:dyDescent="0.25">
      <c r="A2844" s="91" t="s">
        <v>1320</v>
      </c>
      <c r="B2844" s="91" t="s">
        <v>1334</v>
      </c>
      <c r="C2844" s="91" t="s">
        <v>3990</v>
      </c>
      <c r="D2844" s="91" t="s">
        <v>20</v>
      </c>
      <c r="E2844" s="91"/>
      <c r="F2844">
        <v>960</v>
      </c>
      <c r="G2844">
        <v>20</v>
      </c>
      <c r="H2844" s="89">
        <v>46213</v>
      </c>
      <c r="I2844" s="89">
        <v>46217</v>
      </c>
      <c r="J2844" s="91" t="s">
        <v>4010</v>
      </c>
      <c r="K2844" s="91"/>
      <c r="M2844" s="91"/>
      <c r="N2844" s="91" t="s">
        <v>3903</v>
      </c>
    </row>
    <row r="2845" spans="1:14" x14ac:dyDescent="0.25">
      <c r="A2845" s="91" t="s">
        <v>1317</v>
      </c>
      <c r="B2845" s="91" t="s">
        <v>1331</v>
      </c>
      <c r="C2845" s="91" t="s">
        <v>4011</v>
      </c>
      <c r="D2845" s="91" t="s">
        <v>28</v>
      </c>
      <c r="E2845" s="91"/>
      <c r="F2845">
        <v>19</v>
      </c>
      <c r="G2845" t="s">
        <v>1419</v>
      </c>
      <c r="H2845" s="89">
        <v>46213</v>
      </c>
      <c r="I2845" s="89">
        <v>46215</v>
      </c>
      <c r="J2845" s="91" t="s">
        <v>3549</v>
      </c>
      <c r="K2845" s="91"/>
      <c r="M2845" s="91"/>
      <c r="N2845" s="91" t="s">
        <v>3903</v>
      </c>
    </row>
    <row r="2846" spans="1:14" x14ac:dyDescent="0.25">
      <c r="A2846" s="91" t="s">
        <v>1313</v>
      </c>
      <c r="B2846" s="91" t="s">
        <v>1327</v>
      </c>
      <c r="C2846" s="91" t="s">
        <v>4012</v>
      </c>
      <c r="D2846" s="91" t="s">
        <v>15</v>
      </c>
      <c r="E2846" s="91"/>
      <c r="F2846">
        <v>240</v>
      </c>
      <c r="G2846">
        <v>5</v>
      </c>
      <c r="H2846" s="89">
        <v>46216</v>
      </c>
      <c r="I2846" s="89">
        <v>46220</v>
      </c>
      <c r="J2846" s="91" t="s">
        <v>4013</v>
      </c>
      <c r="K2846" s="91"/>
      <c r="M2846" s="91"/>
      <c r="N2846" s="91" t="s">
        <v>4014</v>
      </c>
    </row>
    <row r="2847" spans="1:14" x14ac:dyDescent="0.25">
      <c r="A2847" s="91" t="s">
        <v>1314</v>
      </c>
      <c r="B2847" s="91" t="s">
        <v>1328</v>
      </c>
      <c r="C2847" s="91" t="s">
        <v>4012</v>
      </c>
      <c r="D2847" s="91" t="s">
        <v>15</v>
      </c>
      <c r="E2847" s="91"/>
      <c r="F2847">
        <v>48</v>
      </c>
      <c r="G2847">
        <v>1</v>
      </c>
      <c r="H2847" s="89">
        <v>46216</v>
      </c>
      <c r="I2847" s="89">
        <v>46220</v>
      </c>
      <c r="J2847" s="91" t="s">
        <v>4013</v>
      </c>
      <c r="K2847" s="91"/>
      <c r="M2847" s="91"/>
      <c r="N2847" s="91" t="s">
        <v>4014</v>
      </c>
    </row>
    <row r="2848" spans="1:14" x14ac:dyDescent="0.25">
      <c r="A2848" s="91" t="s">
        <v>1313</v>
      </c>
      <c r="B2848" s="91" t="s">
        <v>1327</v>
      </c>
      <c r="C2848" s="91" t="s">
        <v>4015</v>
      </c>
      <c r="D2848" s="91" t="s">
        <v>21</v>
      </c>
      <c r="E2848" s="91"/>
      <c r="F2848">
        <v>864</v>
      </c>
      <c r="G2848">
        <v>18</v>
      </c>
      <c r="H2848" s="89">
        <v>46216</v>
      </c>
      <c r="I2848" s="89">
        <v>46220</v>
      </c>
      <c r="J2848" s="91" t="s">
        <v>4013</v>
      </c>
      <c r="K2848" s="91"/>
      <c r="M2848" s="91"/>
      <c r="N2848" s="91" t="s">
        <v>4014</v>
      </c>
    </row>
    <row r="2849" spans="1:14" x14ac:dyDescent="0.25">
      <c r="A2849" s="91" t="s">
        <v>1313</v>
      </c>
      <c r="B2849" s="91" t="s">
        <v>1327</v>
      </c>
      <c r="C2849" s="91" t="s">
        <v>4012</v>
      </c>
      <c r="D2849" s="91" t="s">
        <v>15</v>
      </c>
      <c r="E2849" s="91"/>
      <c r="F2849">
        <v>912</v>
      </c>
      <c r="G2849">
        <v>19</v>
      </c>
      <c r="H2849" s="89">
        <v>46216</v>
      </c>
      <c r="I2849" s="89">
        <v>46219</v>
      </c>
      <c r="J2849" s="91" t="s">
        <v>4016</v>
      </c>
      <c r="K2849" s="91"/>
      <c r="M2849" s="91"/>
      <c r="N2849" s="91" t="s">
        <v>4014</v>
      </c>
    </row>
    <row r="2850" spans="1:14" x14ac:dyDescent="0.25">
      <c r="A2850" s="91" t="s">
        <v>1320</v>
      </c>
      <c r="B2850" s="91" t="s">
        <v>1334</v>
      </c>
      <c r="C2850" s="91" t="s">
        <v>4015</v>
      </c>
      <c r="D2850" s="91" t="s">
        <v>21</v>
      </c>
      <c r="E2850" s="91"/>
      <c r="F2850">
        <v>480</v>
      </c>
      <c r="G2850">
        <v>10</v>
      </c>
      <c r="H2850" s="89">
        <v>46216</v>
      </c>
      <c r="I2850" s="89">
        <v>46220</v>
      </c>
      <c r="J2850" s="91" t="s">
        <v>4017</v>
      </c>
      <c r="K2850" s="91"/>
      <c r="M2850" s="91"/>
      <c r="N2850" s="91" t="s">
        <v>4014</v>
      </c>
    </row>
    <row r="2851" spans="1:14" x14ac:dyDescent="0.25">
      <c r="A2851" s="91" t="s">
        <v>1320</v>
      </c>
      <c r="B2851" s="91" t="s">
        <v>1334</v>
      </c>
      <c r="C2851" s="91" t="s">
        <v>4018</v>
      </c>
      <c r="D2851" s="91" t="s">
        <v>147</v>
      </c>
      <c r="E2851" s="91"/>
      <c r="F2851">
        <v>960</v>
      </c>
      <c r="G2851">
        <v>20</v>
      </c>
      <c r="H2851" s="89">
        <v>46216</v>
      </c>
      <c r="I2851" s="89">
        <v>46220</v>
      </c>
      <c r="J2851" s="91" t="s">
        <v>4019</v>
      </c>
      <c r="K2851" s="91"/>
      <c r="M2851" s="91"/>
      <c r="N2851" s="91" t="s">
        <v>4014</v>
      </c>
    </row>
    <row r="2852" spans="1:14" x14ac:dyDescent="0.25">
      <c r="A2852" s="91" t="s">
        <v>1320</v>
      </c>
      <c r="B2852" s="91" t="s">
        <v>1334</v>
      </c>
      <c r="C2852" s="91" t="s">
        <v>4020</v>
      </c>
      <c r="D2852" s="91" t="s">
        <v>13</v>
      </c>
      <c r="E2852" s="91"/>
      <c r="F2852">
        <v>480</v>
      </c>
      <c r="G2852">
        <v>10</v>
      </c>
      <c r="H2852" s="89">
        <v>46216</v>
      </c>
      <c r="I2852" s="89">
        <v>46220</v>
      </c>
      <c r="J2852" s="91" t="s">
        <v>4017</v>
      </c>
      <c r="K2852" s="91"/>
      <c r="M2852" s="91"/>
      <c r="N2852" s="91" t="s">
        <v>4014</v>
      </c>
    </row>
    <row r="2853" spans="1:14" x14ac:dyDescent="0.25">
      <c r="A2853" s="91" t="s">
        <v>1315</v>
      </c>
      <c r="B2853" s="91" t="s">
        <v>1329</v>
      </c>
      <c r="C2853" s="91" t="s">
        <v>4012</v>
      </c>
      <c r="D2853" s="91" t="s">
        <v>15</v>
      </c>
      <c r="E2853" s="91"/>
      <c r="F2853">
        <v>10</v>
      </c>
      <c r="G2853" t="s">
        <v>1419</v>
      </c>
      <c r="H2853" s="89">
        <v>46216</v>
      </c>
      <c r="I2853" s="89">
        <v>46218</v>
      </c>
      <c r="J2853" s="91" t="s">
        <v>3549</v>
      </c>
      <c r="K2853" s="91"/>
      <c r="M2853" s="91"/>
      <c r="N2853" s="91" t="s">
        <v>4014</v>
      </c>
    </row>
    <row r="2854" spans="1:14" x14ac:dyDescent="0.25">
      <c r="A2854" s="91" t="s">
        <v>1316</v>
      </c>
      <c r="B2854" s="91" t="s">
        <v>1330</v>
      </c>
      <c r="C2854" s="91" t="s">
        <v>4021</v>
      </c>
      <c r="D2854" s="91" t="s">
        <v>15</v>
      </c>
      <c r="E2854" s="91"/>
      <c r="F2854">
        <v>48</v>
      </c>
      <c r="G2854" t="s">
        <v>1419</v>
      </c>
      <c r="H2854" s="89">
        <v>46216</v>
      </c>
      <c r="I2854" s="89">
        <v>46218</v>
      </c>
      <c r="J2854" s="91" t="s">
        <v>3549</v>
      </c>
      <c r="K2854" s="91"/>
      <c r="M2854" s="91"/>
      <c r="N2854" s="91" t="s">
        <v>4014</v>
      </c>
    </row>
    <row r="2855" spans="1:14" x14ac:dyDescent="0.25">
      <c r="A2855" s="91" t="s">
        <v>1317</v>
      </c>
      <c r="B2855" s="91" t="s">
        <v>1331</v>
      </c>
      <c r="C2855" s="91" t="s">
        <v>4022</v>
      </c>
      <c r="D2855" s="91" t="s">
        <v>15</v>
      </c>
      <c r="E2855" s="91"/>
      <c r="F2855">
        <v>42</v>
      </c>
      <c r="G2855" t="s">
        <v>1419</v>
      </c>
      <c r="H2855" s="89">
        <v>46216</v>
      </c>
      <c r="I2855" s="89">
        <v>46218</v>
      </c>
      <c r="J2855" s="91" t="s">
        <v>3549</v>
      </c>
      <c r="K2855" s="91"/>
      <c r="M2855" s="91"/>
      <c r="N2855" s="91" t="s">
        <v>4014</v>
      </c>
    </row>
    <row r="2856" spans="1:14" x14ac:dyDescent="0.25">
      <c r="A2856" s="91" t="s">
        <v>1318</v>
      </c>
      <c r="B2856" s="91" t="s">
        <v>1332</v>
      </c>
      <c r="C2856" s="91" t="s">
        <v>4023</v>
      </c>
      <c r="D2856" s="91" t="s">
        <v>15</v>
      </c>
      <c r="E2856" s="91"/>
      <c r="F2856">
        <v>14</v>
      </c>
      <c r="G2856" t="s">
        <v>1419</v>
      </c>
      <c r="H2856" s="89">
        <v>46216</v>
      </c>
      <c r="I2856" s="89">
        <v>46218</v>
      </c>
      <c r="J2856" s="91" t="s">
        <v>3549</v>
      </c>
      <c r="K2856" s="91"/>
      <c r="M2856" s="91"/>
      <c r="N2856" s="91" t="s">
        <v>4014</v>
      </c>
    </row>
    <row r="2857" spans="1:14" x14ac:dyDescent="0.25">
      <c r="A2857" s="91" t="s">
        <v>1315</v>
      </c>
      <c r="B2857" s="91" t="s">
        <v>1329</v>
      </c>
      <c r="C2857" s="91" t="s">
        <v>4015</v>
      </c>
      <c r="D2857" s="91" t="s">
        <v>21</v>
      </c>
      <c r="E2857" s="91"/>
      <c r="F2857">
        <v>71</v>
      </c>
      <c r="G2857" t="s">
        <v>1419</v>
      </c>
      <c r="H2857" s="89">
        <v>46216</v>
      </c>
      <c r="I2857" s="89">
        <v>46218</v>
      </c>
      <c r="J2857" s="91" t="s">
        <v>3549</v>
      </c>
      <c r="K2857" s="91"/>
      <c r="M2857" s="91"/>
      <c r="N2857" s="91" t="s">
        <v>4014</v>
      </c>
    </row>
    <row r="2858" spans="1:14" x14ac:dyDescent="0.25">
      <c r="A2858" s="91" t="s">
        <v>1316</v>
      </c>
      <c r="B2858" s="91" t="s">
        <v>1330</v>
      </c>
      <c r="C2858" s="91" t="s">
        <v>4024</v>
      </c>
      <c r="D2858" s="91" t="s">
        <v>21</v>
      </c>
      <c r="E2858" s="91"/>
      <c r="F2858">
        <v>56</v>
      </c>
      <c r="G2858" t="s">
        <v>1419</v>
      </c>
      <c r="H2858" s="89">
        <v>46216</v>
      </c>
      <c r="I2858" s="89">
        <v>46218</v>
      </c>
      <c r="J2858" s="91" t="s">
        <v>3549</v>
      </c>
      <c r="K2858" s="91"/>
      <c r="M2858" s="91"/>
      <c r="N2858" s="91" t="s">
        <v>4014</v>
      </c>
    </row>
    <row r="2859" spans="1:14" x14ac:dyDescent="0.25">
      <c r="A2859" s="91" t="s">
        <v>1317</v>
      </c>
      <c r="B2859" s="91" t="s">
        <v>1331</v>
      </c>
      <c r="C2859" s="91" t="s">
        <v>4025</v>
      </c>
      <c r="D2859" s="91" t="s">
        <v>21</v>
      </c>
      <c r="E2859" s="91"/>
      <c r="F2859">
        <v>16</v>
      </c>
      <c r="G2859" t="s">
        <v>1419</v>
      </c>
      <c r="H2859" s="89">
        <v>46216</v>
      </c>
      <c r="I2859" s="89">
        <v>46218</v>
      </c>
      <c r="J2859" s="91" t="s">
        <v>3549</v>
      </c>
      <c r="K2859" s="91"/>
      <c r="M2859" s="91"/>
      <c r="N2859" s="91" t="s">
        <v>4014</v>
      </c>
    </row>
    <row r="2860" spans="1:14" x14ac:dyDescent="0.25">
      <c r="A2860" s="91" t="s">
        <v>1318</v>
      </c>
      <c r="B2860" s="91" t="s">
        <v>1332</v>
      </c>
      <c r="C2860" s="91" t="s">
        <v>4026</v>
      </c>
      <c r="D2860" s="91" t="s">
        <v>21</v>
      </c>
      <c r="E2860" s="91"/>
      <c r="F2860">
        <v>56</v>
      </c>
      <c r="G2860" t="s">
        <v>1419</v>
      </c>
      <c r="H2860" s="89">
        <v>46216</v>
      </c>
      <c r="I2860" s="89">
        <v>46218</v>
      </c>
      <c r="J2860" s="91" t="s">
        <v>3549</v>
      </c>
      <c r="K2860" s="91"/>
      <c r="M2860" s="91"/>
      <c r="N2860" s="91" t="s">
        <v>4014</v>
      </c>
    </row>
    <row r="2861" spans="1:14" x14ac:dyDescent="0.25">
      <c r="A2861" s="91" t="s">
        <v>1314</v>
      </c>
      <c r="B2861" s="91" t="s">
        <v>1328</v>
      </c>
      <c r="C2861" s="91" t="s">
        <v>4027</v>
      </c>
      <c r="D2861" s="91" t="s">
        <v>15</v>
      </c>
      <c r="E2861" s="91"/>
      <c r="F2861">
        <v>144</v>
      </c>
      <c r="G2861">
        <v>3</v>
      </c>
      <c r="H2861" s="89">
        <v>46217</v>
      </c>
      <c r="I2861" s="89">
        <v>46222</v>
      </c>
      <c r="J2861" s="91" t="s">
        <v>4028</v>
      </c>
      <c r="K2861" s="91"/>
      <c r="M2861" s="91"/>
      <c r="N2861" s="91" t="s">
        <v>4014</v>
      </c>
    </row>
    <row r="2862" spans="1:14" x14ac:dyDescent="0.25">
      <c r="A2862" s="91" t="s">
        <v>1324</v>
      </c>
      <c r="B2862" s="91" t="s">
        <v>1338</v>
      </c>
      <c r="C2862" s="91" t="s">
        <v>4029</v>
      </c>
      <c r="D2862" s="91" t="s">
        <v>28</v>
      </c>
      <c r="E2862" s="91"/>
      <c r="F2862">
        <v>960</v>
      </c>
      <c r="G2862">
        <v>20</v>
      </c>
      <c r="H2862" s="89">
        <v>46217</v>
      </c>
      <c r="I2862" s="89">
        <v>46223</v>
      </c>
      <c r="J2862" s="91" t="s">
        <v>4030</v>
      </c>
      <c r="K2862" s="91"/>
      <c r="M2862" s="91"/>
      <c r="N2862" s="91" t="s">
        <v>4014</v>
      </c>
    </row>
    <row r="2863" spans="1:14" x14ac:dyDescent="0.25">
      <c r="A2863" s="91" t="s">
        <v>1324</v>
      </c>
      <c r="B2863" s="91" t="s">
        <v>1338</v>
      </c>
      <c r="C2863" s="91" t="s">
        <v>4031</v>
      </c>
      <c r="D2863" s="91" t="s">
        <v>23</v>
      </c>
      <c r="E2863" s="91"/>
      <c r="F2863">
        <v>960</v>
      </c>
      <c r="G2863">
        <v>20</v>
      </c>
      <c r="H2863" s="89">
        <v>46217</v>
      </c>
      <c r="I2863" s="89">
        <v>46223</v>
      </c>
      <c r="J2863" s="91" t="s">
        <v>4030</v>
      </c>
      <c r="K2863" s="91"/>
      <c r="M2863" s="91"/>
      <c r="N2863" s="91" t="s">
        <v>4014</v>
      </c>
    </row>
    <row r="2864" spans="1:14" x14ac:dyDescent="0.25">
      <c r="A2864" s="91" t="s">
        <v>1322</v>
      </c>
      <c r="B2864" s="91" t="s">
        <v>1336</v>
      </c>
      <c r="C2864" s="91" t="s">
        <v>4032</v>
      </c>
      <c r="D2864" s="91" t="s">
        <v>20</v>
      </c>
      <c r="E2864" s="91"/>
      <c r="F2864">
        <v>324</v>
      </c>
      <c r="G2864">
        <v>6</v>
      </c>
      <c r="H2864" s="89">
        <v>46217</v>
      </c>
      <c r="I2864" s="89">
        <v>46221</v>
      </c>
      <c r="J2864" s="91" t="s">
        <v>4033</v>
      </c>
      <c r="K2864" s="91"/>
      <c r="M2864" s="91"/>
      <c r="N2864" s="91" t="s">
        <v>4014</v>
      </c>
    </row>
    <row r="2865" spans="1:14" x14ac:dyDescent="0.25">
      <c r="A2865" s="91" t="s">
        <v>1323</v>
      </c>
      <c r="B2865" s="91" t="s">
        <v>1337</v>
      </c>
      <c r="C2865" s="91" t="s">
        <v>4032</v>
      </c>
      <c r="D2865" s="91" t="s">
        <v>20</v>
      </c>
      <c r="E2865" s="91"/>
      <c r="F2865">
        <v>756</v>
      </c>
      <c r="G2865">
        <v>14</v>
      </c>
      <c r="H2865" s="89">
        <v>46217</v>
      </c>
      <c r="I2865" s="89">
        <v>46221</v>
      </c>
      <c r="J2865" s="91" t="s">
        <v>4033</v>
      </c>
      <c r="K2865" s="91"/>
      <c r="M2865" s="91"/>
      <c r="N2865" s="91" t="s">
        <v>4014</v>
      </c>
    </row>
    <row r="2866" spans="1:14" x14ac:dyDescent="0.25">
      <c r="A2866" s="91" t="s">
        <v>1320</v>
      </c>
      <c r="B2866" s="91" t="s">
        <v>1334</v>
      </c>
      <c r="C2866" s="91" t="s">
        <v>4027</v>
      </c>
      <c r="D2866" s="91" t="s">
        <v>15</v>
      </c>
      <c r="E2866" s="91"/>
      <c r="F2866">
        <v>480</v>
      </c>
      <c r="G2866">
        <v>10</v>
      </c>
      <c r="H2866" s="89">
        <v>46217</v>
      </c>
      <c r="I2866" s="89">
        <v>46221</v>
      </c>
      <c r="J2866" s="91" t="s">
        <v>4034</v>
      </c>
      <c r="K2866" s="91"/>
      <c r="M2866" s="91"/>
      <c r="N2866" s="91" t="s">
        <v>4014</v>
      </c>
    </row>
    <row r="2867" spans="1:14" x14ac:dyDescent="0.25">
      <c r="A2867" s="91" t="s">
        <v>1320</v>
      </c>
      <c r="B2867" s="91" t="s">
        <v>1334</v>
      </c>
      <c r="C2867" s="91" t="s">
        <v>4035</v>
      </c>
      <c r="D2867" s="91" t="s">
        <v>13</v>
      </c>
      <c r="E2867" s="91"/>
      <c r="F2867">
        <v>480</v>
      </c>
      <c r="G2867">
        <v>10</v>
      </c>
      <c r="H2867" s="89">
        <v>46217</v>
      </c>
      <c r="I2867" s="89">
        <v>46221</v>
      </c>
      <c r="J2867" s="91" t="s">
        <v>4036</v>
      </c>
      <c r="K2867" s="91"/>
      <c r="M2867" s="91"/>
      <c r="N2867" s="91" t="s">
        <v>4014</v>
      </c>
    </row>
    <row r="2868" spans="1:14" x14ac:dyDescent="0.25">
      <c r="A2868" s="91" t="s">
        <v>1315</v>
      </c>
      <c r="B2868" s="91" t="s">
        <v>1329</v>
      </c>
      <c r="C2868" s="91" t="s">
        <v>4032</v>
      </c>
      <c r="D2868" s="91" t="s">
        <v>20</v>
      </c>
      <c r="E2868" s="91"/>
      <c r="F2868">
        <v>100</v>
      </c>
      <c r="G2868" t="s">
        <v>1419</v>
      </c>
      <c r="H2868" s="89">
        <v>46217</v>
      </c>
      <c r="I2868" s="89">
        <v>46219</v>
      </c>
      <c r="J2868" s="91" t="s">
        <v>3549</v>
      </c>
      <c r="K2868" s="91"/>
      <c r="M2868" s="91"/>
      <c r="N2868" s="91" t="s">
        <v>4014</v>
      </c>
    </row>
    <row r="2869" spans="1:14" x14ac:dyDescent="0.25">
      <c r="A2869" s="91" t="s">
        <v>1316</v>
      </c>
      <c r="B2869" s="91" t="s">
        <v>1330</v>
      </c>
      <c r="C2869" s="91" t="s">
        <v>4037</v>
      </c>
      <c r="D2869" s="91" t="s">
        <v>20</v>
      </c>
      <c r="E2869" s="91"/>
      <c r="F2869">
        <v>133</v>
      </c>
      <c r="G2869" t="s">
        <v>1419</v>
      </c>
      <c r="H2869" s="89">
        <v>46217</v>
      </c>
      <c r="I2869" s="89">
        <v>46219</v>
      </c>
      <c r="J2869" s="91" t="s">
        <v>3549</v>
      </c>
      <c r="K2869" s="91"/>
      <c r="M2869" s="91"/>
      <c r="N2869" s="91" t="s">
        <v>4014</v>
      </c>
    </row>
    <row r="2870" spans="1:14" x14ac:dyDescent="0.25">
      <c r="A2870" s="91" t="s">
        <v>1317</v>
      </c>
      <c r="B2870" s="91" t="s">
        <v>1331</v>
      </c>
      <c r="C2870" s="91" t="s">
        <v>4038</v>
      </c>
      <c r="D2870" s="91" t="s">
        <v>20</v>
      </c>
      <c r="E2870" s="91"/>
      <c r="F2870">
        <v>16</v>
      </c>
      <c r="G2870" t="s">
        <v>1419</v>
      </c>
      <c r="H2870" s="89">
        <v>46217</v>
      </c>
      <c r="I2870" s="89">
        <v>46219</v>
      </c>
      <c r="J2870" s="91" t="s">
        <v>3549</v>
      </c>
      <c r="K2870" s="91"/>
      <c r="M2870" s="91"/>
      <c r="N2870" s="91" t="s">
        <v>4014</v>
      </c>
    </row>
    <row r="2871" spans="1:14" x14ac:dyDescent="0.25">
      <c r="A2871" s="91" t="s">
        <v>1318</v>
      </c>
      <c r="B2871" s="91" t="s">
        <v>1332</v>
      </c>
      <c r="C2871" s="91" t="s">
        <v>4039</v>
      </c>
      <c r="D2871" s="91" t="s">
        <v>20</v>
      </c>
      <c r="E2871" s="91"/>
      <c r="F2871">
        <v>47</v>
      </c>
      <c r="G2871" t="s">
        <v>1419</v>
      </c>
      <c r="H2871" s="89">
        <v>46217</v>
      </c>
      <c r="I2871" s="89">
        <v>46219</v>
      </c>
      <c r="J2871" s="91" t="s">
        <v>3549</v>
      </c>
      <c r="K2871" s="91"/>
      <c r="M2871" s="91"/>
      <c r="N2871" s="91" t="s">
        <v>4014</v>
      </c>
    </row>
    <row r="2872" spans="1:14" x14ac:dyDescent="0.25">
      <c r="A2872" s="91" t="s">
        <v>1315</v>
      </c>
      <c r="B2872" s="91" t="s">
        <v>1329</v>
      </c>
      <c r="C2872" s="91" t="s">
        <v>4029</v>
      </c>
      <c r="D2872" s="91" t="s">
        <v>28</v>
      </c>
      <c r="E2872" s="91"/>
      <c r="F2872">
        <v>132</v>
      </c>
      <c r="G2872" t="s">
        <v>1419</v>
      </c>
      <c r="H2872" s="89">
        <v>46217</v>
      </c>
      <c r="I2872" s="89">
        <v>46219</v>
      </c>
      <c r="J2872" s="91" t="s">
        <v>3549</v>
      </c>
      <c r="K2872" s="91"/>
      <c r="M2872" s="91"/>
      <c r="N2872" s="91" t="s">
        <v>4014</v>
      </c>
    </row>
    <row r="2873" spans="1:14" x14ac:dyDescent="0.25">
      <c r="A2873" s="91" t="s">
        <v>1316</v>
      </c>
      <c r="B2873" s="91" t="s">
        <v>1330</v>
      </c>
      <c r="C2873" s="91" t="s">
        <v>4040</v>
      </c>
      <c r="D2873" s="91" t="s">
        <v>28</v>
      </c>
      <c r="E2873" s="91"/>
      <c r="F2873">
        <v>13</v>
      </c>
      <c r="G2873" t="s">
        <v>1419</v>
      </c>
      <c r="H2873" s="89">
        <v>46217</v>
      </c>
      <c r="I2873" s="89">
        <v>46219</v>
      </c>
      <c r="J2873" s="91" t="s">
        <v>3549</v>
      </c>
      <c r="K2873" s="91"/>
      <c r="M2873" s="91"/>
      <c r="N2873" s="91" t="s">
        <v>4014</v>
      </c>
    </row>
    <row r="2874" spans="1:14" x14ac:dyDescent="0.25">
      <c r="A2874" s="91" t="s">
        <v>1317</v>
      </c>
      <c r="B2874" s="91" t="s">
        <v>1331</v>
      </c>
      <c r="C2874" s="91" t="s">
        <v>4041</v>
      </c>
      <c r="D2874" s="91" t="s">
        <v>28</v>
      </c>
      <c r="E2874" s="91"/>
      <c r="F2874">
        <v>21</v>
      </c>
      <c r="G2874" t="s">
        <v>1419</v>
      </c>
      <c r="H2874" s="89">
        <v>46217</v>
      </c>
      <c r="I2874" s="89">
        <v>46219</v>
      </c>
      <c r="J2874" s="91" t="s">
        <v>3549</v>
      </c>
      <c r="K2874" s="91"/>
      <c r="M2874" s="91"/>
      <c r="N2874" s="91" t="s">
        <v>4014</v>
      </c>
    </row>
    <row r="2875" spans="1:14" x14ac:dyDescent="0.25">
      <c r="A2875" s="91" t="s">
        <v>1318</v>
      </c>
      <c r="B2875" s="91" t="s">
        <v>1332</v>
      </c>
      <c r="C2875" s="91" t="s">
        <v>4042</v>
      </c>
      <c r="D2875" s="91" t="s">
        <v>28</v>
      </c>
      <c r="E2875" s="91"/>
      <c r="F2875">
        <v>55</v>
      </c>
      <c r="G2875" t="s">
        <v>1419</v>
      </c>
      <c r="H2875" s="89">
        <v>46217</v>
      </c>
      <c r="I2875" s="89">
        <v>46219</v>
      </c>
      <c r="J2875" s="91" t="s">
        <v>3549</v>
      </c>
      <c r="K2875" s="91"/>
      <c r="M2875" s="91"/>
      <c r="N2875" s="91" t="s">
        <v>4014</v>
      </c>
    </row>
    <row r="2876" spans="1:14" x14ac:dyDescent="0.25">
      <c r="A2876" s="91" t="s">
        <v>1315</v>
      </c>
      <c r="B2876" s="91" t="s">
        <v>1329</v>
      </c>
      <c r="C2876" s="91" t="s">
        <v>4027</v>
      </c>
      <c r="D2876" s="91" t="s">
        <v>15</v>
      </c>
      <c r="E2876" s="91"/>
      <c r="F2876">
        <v>2</v>
      </c>
      <c r="G2876" t="s">
        <v>1419</v>
      </c>
      <c r="H2876" s="89">
        <v>46217</v>
      </c>
      <c r="I2876" s="89">
        <v>46219</v>
      </c>
      <c r="J2876" s="91" t="s">
        <v>3549</v>
      </c>
      <c r="K2876" s="91"/>
      <c r="M2876" s="91"/>
      <c r="N2876" s="91" t="s">
        <v>4014</v>
      </c>
    </row>
    <row r="2877" spans="1:14" x14ac:dyDescent="0.25">
      <c r="A2877" s="91" t="s">
        <v>1316</v>
      </c>
      <c r="B2877" s="91" t="s">
        <v>1330</v>
      </c>
      <c r="C2877" s="91" t="s">
        <v>4043</v>
      </c>
      <c r="D2877" s="91" t="s">
        <v>15</v>
      </c>
      <c r="E2877" s="91"/>
      <c r="F2877">
        <v>78</v>
      </c>
      <c r="G2877" t="s">
        <v>1419</v>
      </c>
      <c r="H2877" s="89">
        <v>46217</v>
      </c>
      <c r="I2877" s="89">
        <v>46219</v>
      </c>
      <c r="J2877" s="91" t="s">
        <v>3549</v>
      </c>
      <c r="K2877" s="91"/>
      <c r="M2877" s="91"/>
      <c r="N2877" s="91" t="s">
        <v>4014</v>
      </c>
    </row>
    <row r="2878" spans="1:14" x14ac:dyDescent="0.25">
      <c r="A2878" s="91" t="s">
        <v>1317</v>
      </c>
      <c r="B2878" s="91" t="s">
        <v>1331</v>
      </c>
      <c r="C2878" s="91" t="s">
        <v>4044</v>
      </c>
      <c r="D2878" s="91" t="s">
        <v>15</v>
      </c>
      <c r="E2878" s="91"/>
      <c r="F2878">
        <v>75</v>
      </c>
      <c r="G2878" t="s">
        <v>1419</v>
      </c>
      <c r="H2878" s="89">
        <v>46217</v>
      </c>
      <c r="I2878" s="89">
        <v>46219</v>
      </c>
      <c r="J2878" s="91" t="s">
        <v>3549</v>
      </c>
      <c r="K2878" s="91"/>
      <c r="M2878" s="91"/>
      <c r="N2878" s="91" t="s">
        <v>4014</v>
      </c>
    </row>
    <row r="2879" spans="1:14" x14ac:dyDescent="0.25">
      <c r="A2879" s="91" t="s">
        <v>1318</v>
      </c>
      <c r="B2879" s="91" t="s">
        <v>1332</v>
      </c>
      <c r="C2879" s="91" t="s">
        <v>4045</v>
      </c>
      <c r="D2879" s="91" t="s">
        <v>15</v>
      </c>
      <c r="E2879" s="91"/>
      <c r="F2879">
        <v>33</v>
      </c>
      <c r="G2879" t="s">
        <v>1419</v>
      </c>
      <c r="H2879" s="89">
        <v>46217</v>
      </c>
      <c r="I2879" s="89">
        <v>46219</v>
      </c>
      <c r="J2879" s="91" t="s">
        <v>3549</v>
      </c>
      <c r="K2879" s="91"/>
      <c r="M2879" s="91"/>
      <c r="N2879" s="91" t="s">
        <v>4014</v>
      </c>
    </row>
    <row r="2880" spans="1:14" x14ac:dyDescent="0.25">
      <c r="A2880" s="91" t="s">
        <v>1325</v>
      </c>
      <c r="B2880" s="91" t="s">
        <v>1339</v>
      </c>
      <c r="C2880" s="91" t="s">
        <v>4046</v>
      </c>
      <c r="D2880" s="91" t="s">
        <v>159</v>
      </c>
      <c r="E2880" s="91"/>
      <c r="F2880">
        <v>384</v>
      </c>
      <c r="G2880">
        <v>8</v>
      </c>
      <c r="H2880" s="89">
        <v>46217</v>
      </c>
      <c r="I2880" s="89">
        <v>46219</v>
      </c>
      <c r="J2880" s="91" t="s">
        <v>3549</v>
      </c>
      <c r="K2880" s="91"/>
      <c r="M2880" s="91"/>
      <c r="N2880" s="91" t="s">
        <v>4014</v>
      </c>
    </row>
    <row r="2881" spans="1:14" x14ac:dyDescent="0.25">
      <c r="A2881" s="91" t="s">
        <v>1313</v>
      </c>
      <c r="B2881" s="91" t="s">
        <v>1327</v>
      </c>
      <c r="C2881" s="91" t="s">
        <v>4047</v>
      </c>
      <c r="D2881" s="91" t="s">
        <v>21</v>
      </c>
      <c r="E2881" s="91"/>
      <c r="F2881">
        <v>1056</v>
      </c>
      <c r="G2881">
        <v>22</v>
      </c>
      <c r="H2881" s="89">
        <v>46218</v>
      </c>
      <c r="I2881" s="89">
        <v>46223</v>
      </c>
      <c r="J2881" s="91" t="s">
        <v>4048</v>
      </c>
      <c r="K2881" s="91"/>
      <c r="M2881" s="91"/>
      <c r="N2881" s="91" t="s">
        <v>4014</v>
      </c>
    </row>
    <row r="2882" spans="1:14" x14ac:dyDescent="0.25">
      <c r="A2882" s="91" t="s">
        <v>1314</v>
      </c>
      <c r="B2882" s="91" t="s">
        <v>1328</v>
      </c>
      <c r="C2882" s="91" t="s">
        <v>4047</v>
      </c>
      <c r="D2882" s="91" t="s">
        <v>21</v>
      </c>
      <c r="E2882" s="91"/>
      <c r="F2882">
        <v>96</v>
      </c>
      <c r="G2882">
        <v>2</v>
      </c>
      <c r="H2882" s="89">
        <v>46218</v>
      </c>
      <c r="I2882" s="89">
        <v>46223</v>
      </c>
      <c r="J2882" s="91" t="s">
        <v>4048</v>
      </c>
      <c r="K2882" s="91"/>
      <c r="M2882" s="91"/>
      <c r="N2882" s="91" t="s">
        <v>4014</v>
      </c>
    </row>
    <row r="2883" spans="1:14" x14ac:dyDescent="0.25">
      <c r="A2883" s="91" t="s">
        <v>1314</v>
      </c>
      <c r="B2883" s="91" t="s">
        <v>1328</v>
      </c>
      <c r="C2883" s="91" t="s">
        <v>4049</v>
      </c>
      <c r="D2883" s="91" t="s">
        <v>15</v>
      </c>
      <c r="E2883" s="91"/>
      <c r="F2883">
        <v>48</v>
      </c>
      <c r="G2883">
        <v>1</v>
      </c>
      <c r="H2883" s="89">
        <v>46218</v>
      </c>
      <c r="I2883" s="89">
        <v>46222</v>
      </c>
      <c r="J2883" s="91" t="s">
        <v>4028</v>
      </c>
      <c r="K2883" s="91"/>
      <c r="M2883" s="91"/>
      <c r="N2883" s="91" t="s">
        <v>4014</v>
      </c>
    </row>
    <row r="2884" spans="1:14" x14ac:dyDescent="0.25">
      <c r="A2884" s="91" t="s">
        <v>1313</v>
      </c>
      <c r="B2884" s="91" t="s">
        <v>1327</v>
      </c>
      <c r="C2884" s="91" t="s">
        <v>4049</v>
      </c>
      <c r="D2884" s="91" t="s">
        <v>15</v>
      </c>
      <c r="E2884" s="91"/>
      <c r="F2884">
        <v>912</v>
      </c>
      <c r="G2884">
        <v>19</v>
      </c>
      <c r="H2884" s="89">
        <v>46218</v>
      </c>
      <c r="I2884" s="89">
        <v>46222</v>
      </c>
      <c r="J2884" s="91" t="s">
        <v>4050</v>
      </c>
      <c r="K2884" s="91"/>
      <c r="M2884" s="91"/>
      <c r="N2884" s="91" t="s">
        <v>4014</v>
      </c>
    </row>
    <row r="2885" spans="1:14" x14ac:dyDescent="0.25">
      <c r="A2885" s="91" t="s">
        <v>1313</v>
      </c>
      <c r="B2885" s="91" t="s">
        <v>1327</v>
      </c>
      <c r="C2885" s="91" t="s">
        <v>4049</v>
      </c>
      <c r="D2885" s="91" t="s">
        <v>15</v>
      </c>
      <c r="E2885" s="91"/>
      <c r="F2885">
        <v>48</v>
      </c>
      <c r="G2885">
        <v>1</v>
      </c>
      <c r="H2885" s="89">
        <v>46218</v>
      </c>
      <c r="I2885" s="89">
        <v>46224</v>
      </c>
      <c r="J2885" s="91" t="s">
        <v>4051</v>
      </c>
      <c r="K2885" s="91"/>
      <c r="M2885" s="91"/>
      <c r="N2885" s="91" t="s">
        <v>4014</v>
      </c>
    </row>
    <row r="2886" spans="1:14" x14ac:dyDescent="0.25">
      <c r="A2886" s="91" t="s">
        <v>1320</v>
      </c>
      <c r="B2886" s="91" t="s">
        <v>1334</v>
      </c>
      <c r="C2886" s="91" t="s">
        <v>4052</v>
      </c>
      <c r="D2886" s="91" t="s">
        <v>20</v>
      </c>
      <c r="E2886" s="91"/>
      <c r="F2886">
        <v>480</v>
      </c>
      <c r="G2886">
        <v>10.375</v>
      </c>
      <c r="H2886" s="89">
        <v>46218</v>
      </c>
      <c r="I2886" s="89">
        <v>46223</v>
      </c>
      <c r="J2886" s="91" t="s">
        <v>4053</v>
      </c>
      <c r="K2886" s="91"/>
      <c r="M2886" s="91"/>
      <c r="N2886" s="91" t="s">
        <v>4014</v>
      </c>
    </row>
    <row r="2887" spans="1:14" x14ac:dyDescent="0.25">
      <c r="A2887" s="91" t="s">
        <v>1320</v>
      </c>
      <c r="B2887" s="91" t="s">
        <v>1334</v>
      </c>
      <c r="C2887" s="91" t="s">
        <v>4052</v>
      </c>
      <c r="D2887" s="91" t="s">
        <v>20</v>
      </c>
      <c r="E2887" s="91"/>
      <c r="F2887">
        <v>480</v>
      </c>
      <c r="G2887">
        <v>10</v>
      </c>
      <c r="H2887" s="89">
        <v>46218</v>
      </c>
      <c r="I2887" s="89">
        <v>46221</v>
      </c>
      <c r="J2887" s="91" t="s">
        <v>4036</v>
      </c>
      <c r="K2887" s="91"/>
      <c r="M2887" s="91"/>
      <c r="N2887" s="91" t="s">
        <v>4014</v>
      </c>
    </row>
    <row r="2888" spans="1:14" x14ac:dyDescent="0.25">
      <c r="A2888" s="91" t="s">
        <v>1320</v>
      </c>
      <c r="B2888" s="91" t="s">
        <v>1334</v>
      </c>
      <c r="C2888" s="91" t="s">
        <v>4049</v>
      </c>
      <c r="D2888" s="91" t="s">
        <v>15</v>
      </c>
      <c r="E2888" s="91"/>
      <c r="F2888">
        <v>18</v>
      </c>
      <c r="G2888">
        <v>0.375</v>
      </c>
      <c r="H2888" s="89">
        <v>46218</v>
      </c>
      <c r="I2888" s="89">
        <v>46221</v>
      </c>
      <c r="J2888" s="91" t="s">
        <v>4034</v>
      </c>
      <c r="K2888" s="91"/>
      <c r="M2888" s="91"/>
      <c r="N2888" s="91" t="s">
        <v>4014</v>
      </c>
    </row>
    <row r="2889" spans="1:14" x14ac:dyDescent="0.25">
      <c r="A2889" s="91" t="s">
        <v>1320</v>
      </c>
      <c r="B2889" s="91" t="s">
        <v>1334</v>
      </c>
      <c r="C2889" s="91" t="s">
        <v>4054</v>
      </c>
      <c r="D2889" s="91" t="s">
        <v>23</v>
      </c>
      <c r="E2889" s="91"/>
      <c r="F2889">
        <v>960</v>
      </c>
      <c r="G2889">
        <v>20</v>
      </c>
      <c r="H2889" s="89">
        <v>46218</v>
      </c>
      <c r="I2889" s="89">
        <v>46223</v>
      </c>
      <c r="J2889" s="91" t="s">
        <v>4055</v>
      </c>
      <c r="K2889" s="91"/>
      <c r="M2889" s="91"/>
      <c r="N2889" s="91" t="s">
        <v>4014</v>
      </c>
    </row>
    <row r="2890" spans="1:14" x14ac:dyDescent="0.25">
      <c r="A2890" s="91" t="s">
        <v>1315</v>
      </c>
      <c r="B2890" s="91" t="s">
        <v>1329</v>
      </c>
      <c r="C2890" s="91" t="s">
        <v>4047</v>
      </c>
      <c r="D2890" s="91" t="s">
        <v>21</v>
      </c>
      <c r="E2890" s="91"/>
      <c r="F2890">
        <v>43</v>
      </c>
      <c r="G2890" t="s">
        <v>1419</v>
      </c>
      <c r="H2890" s="89">
        <v>46218</v>
      </c>
      <c r="I2890" s="89">
        <v>46220</v>
      </c>
      <c r="J2890" s="91" t="s">
        <v>3549</v>
      </c>
      <c r="K2890" s="91"/>
      <c r="M2890" s="91"/>
      <c r="N2890" s="91" t="s">
        <v>4014</v>
      </c>
    </row>
    <row r="2891" spans="1:14" x14ac:dyDescent="0.25">
      <c r="A2891" s="91" t="s">
        <v>1316</v>
      </c>
      <c r="B2891" s="91" t="s">
        <v>1330</v>
      </c>
      <c r="C2891" s="91" t="s">
        <v>4056</v>
      </c>
      <c r="D2891" s="91" t="s">
        <v>21</v>
      </c>
      <c r="E2891" s="91"/>
      <c r="F2891">
        <v>13</v>
      </c>
      <c r="G2891" t="s">
        <v>1419</v>
      </c>
      <c r="H2891" s="89">
        <v>46218</v>
      </c>
      <c r="I2891" s="89">
        <v>46220</v>
      </c>
      <c r="J2891" s="91" t="s">
        <v>3549</v>
      </c>
      <c r="K2891" s="91"/>
      <c r="M2891" s="91"/>
      <c r="N2891" s="91" t="s">
        <v>4014</v>
      </c>
    </row>
    <row r="2892" spans="1:14" x14ac:dyDescent="0.25">
      <c r="A2892" s="91" t="s">
        <v>1317</v>
      </c>
      <c r="B2892" s="91" t="s">
        <v>1331</v>
      </c>
      <c r="C2892" s="91" t="s">
        <v>4057</v>
      </c>
      <c r="D2892" s="91" t="s">
        <v>21</v>
      </c>
      <c r="E2892" s="91"/>
      <c r="F2892">
        <v>14</v>
      </c>
      <c r="G2892" t="s">
        <v>1419</v>
      </c>
      <c r="H2892" s="89">
        <v>46218</v>
      </c>
      <c r="I2892" s="89">
        <v>46220</v>
      </c>
      <c r="J2892" s="91" t="s">
        <v>3549</v>
      </c>
      <c r="K2892" s="91"/>
      <c r="M2892" s="91"/>
      <c r="N2892" s="91" t="s">
        <v>4014</v>
      </c>
    </row>
    <row r="2893" spans="1:14" x14ac:dyDescent="0.25">
      <c r="A2893" s="91" t="s">
        <v>1318</v>
      </c>
      <c r="B2893" s="91" t="s">
        <v>1332</v>
      </c>
      <c r="C2893" s="91" t="s">
        <v>4058</v>
      </c>
      <c r="D2893" s="91" t="s">
        <v>21</v>
      </c>
      <c r="E2893" s="91"/>
      <c r="F2893">
        <v>53</v>
      </c>
      <c r="G2893" t="s">
        <v>1419</v>
      </c>
      <c r="H2893" s="89">
        <v>46218</v>
      </c>
      <c r="I2893" s="89">
        <v>46220</v>
      </c>
      <c r="J2893" s="91" t="s">
        <v>3549</v>
      </c>
      <c r="K2893" s="91"/>
      <c r="M2893" s="91"/>
      <c r="N2893" s="91" t="s">
        <v>4014</v>
      </c>
    </row>
    <row r="2894" spans="1:14" x14ac:dyDescent="0.25">
      <c r="A2894" s="91" t="s">
        <v>1316</v>
      </c>
      <c r="B2894" s="91" t="s">
        <v>1330</v>
      </c>
      <c r="C2894" s="91" t="s">
        <v>4059</v>
      </c>
      <c r="D2894" s="91" t="s">
        <v>20</v>
      </c>
      <c r="E2894" s="91"/>
      <c r="F2894">
        <v>118</v>
      </c>
      <c r="G2894" t="s">
        <v>1419</v>
      </c>
      <c r="H2894" s="89">
        <v>46218</v>
      </c>
      <c r="I2894" s="89">
        <v>46220</v>
      </c>
      <c r="J2894" s="91" t="s">
        <v>3549</v>
      </c>
      <c r="K2894" s="91"/>
      <c r="M2894" s="91"/>
      <c r="N2894" s="91" t="s">
        <v>4014</v>
      </c>
    </row>
    <row r="2895" spans="1:14" x14ac:dyDescent="0.25">
      <c r="A2895" s="91" t="s">
        <v>1317</v>
      </c>
      <c r="B2895" s="91" t="s">
        <v>1331</v>
      </c>
      <c r="C2895" s="91" t="s">
        <v>4060</v>
      </c>
      <c r="D2895" s="91" t="s">
        <v>20</v>
      </c>
      <c r="E2895" s="91"/>
      <c r="F2895">
        <v>15</v>
      </c>
      <c r="G2895" t="s">
        <v>1419</v>
      </c>
      <c r="H2895" s="89">
        <v>46218</v>
      </c>
      <c r="I2895" s="89">
        <v>46220</v>
      </c>
      <c r="J2895" s="91" t="s">
        <v>3549</v>
      </c>
      <c r="K2895" s="91"/>
      <c r="M2895" s="91"/>
      <c r="N2895" s="91" t="s">
        <v>4014</v>
      </c>
    </row>
    <row r="2896" spans="1:14" x14ac:dyDescent="0.25">
      <c r="A2896" s="91" t="s">
        <v>1318</v>
      </c>
      <c r="B2896" s="91" t="s">
        <v>1332</v>
      </c>
      <c r="C2896" s="91" t="s">
        <v>4061</v>
      </c>
      <c r="D2896" s="91" t="s">
        <v>20</v>
      </c>
      <c r="E2896" s="91"/>
      <c r="F2896">
        <v>41</v>
      </c>
      <c r="G2896" t="s">
        <v>1419</v>
      </c>
      <c r="H2896" s="89">
        <v>46218</v>
      </c>
      <c r="I2896" s="89">
        <v>46220</v>
      </c>
      <c r="J2896" s="91" t="s">
        <v>3549</v>
      </c>
      <c r="K2896" s="91"/>
      <c r="M2896" s="91"/>
      <c r="N2896" s="91" t="s">
        <v>4014</v>
      </c>
    </row>
    <row r="2897" spans="1:14" x14ac:dyDescent="0.25">
      <c r="A2897" s="91" t="s">
        <v>1315</v>
      </c>
      <c r="B2897" s="91" t="s">
        <v>1329</v>
      </c>
      <c r="C2897" s="91" t="s">
        <v>4052</v>
      </c>
      <c r="D2897" s="91" t="s">
        <v>20</v>
      </c>
      <c r="E2897" s="91"/>
      <c r="F2897">
        <v>216</v>
      </c>
      <c r="G2897" t="s">
        <v>1419</v>
      </c>
      <c r="H2897" s="89">
        <v>46218</v>
      </c>
      <c r="I2897" s="89">
        <v>46220</v>
      </c>
      <c r="J2897" s="91" t="s">
        <v>3549</v>
      </c>
      <c r="K2897" s="91"/>
      <c r="M2897" s="91"/>
      <c r="N2897" s="91" t="s">
        <v>4014</v>
      </c>
    </row>
    <row r="2898" spans="1:14" x14ac:dyDescent="0.25">
      <c r="A2898" s="91" t="s">
        <v>1316</v>
      </c>
      <c r="B2898" s="91" t="s">
        <v>1330</v>
      </c>
      <c r="C2898" s="91" t="s">
        <v>4062</v>
      </c>
      <c r="D2898" s="91" t="s">
        <v>15</v>
      </c>
      <c r="E2898" s="91"/>
      <c r="F2898">
        <v>41</v>
      </c>
      <c r="G2898" t="s">
        <v>1419</v>
      </c>
      <c r="H2898" s="89">
        <v>46218</v>
      </c>
      <c r="I2898" s="89">
        <v>46220</v>
      </c>
      <c r="J2898" s="91" t="s">
        <v>3549</v>
      </c>
      <c r="K2898" s="91"/>
      <c r="M2898" s="91"/>
      <c r="N2898" s="91" t="s">
        <v>4014</v>
      </c>
    </row>
    <row r="2899" spans="1:14" x14ac:dyDescent="0.25">
      <c r="A2899" s="91" t="s">
        <v>1317</v>
      </c>
      <c r="B2899" s="91" t="s">
        <v>1331</v>
      </c>
      <c r="C2899" s="91" t="s">
        <v>4063</v>
      </c>
      <c r="D2899" s="91" t="s">
        <v>15</v>
      </c>
      <c r="E2899" s="91"/>
      <c r="F2899">
        <v>48</v>
      </c>
      <c r="G2899" t="s">
        <v>1419</v>
      </c>
      <c r="H2899" s="89">
        <v>46218</v>
      </c>
      <c r="I2899" s="89">
        <v>46220</v>
      </c>
      <c r="J2899" s="91" t="s">
        <v>3549</v>
      </c>
      <c r="K2899" s="91"/>
      <c r="M2899" s="91"/>
      <c r="N2899" s="91" t="s">
        <v>4014</v>
      </c>
    </row>
    <row r="2900" spans="1:14" x14ac:dyDescent="0.25">
      <c r="A2900" s="91" t="s">
        <v>1318</v>
      </c>
      <c r="B2900" s="91" t="s">
        <v>1332</v>
      </c>
      <c r="C2900" s="91" t="s">
        <v>4064</v>
      </c>
      <c r="D2900" s="91" t="s">
        <v>15</v>
      </c>
      <c r="E2900" s="91"/>
      <c r="F2900">
        <v>14</v>
      </c>
      <c r="G2900" t="s">
        <v>1419</v>
      </c>
      <c r="H2900" s="89">
        <v>46218</v>
      </c>
      <c r="I2900" s="89">
        <v>46220</v>
      </c>
      <c r="J2900" s="91" t="s">
        <v>3549</v>
      </c>
      <c r="K2900" s="91"/>
      <c r="M2900" s="91"/>
      <c r="N2900" s="91" t="s">
        <v>4014</v>
      </c>
    </row>
    <row r="2901" spans="1:14" x14ac:dyDescent="0.25">
      <c r="A2901" s="91" t="s">
        <v>1313</v>
      </c>
      <c r="B2901" s="91" t="s">
        <v>1327</v>
      </c>
      <c r="C2901" s="91" t="s">
        <v>4065</v>
      </c>
      <c r="D2901" s="91" t="s">
        <v>15</v>
      </c>
      <c r="E2901" s="91"/>
      <c r="F2901">
        <v>864</v>
      </c>
      <c r="G2901">
        <v>18</v>
      </c>
      <c r="H2901" s="89">
        <v>46219</v>
      </c>
      <c r="I2901" s="89">
        <v>46224</v>
      </c>
      <c r="J2901" s="91" t="s">
        <v>4051</v>
      </c>
      <c r="K2901" s="91"/>
      <c r="M2901" s="91"/>
      <c r="N2901" s="91" t="s">
        <v>4014</v>
      </c>
    </row>
    <row r="2902" spans="1:14" x14ac:dyDescent="0.25">
      <c r="A2902" s="91" t="s">
        <v>1313</v>
      </c>
      <c r="B2902" s="91" t="s">
        <v>1327</v>
      </c>
      <c r="C2902" s="91" t="s">
        <v>4065</v>
      </c>
      <c r="D2902" s="91" t="s">
        <v>15</v>
      </c>
      <c r="E2902" s="91"/>
      <c r="F2902">
        <v>96</v>
      </c>
      <c r="G2902">
        <v>2</v>
      </c>
      <c r="H2902" s="89">
        <v>46219</v>
      </c>
      <c r="I2902" s="89">
        <v>46225</v>
      </c>
      <c r="J2902" s="91" t="s">
        <v>4066</v>
      </c>
      <c r="K2902" s="91"/>
      <c r="M2902" s="91"/>
      <c r="N2902" s="91" t="s">
        <v>4014</v>
      </c>
    </row>
    <row r="2903" spans="1:14" x14ac:dyDescent="0.25">
      <c r="A2903" s="91" t="s">
        <v>1324</v>
      </c>
      <c r="B2903" s="91" t="s">
        <v>1338</v>
      </c>
      <c r="C2903" s="91" t="s">
        <v>4067</v>
      </c>
      <c r="D2903" s="91" t="s">
        <v>28</v>
      </c>
      <c r="E2903" s="91"/>
      <c r="F2903">
        <v>864</v>
      </c>
      <c r="G2903">
        <v>18</v>
      </c>
      <c r="H2903" s="89">
        <v>46219</v>
      </c>
      <c r="I2903" s="89">
        <v>46226</v>
      </c>
      <c r="J2903" s="91" t="s">
        <v>4068</v>
      </c>
      <c r="K2903" s="91"/>
      <c r="M2903" s="91"/>
      <c r="N2903" s="91" t="s">
        <v>4014</v>
      </c>
    </row>
    <row r="2904" spans="1:14" x14ac:dyDescent="0.25">
      <c r="A2904" s="91" t="s">
        <v>1313</v>
      </c>
      <c r="B2904" s="91" t="s">
        <v>1327</v>
      </c>
      <c r="C2904" s="91" t="s">
        <v>4067</v>
      </c>
      <c r="D2904" s="91" t="s">
        <v>28</v>
      </c>
      <c r="E2904" s="91"/>
      <c r="F2904">
        <v>192</v>
      </c>
      <c r="G2904">
        <v>4</v>
      </c>
      <c r="H2904" s="89">
        <v>46219</v>
      </c>
      <c r="I2904" s="89">
        <v>46225</v>
      </c>
      <c r="J2904" s="91" t="s">
        <v>4066</v>
      </c>
      <c r="K2904" s="91"/>
      <c r="M2904" s="91"/>
      <c r="N2904" s="91" t="s">
        <v>4014</v>
      </c>
    </row>
    <row r="2905" spans="1:14" x14ac:dyDescent="0.25">
      <c r="A2905" s="91" t="s">
        <v>1315</v>
      </c>
      <c r="B2905" s="91" t="s">
        <v>1329</v>
      </c>
      <c r="C2905" s="91" t="s">
        <v>4067</v>
      </c>
      <c r="D2905" s="91" t="s">
        <v>28</v>
      </c>
      <c r="E2905" s="91"/>
      <c r="F2905">
        <v>28</v>
      </c>
      <c r="G2905" t="s">
        <v>1419</v>
      </c>
      <c r="H2905" s="89">
        <v>46219</v>
      </c>
      <c r="I2905" s="89">
        <v>46221</v>
      </c>
      <c r="J2905" s="91" t="s">
        <v>3549</v>
      </c>
      <c r="K2905" s="91"/>
      <c r="M2905" s="91"/>
      <c r="N2905" s="91" t="s">
        <v>4014</v>
      </c>
    </row>
    <row r="2906" spans="1:14" x14ac:dyDescent="0.25">
      <c r="A2906" s="91" t="s">
        <v>1324</v>
      </c>
      <c r="B2906" s="91" t="s">
        <v>1338</v>
      </c>
      <c r="C2906" s="91" t="s">
        <v>4069</v>
      </c>
      <c r="D2906" s="91" t="s">
        <v>23</v>
      </c>
      <c r="E2906" s="91"/>
      <c r="F2906">
        <v>960</v>
      </c>
      <c r="G2906">
        <v>20</v>
      </c>
      <c r="H2906" s="89">
        <v>46219</v>
      </c>
      <c r="I2906" s="89">
        <v>46226</v>
      </c>
      <c r="J2906" s="91" t="s">
        <v>4068</v>
      </c>
      <c r="K2906" s="91"/>
      <c r="M2906" s="91"/>
      <c r="N2906" s="91" t="s">
        <v>4014</v>
      </c>
    </row>
    <row r="2907" spans="1:14" x14ac:dyDescent="0.25">
      <c r="A2907" s="91" t="s">
        <v>1320</v>
      </c>
      <c r="B2907" s="91" t="s">
        <v>1334</v>
      </c>
      <c r="C2907" s="91" t="s">
        <v>4070</v>
      </c>
      <c r="D2907" s="91" t="s">
        <v>20</v>
      </c>
      <c r="E2907" s="91"/>
      <c r="F2907">
        <v>480</v>
      </c>
      <c r="G2907">
        <v>10</v>
      </c>
      <c r="H2907" s="89">
        <v>46219</v>
      </c>
      <c r="I2907" s="89">
        <v>46224</v>
      </c>
      <c r="J2907" s="91" t="s">
        <v>4071</v>
      </c>
      <c r="K2907" s="91"/>
      <c r="M2907" s="91"/>
      <c r="N2907" s="91" t="s">
        <v>4014</v>
      </c>
    </row>
    <row r="2908" spans="1:14" x14ac:dyDescent="0.25">
      <c r="A2908" s="91" t="s">
        <v>1315</v>
      </c>
      <c r="B2908" s="91" t="s">
        <v>1329</v>
      </c>
      <c r="C2908" s="91" t="s">
        <v>4070</v>
      </c>
      <c r="D2908" s="91" t="s">
        <v>20</v>
      </c>
      <c r="E2908" s="91"/>
      <c r="F2908">
        <v>238</v>
      </c>
      <c r="G2908" t="s">
        <v>1419</v>
      </c>
      <c r="H2908" s="89">
        <v>46219</v>
      </c>
      <c r="I2908" s="89">
        <v>46221</v>
      </c>
      <c r="J2908" s="91" t="s">
        <v>3549</v>
      </c>
      <c r="K2908" s="91"/>
      <c r="M2908" s="91"/>
      <c r="N2908" s="91" t="s">
        <v>4014</v>
      </c>
    </row>
    <row r="2909" spans="1:14" x14ac:dyDescent="0.25">
      <c r="A2909" s="91" t="s">
        <v>1320</v>
      </c>
      <c r="B2909" s="91" t="s">
        <v>1334</v>
      </c>
      <c r="C2909" s="91" t="s">
        <v>4072</v>
      </c>
      <c r="D2909" s="91" t="s">
        <v>30</v>
      </c>
      <c r="E2909" s="91"/>
      <c r="F2909">
        <v>480</v>
      </c>
      <c r="G2909">
        <v>10</v>
      </c>
      <c r="H2909" s="89">
        <v>46219</v>
      </c>
      <c r="I2909" s="89">
        <v>46223</v>
      </c>
      <c r="J2909" s="91" t="s">
        <v>4053</v>
      </c>
      <c r="K2909" s="91"/>
      <c r="M2909" s="91"/>
      <c r="N2909" s="91" t="s">
        <v>4014</v>
      </c>
    </row>
    <row r="2910" spans="1:14" x14ac:dyDescent="0.25">
      <c r="A2910" s="91" t="s">
        <v>1320</v>
      </c>
      <c r="B2910" s="91" t="s">
        <v>1334</v>
      </c>
      <c r="C2910" s="91" t="s">
        <v>4072</v>
      </c>
      <c r="D2910" s="91" t="s">
        <v>30</v>
      </c>
      <c r="E2910" s="91"/>
      <c r="F2910">
        <v>48</v>
      </c>
      <c r="G2910">
        <v>1</v>
      </c>
      <c r="H2910" s="89">
        <v>46219</v>
      </c>
      <c r="I2910" s="89">
        <v>46225</v>
      </c>
      <c r="J2910" s="91" t="s">
        <v>4073</v>
      </c>
      <c r="K2910" s="91"/>
      <c r="M2910" s="91"/>
      <c r="N2910" s="91" t="s">
        <v>4014</v>
      </c>
    </row>
    <row r="2911" spans="1:14" x14ac:dyDescent="0.25">
      <c r="A2911" s="91" t="s">
        <v>1320</v>
      </c>
      <c r="B2911" s="91" t="s">
        <v>1334</v>
      </c>
      <c r="C2911" s="91" t="s">
        <v>4074</v>
      </c>
      <c r="D2911" s="91" t="s">
        <v>119</v>
      </c>
      <c r="E2911" s="91"/>
      <c r="F2911">
        <v>960</v>
      </c>
      <c r="G2911">
        <v>20</v>
      </c>
      <c r="H2911" s="89">
        <v>46219</v>
      </c>
      <c r="I2911" s="89">
        <v>46224</v>
      </c>
      <c r="J2911" s="91" t="s">
        <v>4075</v>
      </c>
      <c r="K2911" s="91"/>
      <c r="M2911" s="91"/>
      <c r="N2911" s="91" t="s">
        <v>4014</v>
      </c>
    </row>
    <row r="2912" spans="1:14" x14ac:dyDescent="0.25">
      <c r="A2912" s="91" t="s">
        <v>1315</v>
      </c>
      <c r="B2912" s="91" t="s">
        <v>1329</v>
      </c>
      <c r="C2912" s="91" t="s">
        <v>4065</v>
      </c>
      <c r="D2912" s="91" t="s">
        <v>15</v>
      </c>
      <c r="E2912" s="91"/>
      <c r="F2912">
        <v>3</v>
      </c>
      <c r="G2912" t="s">
        <v>1419</v>
      </c>
      <c r="H2912" s="89">
        <v>46219</v>
      </c>
      <c r="I2912" s="89">
        <v>46221</v>
      </c>
      <c r="J2912" s="91" t="s">
        <v>3549</v>
      </c>
      <c r="K2912" s="91"/>
      <c r="M2912" s="91"/>
      <c r="N2912" s="91" t="s">
        <v>4014</v>
      </c>
    </row>
    <row r="2913" spans="1:14" x14ac:dyDescent="0.25">
      <c r="A2913" s="91" t="s">
        <v>1316</v>
      </c>
      <c r="B2913" s="91" t="s">
        <v>1330</v>
      </c>
      <c r="C2913" s="91" t="s">
        <v>4076</v>
      </c>
      <c r="D2913" s="91" t="s">
        <v>20</v>
      </c>
      <c r="E2913" s="91"/>
      <c r="F2913">
        <v>115</v>
      </c>
      <c r="G2913" t="s">
        <v>1419</v>
      </c>
      <c r="H2913" s="89">
        <v>46219</v>
      </c>
      <c r="I2913" s="89">
        <v>46221</v>
      </c>
      <c r="J2913" s="91" t="s">
        <v>3549</v>
      </c>
      <c r="K2913" s="91"/>
      <c r="M2913" s="91"/>
      <c r="N2913" s="91" t="s">
        <v>4014</v>
      </c>
    </row>
    <row r="2914" spans="1:14" x14ac:dyDescent="0.25">
      <c r="A2914" s="91" t="s">
        <v>1317</v>
      </c>
      <c r="B2914" s="91" t="s">
        <v>1331</v>
      </c>
      <c r="C2914" s="91" t="s">
        <v>4077</v>
      </c>
      <c r="D2914" s="91" t="s">
        <v>20</v>
      </c>
      <c r="E2914" s="91"/>
      <c r="F2914">
        <v>14</v>
      </c>
      <c r="G2914" t="s">
        <v>1419</v>
      </c>
      <c r="H2914" s="89">
        <v>46219</v>
      </c>
      <c r="I2914" s="89">
        <v>46221</v>
      </c>
      <c r="J2914" s="91" t="s">
        <v>3549</v>
      </c>
      <c r="K2914" s="91"/>
      <c r="M2914" s="91"/>
      <c r="N2914" s="91" t="s">
        <v>4014</v>
      </c>
    </row>
    <row r="2915" spans="1:14" x14ac:dyDescent="0.25">
      <c r="A2915" s="91" t="s">
        <v>1318</v>
      </c>
      <c r="B2915" s="91" t="s">
        <v>1332</v>
      </c>
      <c r="C2915" s="91" t="s">
        <v>4078</v>
      </c>
      <c r="D2915" s="91" t="s">
        <v>20</v>
      </c>
      <c r="E2915" s="91"/>
      <c r="F2915">
        <v>50</v>
      </c>
      <c r="G2915" t="s">
        <v>1419</v>
      </c>
      <c r="H2915" s="89">
        <v>46219</v>
      </c>
      <c r="I2915" s="89">
        <v>46221</v>
      </c>
      <c r="J2915" s="91" t="s">
        <v>3549</v>
      </c>
      <c r="K2915" s="91"/>
      <c r="M2915" s="91"/>
      <c r="N2915" s="91" t="s">
        <v>4014</v>
      </c>
    </row>
    <row r="2916" spans="1:14" x14ac:dyDescent="0.25">
      <c r="A2916" s="91" t="s">
        <v>1316</v>
      </c>
      <c r="B2916" s="91" t="s">
        <v>1330</v>
      </c>
      <c r="C2916" s="91" t="s">
        <v>4079</v>
      </c>
      <c r="D2916" s="91" t="s">
        <v>15</v>
      </c>
      <c r="E2916" s="91"/>
      <c r="F2916">
        <v>26</v>
      </c>
      <c r="G2916" t="s">
        <v>1419</v>
      </c>
      <c r="H2916" s="89">
        <v>46219</v>
      </c>
      <c r="I2916" s="89">
        <v>46221</v>
      </c>
      <c r="J2916" s="91" t="s">
        <v>3549</v>
      </c>
      <c r="K2916" s="91"/>
      <c r="M2916" s="91"/>
      <c r="N2916" s="91" t="s">
        <v>4014</v>
      </c>
    </row>
    <row r="2917" spans="1:14" x14ac:dyDescent="0.25">
      <c r="A2917" s="91" t="s">
        <v>1317</v>
      </c>
      <c r="B2917" s="91" t="s">
        <v>1331</v>
      </c>
      <c r="C2917" s="91" t="s">
        <v>4080</v>
      </c>
      <c r="D2917" s="91" t="s">
        <v>15</v>
      </c>
      <c r="E2917" s="91"/>
      <c r="F2917">
        <v>33</v>
      </c>
      <c r="G2917" t="s">
        <v>1419</v>
      </c>
      <c r="H2917" s="89">
        <v>46219</v>
      </c>
      <c r="I2917" s="89">
        <v>46221</v>
      </c>
      <c r="J2917" s="91" t="s">
        <v>3549</v>
      </c>
      <c r="K2917" s="91"/>
      <c r="M2917" s="91"/>
      <c r="N2917" s="91" t="s">
        <v>4014</v>
      </c>
    </row>
    <row r="2918" spans="1:14" x14ac:dyDescent="0.25">
      <c r="A2918" s="91" t="s">
        <v>1318</v>
      </c>
      <c r="B2918" s="91" t="s">
        <v>1332</v>
      </c>
      <c r="C2918" s="91" t="s">
        <v>4081</v>
      </c>
      <c r="D2918" s="91" t="s">
        <v>15</v>
      </c>
      <c r="E2918" s="91"/>
      <c r="F2918">
        <v>13</v>
      </c>
      <c r="G2918" t="s">
        <v>1419</v>
      </c>
      <c r="H2918" s="89">
        <v>46219</v>
      </c>
      <c r="I2918" s="89">
        <v>46221</v>
      </c>
      <c r="J2918" s="91" t="s">
        <v>3549</v>
      </c>
      <c r="K2918" s="91"/>
      <c r="M2918" s="91"/>
      <c r="N2918" s="91" t="s">
        <v>4014</v>
      </c>
    </row>
    <row r="2919" spans="1:14" x14ac:dyDescent="0.25">
      <c r="A2919" s="91" t="s">
        <v>1316</v>
      </c>
      <c r="B2919" s="91" t="s">
        <v>1330</v>
      </c>
      <c r="C2919" s="91" t="s">
        <v>4082</v>
      </c>
      <c r="D2919" s="91" t="s">
        <v>28</v>
      </c>
      <c r="E2919" s="91"/>
      <c r="F2919">
        <v>30</v>
      </c>
      <c r="G2919" t="s">
        <v>1419</v>
      </c>
      <c r="H2919" s="89">
        <v>46219</v>
      </c>
      <c r="I2919" s="89">
        <v>46220</v>
      </c>
      <c r="J2919" s="91" t="s">
        <v>3549</v>
      </c>
      <c r="K2919" s="91"/>
      <c r="M2919" s="91"/>
      <c r="N2919" s="91" t="s">
        <v>4014</v>
      </c>
    </row>
    <row r="2920" spans="1:14" x14ac:dyDescent="0.25">
      <c r="A2920" s="91" t="s">
        <v>1317</v>
      </c>
      <c r="B2920" s="91" t="s">
        <v>1331</v>
      </c>
      <c r="C2920" s="91" t="s">
        <v>4083</v>
      </c>
      <c r="D2920" s="91" t="s">
        <v>28</v>
      </c>
      <c r="E2920" s="91"/>
      <c r="F2920">
        <v>8</v>
      </c>
      <c r="G2920" t="s">
        <v>1419</v>
      </c>
      <c r="H2920" s="89">
        <v>46219</v>
      </c>
      <c r="I2920" s="89">
        <v>46220</v>
      </c>
      <c r="J2920" s="91" t="s">
        <v>3549</v>
      </c>
      <c r="K2920" s="91"/>
      <c r="M2920" s="91"/>
      <c r="N2920" s="91" t="s">
        <v>4014</v>
      </c>
    </row>
    <row r="2921" spans="1:14" x14ac:dyDescent="0.25">
      <c r="A2921" s="91" t="s">
        <v>1318</v>
      </c>
      <c r="B2921" s="91" t="s">
        <v>1332</v>
      </c>
      <c r="C2921" s="91" t="s">
        <v>4084</v>
      </c>
      <c r="D2921" s="91" t="s">
        <v>28</v>
      </c>
      <c r="E2921" s="91"/>
      <c r="F2921">
        <v>37</v>
      </c>
      <c r="G2921" t="s">
        <v>1419</v>
      </c>
      <c r="H2921" s="89">
        <v>46219</v>
      </c>
      <c r="I2921" s="89">
        <v>46220</v>
      </c>
      <c r="J2921" s="91" t="s">
        <v>3549</v>
      </c>
      <c r="K2921" s="91"/>
      <c r="M2921" s="91"/>
      <c r="N2921" s="91" t="s">
        <v>4014</v>
      </c>
    </row>
    <row r="2922" spans="1:14" x14ac:dyDescent="0.25">
      <c r="A2922" s="91" t="s">
        <v>1313</v>
      </c>
      <c r="B2922" s="91" t="s">
        <v>1327</v>
      </c>
      <c r="C2922" s="91" t="s">
        <v>4085</v>
      </c>
      <c r="D2922" s="91" t="s">
        <v>20</v>
      </c>
      <c r="E2922" s="91"/>
      <c r="F2922">
        <v>1104</v>
      </c>
      <c r="G2922">
        <v>23</v>
      </c>
      <c r="H2922" s="89">
        <v>46220</v>
      </c>
      <c r="I2922" s="89">
        <v>46225</v>
      </c>
      <c r="J2922" s="91" t="s">
        <v>4086</v>
      </c>
      <c r="K2922" s="91"/>
      <c r="M2922" s="91"/>
      <c r="N2922" s="91" t="s">
        <v>4014</v>
      </c>
    </row>
    <row r="2923" spans="1:14" x14ac:dyDescent="0.25">
      <c r="A2923" s="91" t="s">
        <v>1314</v>
      </c>
      <c r="B2923" s="91" t="s">
        <v>1328</v>
      </c>
      <c r="C2923" s="91" t="s">
        <v>4087</v>
      </c>
      <c r="D2923" s="91" t="s">
        <v>15</v>
      </c>
      <c r="E2923" s="91"/>
      <c r="F2923">
        <v>240</v>
      </c>
      <c r="G2923">
        <v>5</v>
      </c>
      <c r="H2923" s="89">
        <v>46220</v>
      </c>
      <c r="I2923" s="89">
        <v>46224</v>
      </c>
      <c r="J2923" s="91" t="s">
        <v>4088</v>
      </c>
      <c r="K2923" s="91"/>
      <c r="M2923" s="91"/>
      <c r="N2923" s="91" t="s">
        <v>4014</v>
      </c>
    </row>
    <row r="2924" spans="1:14" x14ac:dyDescent="0.25">
      <c r="A2924" s="91" t="s">
        <v>1313</v>
      </c>
      <c r="B2924" s="91" t="s">
        <v>1327</v>
      </c>
      <c r="C2924" s="91" t="s">
        <v>4087</v>
      </c>
      <c r="D2924" s="91" t="s">
        <v>15</v>
      </c>
      <c r="E2924" s="91"/>
      <c r="F2924">
        <v>48</v>
      </c>
      <c r="G2924">
        <v>1</v>
      </c>
      <c r="H2924" s="89">
        <v>46220</v>
      </c>
      <c r="I2924" s="89">
        <v>46225</v>
      </c>
      <c r="J2924" s="91" t="s">
        <v>4066</v>
      </c>
      <c r="K2924" s="91"/>
      <c r="M2924" s="91"/>
      <c r="N2924" s="91" t="s">
        <v>4014</v>
      </c>
    </row>
    <row r="2925" spans="1:14" x14ac:dyDescent="0.25">
      <c r="A2925" s="91" t="s">
        <v>1313</v>
      </c>
      <c r="B2925" s="91" t="s">
        <v>1327</v>
      </c>
      <c r="C2925" s="91" t="s">
        <v>4087</v>
      </c>
      <c r="D2925" s="91" t="s">
        <v>15</v>
      </c>
      <c r="E2925" s="91"/>
      <c r="F2925">
        <v>192</v>
      </c>
      <c r="G2925">
        <v>4</v>
      </c>
      <c r="H2925" s="89">
        <v>46220</v>
      </c>
      <c r="I2925" s="89">
        <v>46225</v>
      </c>
      <c r="J2925" s="91" t="s">
        <v>4089</v>
      </c>
      <c r="K2925" s="91"/>
      <c r="M2925" s="91"/>
      <c r="N2925" s="91" t="s">
        <v>4014</v>
      </c>
    </row>
    <row r="2926" spans="1:14" x14ac:dyDescent="0.25">
      <c r="A2926" s="91" t="s">
        <v>1324</v>
      </c>
      <c r="B2926" s="91" t="s">
        <v>1338</v>
      </c>
      <c r="C2926" s="91" t="s">
        <v>4087</v>
      </c>
      <c r="D2926" s="91" t="s">
        <v>15</v>
      </c>
      <c r="E2926" s="91"/>
      <c r="F2926">
        <v>546</v>
      </c>
      <c r="G2926">
        <v>13</v>
      </c>
      <c r="H2926" s="89">
        <v>46220</v>
      </c>
      <c r="I2926" s="89">
        <v>46224</v>
      </c>
      <c r="J2926" s="91" t="s">
        <v>3549</v>
      </c>
      <c r="K2926" s="91"/>
      <c r="M2926" s="91"/>
      <c r="N2926" s="91" t="s">
        <v>4014</v>
      </c>
    </row>
    <row r="2927" spans="1:14" x14ac:dyDescent="0.25">
      <c r="A2927" s="91" t="s">
        <v>1324</v>
      </c>
      <c r="B2927" s="91" t="s">
        <v>1338</v>
      </c>
      <c r="C2927" s="91" t="s">
        <v>4090</v>
      </c>
      <c r="D2927" s="91" t="s">
        <v>88</v>
      </c>
      <c r="E2927" s="91"/>
      <c r="F2927">
        <v>588</v>
      </c>
      <c r="G2927">
        <v>14</v>
      </c>
      <c r="H2927" s="89">
        <v>46220</v>
      </c>
      <c r="I2927" s="89">
        <v>46224</v>
      </c>
      <c r="J2927" s="91" t="s">
        <v>3549</v>
      </c>
      <c r="K2927" s="91"/>
      <c r="M2927" s="91"/>
      <c r="N2927" s="91" t="s">
        <v>4014</v>
      </c>
    </row>
    <row r="2928" spans="1:14" x14ac:dyDescent="0.25">
      <c r="A2928" s="91" t="s">
        <v>1321</v>
      </c>
      <c r="B2928" s="91" t="s">
        <v>1335</v>
      </c>
      <c r="C2928" s="91" t="s">
        <v>4091</v>
      </c>
      <c r="D2928" s="91" t="s">
        <v>159</v>
      </c>
      <c r="E2928" s="91"/>
      <c r="F2928">
        <v>144</v>
      </c>
      <c r="G2928">
        <v>3</v>
      </c>
      <c r="H2928" s="89">
        <v>46220</v>
      </c>
      <c r="I2928" s="89">
        <v>46228</v>
      </c>
      <c r="J2928" s="91" t="s">
        <v>4092</v>
      </c>
      <c r="K2928" s="91"/>
      <c r="M2928" s="91"/>
      <c r="N2928" s="91" t="s">
        <v>4014</v>
      </c>
    </row>
    <row r="2929" spans="1:14" x14ac:dyDescent="0.25">
      <c r="A2929" s="91" t="s">
        <v>1321</v>
      </c>
      <c r="B2929" s="91" t="s">
        <v>1335</v>
      </c>
      <c r="C2929" s="91" t="s">
        <v>4091</v>
      </c>
      <c r="D2929" s="91" t="s">
        <v>159</v>
      </c>
      <c r="E2929" s="91"/>
      <c r="F2929">
        <v>96</v>
      </c>
      <c r="G2929">
        <v>2</v>
      </c>
      <c r="H2929" s="89">
        <v>46220</v>
      </c>
      <c r="I2929" s="89">
        <v>46226</v>
      </c>
      <c r="J2929" s="91" t="s">
        <v>4068</v>
      </c>
      <c r="K2929" s="91"/>
      <c r="M2929" s="91"/>
      <c r="N2929" s="91" t="s">
        <v>4014</v>
      </c>
    </row>
    <row r="2930" spans="1:14" x14ac:dyDescent="0.25">
      <c r="A2930" s="91" t="s">
        <v>1324</v>
      </c>
      <c r="B2930" s="91" t="s">
        <v>1338</v>
      </c>
      <c r="C2930" s="91" t="s">
        <v>4093</v>
      </c>
      <c r="D2930" s="91" t="s">
        <v>104</v>
      </c>
      <c r="E2930" s="91"/>
      <c r="F2930">
        <v>840</v>
      </c>
      <c r="G2930">
        <v>20</v>
      </c>
      <c r="H2930" s="89">
        <v>46220</v>
      </c>
      <c r="I2930" s="89">
        <v>46225</v>
      </c>
      <c r="J2930" s="91" t="s">
        <v>3549</v>
      </c>
      <c r="K2930" s="91"/>
      <c r="M2930" s="91"/>
      <c r="N2930" s="91" t="s">
        <v>4014</v>
      </c>
    </row>
    <row r="2931" spans="1:14" x14ac:dyDescent="0.25">
      <c r="A2931" s="91" t="s">
        <v>1320</v>
      </c>
      <c r="B2931" s="91" t="s">
        <v>1334</v>
      </c>
      <c r="C2931" s="91" t="s">
        <v>4094</v>
      </c>
      <c r="D2931" s="91" t="s">
        <v>21</v>
      </c>
      <c r="E2931" s="91"/>
      <c r="F2931">
        <v>960</v>
      </c>
      <c r="G2931">
        <v>20</v>
      </c>
      <c r="H2931" s="89">
        <v>46220</v>
      </c>
      <c r="I2931" s="89">
        <v>46226</v>
      </c>
      <c r="J2931" s="91" t="s">
        <v>4095</v>
      </c>
      <c r="K2931" s="91"/>
      <c r="M2931" s="91"/>
      <c r="N2931" s="91" t="s">
        <v>4014</v>
      </c>
    </row>
    <row r="2932" spans="1:14" x14ac:dyDescent="0.25">
      <c r="A2932" s="91" t="s">
        <v>1320</v>
      </c>
      <c r="B2932" s="91" t="s">
        <v>1334</v>
      </c>
      <c r="C2932" s="91" t="s">
        <v>4094</v>
      </c>
      <c r="D2932" s="91" t="s">
        <v>21</v>
      </c>
      <c r="E2932" s="91"/>
      <c r="F2932">
        <v>336</v>
      </c>
      <c r="G2932">
        <v>7</v>
      </c>
      <c r="H2932" s="89">
        <v>46220</v>
      </c>
      <c r="I2932" s="89">
        <v>46225</v>
      </c>
      <c r="J2932" s="91" t="s">
        <v>4073</v>
      </c>
      <c r="K2932" s="91"/>
      <c r="M2932" s="91"/>
      <c r="N2932" s="91" t="s">
        <v>4014</v>
      </c>
    </row>
    <row r="2933" spans="1:14" x14ac:dyDescent="0.25">
      <c r="A2933" s="91" t="s">
        <v>1320</v>
      </c>
      <c r="B2933" s="91" t="s">
        <v>1334</v>
      </c>
      <c r="C2933" s="91" t="s">
        <v>4096</v>
      </c>
      <c r="D2933" s="91" t="s">
        <v>144</v>
      </c>
      <c r="E2933" s="91"/>
      <c r="F2933">
        <v>960</v>
      </c>
      <c r="G2933">
        <v>20</v>
      </c>
      <c r="H2933" s="89">
        <v>46220</v>
      </c>
      <c r="I2933" s="89">
        <v>46225</v>
      </c>
      <c r="J2933" s="91" t="s">
        <v>4097</v>
      </c>
      <c r="K2933" s="91"/>
      <c r="M2933" s="91"/>
      <c r="N2933" s="91" t="s">
        <v>4014</v>
      </c>
    </row>
    <row r="2934" spans="1:14" x14ac:dyDescent="0.25">
      <c r="A2934" s="91" t="s">
        <v>1320</v>
      </c>
      <c r="B2934" s="91" t="s">
        <v>1334</v>
      </c>
      <c r="C2934" s="91" t="s">
        <v>4098</v>
      </c>
      <c r="D2934" s="91" t="s">
        <v>30</v>
      </c>
      <c r="E2934" s="91"/>
      <c r="F2934">
        <v>432</v>
      </c>
      <c r="G2934">
        <v>9</v>
      </c>
      <c r="H2934" s="89">
        <v>46220</v>
      </c>
      <c r="I2934" s="89">
        <v>46225</v>
      </c>
      <c r="J2934" s="91" t="s">
        <v>4073</v>
      </c>
      <c r="K2934" s="91"/>
      <c r="M2934" s="91"/>
      <c r="N2934" s="91" t="s">
        <v>4014</v>
      </c>
    </row>
    <row r="2935" spans="1:14" x14ac:dyDescent="0.25">
      <c r="A2935" s="91" t="s">
        <v>1326</v>
      </c>
      <c r="B2935" s="91" t="s">
        <v>1340</v>
      </c>
      <c r="C2935" s="91" t="s">
        <v>4099</v>
      </c>
      <c r="D2935" s="91" t="s">
        <v>32</v>
      </c>
      <c r="E2935" s="91"/>
      <c r="F2935">
        <v>840</v>
      </c>
      <c r="G2935">
        <v>20</v>
      </c>
      <c r="H2935" s="89">
        <v>46220</v>
      </c>
      <c r="I2935" s="89">
        <v>46224</v>
      </c>
      <c r="J2935" s="91" t="s">
        <v>4100</v>
      </c>
      <c r="K2935" s="91"/>
      <c r="M2935" s="91"/>
      <c r="N2935" s="91" t="s">
        <v>4014</v>
      </c>
    </row>
    <row r="2936" spans="1:14" x14ac:dyDescent="0.25">
      <c r="A2936" s="91" t="s">
        <v>1315</v>
      </c>
      <c r="B2936" s="91" t="s">
        <v>1329</v>
      </c>
      <c r="C2936" s="91" t="s">
        <v>4094</v>
      </c>
      <c r="D2936" s="91" t="s">
        <v>21</v>
      </c>
      <c r="E2936" s="91"/>
      <c r="F2936">
        <v>149</v>
      </c>
      <c r="G2936" t="s">
        <v>1419</v>
      </c>
      <c r="H2936" s="89">
        <v>46220</v>
      </c>
      <c r="I2936" s="89">
        <v>46222</v>
      </c>
      <c r="J2936" s="91" t="s">
        <v>3549</v>
      </c>
      <c r="K2936" s="91"/>
      <c r="M2936" s="91"/>
      <c r="N2936" s="91" t="s">
        <v>4014</v>
      </c>
    </row>
    <row r="2937" spans="1:14" x14ac:dyDescent="0.25">
      <c r="A2937" s="91" t="s">
        <v>1316</v>
      </c>
      <c r="B2937" s="91" t="s">
        <v>1330</v>
      </c>
      <c r="C2937" s="91" t="s">
        <v>4101</v>
      </c>
      <c r="D2937" s="91" t="s">
        <v>21</v>
      </c>
      <c r="E2937" s="91"/>
      <c r="F2937">
        <v>19</v>
      </c>
      <c r="G2937" t="s">
        <v>1419</v>
      </c>
      <c r="H2937" s="89">
        <v>46220</v>
      </c>
      <c r="I2937" s="89">
        <v>46222</v>
      </c>
      <c r="J2937" s="91" t="s">
        <v>3549</v>
      </c>
      <c r="K2937" s="91"/>
      <c r="M2937" s="91"/>
      <c r="N2937" s="91" t="s">
        <v>4014</v>
      </c>
    </row>
    <row r="2938" spans="1:14" x14ac:dyDescent="0.25">
      <c r="A2938" s="91" t="s">
        <v>1317</v>
      </c>
      <c r="B2938" s="91" t="s">
        <v>1331</v>
      </c>
      <c r="C2938" s="91" t="s">
        <v>4102</v>
      </c>
      <c r="D2938" s="91" t="s">
        <v>21</v>
      </c>
      <c r="E2938" s="91"/>
      <c r="F2938">
        <v>33</v>
      </c>
      <c r="G2938" t="s">
        <v>1419</v>
      </c>
      <c r="H2938" s="89">
        <v>46220</v>
      </c>
      <c r="I2938" s="89">
        <v>46222</v>
      </c>
      <c r="J2938" s="91" t="s">
        <v>3549</v>
      </c>
      <c r="K2938" s="91"/>
      <c r="M2938" s="91"/>
      <c r="N2938" s="91" t="s">
        <v>4014</v>
      </c>
    </row>
    <row r="2939" spans="1:14" x14ac:dyDescent="0.25">
      <c r="A2939" s="91" t="s">
        <v>1318</v>
      </c>
      <c r="B2939" s="91" t="s">
        <v>1332</v>
      </c>
      <c r="C2939" s="91" t="s">
        <v>4103</v>
      </c>
      <c r="D2939" s="91" t="s">
        <v>21</v>
      </c>
      <c r="E2939" s="91"/>
      <c r="F2939">
        <v>69</v>
      </c>
      <c r="G2939" t="s">
        <v>1419</v>
      </c>
      <c r="H2939" s="89">
        <v>46220</v>
      </c>
      <c r="I2939" s="89">
        <v>46222</v>
      </c>
      <c r="J2939" s="91" t="s">
        <v>3549</v>
      </c>
      <c r="K2939" s="91"/>
      <c r="M2939" s="91"/>
      <c r="N2939" s="91" t="s">
        <v>4014</v>
      </c>
    </row>
    <row r="2940" spans="1:14" x14ac:dyDescent="0.25">
      <c r="A2940" s="91" t="s">
        <v>1315</v>
      </c>
      <c r="B2940" s="91" t="s">
        <v>1329</v>
      </c>
      <c r="C2940" s="91" t="s">
        <v>4087</v>
      </c>
      <c r="D2940" s="91" t="s">
        <v>15</v>
      </c>
      <c r="E2940" s="91"/>
      <c r="F2940">
        <v>10</v>
      </c>
      <c r="G2940" t="s">
        <v>1419</v>
      </c>
      <c r="H2940" s="89">
        <v>46220</v>
      </c>
      <c r="I2940" s="89">
        <v>46222</v>
      </c>
      <c r="J2940" s="91" t="s">
        <v>3549</v>
      </c>
      <c r="K2940" s="91"/>
      <c r="M2940" s="91"/>
      <c r="N2940" s="91" t="s">
        <v>4014</v>
      </c>
    </row>
    <row r="2941" spans="1:14" x14ac:dyDescent="0.25">
      <c r="A2941" s="91" t="s">
        <v>1316</v>
      </c>
      <c r="B2941" s="91" t="s">
        <v>1330</v>
      </c>
      <c r="C2941" s="91" t="s">
        <v>4104</v>
      </c>
      <c r="D2941" s="91" t="s">
        <v>15</v>
      </c>
      <c r="E2941" s="91"/>
      <c r="F2941">
        <v>34</v>
      </c>
      <c r="G2941" t="s">
        <v>1419</v>
      </c>
      <c r="H2941" s="89">
        <v>46220</v>
      </c>
      <c r="I2941" s="89">
        <v>46220</v>
      </c>
      <c r="J2941" s="91" t="s">
        <v>3549</v>
      </c>
      <c r="K2941" s="91"/>
      <c r="M2941" s="91"/>
      <c r="N2941" s="91" t="s">
        <v>4014</v>
      </c>
    </row>
    <row r="2942" spans="1:14" x14ac:dyDescent="0.25">
      <c r="A2942" s="91" t="s">
        <v>1317</v>
      </c>
      <c r="B2942" s="91" t="s">
        <v>1331</v>
      </c>
      <c r="C2942" s="91" t="s">
        <v>4105</v>
      </c>
      <c r="D2942" s="91" t="s">
        <v>15</v>
      </c>
      <c r="E2942" s="91"/>
      <c r="F2942">
        <v>36</v>
      </c>
      <c r="G2942" t="s">
        <v>1419</v>
      </c>
      <c r="H2942" s="89">
        <v>46220</v>
      </c>
      <c r="I2942" s="89">
        <v>46220</v>
      </c>
      <c r="J2942" s="91" t="s">
        <v>3549</v>
      </c>
      <c r="K2942" s="91"/>
      <c r="M2942" s="91"/>
      <c r="N2942" s="91" t="s">
        <v>4014</v>
      </c>
    </row>
    <row r="2943" spans="1:14" x14ac:dyDescent="0.25">
      <c r="A2943" s="91" t="s">
        <v>1318</v>
      </c>
      <c r="B2943" s="91" t="s">
        <v>1332</v>
      </c>
      <c r="C2943" s="91" t="s">
        <v>4106</v>
      </c>
      <c r="D2943" s="91" t="s">
        <v>15</v>
      </c>
      <c r="E2943" s="91"/>
      <c r="F2943">
        <v>11</v>
      </c>
      <c r="G2943" t="s">
        <v>1419</v>
      </c>
      <c r="H2943" s="89">
        <v>46220</v>
      </c>
      <c r="I2943" s="89">
        <v>46220</v>
      </c>
      <c r="J2943" s="91" t="s">
        <v>3549</v>
      </c>
      <c r="K2943" s="91"/>
      <c r="M2943" s="91"/>
      <c r="N2943" s="91" t="s">
        <v>4014</v>
      </c>
    </row>
    <row r="2944" spans="1:14" x14ac:dyDescent="0.25">
      <c r="A2944" s="91" t="s">
        <v>1315</v>
      </c>
      <c r="B2944" s="91" t="s">
        <v>1329</v>
      </c>
      <c r="C2944" s="91" t="s">
        <v>4085</v>
      </c>
      <c r="D2944" s="91" t="s">
        <v>20</v>
      </c>
      <c r="E2944" s="91"/>
      <c r="F2944">
        <v>77</v>
      </c>
      <c r="G2944" t="s">
        <v>1419</v>
      </c>
      <c r="H2944" s="89">
        <v>46220</v>
      </c>
      <c r="I2944" s="89">
        <v>46222</v>
      </c>
      <c r="J2944" s="91" t="s">
        <v>3549</v>
      </c>
      <c r="K2944" s="91"/>
      <c r="M2944" s="91"/>
      <c r="N2944" s="91" t="s">
        <v>4014</v>
      </c>
    </row>
    <row r="2945" spans="1:14" x14ac:dyDescent="0.25">
      <c r="A2945" s="91" t="s">
        <v>1325</v>
      </c>
      <c r="B2945" s="91" t="s">
        <v>1339</v>
      </c>
      <c r="C2945" s="91" t="s">
        <v>4085</v>
      </c>
      <c r="D2945" s="91" t="s">
        <v>20</v>
      </c>
      <c r="E2945" s="91"/>
      <c r="F2945">
        <v>144</v>
      </c>
      <c r="G2945">
        <v>3</v>
      </c>
      <c r="H2945" s="89">
        <v>46220</v>
      </c>
      <c r="I2945" s="89">
        <v>46223</v>
      </c>
      <c r="J2945" s="91" t="s">
        <v>3549</v>
      </c>
      <c r="K2945" s="91"/>
      <c r="M2945" s="91"/>
      <c r="N2945" s="91" t="s">
        <v>4014</v>
      </c>
    </row>
    <row r="2946" spans="1:14" x14ac:dyDescent="0.25">
      <c r="A2946" s="91" t="s">
        <v>1316</v>
      </c>
      <c r="B2946" s="91" t="s">
        <v>1330</v>
      </c>
      <c r="C2946" s="91" t="s">
        <v>4107</v>
      </c>
      <c r="D2946" s="91" t="s">
        <v>20</v>
      </c>
      <c r="E2946" s="91"/>
      <c r="F2946">
        <v>82</v>
      </c>
      <c r="G2946" t="s">
        <v>1419</v>
      </c>
      <c r="H2946" s="89">
        <v>46220</v>
      </c>
      <c r="I2946" s="89">
        <v>46222</v>
      </c>
      <c r="J2946" s="91" t="s">
        <v>3549</v>
      </c>
      <c r="K2946" s="91"/>
      <c r="M2946" s="91"/>
      <c r="N2946" s="91" t="s">
        <v>4014</v>
      </c>
    </row>
    <row r="2947" spans="1:14" x14ac:dyDescent="0.25">
      <c r="A2947" s="91" t="s">
        <v>1317</v>
      </c>
      <c r="B2947" s="91" t="s">
        <v>1331</v>
      </c>
      <c r="C2947" s="91" t="s">
        <v>4108</v>
      </c>
      <c r="D2947" s="91" t="s">
        <v>20</v>
      </c>
      <c r="E2947" s="91"/>
      <c r="F2947">
        <v>11</v>
      </c>
      <c r="G2947" t="s">
        <v>1419</v>
      </c>
      <c r="H2947" s="89">
        <v>46220</v>
      </c>
      <c r="I2947" s="89">
        <v>46222</v>
      </c>
      <c r="J2947" s="91" t="s">
        <v>3549</v>
      </c>
      <c r="K2947" s="91"/>
      <c r="M2947" s="91"/>
      <c r="N2947" s="91" t="s">
        <v>4014</v>
      </c>
    </row>
    <row r="2948" spans="1:14" x14ac:dyDescent="0.25">
      <c r="A2948" s="91" t="s">
        <v>1318</v>
      </c>
      <c r="B2948" s="91" t="s">
        <v>1332</v>
      </c>
      <c r="C2948" s="91" t="s">
        <v>4109</v>
      </c>
      <c r="D2948" s="91" t="s">
        <v>20</v>
      </c>
      <c r="E2948" s="91"/>
      <c r="F2948">
        <v>41</v>
      </c>
      <c r="G2948" t="s">
        <v>1419</v>
      </c>
      <c r="H2948" s="89">
        <v>46220</v>
      </c>
      <c r="I2948" s="89">
        <v>46222</v>
      </c>
      <c r="J2948" s="91" t="s">
        <v>3549</v>
      </c>
      <c r="K2948" s="91"/>
      <c r="M2948" s="91"/>
      <c r="N2948" s="91" t="s">
        <v>4014</v>
      </c>
    </row>
    <row r="2949" spans="1:14" x14ac:dyDescent="0.25">
      <c r="A2949" s="91" t="s">
        <v>1325</v>
      </c>
      <c r="B2949" s="91" t="s">
        <v>1339</v>
      </c>
      <c r="C2949" s="91" t="s">
        <v>4091</v>
      </c>
      <c r="D2949" s="91" t="s">
        <v>159</v>
      </c>
      <c r="E2949" s="91"/>
      <c r="F2949">
        <v>288</v>
      </c>
      <c r="G2949">
        <v>6</v>
      </c>
      <c r="H2949" s="89">
        <v>46220</v>
      </c>
      <c r="I2949" s="89">
        <v>46223</v>
      </c>
      <c r="J2949" s="91" t="s">
        <v>3549</v>
      </c>
      <c r="K2949" s="91"/>
      <c r="M2949" s="91"/>
      <c r="N2949" s="91" t="s">
        <v>4014</v>
      </c>
    </row>
    <row r="2950" spans="1:14" x14ac:dyDescent="0.25">
      <c r="A2950" s="91" t="s">
        <v>1313</v>
      </c>
      <c r="B2950" s="91" t="s">
        <v>1327</v>
      </c>
      <c r="C2950" s="91" t="s">
        <v>4110</v>
      </c>
      <c r="D2950" s="91" t="s">
        <v>114</v>
      </c>
      <c r="E2950" s="91"/>
      <c r="F2950">
        <v>960</v>
      </c>
      <c r="G2950">
        <v>20</v>
      </c>
      <c r="H2950" s="89">
        <v>46221</v>
      </c>
      <c r="I2950" s="89">
        <v>46225</v>
      </c>
      <c r="J2950" s="91" t="s">
        <v>4089</v>
      </c>
      <c r="K2950" s="91"/>
      <c r="M2950" s="91"/>
      <c r="N2950" s="91" t="s">
        <v>4014</v>
      </c>
    </row>
    <row r="2951" spans="1:14" x14ac:dyDescent="0.25">
      <c r="A2951" s="91" t="s">
        <v>1324</v>
      </c>
      <c r="B2951" s="91" t="s">
        <v>1338</v>
      </c>
      <c r="C2951" s="91" t="s">
        <v>4110</v>
      </c>
      <c r="D2951" s="91" t="s">
        <v>114</v>
      </c>
      <c r="E2951" s="91"/>
      <c r="F2951">
        <v>294</v>
      </c>
      <c r="G2951">
        <v>7</v>
      </c>
      <c r="H2951" s="89">
        <v>46221</v>
      </c>
      <c r="I2951" s="89">
        <v>46225</v>
      </c>
      <c r="J2951" s="91" t="s">
        <v>3549</v>
      </c>
      <c r="K2951" s="91"/>
      <c r="M2951" s="91"/>
      <c r="N2951" s="91" t="s">
        <v>4014</v>
      </c>
    </row>
    <row r="2952" spans="1:14" x14ac:dyDescent="0.25">
      <c r="A2952" s="91" t="s">
        <v>1313</v>
      </c>
      <c r="B2952" s="91" t="s">
        <v>1327</v>
      </c>
      <c r="C2952" s="91" t="s">
        <v>4111</v>
      </c>
      <c r="D2952" s="91" t="s">
        <v>88</v>
      </c>
      <c r="E2952" s="91"/>
      <c r="F2952">
        <v>546</v>
      </c>
      <c r="G2952">
        <v>11.375</v>
      </c>
      <c r="H2952" s="89">
        <v>46221</v>
      </c>
      <c r="I2952" s="89">
        <v>46225</v>
      </c>
      <c r="J2952" s="91" t="s">
        <v>4066</v>
      </c>
      <c r="K2952" s="91"/>
      <c r="M2952" s="91"/>
      <c r="N2952" s="91" t="s">
        <v>4014</v>
      </c>
    </row>
    <row r="2953" spans="1:14" x14ac:dyDescent="0.25">
      <c r="A2953" s="91" t="s">
        <v>1324</v>
      </c>
      <c r="B2953" s="91" t="s">
        <v>1338</v>
      </c>
      <c r="C2953" s="91" t="s">
        <v>4112</v>
      </c>
      <c r="D2953" s="91" t="s">
        <v>144</v>
      </c>
      <c r="E2953" s="91"/>
      <c r="F2953">
        <v>816</v>
      </c>
      <c r="G2953">
        <v>17</v>
      </c>
      <c r="H2953" s="89">
        <v>46221</v>
      </c>
      <c r="I2953" s="89">
        <v>46228</v>
      </c>
      <c r="J2953" s="91" t="s">
        <v>4092</v>
      </c>
      <c r="K2953" s="91"/>
      <c r="M2953" s="91"/>
      <c r="N2953" s="91" t="s">
        <v>4014</v>
      </c>
    </row>
    <row r="2954" spans="1:14" x14ac:dyDescent="0.25">
      <c r="A2954" s="91" t="s">
        <v>1320</v>
      </c>
      <c r="B2954" s="91" t="s">
        <v>1334</v>
      </c>
      <c r="C2954" s="91" t="s">
        <v>4112</v>
      </c>
      <c r="D2954" s="91" t="s">
        <v>144</v>
      </c>
      <c r="E2954" s="91"/>
      <c r="F2954">
        <v>144</v>
      </c>
      <c r="G2954">
        <v>3</v>
      </c>
      <c r="H2954" s="89">
        <v>46221</v>
      </c>
      <c r="I2954" s="89">
        <v>46225</v>
      </c>
      <c r="J2954" s="91" t="s">
        <v>4073</v>
      </c>
      <c r="K2954" s="91"/>
      <c r="M2954" s="91"/>
      <c r="N2954" s="91" t="s">
        <v>4014</v>
      </c>
    </row>
    <row r="2955" spans="1:14" x14ac:dyDescent="0.25">
      <c r="A2955" s="91" t="s">
        <v>1324</v>
      </c>
      <c r="B2955" s="91" t="s">
        <v>1338</v>
      </c>
      <c r="C2955" s="91" t="s">
        <v>4113</v>
      </c>
      <c r="D2955" s="91" t="s">
        <v>118</v>
      </c>
      <c r="E2955" s="91"/>
      <c r="F2955">
        <v>480</v>
      </c>
      <c r="G2955">
        <v>10</v>
      </c>
      <c r="H2955" s="89">
        <v>46221</v>
      </c>
      <c r="I2955" s="89">
        <v>46228</v>
      </c>
      <c r="J2955" s="91" t="s">
        <v>4092</v>
      </c>
      <c r="K2955" s="91"/>
      <c r="M2955" s="91"/>
      <c r="N2955" s="91" t="s">
        <v>4014</v>
      </c>
    </row>
    <row r="2956" spans="1:14" x14ac:dyDescent="0.25">
      <c r="A2956" s="91" t="s">
        <v>1324</v>
      </c>
      <c r="B2956" s="91" t="s">
        <v>1338</v>
      </c>
      <c r="C2956" s="91" t="s">
        <v>4114</v>
      </c>
      <c r="D2956" s="91" t="s">
        <v>147</v>
      </c>
      <c r="E2956" s="91"/>
      <c r="F2956">
        <v>480</v>
      </c>
      <c r="G2956">
        <v>10</v>
      </c>
      <c r="H2956" s="89">
        <v>46221</v>
      </c>
      <c r="I2956" s="89">
        <v>46228</v>
      </c>
      <c r="J2956" s="91" t="s">
        <v>4092</v>
      </c>
      <c r="K2956" s="91"/>
      <c r="M2956" s="91"/>
      <c r="N2956" s="91" t="s">
        <v>4014</v>
      </c>
    </row>
    <row r="2957" spans="1:14" x14ac:dyDescent="0.25">
      <c r="A2957" s="91" t="s">
        <v>1314</v>
      </c>
      <c r="B2957" s="91" t="s">
        <v>1328</v>
      </c>
      <c r="C2957" s="91" t="s">
        <v>4115</v>
      </c>
      <c r="D2957" s="91" t="s">
        <v>21</v>
      </c>
      <c r="E2957" s="91"/>
      <c r="F2957">
        <v>48</v>
      </c>
      <c r="G2957">
        <v>1</v>
      </c>
      <c r="H2957" s="89">
        <v>46221</v>
      </c>
      <c r="I2957" s="89">
        <v>46225</v>
      </c>
      <c r="J2957" s="91" t="s">
        <v>4086</v>
      </c>
      <c r="K2957" s="91"/>
      <c r="M2957" s="91"/>
      <c r="N2957" s="91" t="s">
        <v>4014</v>
      </c>
    </row>
    <row r="2958" spans="1:14" x14ac:dyDescent="0.25">
      <c r="A2958" s="91" t="s">
        <v>1313</v>
      </c>
      <c r="B2958" s="91" t="s">
        <v>1327</v>
      </c>
      <c r="C2958" s="91" t="s">
        <v>4115</v>
      </c>
      <c r="D2958" s="91" t="s">
        <v>21</v>
      </c>
      <c r="E2958" s="91"/>
      <c r="F2958">
        <v>270</v>
      </c>
      <c r="G2958">
        <v>5.625</v>
      </c>
      <c r="H2958" s="89">
        <v>46221</v>
      </c>
      <c r="I2958" s="89">
        <v>46225</v>
      </c>
      <c r="J2958" s="91" t="s">
        <v>4066</v>
      </c>
      <c r="K2958" s="91"/>
      <c r="M2958" s="91"/>
      <c r="N2958" s="91" t="s">
        <v>4014</v>
      </c>
    </row>
    <row r="2959" spans="1:14" x14ac:dyDescent="0.25">
      <c r="A2959" s="91" t="s">
        <v>1313</v>
      </c>
      <c r="B2959" s="91" t="s">
        <v>1327</v>
      </c>
      <c r="C2959" s="91" t="s">
        <v>4115</v>
      </c>
      <c r="D2959" s="91" t="s">
        <v>21</v>
      </c>
      <c r="E2959" s="91"/>
      <c r="F2959">
        <v>419</v>
      </c>
      <c r="G2959">
        <v>8.7291666666666661</v>
      </c>
      <c r="H2959" s="89">
        <v>46221</v>
      </c>
      <c r="I2959" s="89">
        <v>46226</v>
      </c>
      <c r="J2959" s="91" t="s">
        <v>4116</v>
      </c>
      <c r="K2959" s="91"/>
      <c r="M2959" s="91"/>
      <c r="N2959" s="91" t="s">
        <v>4014</v>
      </c>
    </row>
    <row r="2960" spans="1:14" x14ac:dyDescent="0.25">
      <c r="A2960" s="91" t="s">
        <v>1314</v>
      </c>
      <c r="B2960" s="91" t="s">
        <v>1328</v>
      </c>
      <c r="C2960" s="91" t="s">
        <v>4115</v>
      </c>
      <c r="D2960" s="91" t="s">
        <v>21</v>
      </c>
      <c r="E2960" s="91"/>
      <c r="F2960">
        <v>240</v>
      </c>
      <c r="G2960">
        <v>5</v>
      </c>
      <c r="H2960" s="89">
        <v>46221</v>
      </c>
      <c r="I2960" s="89">
        <v>46226</v>
      </c>
      <c r="J2960" s="91" t="s">
        <v>4117</v>
      </c>
      <c r="K2960" s="91"/>
      <c r="M2960" s="91"/>
      <c r="N2960" s="91" t="s">
        <v>4014</v>
      </c>
    </row>
    <row r="2961" spans="1:14" x14ac:dyDescent="0.25">
      <c r="A2961" s="91" t="s">
        <v>1314</v>
      </c>
      <c r="B2961" s="91" t="s">
        <v>1328</v>
      </c>
      <c r="C2961" s="91" t="s">
        <v>4115</v>
      </c>
      <c r="D2961" s="91" t="s">
        <v>21</v>
      </c>
      <c r="E2961" s="91"/>
      <c r="F2961">
        <v>48</v>
      </c>
      <c r="G2961">
        <v>1</v>
      </c>
      <c r="H2961" s="89">
        <v>46221</v>
      </c>
      <c r="I2961" s="89">
        <v>46227</v>
      </c>
      <c r="J2961" s="91" t="s">
        <v>4118</v>
      </c>
      <c r="K2961" s="91"/>
      <c r="M2961" s="91"/>
      <c r="N2961" s="91" t="s">
        <v>4014</v>
      </c>
    </row>
    <row r="2962" spans="1:14" x14ac:dyDescent="0.25">
      <c r="A2962" s="91" t="s">
        <v>1316</v>
      </c>
      <c r="B2962" s="91" t="s">
        <v>1330</v>
      </c>
      <c r="C2962" s="91" t="s">
        <v>4119</v>
      </c>
      <c r="D2962" s="91" t="s">
        <v>21</v>
      </c>
      <c r="E2962" s="91"/>
      <c r="F2962">
        <v>4</v>
      </c>
      <c r="G2962" t="s">
        <v>1419</v>
      </c>
      <c r="H2962" s="89">
        <v>46221</v>
      </c>
      <c r="I2962" s="89">
        <v>46220</v>
      </c>
      <c r="J2962" s="91" t="s">
        <v>3549</v>
      </c>
      <c r="K2962" s="91"/>
      <c r="M2962" s="91"/>
      <c r="N2962" s="91" t="s">
        <v>4014</v>
      </c>
    </row>
    <row r="2963" spans="1:14" x14ac:dyDescent="0.25">
      <c r="A2963" s="91" t="s">
        <v>1317</v>
      </c>
      <c r="B2963" s="91" t="s">
        <v>1331</v>
      </c>
      <c r="C2963" s="91" t="s">
        <v>4120</v>
      </c>
      <c r="D2963" s="91" t="s">
        <v>21</v>
      </c>
      <c r="E2963" s="91"/>
      <c r="F2963">
        <v>8</v>
      </c>
      <c r="G2963" t="s">
        <v>1419</v>
      </c>
      <c r="H2963" s="89">
        <v>46221</v>
      </c>
      <c r="I2963" s="89">
        <v>46220</v>
      </c>
      <c r="J2963" s="91" t="s">
        <v>3549</v>
      </c>
      <c r="K2963" s="91"/>
      <c r="M2963" s="91"/>
      <c r="N2963" s="91" t="s">
        <v>4014</v>
      </c>
    </row>
    <row r="2964" spans="1:14" x14ac:dyDescent="0.25">
      <c r="A2964" s="91" t="s">
        <v>1318</v>
      </c>
      <c r="B2964" s="91" t="s">
        <v>1332</v>
      </c>
      <c r="C2964" s="91" t="s">
        <v>4121</v>
      </c>
      <c r="D2964" s="91" t="s">
        <v>21</v>
      </c>
      <c r="E2964" s="91"/>
      <c r="F2964">
        <v>40</v>
      </c>
      <c r="G2964" t="s">
        <v>1419</v>
      </c>
      <c r="H2964" s="89">
        <v>46221</v>
      </c>
      <c r="I2964" s="89">
        <v>46220</v>
      </c>
      <c r="J2964" s="91" t="s">
        <v>3549</v>
      </c>
      <c r="K2964" s="91"/>
      <c r="M2964" s="91"/>
      <c r="N2964" s="91" t="s">
        <v>4014</v>
      </c>
    </row>
    <row r="2965" spans="1:14" x14ac:dyDescent="0.25">
      <c r="A2965" s="91" t="s">
        <v>1320</v>
      </c>
      <c r="B2965" s="91" t="s">
        <v>1334</v>
      </c>
      <c r="C2965" s="91" t="s">
        <v>4122</v>
      </c>
      <c r="D2965" s="91" t="s">
        <v>152</v>
      </c>
      <c r="E2965" s="91"/>
      <c r="F2965">
        <v>960</v>
      </c>
      <c r="G2965">
        <v>20</v>
      </c>
      <c r="H2965" s="89">
        <v>46223</v>
      </c>
      <c r="I2965" s="89">
        <v>46226</v>
      </c>
      <c r="J2965" s="91" t="s">
        <v>4073</v>
      </c>
      <c r="K2965" s="91"/>
      <c r="M2965" s="91"/>
      <c r="N2965" s="91" t="s">
        <v>4123</v>
      </c>
    </row>
    <row r="2966" spans="1:14" x14ac:dyDescent="0.25">
      <c r="A2966" s="91" t="s">
        <v>1320</v>
      </c>
      <c r="B2966" s="91" t="s">
        <v>1334</v>
      </c>
      <c r="C2966" s="91" t="s">
        <v>4124</v>
      </c>
      <c r="D2966" s="91" t="s">
        <v>144</v>
      </c>
      <c r="E2966" s="91"/>
      <c r="F2966">
        <v>960</v>
      </c>
      <c r="G2966">
        <v>20</v>
      </c>
      <c r="H2966" s="89">
        <v>46223</v>
      </c>
      <c r="I2966" s="89">
        <v>46227</v>
      </c>
      <c r="J2966" s="91" t="s">
        <v>4125</v>
      </c>
      <c r="K2966" s="91"/>
      <c r="M2966" s="91"/>
      <c r="N2966" s="91" t="s">
        <v>4123</v>
      </c>
    </row>
    <row r="2967" spans="1:14" x14ac:dyDescent="0.25">
      <c r="A2967" s="91" t="s">
        <v>1320</v>
      </c>
      <c r="B2967" s="91" t="s">
        <v>1334</v>
      </c>
      <c r="C2967" s="91" t="s">
        <v>4126</v>
      </c>
      <c r="D2967" s="91" t="s">
        <v>13</v>
      </c>
      <c r="E2967" s="91"/>
      <c r="F2967">
        <v>480</v>
      </c>
      <c r="G2967">
        <v>10</v>
      </c>
      <c r="H2967" s="89">
        <v>46223</v>
      </c>
      <c r="I2967" s="89">
        <v>46227</v>
      </c>
      <c r="J2967" s="91" t="s">
        <v>4127</v>
      </c>
      <c r="K2967" s="91"/>
      <c r="M2967" s="91"/>
      <c r="N2967" s="91" t="s">
        <v>4123</v>
      </c>
    </row>
    <row r="2968" spans="1:14" x14ac:dyDescent="0.25">
      <c r="A2968" s="91" t="s">
        <v>1319</v>
      </c>
      <c r="B2968" s="91" t="s">
        <v>1333</v>
      </c>
      <c r="C2968" s="91" t="s">
        <v>4128</v>
      </c>
      <c r="D2968" s="91" t="s">
        <v>28</v>
      </c>
      <c r="E2968" s="91"/>
      <c r="F2968">
        <v>60</v>
      </c>
      <c r="G2968">
        <v>1.25</v>
      </c>
      <c r="H2968" s="89">
        <v>46223</v>
      </c>
      <c r="I2968" s="89">
        <v>46227</v>
      </c>
      <c r="J2968" s="91" t="s">
        <v>4129</v>
      </c>
      <c r="K2968" s="91"/>
      <c r="M2968" s="91"/>
      <c r="N2968" s="91" t="s">
        <v>4123</v>
      </c>
    </row>
    <row r="2969" spans="1:14" x14ac:dyDescent="0.25">
      <c r="A2969" s="91" t="s">
        <v>1313</v>
      </c>
      <c r="B2969" s="91" t="s">
        <v>1327</v>
      </c>
      <c r="C2969" s="91" t="s">
        <v>4128</v>
      </c>
      <c r="D2969" s="91" t="s">
        <v>28</v>
      </c>
      <c r="E2969" s="91"/>
      <c r="F2969">
        <v>900</v>
      </c>
      <c r="G2969">
        <v>18.75</v>
      </c>
      <c r="H2969" s="89">
        <v>46223</v>
      </c>
      <c r="I2969" s="89">
        <v>46227</v>
      </c>
      <c r="J2969" s="91" t="s">
        <v>4129</v>
      </c>
      <c r="K2969" s="91"/>
      <c r="M2969" s="91"/>
      <c r="N2969" s="91" t="s">
        <v>4123</v>
      </c>
    </row>
    <row r="2970" spans="1:14" x14ac:dyDescent="0.25">
      <c r="A2970" s="91" t="s">
        <v>1315</v>
      </c>
      <c r="B2970" s="91" t="s">
        <v>1329</v>
      </c>
      <c r="C2970" s="91" t="s">
        <v>4128</v>
      </c>
      <c r="D2970" s="91" t="s">
        <v>28</v>
      </c>
      <c r="E2970" s="91"/>
      <c r="F2970">
        <v>25</v>
      </c>
      <c r="G2970" t="s">
        <v>1419</v>
      </c>
      <c r="H2970" s="89">
        <v>46223</v>
      </c>
      <c r="I2970" s="89">
        <v>46227</v>
      </c>
      <c r="J2970" s="91" t="s">
        <v>4130</v>
      </c>
      <c r="K2970" s="91"/>
      <c r="M2970" s="91"/>
      <c r="N2970" s="91" t="s">
        <v>4123</v>
      </c>
    </row>
    <row r="2971" spans="1:14" x14ac:dyDescent="0.25">
      <c r="A2971" s="91" t="s">
        <v>1316</v>
      </c>
      <c r="B2971" s="91" t="s">
        <v>1330</v>
      </c>
      <c r="C2971" s="91" t="s">
        <v>4131</v>
      </c>
      <c r="D2971" s="91" t="s">
        <v>28</v>
      </c>
      <c r="E2971" s="91"/>
      <c r="F2971">
        <v>27</v>
      </c>
      <c r="G2971" t="s">
        <v>1419</v>
      </c>
      <c r="H2971" s="89">
        <v>46223</v>
      </c>
      <c r="I2971" s="89">
        <v>46225</v>
      </c>
      <c r="J2971" s="91" t="s">
        <v>4132</v>
      </c>
      <c r="K2971" s="91"/>
      <c r="M2971" s="91"/>
      <c r="N2971" s="91" t="s">
        <v>4123</v>
      </c>
    </row>
    <row r="2972" spans="1:14" x14ac:dyDescent="0.25">
      <c r="A2972" s="91" t="s">
        <v>1317</v>
      </c>
      <c r="B2972" s="91" t="s">
        <v>1331</v>
      </c>
      <c r="C2972" s="91" t="s">
        <v>4133</v>
      </c>
      <c r="D2972" s="91" t="s">
        <v>28</v>
      </c>
      <c r="E2972" s="91"/>
      <c r="F2972">
        <v>4</v>
      </c>
      <c r="G2972" t="s">
        <v>1419</v>
      </c>
      <c r="H2972" s="89">
        <v>46223</v>
      </c>
      <c r="I2972" s="89">
        <v>46225</v>
      </c>
      <c r="J2972" s="91" t="s">
        <v>3549</v>
      </c>
      <c r="K2972" s="91"/>
      <c r="M2972" s="91"/>
      <c r="N2972" s="91" t="s">
        <v>4123</v>
      </c>
    </row>
    <row r="2973" spans="1:14" x14ac:dyDescent="0.25">
      <c r="A2973" s="91" t="s">
        <v>1318</v>
      </c>
      <c r="B2973" s="91" t="s">
        <v>1332</v>
      </c>
      <c r="C2973" s="91" t="s">
        <v>4134</v>
      </c>
      <c r="D2973" s="91" t="s">
        <v>28</v>
      </c>
      <c r="E2973" s="91"/>
      <c r="F2973">
        <v>32</v>
      </c>
      <c r="G2973" t="s">
        <v>1419</v>
      </c>
      <c r="H2973" s="89">
        <v>46223</v>
      </c>
      <c r="I2973" s="89">
        <v>46225</v>
      </c>
      <c r="J2973" s="91" t="s">
        <v>4132</v>
      </c>
      <c r="K2973" s="91"/>
      <c r="M2973" s="91"/>
      <c r="N2973" s="91" t="s">
        <v>4123</v>
      </c>
    </row>
    <row r="2974" spans="1:14" x14ac:dyDescent="0.25">
      <c r="A2974" s="91" t="s">
        <v>1313</v>
      </c>
      <c r="B2974" s="91" t="s">
        <v>1327</v>
      </c>
      <c r="C2974" s="91" t="s">
        <v>4135</v>
      </c>
      <c r="D2974" s="91" t="s">
        <v>20</v>
      </c>
      <c r="E2974" s="91"/>
      <c r="F2974">
        <v>1104</v>
      </c>
      <c r="G2974">
        <v>23</v>
      </c>
      <c r="H2974" s="89">
        <v>46223</v>
      </c>
      <c r="I2974" s="89">
        <v>46227</v>
      </c>
      <c r="J2974" s="91" t="s">
        <v>4118</v>
      </c>
      <c r="K2974" s="91"/>
      <c r="M2974" s="91"/>
      <c r="N2974" s="91" t="s">
        <v>4123</v>
      </c>
    </row>
    <row r="2975" spans="1:14" x14ac:dyDescent="0.25">
      <c r="A2975" s="91" t="s">
        <v>1315</v>
      </c>
      <c r="B2975" s="91" t="s">
        <v>1329</v>
      </c>
      <c r="C2975" s="91" t="s">
        <v>4135</v>
      </c>
      <c r="D2975" s="91" t="s">
        <v>20</v>
      </c>
      <c r="E2975" s="91"/>
      <c r="F2975">
        <v>71</v>
      </c>
      <c r="G2975" t="s">
        <v>1419</v>
      </c>
      <c r="H2975" s="89">
        <v>46223</v>
      </c>
      <c r="I2975" s="89">
        <v>46227</v>
      </c>
      <c r="J2975" s="91" t="s">
        <v>4130</v>
      </c>
      <c r="K2975" s="91"/>
      <c r="M2975" s="91"/>
      <c r="N2975" s="91" t="s">
        <v>4123</v>
      </c>
    </row>
    <row r="2976" spans="1:14" x14ac:dyDescent="0.25">
      <c r="A2976" s="91" t="s">
        <v>1316</v>
      </c>
      <c r="B2976" s="91" t="s">
        <v>1330</v>
      </c>
      <c r="C2976" s="91" t="s">
        <v>4136</v>
      </c>
      <c r="D2976" s="91" t="s">
        <v>20</v>
      </c>
      <c r="E2976" s="91"/>
      <c r="F2976">
        <v>108</v>
      </c>
      <c r="G2976" t="s">
        <v>1419</v>
      </c>
      <c r="H2976" s="89">
        <v>46223</v>
      </c>
      <c r="I2976" s="89">
        <v>46225</v>
      </c>
      <c r="J2976" s="91" t="s">
        <v>4132</v>
      </c>
      <c r="K2976" s="91"/>
      <c r="M2976" s="91"/>
      <c r="N2976" s="91" t="s">
        <v>4123</v>
      </c>
    </row>
    <row r="2977" spans="1:14" x14ac:dyDescent="0.25">
      <c r="A2977" s="91" t="s">
        <v>1317</v>
      </c>
      <c r="B2977" s="91" t="s">
        <v>1331</v>
      </c>
      <c r="C2977" s="91" t="s">
        <v>4137</v>
      </c>
      <c r="D2977" s="91" t="s">
        <v>20</v>
      </c>
      <c r="E2977" s="91"/>
      <c r="F2977">
        <v>27</v>
      </c>
      <c r="G2977" t="s">
        <v>1419</v>
      </c>
      <c r="H2977" s="89">
        <v>46223</v>
      </c>
      <c r="I2977" s="89">
        <v>46225</v>
      </c>
      <c r="J2977" s="91" t="s">
        <v>3549</v>
      </c>
      <c r="K2977" s="91"/>
      <c r="M2977" s="91"/>
      <c r="N2977" s="91" t="s">
        <v>4123</v>
      </c>
    </row>
    <row r="2978" spans="1:14" x14ac:dyDescent="0.25">
      <c r="A2978" s="91" t="s">
        <v>1318</v>
      </c>
      <c r="B2978" s="91" t="s">
        <v>1332</v>
      </c>
      <c r="C2978" s="91" t="s">
        <v>4138</v>
      </c>
      <c r="D2978" s="91" t="s">
        <v>20</v>
      </c>
      <c r="E2978" s="91"/>
      <c r="F2978">
        <v>44</v>
      </c>
      <c r="G2978" t="s">
        <v>1419</v>
      </c>
      <c r="H2978" s="89">
        <v>46223</v>
      </c>
      <c r="I2978" s="89">
        <v>46225</v>
      </c>
      <c r="J2978" s="91" t="s">
        <v>4132</v>
      </c>
      <c r="K2978" s="91"/>
      <c r="M2978" s="91"/>
      <c r="N2978" s="91" t="s">
        <v>4123</v>
      </c>
    </row>
    <row r="2979" spans="1:14" x14ac:dyDescent="0.25">
      <c r="A2979" s="91" t="s">
        <v>1324</v>
      </c>
      <c r="B2979" s="91" t="s">
        <v>1338</v>
      </c>
      <c r="C2979" s="91" t="s">
        <v>4139</v>
      </c>
      <c r="D2979" s="91" t="s">
        <v>23</v>
      </c>
      <c r="E2979" s="91"/>
      <c r="F2979">
        <v>960</v>
      </c>
      <c r="G2979">
        <v>20</v>
      </c>
      <c r="H2979" s="89">
        <v>46224</v>
      </c>
      <c r="I2979" s="89">
        <v>46230</v>
      </c>
      <c r="J2979" s="91" t="s">
        <v>4140</v>
      </c>
      <c r="K2979" s="91"/>
      <c r="M2979" s="91"/>
      <c r="N2979" s="91" t="s">
        <v>4123</v>
      </c>
    </row>
    <row r="2980" spans="1:14" x14ac:dyDescent="0.25">
      <c r="A2980" s="91" t="s">
        <v>1320</v>
      </c>
      <c r="B2980" s="91" t="s">
        <v>1334</v>
      </c>
      <c r="C2980" s="91" t="s">
        <v>4141</v>
      </c>
      <c r="D2980" s="91" t="s">
        <v>152</v>
      </c>
      <c r="E2980" s="91"/>
      <c r="F2980">
        <v>480</v>
      </c>
      <c r="G2980">
        <v>10</v>
      </c>
      <c r="H2980" s="89">
        <v>46224</v>
      </c>
      <c r="I2980" s="89">
        <v>46227</v>
      </c>
      <c r="J2980" s="91" t="s">
        <v>4127</v>
      </c>
      <c r="K2980" s="91"/>
      <c r="M2980" s="91"/>
      <c r="N2980" s="91" t="s">
        <v>4123</v>
      </c>
    </row>
    <row r="2981" spans="1:14" x14ac:dyDescent="0.25">
      <c r="A2981" s="91" t="s">
        <v>1325</v>
      </c>
      <c r="B2981" s="91" t="s">
        <v>1339</v>
      </c>
      <c r="C2981" s="91" t="s">
        <v>4142</v>
      </c>
      <c r="D2981" s="91" t="s">
        <v>159</v>
      </c>
      <c r="E2981" s="91"/>
      <c r="F2981">
        <v>384</v>
      </c>
      <c r="G2981">
        <v>8</v>
      </c>
      <c r="H2981" s="89">
        <v>46224</v>
      </c>
      <c r="I2981" s="89">
        <v>46226</v>
      </c>
      <c r="J2981" s="91" t="s">
        <v>4143</v>
      </c>
      <c r="K2981" s="91"/>
      <c r="M2981" s="91"/>
      <c r="N2981" s="91" t="s">
        <v>4123</v>
      </c>
    </row>
    <row r="2982" spans="1:14" x14ac:dyDescent="0.25">
      <c r="A2982" s="91" t="s">
        <v>1314</v>
      </c>
      <c r="B2982" s="91" t="s">
        <v>1328</v>
      </c>
      <c r="C2982" s="91" t="s">
        <v>4144</v>
      </c>
      <c r="D2982" s="91" t="s">
        <v>21</v>
      </c>
      <c r="E2982" s="91"/>
      <c r="F2982">
        <v>48</v>
      </c>
      <c r="G2982">
        <v>1</v>
      </c>
      <c r="H2982" s="89">
        <v>46224</v>
      </c>
      <c r="I2982" s="89">
        <v>46226</v>
      </c>
      <c r="J2982" s="91" t="s">
        <v>4117</v>
      </c>
      <c r="K2982" s="91"/>
      <c r="M2982" s="91"/>
      <c r="N2982" s="91" t="s">
        <v>4123</v>
      </c>
    </row>
    <row r="2983" spans="1:14" x14ac:dyDescent="0.25">
      <c r="A2983" s="91" t="s">
        <v>1313</v>
      </c>
      <c r="B2983" s="91" t="s">
        <v>1327</v>
      </c>
      <c r="C2983" s="91" t="s">
        <v>4144</v>
      </c>
      <c r="D2983" s="91" t="s">
        <v>21</v>
      </c>
      <c r="E2983" s="91"/>
      <c r="F2983">
        <v>445</v>
      </c>
      <c r="G2983">
        <v>9.2708333333333339</v>
      </c>
      <c r="H2983" s="89">
        <v>46224</v>
      </c>
      <c r="I2983" s="89">
        <v>46226</v>
      </c>
      <c r="J2983" s="91" t="s">
        <v>4116</v>
      </c>
      <c r="K2983" s="91"/>
      <c r="M2983" s="91"/>
      <c r="N2983" s="91" t="s">
        <v>4123</v>
      </c>
    </row>
    <row r="2984" spans="1:14" x14ac:dyDescent="0.25">
      <c r="A2984" s="91" t="s">
        <v>1324</v>
      </c>
      <c r="B2984" s="91" t="s">
        <v>1338</v>
      </c>
      <c r="C2984" s="91" t="s">
        <v>4144</v>
      </c>
      <c r="D2984" s="91" t="s">
        <v>21</v>
      </c>
      <c r="E2984" s="91"/>
      <c r="F2984">
        <v>960</v>
      </c>
      <c r="G2984">
        <v>20</v>
      </c>
      <c r="H2984" s="89">
        <v>46224</v>
      </c>
      <c r="I2984" s="89">
        <v>46230</v>
      </c>
      <c r="J2984" s="91" t="s">
        <v>4140</v>
      </c>
      <c r="K2984" s="91"/>
      <c r="M2984" s="91"/>
      <c r="N2984" s="91" t="s">
        <v>4123</v>
      </c>
    </row>
    <row r="2985" spans="1:14" x14ac:dyDescent="0.25">
      <c r="A2985" s="91" t="s">
        <v>1315</v>
      </c>
      <c r="B2985" s="91" t="s">
        <v>1329</v>
      </c>
      <c r="C2985" s="91" t="s">
        <v>4144</v>
      </c>
      <c r="D2985" s="91" t="s">
        <v>21</v>
      </c>
      <c r="E2985" s="91"/>
      <c r="F2985">
        <v>58</v>
      </c>
      <c r="G2985" t="s">
        <v>1419</v>
      </c>
      <c r="H2985" s="89">
        <v>46224</v>
      </c>
      <c r="I2985" s="89">
        <v>46227</v>
      </c>
      <c r="J2985" s="91" t="s">
        <v>4130</v>
      </c>
      <c r="K2985" s="91"/>
      <c r="M2985" s="91"/>
      <c r="N2985" s="91" t="s">
        <v>4123</v>
      </c>
    </row>
    <row r="2986" spans="1:14" x14ac:dyDescent="0.25">
      <c r="A2986" s="91" t="s">
        <v>1316</v>
      </c>
      <c r="B2986" s="91" t="s">
        <v>1330</v>
      </c>
      <c r="C2986" s="91" t="s">
        <v>4145</v>
      </c>
      <c r="D2986" s="91" t="s">
        <v>21</v>
      </c>
      <c r="E2986" s="91"/>
      <c r="F2986">
        <v>13</v>
      </c>
      <c r="G2986" t="s">
        <v>1419</v>
      </c>
      <c r="H2986" s="89">
        <v>46224</v>
      </c>
      <c r="I2986" s="89">
        <v>46226</v>
      </c>
      <c r="J2986" s="91" t="s">
        <v>4146</v>
      </c>
      <c r="K2986" s="91"/>
      <c r="M2986" s="91"/>
      <c r="N2986" s="91" t="s">
        <v>4123</v>
      </c>
    </row>
    <row r="2987" spans="1:14" x14ac:dyDescent="0.25">
      <c r="A2987" s="91" t="s">
        <v>1317</v>
      </c>
      <c r="B2987" s="91" t="s">
        <v>1331</v>
      </c>
      <c r="C2987" s="91" t="s">
        <v>4147</v>
      </c>
      <c r="D2987" s="91" t="s">
        <v>21</v>
      </c>
      <c r="E2987" s="91"/>
      <c r="F2987">
        <v>13</v>
      </c>
      <c r="G2987" t="s">
        <v>1419</v>
      </c>
      <c r="H2987" s="89">
        <v>46224</v>
      </c>
      <c r="I2987" s="89">
        <v>46226</v>
      </c>
      <c r="J2987" s="91" t="s">
        <v>4146</v>
      </c>
      <c r="K2987" s="91"/>
      <c r="M2987" s="91"/>
      <c r="N2987" s="91" t="s">
        <v>4123</v>
      </c>
    </row>
    <row r="2988" spans="1:14" x14ac:dyDescent="0.25">
      <c r="A2988" s="91" t="s">
        <v>1318</v>
      </c>
      <c r="B2988" s="91" t="s">
        <v>1332</v>
      </c>
      <c r="C2988" s="91" t="s">
        <v>4148</v>
      </c>
      <c r="D2988" s="91" t="s">
        <v>21</v>
      </c>
      <c r="E2988" s="91"/>
      <c r="F2988">
        <v>77</v>
      </c>
      <c r="G2988" t="s">
        <v>1419</v>
      </c>
      <c r="H2988" s="89">
        <v>46224</v>
      </c>
      <c r="I2988" s="89">
        <v>46226</v>
      </c>
      <c r="J2988" s="91" t="s">
        <v>4146</v>
      </c>
      <c r="K2988" s="91"/>
      <c r="M2988" s="91"/>
      <c r="N2988" s="91" t="s">
        <v>4123</v>
      </c>
    </row>
    <row r="2989" spans="1:14" x14ac:dyDescent="0.25">
      <c r="A2989" s="91" t="s">
        <v>1313</v>
      </c>
      <c r="B2989" s="91" t="s">
        <v>1327</v>
      </c>
      <c r="C2989" s="91" t="s">
        <v>4149</v>
      </c>
      <c r="D2989" s="91" t="s">
        <v>15</v>
      </c>
      <c r="E2989" s="91"/>
      <c r="F2989">
        <v>912</v>
      </c>
      <c r="G2989">
        <v>19</v>
      </c>
      <c r="H2989" s="89">
        <v>46224</v>
      </c>
      <c r="I2989" s="89">
        <v>46228</v>
      </c>
      <c r="J2989" s="91" t="s">
        <v>4150</v>
      </c>
      <c r="K2989" s="91"/>
      <c r="M2989" s="91"/>
      <c r="N2989" s="91" t="s">
        <v>4123</v>
      </c>
    </row>
    <row r="2990" spans="1:14" x14ac:dyDescent="0.25">
      <c r="A2990" s="91" t="s">
        <v>1313</v>
      </c>
      <c r="B2990" s="91" t="s">
        <v>1327</v>
      </c>
      <c r="C2990" s="91" t="s">
        <v>4149</v>
      </c>
      <c r="D2990" s="91" t="s">
        <v>15</v>
      </c>
      <c r="E2990" s="91"/>
      <c r="F2990">
        <v>48</v>
      </c>
      <c r="G2990">
        <v>1</v>
      </c>
      <c r="H2990" s="89">
        <v>46224</v>
      </c>
      <c r="I2990" s="89">
        <v>46226</v>
      </c>
      <c r="J2990" s="91" t="s">
        <v>4151</v>
      </c>
      <c r="K2990" s="91"/>
      <c r="M2990" s="91"/>
      <c r="N2990" s="91" t="s">
        <v>4123</v>
      </c>
    </row>
    <row r="2991" spans="1:14" x14ac:dyDescent="0.25">
      <c r="A2991" s="91" t="s">
        <v>1315</v>
      </c>
      <c r="B2991" s="91" t="s">
        <v>1329</v>
      </c>
      <c r="C2991" s="91" t="s">
        <v>4149</v>
      </c>
      <c r="D2991" s="91" t="s">
        <v>15</v>
      </c>
      <c r="E2991" s="91"/>
      <c r="F2991">
        <v>13</v>
      </c>
      <c r="G2991" t="s">
        <v>1419</v>
      </c>
      <c r="H2991" s="89">
        <v>46224</v>
      </c>
      <c r="I2991" s="89">
        <v>46227</v>
      </c>
      <c r="J2991" s="91" t="s">
        <v>4130</v>
      </c>
      <c r="K2991" s="91"/>
      <c r="M2991" s="91"/>
      <c r="N2991" s="91" t="s">
        <v>4123</v>
      </c>
    </row>
    <row r="2992" spans="1:14" x14ac:dyDescent="0.25">
      <c r="A2992" s="91" t="s">
        <v>1316</v>
      </c>
      <c r="B2992" s="91" t="s">
        <v>1330</v>
      </c>
      <c r="C2992" s="91" t="s">
        <v>4152</v>
      </c>
      <c r="D2992" s="91" t="s">
        <v>15</v>
      </c>
      <c r="E2992" s="91"/>
      <c r="F2992">
        <v>34</v>
      </c>
      <c r="G2992" t="s">
        <v>1419</v>
      </c>
      <c r="H2992" s="89">
        <v>46224</v>
      </c>
      <c r="I2992" s="89">
        <v>46226</v>
      </c>
      <c r="J2992" s="91" t="s">
        <v>4146</v>
      </c>
      <c r="K2992" s="91"/>
      <c r="M2992" s="91"/>
      <c r="N2992" s="91" t="s">
        <v>4123</v>
      </c>
    </row>
    <row r="2993" spans="1:14" x14ac:dyDescent="0.25">
      <c r="A2993" s="91" t="s">
        <v>1317</v>
      </c>
      <c r="B2993" s="91" t="s">
        <v>1331</v>
      </c>
      <c r="C2993" s="91" t="s">
        <v>4153</v>
      </c>
      <c r="D2993" s="91" t="s">
        <v>15</v>
      </c>
      <c r="E2993" s="91"/>
      <c r="F2993">
        <v>36</v>
      </c>
      <c r="G2993" t="s">
        <v>1419</v>
      </c>
      <c r="H2993" s="89">
        <v>46224</v>
      </c>
      <c r="I2993" s="89">
        <v>46226</v>
      </c>
      <c r="J2993" s="91" t="s">
        <v>4146</v>
      </c>
      <c r="K2993" s="91"/>
      <c r="M2993" s="91"/>
      <c r="N2993" s="91" t="s">
        <v>4123</v>
      </c>
    </row>
    <row r="2994" spans="1:14" x14ac:dyDescent="0.25">
      <c r="A2994" s="91" t="s">
        <v>1318</v>
      </c>
      <c r="B2994" s="91" t="s">
        <v>1332</v>
      </c>
      <c r="C2994" s="91" t="s">
        <v>4154</v>
      </c>
      <c r="D2994" s="91" t="s">
        <v>15</v>
      </c>
      <c r="E2994" s="91"/>
      <c r="F2994">
        <v>16</v>
      </c>
      <c r="G2994" t="s">
        <v>1419</v>
      </c>
      <c r="H2994" s="89">
        <v>46224</v>
      </c>
      <c r="I2994" s="89">
        <v>46226</v>
      </c>
      <c r="J2994" s="91" t="s">
        <v>4146</v>
      </c>
      <c r="K2994" s="91"/>
      <c r="M2994" s="91"/>
      <c r="N2994" s="91" t="s">
        <v>4123</v>
      </c>
    </row>
    <row r="2995" spans="1:14" x14ac:dyDescent="0.25">
      <c r="A2995" s="91" t="s">
        <v>1323</v>
      </c>
      <c r="B2995" s="91" t="s">
        <v>1337</v>
      </c>
      <c r="C2995" s="91" t="s">
        <v>4155</v>
      </c>
      <c r="D2995" s="91" t="s">
        <v>20</v>
      </c>
      <c r="E2995" s="91"/>
      <c r="F2995">
        <v>918</v>
      </c>
      <c r="G2995">
        <v>17</v>
      </c>
      <c r="H2995" s="89">
        <v>46224</v>
      </c>
      <c r="I2995" s="89">
        <v>46228</v>
      </c>
      <c r="J2995" s="91" t="s">
        <v>4156</v>
      </c>
      <c r="K2995" s="91"/>
      <c r="M2995" s="91"/>
      <c r="N2995" s="91" t="s">
        <v>4123</v>
      </c>
    </row>
    <row r="2996" spans="1:14" x14ac:dyDescent="0.25">
      <c r="A2996" s="91" t="s">
        <v>1322</v>
      </c>
      <c r="B2996" s="91" t="s">
        <v>1336</v>
      </c>
      <c r="C2996" s="91" t="s">
        <v>4155</v>
      </c>
      <c r="D2996" s="91" t="s">
        <v>20</v>
      </c>
      <c r="E2996" s="91"/>
      <c r="F2996">
        <v>162</v>
      </c>
      <c r="G2996">
        <v>3</v>
      </c>
      <c r="H2996" s="89">
        <v>46224</v>
      </c>
      <c r="I2996" s="89">
        <v>46228</v>
      </c>
      <c r="J2996" s="91" t="s">
        <v>4156</v>
      </c>
      <c r="K2996" s="91"/>
      <c r="M2996" s="91"/>
      <c r="N2996" s="91" t="s">
        <v>4123</v>
      </c>
    </row>
    <row r="2997" spans="1:14" x14ac:dyDescent="0.25">
      <c r="A2997" s="91" t="s">
        <v>1315</v>
      </c>
      <c r="B2997" s="91" t="s">
        <v>1329</v>
      </c>
      <c r="C2997" s="91" t="s">
        <v>4155</v>
      </c>
      <c r="D2997" s="91" t="s">
        <v>20</v>
      </c>
      <c r="E2997" s="91"/>
      <c r="F2997">
        <v>116</v>
      </c>
      <c r="G2997" t="s">
        <v>1419</v>
      </c>
      <c r="H2997" s="89">
        <v>46224</v>
      </c>
      <c r="I2997" s="89">
        <v>46227</v>
      </c>
      <c r="J2997" s="91" t="s">
        <v>4130</v>
      </c>
      <c r="K2997" s="91"/>
      <c r="M2997" s="91"/>
      <c r="N2997" s="91" t="s">
        <v>4123</v>
      </c>
    </row>
    <row r="2998" spans="1:14" x14ac:dyDescent="0.25">
      <c r="A2998" s="91" t="s">
        <v>1316</v>
      </c>
      <c r="B2998" s="91" t="s">
        <v>1330</v>
      </c>
      <c r="C2998" s="91" t="s">
        <v>4157</v>
      </c>
      <c r="D2998" s="91" t="s">
        <v>20</v>
      </c>
      <c r="E2998" s="91"/>
      <c r="F2998">
        <v>134</v>
      </c>
      <c r="G2998" t="s">
        <v>1419</v>
      </c>
      <c r="H2998" s="89">
        <v>46224</v>
      </c>
      <c r="I2998" s="89">
        <v>46226</v>
      </c>
      <c r="J2998" s="91" t="s">
        <v>4146</v>
      </c>
      <c r="K2998" s="91"/>
      <c r="M2998" s="91"/>
      <c r="N2998" s="91" t="s">
        <v>4123</v>
      </c>
    </row>
    <row r="2999" spans="1:14" x14ac:dyDescent="0.25">
      <c r="A2999" s="91" t="s">
        <v>1317</v>
      </c>
      <c r="B2999" s="91" t="s">
        <v>1331</v>
      </c>
      <c r="C2999" s="91" t="s">
        <v>4158</v>
      </c>
      <c r="D2999" s="91" t="s">
        <v>20</v>
      </c>
      <c r="E2999" s="91"/>
      <c r="F2999">
        <v>20</v>
      </c>
      <c r="G2999" t="s">
        <v>1419</v>
      </c>
      <c r="H2999" s="89">
        <v>46224</v>
      </c>
      <c r="I2999" s="89">
        <v>46226</v>
      </c>
      <c r="J2999" s="91" t="s">
        <v>4146</v>
      </c>
      <c r="K2999" s="91"/>
      <c r="M2999" s="91"/>
      <c r="N2999" s="91" t="s">
        <v>4123</v>
      </c>
    </row>
    <row r="3000" spans="1:14" x14ac:dyDescent="0.25">
      <c r="A3000" s="91" t="s">
        <v>1318</v>
      </c>
      <c r="B3000" s="91" t="s">
        <v>1332</v>
      </c>
      <c r="C3000" s="91" t="s">
        <v>4159</v>
      </c>
      <c r="D3000" s="91" t="s">
        <v>20</v>
      </c>
      <c r="E3000" s="91"/>
      <c r="F3000">
        <v>35</v>
      </c>
      <c r="G3000" t="s">
        <v>1419</v>
      </c>
      <c r="H3000" s="89">
        <v>46224</v>
      </c>
      <c r="I3000" s="89">
        <v>46226</v>
      </c>
      <c r="J3000" s="91" t="s">
        <v>4146</v>
      </c>
      <c r="K3000" s="91"/>
      <c r="M3000" s="91"/>
      <c r="N3000" s="91" t="s">
        <v>4123</v>
      </c>
    </row>
    <row r="3001" spans="1:14" x14ac:dyDescent="0.25">
      <c r="A3001" s="91" t="s">
        <v>1324</v>
      </c>
      <c r="B3001" s="91" t="s">
        <v>1338</v>
      </c>
      <c r="C3001" s="91" t="s">
        <v>4160</v>
      </c>
      <c r="D3001" s="91" t="s">
        <v>119</v>
      </c>
      <c r="E3001" s="91"/>
      <c r="F3001">
        <v>960</v>
      </c>
      <c r="G3001">
        <v>20</v>
      </c>
      <c r="H3001" s="89">
        <v>46225</v>
      </c>
      <c r="I3001" s="89">
        <v>46230</v>
      </c>
      <c r="J3001" s="91" t="s">
        <v>4161</v>
      </c>
      <c r="K3001" s="91"/>
      <c r="M3001" s="91"/>
      <c r="N3001" s="91" t="s">
        <v>4123</v>
      </c>
    </row>
    <row r="3002" spans="1:14" x14ac:dyDescent="0.25">
      <c r="A3002" s="91" t="s">
        <v>1324</v>
      </c>
      <c r="B3002" s="91" t="s">
        <v>1338</v>
      </c>
      <c r="C3002" s="91" t="s">
        <v>4162</v>
      </c>
      <c r="D3002" s="91" t="s">
        <v>23</v>
      </c>
      <c r="E3002" s="91"/>
      <c r="F3002">
        <v>960</v>
      </c>
      <c r="G3002">
        <v>20</v>
      </c>
      <c r="H3002" s="89">
        <v>46225</v>
      </c>
      <c r="I3002" s="89">
        <v>46232</v>
      </c>
      <c r="J3002" s="91" t="s">
        <v>4163</v>
      </c>
      <c r="K3002" s="91"/>
      <c r="M3002" s="91"/>
      <c r="N3002" s="91" t="s">
        <v>4123</v>
      </c>
    </row>
    <row r="3003" spans="1:14" x14ac:dyDescent="0.25">
      <c r="A3003" s="91" t="s">
        <v>1314</v>
      </c>
      <c r="B3003" s="91" t="s">
        <v>1328</v>
      </c>
      <c r="C3003" s="91" t="s">
        <v>4164</v>
      </c>
      <c r="D3003" s="91" t="s">
        <v>15</v>
      </c>
      <c r="E3003" s="91"/>
      <c r="F3003">
        <v>240</v>
      </c>
      <c r="G3003">
        <v>5</v>
      </c>
      <c r="H3003" s="89">
        <v>46225</v>
      </c>
      <c r="I3003" s="89">
        <v>46228</v>
      </c>
      <c r="J3003" s="91" t="s">
        <v>4165</v>
      </c>
      <c r="K3003" s="91"/>
      <c r="M3003" s="91"/>
      <c r="N3003" s="91" t="s">
        <v>4123</v>
      </c>
    </row>
    <row r="3004" spans="1:14" x14ac:dyDescent="0.25">
      <c r="A3004" s="91" t="s">
        <v>1320</v>
      </c>
      <c r="B3004" s="91" t="s">
        <v>1334</v>
      </c>
      <c r="C3004" s="91" t="s">
        <v>4164</v>
      </c>
      <c r="D3004" s="91" t="s">
        <v>15</v>
      </c>
      <c r="E3004" s="91"/>
      <c r="F3004">
        <v>960</v>
      </c>
      <c r="G3004">
        <v>20</v>
      </c>
      <c r="H3004" s="89">
        <v>46225</v>
      </c>
      <c r="I3004" s="89">
        <v>46230</v>
      </c>
      <c r="J3004" s="91" t="s">
        <v>4166</v>
      </c>
      <c r="K3004" s="91"/>
      <c r="M3004" s="91"/>
      <c r="N3004" s="91" t="s">
        <v>4123</v>
      </c>
    </row>
    <row r="3005" spans="1:14" x14ac:dyDescent="0.25">
      <c r="A3005" s="91" t="s">
        <v>1315</v>
      </c>
      <c r="B3005" s="91" t="s">
        <v>1329</v>
      </c>
      <c r="C3005" s="91" t="s">
        <v>4164</v>
      </c>
      <c r="D3005" s="91" t="s">
        <v>15</v>
      </c>
      <c r="E3005" s="91"/>
      <c r="F3005">
        <v>16</v>
      </c>
      <c r="G3005" t="s">
        <v>1419</v>
      </c>
      <c r="H3005" s="89">
        <v>46225</v>
      </c>
      <c r="I3005" s="89">
        <v>46227</v>
      </c>
      <c r="J3005" s="91" t="s">
        <v>4130</v>
      </c>
      <c r="K3005" s="91"/>
      <c r="M3005" s="91"/>
      <c r="N3005" s="91" t="s">
        <v>4123</v>
      </c>
    </row>
    <row r="3006" spans="1:14" x14ac:dyDescent="0.25">
      <c r="A3006" s="91" t="s">
        <v>1316</v>
      </c>
      <c r="B3006" s="91" t="s">
        <v>1330</v>
      </c>
      <c r="C3006" s="91" t="s">
        <v>4167</v>
      </c>
      <c r="D3006" s="91" t="s">
        <v>15</v>
      </c>
      <c r="E3006" s="91"/>
      <c r="F3006">
        <v>51</v>
      </c>
      <c r="G3006" t="s">
        <v>1419</v>
      </c>
      <c r="H3006" s="89">
        <v>46225</v>
      </c>
      <c r="I3006" s="89">
        <v>46227</v>
      </c>
      <c r="J3006" s="91" t="s">
        <v>4168</v>
      </c>
      <c r="K3006" s="91"/>
      <c r="M3006" s="91"/>
      <c r="N3006" s="91" t="s">
        <v>4123</v>
      </c>
    </row>
    <row r="3007" spans="1:14" x14ac:dyDescent="0.25">
      <c r="A3007" s="91" t="s">
        <v>1317</v>
      </c>
      <c r="B3007" s="91" t="s">
        <v>1331</v>
      </c>
      <c r="C3007" s="91" t="s">
        <v>4169</v>
      </c>
      <c r="D3007" s="91" t="s">
        <v>15</v>
      </c>
      <c r="E3007" s="91"/>
      <c r="F3007">
        <v>47</v>
      </c>
      <c r="G3007" t="s">
        <v>1419</v>
      </c>
      <c r="H3007" s="89">
        <v>46225</v>
      </c>
      <c r="I3007" s="89">
        <v>46227</v>
      </c>
      <c r="J3007" s="91" t="s">
        <v>4168</v>
      </c>
      <c r="K3007" s="91"/>
      <c r="M3007" s="91"/>
      <c r="N3007" s="91" t="s">
        <v>4123</v>
      </c>
    </row>
    <row r="3008" spans="1:14" x14ac:dyDescent="0.25">
      <c r="A3008" s="91" t="s">
        <v>1318</v>
      </c>
      <c r="B3008" s="91" t="s">
        <v>1332</v>
      </c>
      <c r="C3008" s="91" t="s">
        <v>4170</v>
      </c>
      <c r="D3008" s="91" t="s">
        <v>15</v>
      </c>
      <c r="E3008" s="91"/>
      <c r="F3008">
        <v>24</v>
      </c>
      <c r="G3008" t="s">
        <v>1419</v>
      </c>
      <c r="H3008" s="89">
        <v>46225</v>
      </c>
      <c r="I3008" s="89">
        <v>46227</v>
      </c>
      <c r="J3008" s="91" t="s">
        <v>4168</v>
      </c>
      <c r="K3008" s="91"/>
      <c r="M3008" s="91"/>
      <c r="N3008" s="91" t="s">
        <v>4123</v>
      </c>
    </row>
    <row r="3009" spans="1:14" x14ac:dyDescent="0.25">
      <c r="A3009" s="91" t="s">
        <v>1324</v>
      </c>
      <c r="B3009" s="91" t="s">
        <v>1338</v>
      </c>
      <c r="C3009" s="91" t="s">
        <v>4171</v>
      </c>
      <c r="D3009" s="91" t="s">
        <v>21</v>
      </c>
      <c r="E3009" s="91"/>
      <c r="F3009">
        <v>960</v>
      </c>
      <c r="G3009">
        <v>20</v>
      </c>
      <c r="H3009" s="89">
        <v>46225</v>
      </c>
      <c r="I3009" s="89">
        <v>46230</v>
      </c>
      <c r="J3009" s="91" t="s">
        <v>4161</v>
      </c>
      <c r="K3009" s="91"/>
      <c r="M3009" s="91"/>
      <c r="N3009" s="91" t="s">
        <v>4123</v>
      </c>
    </row>
    <row r="3010" spans="1:14" x14ac:dyDescent="0.25">
      <c r="A3010" s="91" t="s">
        <v>1315</v>
      </c>
      <c r="B3010" s="91" t="s">
        <v>1329</v>
      </c>
      <c r="C3010" s="91" t="s">
        <v>4171</v>
      </c>
      <c r="D3010" s="91" t="s">
        <v>21</v>
      </c>
      <c r="E3010" s="91"/>
      <c r="F3010">
        <v>139</v>
      </c>
      <c r="G3010" t="s">
        <v>1419</v>
      </c>
      <c r="H3010" s="89">
        <v>46225</v>
      </c>
      <c r="I3010" s="89">
        <v>46227</v>
      </c>
      <c r="J3010" s="91" t="s">
        <v>4130</v>
      </c>
      <c r="K3010" s="91"/>
      <c r="M3010" s="91"/>
      <c r="N3010" s="91" t="s">
        <v>4123</v>
      </c>
    </row>
    <row r="3011" spans="1:14" x14ac:dyDescent="0.25">
      <c r="A3011" s="91" t="s">
        <v>1316</v>
      </c>
      <c r="B3011" s="91" t="s">
        <v>1330</v>
      </c>
      <c r="C3011" s="91" t="s">
        <v>4172</v>
      </c>
      <c r="D3011" s="91" t="s">
        <v>21</v>
      </c>
      <c r="E3011" s="91"/>
      <c r="F3011">
        <v>13</v>
      </c>
      <c r="G3011" t="s">
        <v>1419</v>
      </c>
      <c r="H3011" s="89">
        <v>46225</v>
      </c>
      <c r="I3011" s="89">
        <v>46227</v>
      </c>
      <c r="J3011" s="91" t="s">
        <v>4168</v>
      </c>
      <c r="K3011" s="91"/>
      <c r="M3011" s="91"/>
      <c r="N3011" s="91" t="s">
        <v>4123</v>
      </c>
    </row>
    <row r="3012" spans="1:14" x14ac:dyDescent="0.25">
      <c r="A3012" s="91" t="s">
        <v>1317</v>
      </c>
      <c r="B3012" s="91" t="s">
        <v>1331</v>
      </c>
      <c r="C3012" s="91" t="s">
        <v>4173</v>
      </c>
      <c r="D3012" s="91" t="s">
        <v>21</v>
      </c>
      <c r="E3012" s="91"/>
      <c r="F3012">
        <v>4</v>
      </c>
      <c r="G3012" t="s">
        <v>1419</v>
      </c>
      <c r="H3012" s="89">
        <v>46225</v>
      </c>
      <c r="I3012" s="89">
        <v>46227</v>
      </c>
      <c r="J3012" s="91" t="s">
        <v>4168</v>
      </c>
      <c r="K3012" s="91"/>
      <c r="M3012" s="91"/>
      <c r="N3012" s="91" t="s">
        <v>4123</v>
      </c>
    </row>
    <row r="3013" spans="1:14" x14ac:dyDescent="0.25">
      <c r="A3013" s="91" t="s">
        <v>1318</v>
      </c>
      <c r="B3013" s="91" t="s">
        <v>1332</v>
      </c>
      <c r="C3013" s="91" t="s">
        <v>4174</v>
      </c>
      <c r="D3013" s="91" t="s">
        <v>21</v>
      </c>
      <c r="E3013" s="91"/>
      <c r="F3013">
        <v>60</v>
      </c>
      <c r="G3013" t="s">
        <v>1419</v>
      </c>
      <c r="H3013" s="89">
        <v>46225</v>
      </c>
      <c r="I3013" s="89">
        <v>46227</v>
      </c>
      <c r="J3013" s="91" t="s">
        <v>4168</v>
      </c>
      <c r="K3013" s="91"/>
      <c r="M3013" s="91"/>
      <c r="N3013" s="91" t="s">
        <v>4123</v>
      </c>
    </row>
    <row r="3014" spans="1:14" x14ac:dyDescent="0.25">
      <c r="A3014" s="91" t="s">
        <v>1319</v>
      </c>
      <c r="B3014" s="91" t="s">
        <v>1333</v>
      </c>
      <c r="C3014" s="91" t="s">
        <v>4175</v>
      </c>
      <c r="D3014" s="91" t="s">
        <v>20</v>
      </c>
      <c r="E3014" s="91"/>
      <c r="F3014">
        <v>66</v>
      </c>
      <c r="G3014">
        <v>1.375</v>
      </c>
      <c r="H3014" s="89">
        <v>46225</v>
      </c>
      <c r="I3014" s="89">
        <v>46230</v>
      </c>
      <c r="J3014" s="91" t="s">
        <v>4176</v>
      </c>
      <c r="K3014" s="91"/>
      <c r="M3014" s="91"/>
      <c r="N3014" s="91" t="s">
        <v>4123</v>
      </c>
    </row>
    <row r="3015" spans="1:14" x14ac:dyDescent="0.25">
      <c r="A3015" s="91" t="s">
        <v>1313</v>
      </c>
      <c r="B3015" s="91" t="s">
        <v>1327</v>
      </c>
      <c r="C3015" s="91" t="s">
        <v>4175</v>
      </c>
      <c r="D3015" s="91" t="s">
        <v>20</v>
      </c>
      <c r="E3015" s="91"/>
      <c r="F3015">
        <v>30</v>
      </c>
      <c r="G3015">
        <v>0.625</v>
      </c>
      <c r="H3015" s="89">
        <v>46225</v>
      </c>
      <c r="I3015" s="89">
        <v>46230</v>
      </c>
      <c r="J3015" s="91" t="s">
        <v>4176</v>
      </c>
      <c r="K3015" s="91"/>
      <c r="M3015" s="91"/>
      <c r="N3015" s="91" t="s">
        <v>4123</v>
      </c>
    </row>
    <row r="3016" spans="1:14" x14ac:dyDescent="0.25">
      <c r="A3016" s="91" t="s">
        <v>1320</v>
      </c>
      <c r="B3016" s="91" t="s">
        <v>1334</v>
      </c>
      <c r="C3016" s="91" t="s">
        <v>4175</v>
      </c>
      <c r="D3016" s="91" t="s">
        <v>20</v>
      </c>
      <c r="E3016" s="91"/>
      <c r="F3016">
        <v>960</v>
      </c>
      <c r="G3016">
        <v>20</v>
      </c>
      <c r="H3016" s="89">
        <v>46225</v>
      </c>
      <c r="I3016" s="89">
        <v>46230</v>
      </c>
      <c r="J3016" s="91" t="s">
        <v>4177</v>
      </c>
      <c r="K3016" s="91"/>
      <c r="M3016" s="91"/>
      <c r="N3016" s="91" t="s">
        <v>4123</v>
      </c>
    </row>
    <row r="3017" spans="1:14" x14ac:dyDescent="0.25">
      <c r="A3017" s="91" t="s">
        <v>1315</v>
      </c>
      <c r="B3017" s="91" t="s">
        <v>1329</v>
      </c>
      <c r="C3017" s="91" t="s">
        <v>4175</v>
      </c>
      <c r="D3017" s="91" t="s">
        <v>20</v>
      </c>
      <c r="E3017" s="91"/>
      <c r="F3017">
        <v>140</v>
      </c>
      <c r="G3017" t="s">
        <v>1419</v>
      </c>
      <c r="H3017" s="89">
        <v>46225</v>
      </c>
      <c r="I3017" s="89">
        <v>46227</v>
      </c>
      <c r="J3017" s="91" t="s">
        <v>4130</v>
      </c>
      <c r="K3017" s="91"/>
      <c r="M3017" s="91"/>
      <c r="N3017" s="91" t="s">
        <v>4123</v>
      </c>
    </row>
    <row r="3018" spans="1:14" x14ac:dyDescent="0.25">
      <c r="A3018" s="91" t="s">
        <v>1316</v>
      </c>
      <c r="B3018" s="91" t="s">
        <v>1330</v>
      </c>
      <c r="C3018" s="91" t="s">
        <v>4178</v>
      </c>
      <c r="D3018" s="91" t="s">
        <v>20</v>
      </c>
      <c r="E3018" s="91"/>
      <c r="F3018">
        <v>87</v>
      </c>
      <c r="G3018" t="s">
        <v>1419</v>
      </c>
      <c r="H3018" s="89">
        <v>46225</v>
      </c>
      <c r="I3018" s="89">
        <v>46227</v>
      </c>
      <c r="J3018" s="91" t="s">
        <v>4168</v>
      </c>
      <c r="K3018" s="91"/>
      <c r="M3018" s="91"/>
      <c r="N3018" s="91" t="s">
        <v>4123</v>
      </c>
    </row>
    <row r="3019" spans="1:14" x14ac:dyDescent="0.25">
      <c r="A3019" s="91" t="s">
        <v>1317</v>
      </c>
      <c r="B3019" s="91" t="s">
        <v>1331</v>
      </c>
      <c r="C3019" s="91" t="s">
        <v>4179</v>
      </c>
      <c r="D3019" s="91" t="s">
        <v>20</v>
      </c>
      <c r="E3019" s="91"/>
      <c r="F3019">
        <v>20</v>
      </c>
      <c r="G3019" t="s">
        <v>1419</v>
      </c>
      <c r="H3019" s="89">
        <v>46225</v>
      </c>
      <c r="I3019" s="89">
        <v>46227</v>
      </c>
      <c r="J3019" s="91" t="s">
        <v>4168</v>
      </c>
      <c r="K3019" s="91"/>
      <c r="M3019" s="91"/>
      <c r="N3019" s="91" t="s">
        <v>4123</v>
      </c>
    </row>
    <row r="3020" spans="1:14" x14ac:dyDescent="0.25">
      <c r="A3020" s="91" t="s">
        <v>1318</v>
      </c>
      <c r="B3020" s="91" t="s">
        <v>1332</v>
      </c>
      <c r="C3020" s="91" t="s">
        <v>4180</v>
      </c>
      <c r="D3020" s="91" t="s">
        <v>20</v>
      </c>
      <c r="E3020" s="91"/>
      <c r="F3020">
        <v>55</v>
      </c>
      <c r="G3020" t="s">
        <v>1419</v>
      </c>
      <c r="H3020" s="89">
        <v>46225</v>
      </c>
      <c r="I3020" s="89">
        <v>46227</v>
      </c>
      <c r="J3020" s="91" t="s">
        <v>4168</v>
      </c>
      <c r="K3020" s="91"/>
      <c r="M3020" s="91"/>
      <c r="N3020" s="91" t="s">
        <v>4123</v>
      </c>
    </row>
    <row r="3021" spans="1:14" x14ac:dyDescent="0.25">
      <c r="A3021" s="91" t="s">
        <v>1324</v>
      </c>
      <c r="B3021" s="91" t="s">
        <v>1338</v>
      </c>
      <c r="C3021" s="91" t="s">
        <v>4181</v>
      </c>
      <c r="D3021" s="91" t="s">
        <v>23</v>
      </c>
      <c r="E3021" s="91"/>
      <c r="F3021">
        <v>672</v>
      </c>
      <c r="G3021">
        <v>14</v>
      </c>
      <c r="H3021" s="89">
        <v>46226</v>
      </c>
      <c r="I3021" s="89">
        <v>46232</v>
      </c>
      <c r="J3021" s="91" t="s">
        <v>4163</v>
      </c>
      <c r="K3021" s="91"/>
      <c r="M3021" s="91"/>
      <c r="N3021" s="91" t="s">
        <v>4123</v>
      </c>
    </row>
    <row r="3022" spans="1:14" x14ac:dyDescent="0.25">
      <c r="A3022" s="91" t="s">
        <v>1320</v>
      </c>
      <c r="B3022" s="91" t="s">
        <v>1334</v>
      </c>
      <c r="C3022" s="91" t="s">
        <v>4182</v>
      </c>
      <c r="D3022" s="91" t="s">
        <v>150</v>
      </c>
      <c r="E3022" s="91"/>
      <c r="F3022">
        <v>960</v>
      </c>
      <c r="G3022">
        <v>20</v>
      </c>
      <c r="H3022" s="89">
        <v>46226</v>
      </c>
      <c r="I3022" s="89">
        <v>46231</v>
      </c>
      <c r="J3022" s="91" t="s">
        <v>4183</v>
      </c>
      <c r="K3022" s="91"/>
      <c r="M3022" s="91"/>
      <c r="N3022" s="91" t="s">
        <v>4123</v>
      </c>
    </row>
    <row r="3023" spans="1:14" x14ac:dyDescent="0.25">
      <c r="A3023" s="91" t="s">
        <v>1320</v>
      </c>
      <c r="B3023" s="91" t="s">
        <v>1334</v>
      </c>
      <c r="C3023" s="91" t="s">
        <v>4184</v>
      </c>
      <c r="D3023" s="91" t="s">
        <v>30</v>
      </c>
      <c r="E3023" s="91"/>
      <c r="F3023">
        <v>576</v>
      </c>
      <c r="G3023">
        <v>12</v>
      </c>
      <c r="H3023" s="89">
        <v>46226</v>
      </c>
      <c r="I3023" s="89">
        <v>46231</v>
      </c>
      <c r="J3023" s="91" t="s">
        <v>4185</v>
      </c>
      <c r="K3023" s="91"/>
      <c r="M3023" s="91"/>
      <c r="N3023" s="91" t="s">
        <v>4123</v>
      </c>
    </row>
    <row r="3024" spans="1:14" x14ac:dyDescent="0.25">
      <c r="A3024" s="91" t="s">
        <v>1313</v>
      </c>
      <c r="B3024" s="91" t="s">
        <v>1327</v>
      </c>
      <c r="C3024" s="91" t="s">
        <v>4186</v>
      </c>
      <c r="D3024" s="91" t="s">
        <v>20</v>
      </c>
      <c r="E3024" s="91"/>
      <c r="F3024">
        <v>960</v>
      </c>
      <c r="G3024">
        <v>20</v>
      </c>
      <c r="H3024" s="89">
        <v>46226</v>
      </c>
      <c r="I3024" s="89">
        <v>46230</v>
      </c>
      <c r="J3024" s="91" t="s">
        <v>4176</v>
      </c>
      <c r="K3024" s="91"/>
      <c r="M3024" s="91"/>
      <c r="N3024" s="91" t="s">
        <v>4123</v>
      </c>
    </row>
    <row r="3025" spans="1:14" x14ac:dyDescent="0.25">
      <c r="A3025" s="91" t="s">
        <v>1313</v>
      </c>
      <c r="B3025" s="91" t="s">
        <v>1327</v>
      </c>
      <c r="C3025" s="91" t="s">
        <v>4186</v>
      </c>
      <c r="D3025" s="91" t="s">
        <v>20</v>
      </c>
      <c r="E3025" s="91"/>
      <c r="F3025">
        <v>192</v>
      </c>
      <c r="G3025">
        <v>4</v>
      </c>
      <c r="H3025" s="89">
        <v>46226</v>
      </c>
      <c r="I3025" s="89">
        <v>46230</v>
      </c>
      <c r="J3025" s="91" t="s">
        <v>4187</v>
      </c>
      <c r="K3025" s="91"/>
      <c r="M3025" s="91"/>
      <c r="N3025" s="91" t="s">
        <v>4123</v>
      </c>
    </row>
    <row r="3026" spans="1:14" x14ac:dyDescent="0.25">
      <c r="A3026" s="91" t="s">
        <v>1315</v>
      </c>
      <c r="B3026" s="91" t="s">
        <v>1329</v>
      </c>
      <c r="C3026" s="91" t="s">
        <v>4186</v>
      </c>
      <c r="D3026" s="91" t="s">
        <v>20</v>
      </c>
      <c r="E3026" s="91"/>
      <c r="F3026">
        <v>118</v>
      </c>
      <c r="G3026" t="s">
        <v>1419</v>
      </c>
      <c r="H3026" s="89">
        <v>46226</v>
      </c>
      <c r="I3026" s="89">
        <v>46227</v>
      </c>
      <c r="J3026" s="91" t="s">
        <v>4130</v>
      </c>
      <c r="K3026" s="91"/>
      <c r="M3026" s="91"/>
      <c r="N3026" s="91" t="s">
        <v>4123</v>
      </c>
    </row>
    <row r="3027" spans="1:14" x14ac:dyDescent="0.25">
      <c r="A3027" s="91" t="s">
        <v>1316</v>
      </c>
      <c r="B3027" s="91" t="s">
        <v>1330</v>
      </c>
      <c r="C3027" s="91" t="s">
        <v>4188</v>
      </c>
      <c r="D3027" s="91" t="s">
        <v>20</v>
      </c>
      <c r="E3027" s="91"/>
      <c r="F3027">
        <v>147</v>
      </c>
      <c r="G3027" t="s">
        <v>1419</v>
      </c>
      <c r="H3027" s="89">
        <v>46226</v>
      </c>
      <c r="I3027" s="89">
        <v>46228</v>
      </c>
      <c r="J3027" s="91" t="s">
        <v>4189</v>
      </c>
      <c r="K3027" s="91"/>
      <c r="M3027" s="91"/>
      <c r="N3027" s="91" t="s">
        <v>4123</v>
      </c>
    </row>
    <row r="3028" spans="1:14" x14ac:dyDescent="0.25">
      <c r="A3028" s="91" t="s">
        <v>1317</v>
      </c>
      <c r="B3028" s="91" t="s">
        <v>1331</v>
      </c>
      <c r="C3028" s="91" t="s">
        <v>4190</v>
      </c>
      <c r="D3028" s="91" t="s">
        <v>20</v>
      </c>
      <c r="E3028" s="91"/>
      <c r="F3028">
        <v>20</v>
      </c>
      <c r="G3028" t="s">
        <v>1419</v>
      </c>
      <c r="H3028" s="89">
        <v>46226</v>
      </c>
      <c r="I3028" s="89">
        <v>46228</v>
      </c>
      <c r="J3028" s="91" t="s">
        <v>4191</v>
      </c>
      <c r="K3028" s="91"/>
      <c r="M3028" s="91"/>
      <c r="N3028" s="91" t="s">
        <v>4123</v>
      </c>
    </row>
    <row r="3029" spans="1:14" x14ac:dyDescent="0.25">
      <c r="A3029" s="91" t="s">
        <v>1318</v>
      </c>
      <c r="B3029" s="91" t="s">
        <v>1332</v>
      </c>
      <c r="C3029" s="91" t="s">
        <v>4192</v>
      </c>
      <c r="D3029" s="91" t="s">
        <v>20</v>
      </c>
      <c r="E3029" s="91"/>
      <c r="F3029">
        <v>39</v>
      </c>
      <c r="G3029" t="s">
        <v>1419</v>
      </c>
      <c r="H3029" s="89">
        <v>46226</v>
      </c>
      <c r="I3029" s="89">
        <v>46228</v>
      </c>
      <c r="J3029" s="91" t="s">
        <v>4189</v>
      </c>
      <c r="K3029" s="91"/>
      <c r="M3029" s="91"/>
      <c r="N3029" s="91" t="s">
        <v>4123</v>
      </c>
    </row>
    <row r="3030" spans="1:14" x14ac:dyDescent="0.25">
      <c r="A3030" s="91" t="s">
        <v>1324</v>
      </c>
      <c r="B3030" s="91" t="s">
        <v>1338</v>
      </c>
      <c r="C3030" s="91" t="s">
        <v>4193</v>
      </c>
      <c r="D3030" s="91" t="s">
        <v>15</v>
      </c>
      <c r="E3030" s="91"/>
      <c r="F3030">
        <v>288</v>
      </c>
      <c r="G3030">
        <v>6</v>
      </c>
      <c r="H3030" s="89">
        <v>46226</v>
      </c>
      <c r="I3030" s="89">
        <v>46232</v>
      </c>
      <c r="J3030" s="91" t="s">
        <v>4163</v>
      </c>
      <c r="K3030" s="91"/>
      <c r="M3030" s="91"/>
      <c r="N3030" s="91" t="s">
        <v>4123</v>
      </c>
    </row>
    <row r="3031" spans="1:14" x14ac:dyDescent="0.25">
      <c r="A3031" s="91" t="s">
        <v>1313</v>
      </c>
      <c r="B3031" s="91" t="s">
        <v>1327</v>
      </c>
      <c r="C3031" s="91" t="s">
        <v>4193</v>
      </c>
      <c r="D3031" s="91" t="s">
        <v>15</v>
      </c>
      <c r="E3031" s="91"/>
      <c r="F3031">
        <v>864</v>
      </c>
      <c r="G3031">
        <v>18</v>
      </c>
      <c r="H3031" s="89">
        <v>46226</v>
      </c>
      <c r="I3031" s="89">
        <v>46230</v>
      </c>
      <c r="J3031" s="91" t="s">
        <v>4187</v>
      </c>
      <c r="K3031" s="91"/>
      <c r="M3031" s="91"/>
      <c r="N3031" s="91" t="s">
        <v>4123</v>
      </c>
    </row>
    <row r="3032" spans="1:14" x14ac:dyDescent="0.25">
      <c r="A3032" s="91" t="s">
        <v>1314</v>
      </c>
      <c r="B3032" s="91" t="s">
        <v>1328</v>
      </c>
      <c r="C3032" s="91" t="s">
        <v>4193</v>
      </c>
      <c r="D3032" s="91" t="s">
        <v>15</v>
      </c>
      <c r="E3032" s="91"/>
      <c r="F3032">
        <v>96</v>
      </c>
      <c r="G3032">
        <v>2</v>
      </c>
      <c r="H3032" s="89">
        <v>46226</v>
      </c>
      <c r="I3032" s="89">
        <v>46230</v>
      </c>
      <c r="J3032" s="91" t="s">
        <v>4194</v>
      </c>
      <c r="K3032" s="91"/>
      <c r="M3032" s="91"/>
      <c r="N3032" s="91" t="s">
        <v>4123</v>
      </c>
    </row>
    <row r="3033" spans="1:14" x14ac:dyDescent="0.25">
      <c r="A3033" s="91" t="s">
        <v>1315</v>
      </c>
      <c r="B3033" s="91" t="s">
        <v>1329</v>
      </c>
      <c r="C3033" s="91" t="s">
        <v>4193</v>
      </c>
      <c r="D3033" s="91" t="s">
        <v>15</v>
      </c>
      <c r="E3033" s="91"/>
      <c r="F3033">
        <v>13</v>
      </c>
      <c r="G3033" t="s">
        <v>1419</v>
      </c>
      <c r="H3033" s="89">
        <v>46226</v>
      </c>
      <c r="I3033" s="89">
        <v>46227</v>
      </c>
      <c r="J3033" s="91" t="s">
        <v>4195</v>
      </c>
      <c r="K3033" s="91"/>
      <c r="M3033" s="91"/>
      <c r="N3033" s="91" t="s">
        <v>4123</v>
      </c>
    </row>
    <row r="3034" spans="1:14" x14ac:dyDescent="0.25">
      <c r="A3034" s="91" t="s">
        <v>1316</v>
      </c>
      <c r="B3034" s="91" t="s">
        <v>1330</v>
      </c>
      <c r="C3034" s="91" t="s">
        <v>4196</v>
      </c>
      <c r="D3034" s="91" t="s">
        <v>15</v>
      </c>
      <c r="E3034" s="91"/>
      <c r="F3034">
        <v>46</v>
      </c>
      <c r="G3034" t="s">
        <v>1419</v>
      </c>
      <c r="H3034" s="89">
        <v>46226</v>
      </c>
      <c r="I3034" s="89">
        <v>46228</v>
      </c>
      <c r="J3034" s="91" t="s">
        <v>4189</v>
      </c>
      <c r="K3034" s="91"/>
      <c r="M3034" s="91"/>
      <c r="N3034" s="91" t="s">
        <v>4123</v>
      </c>
    </row>
    <row r="3035" spans="1:14" x14ac:dyDescent="0.25">
      <c r="A3035" s="91" t="s">
        <v>1317</v>
      </c>
      <c r="B3035" s="91" t="s">
        <v>1331</v>
      </c>
      <c r="C3035" s="91" t="s">
        <v>4197</v>
      </c>
      <c r="D3035" s="91" t="s">
        <v>15</v>
      </c>
      <c r="E3035" s="91"/>
      <c r="F3035">
        <v>39</v>
      </c>
      <c r="G3035" t="s">
        <v>1419</v>
      </c>
      <c r="H3035" s="89">
        <v>46226</v>
      </c>
      <c r="I3035" s="89">
        <v>46228</v>
      </c>
      <c r="J3035" s="91" t="s">
        <v>4191</v>
      </c>
      <c r="K3035" s="91"/>
      <c r="M3035" s="91"/>
      <c r="N3035" s="91" t="s">
        <v>4123</v>
      </c>
    </row>
    <row r="3036" spans="1:14" x14ac:dyDescent="0.25">
      <c r="A3036" s="91" t="s">
        <v>1318</v>
      </c>
      <c r="B3036" s="91" t="s">
        <v>1332</v>
      </c>
      <c r="C3036" s="91" t="s">
        <v>4198</v>
      </c>
      <c r="D3036" s="91" t="s">
        <v>15</v>
      </c>
      <c r="E3036" s="91"/>
      <c r="F3036">
        <v>23</v>
      </c>
      <c r="G3036" t="s">
        <v>1419</v>
      </c>
      <c r="H3036" s="89">
        <v>46226</v>
      </c>
      <c r="I3036" s="89">
        <v>46228</v>
      </c>
      <c r="J3036" s="91" t="s">
        <v>4189</v>
      </c>
      <c r="K3036" s="91"/>
      <c r="M3036" s="91"/>
      <c r="N3036" s="91" t="s">
        <v>4123</v>
      </c>
    </row>
    <row r="3037" spans="1:14" x14ac:dyDescent="0.25">
      <c r="A3037" s="91" t="s">
        <v>1313</v>
      </c>
      <c r="B3037" s="91" t="s">
        <v>1327</v>
      </c>
      <c r="C3037" s="91" t="s">
        <v>4199</v>
      </c>
      <c r="D3037" s="91" t="s">
        <v>28</v>
      </c>
      <c r="E3037" s="91"/>
      <c r="F3037">
        <v>864</v>
      </c>
      <c r="G3037">
        <v>18</v>
      </c>
      <c r="H3037" s="89">
        <v>46226</v>
      </c>
      <c r="I3037" s="89">
        <v>46230</v>
      </c>
      <c r="J3037" s="91" t="s">
        <v>4200</v>
      </c>
      <c r="K3037" s="91"/>
      <c r="M3037" s="91"/>
      <c r="N3037" s="91" t="s">
        <v>4123</v>
      </c>
    </row>
    <row r="3038" spans="1:14" x14ac:dyDescent="0.25">
      <c r="A3038" s="91" t="s">
        <v>1315</v>
      </c>
      <c r="B3038" s="91" t="s">
        <v>1329</v>
      </c>
      <c r="C3038" s="91" t="s">
        <v>4199</v>
      </c>
      <c r="D3038" s="91" t="s">
        <v>28</v>
      </c>
      <c r="E3038" s="91"/>
      <c r="F3038">
        <v>123</v>
      </c>
      <c r="G3038" t="s">
        <v>1419</v>
      </c>
      <c r="H3038" s="89">
        <v>46226</v>
      </c>
      <c r="I3038" s="89">
        <v>46227</v>
      </c>
      <c r="J3038" s="91" t="s">
        <v>4130</v>
      </c>
      <c r="K3038" s="91"/>
      <c r="M3038" s="91"/>
      <c r="N3038" s="91" t="s">
        <v>4123</v>
      </c>
    </row>
    <row r="3039" spans="1:14" x14ac:dyDescent="0.25">
      <c r="A3039" s="91" t="s">
        <v>1316</v>
      </c>
      <c r="B3039" s="91" t="s">
        <v>1330</v>
      </c>
      <c r="C3039" s="91" t="s">
        <v>4201</v>
      </c>
      <c r="D3039" s="91" t="s">
        <v>28</v>
      </c>
      <c r="E3039" s="91"/>
      <c r="F3039">
        <v>15</v>
      </c>
      <c r="G3039" t="s">
        <v>1419</v>
      </c>
      <c r="H3039" s="89">
        <v>46226</v>
      </c>
      <c r="I3039" s="89">
        <v>46228</v>
      </c>
      <c r="J3039" s="91" t="s">
        <v>4189</v>
      </c>
      <c r="K3039" s="91"/>
      <c r="M3039" s="91"/>
      <c r="N3039" s="91" t="s">
        <v>4123</v>
      </c>
    </row>
    <row r="3040" spans="1:14" x14ac:dyDescent="0.25">
      <c r="A3040" s="91" t="s">
        <v>1317</v>
      </c>
      <c r="B3040" s="91" t="s">
        <v>1331</v>
      </c>
      <c r="C3040" s="91" t="s">
        <v>4202</v>
      </c>
      <c r="D3040" s="91" t="s">
        <v>28</v>
      </c>
      <c r="E3040" s="91"/>
      <c r="F3040">
        <v>6</v>
      </c>
      <c r="G3040" t="s">
        <v>1419</v>
      </c>
      <c r="H3040" s="89">
        <v>46226</v>
      </c>
      <c r="I3040" s="89">
        <v>46228</v>
      </c>
      <c r="J3040" s="91" t="s">
        <v>4191</v>
      </c>
      <c r="K3040" s="91"/>
      <c r="M3040" s="91"/>
      <c r="N3040" s="91" t="s">
        <v>4123</v>
      </c>
    </row>
    <row r="3041" spans="1:14" x14ac:dyDescent="0.25">
      <c r="A3041" s="91" t="s">
        <v>1318</v>
      </c>
      <c r="B3041" s="91" t="s">
        <v>1332</v>
      </c>
      <c r="C3041" s="91" t="s">
        <v>4203</v>
      </c>
      <c r="D3041" s="91" t="s">
        <v>28</v>
      </c>
      <c r="E3041" s="91"/>
      <c r="F3041">
        <v>42</v>
      </c>
      <c r="G3041" t="s">
        <v>1419</v>
      </c>
      <c r="H3041" s="89">
        <v>46226</v>
      </c>
      <c r="I3041" s="89">
        <v>46228</v>
      </c>
      <c r="J3041" s="91" t="s">
        <v>4189</v>
      </c>
      <c r="K3041" s="91"/>
      <c r="M3041" s="91"/>
      <c r="N3041" s="91" t="s">
        <v>4123</v>
      </c>
    </row>
    <row r="3042" spans="1:14" x14ac:dyDescent="0.25">
      <c r="A3042" s="91" t="s">
        <v>1321</v>
      </c>
      <c r="B3042" s="91" t="s">
        <v>1335</v>
      </c>
      <c r="C3042" s="91" t="s">
        <v>4204</v>
      </c>
      <c r="D3042" s="91" t="s">
        <v>159</v>
      </c>
      <c r="E3042" s="91"/>
      <c r="F3042">
        <v>144</v>
      </c>
      <c r="G3042">
        <v>3</v>
      </c>
      <c r="H3042" s="89">
        <v>46227</v>
      </c>
      <c r="I3042" s="89">
        <v>46234</v>
      </c>
      <c r="J3042" s="91" t="s">
        <v>4205</v>
      </c>
      <c r="K3042" s="91"/>
      <c r="M3042" s="91"/>
      <c r="N3042" s="91" t="s">
        <v>4123</v>
      </c>
    </row>
    <row r="3043" spans="1:14" x14ac:dyDescent="0.25">
      <c r="A3043" s="91" t="s">
        <v>1321</v>
      </c>
      <c r="B3043" s="91" t="s">
        <v>1335</v>
      </c>
      <c r="C3043" s="91" t="s">
        <v>4204</v>
      </c>
      <c r="D3043" s="91" t="s">
        <v>159</v>
      </c>
      <c r="E3043" s="91"/>
      <c r="F3043">
        <v>96</v>
      </c>
      <c r="G3043">
        <v>2</v>
      </c>
      <c r="H3043" s="89">
        <v>46227</v>
      </c>
      <c r="I3043" s="89">
        <v>46235</v>
      </c>
      <c r="J3043" s="91" t="s">
        <v>4206</v>
      </c>
      <c r="K3043" s="91"/>
      <c r="M3043" s="91"/>
      <c r="N3043" s="91" t="s">
        <v>4123</v>
      </c>
    </row>
    <row r="3044" spans="1:14" x14ac:dyDescent="0.25">
      <c r="A3044" s="91" t="s">
        <v>1326</v>
      </c>
      <c r="B3044" s="91" t="s">
        <v>1340</v>
      </c>
      <c r="C3044" s="91" t="s">
        <v>4207</v>
      </c>
      <c r="D3044" s="91" t="s">
        <v>32</v>
      </c>
      <c r="E3044" s="91"/>
      <c r="F3044">
        <v>840</v>
      </c>
      <c r="G3044">
        <v>20</v>
      </c>
      <c r="H3044" s="89">
        <v>46227</v>
      </c>
      <c r="I3044" s="89">
        <v>46231</v>
      </c>
      <c r="J3044" s="91" t="s">
        <v>4208</v>
      </c>
      <c r="K3044" s="91"/>
      <c r="M3044" s="91"/>
      <c r="N3044" s="91" t="s">
        <v>4123</v>
      </c>
    </row>
    <row r="3045" spans="1:14" x14ac:dyDescent="0.25">
      <c r="A3045" s="91" t="s">
        <v>1320</v>
      </c>
      <c r="B3045" s="91" t="s">
        <v>1334</v>
      </c>
      <c r="C3045" s="91" t="s">
        <v>4209</v>
      </c>
      <c r="D3045" s="91" t="s">
        <v>30</v>
      </c>
      <c r="E3045" s="91"/>
      <c r="F3045">
        <v>384</v>
      </c>
      <c r="G3045">
        <v>8</v>
      </c>
      <c r="H3045" s="89">
        <v>46227</v>
      </c>
      <c r="I3045" s="89">
        <v>46231</v>
      </c>
      <c r="J3045" s="91" t="s">
        <v>4185</v>
      </c>
      <c r="K3045" s="91"/>
      <c r="M3045" s="91"/>
      <c r="N3045" s="91" t="s">
        <v>4123</v>
      </c>
    </row>
    <row r="3046" spans="1:14" x14ac:dyDescent="0.25">
      <c r="A3046" s="91" t="s">
        <v>1325</v>
      </c>
      <c r="B3046" s="91" t="s">
        <v>1339</v>
      </c>
      <c r="C3046" s="91" t="s">
        <v>4204</v>
      </c>
      <c r="D3046" s="91" t="s">
        <v>159</v>
      </c>
      <c r="E3046" s="91"/>
      <c r="F3046">
        <v>288</v>
      </c>
      <c r="G3046">
        <v>6</v>
      </c>
      <c r="H3046" s="89">
        <v>46227</v>
      </c>
      <c r="I3046" s="89">
        <v>46231</v>
      </c>
      <c r="J3046" s="91" t="s">
        <v>4210</v>
      </c>
      <c r="K3046" s="91"/>
      <c r="M3046" s="91"/>
      <c r="N3046" s="91" t="s">
        <v>4123</v>
      </c>
    </row>
    <row r="3047" spans="1:14" x14ac:dyDescent="0.25">
      <c r="A3047" s="91" t="s">
        <v>1324</v>
      </c>
      <c r="B3047" s="91" t="s">
        <v>1338</v>
      </c>
      <c r="C3047" s="91" t="s">
        <v>4211</v>
      </c>
      <c r="D3047" s="91" t="s">
        <v>118</v>
      </c>
      <c r="E3047" s="91"/>
      <c r="F3047">
        <v>336</v>
      </c>
      <c r="G3047">
        <v>7</v>
      </c>
      <c r="H3047" s="89">
        <v>46227</v>
      </c>
      <c r="I3047" s="89">
        <v>46234</v>
      </c>
      <c r="J3047" s="91" t="s">
        <v>4205</v>
      </c>
      <c r="K3047" s="91"/>
      <c r="M3047" s="91"/>
      <c r="N3047" s="91" t="s">
        <v>4123</v>
      </c>
    </row>
    <row r="3048" spans="1:14" x14ac:dyDescent="0.25">
      <c r="A3048" s="91" t="s">
        <v>1320</v>
      </c>
      <c r="B3048" s="91" t="s">
        <v>1334</v>
      </c>
      <c r="C3048" s="91" t="s">
        <v>4212</v>
      </c>
      <c r="D3048" s="91" t="s">
        <v>150</v>
      </c>
      <c r="E3048" s="91"/>
      <c r="F3048">
        <v>864</v>
      </c>
      <c r="G3048">
        <v>18</v>
      </c>
      <c r="H3048" s="89">
        <v>46227</v>
      </c>
      <c r="I3048" s="89">
        <v>46232</v>
      </c>
      <c r="J3048" s="91" t="s">
        <v>4213</v>
      </c>
      <c r="K3048" s="91"/>
      <c r="M3048" s="91"/>
      <c r="N3048" s="91" t="s">
        <v>4123</v>
      </c>
    </row>
    <row r="3049" spans="1:14" x14ac:dyDescent="0.25">
      <c r="A3049" s="91" t="s">
        <v>1320</v>
      </c>
      <c r="B3049" s="91" t="s">
        <v>1334</v>
      </c>
      <c r="C3049" s="91" t="s">
        <v>4214</v>
      </c>
      <c r="D3049" s="91" t="s">
        <v>104</v>
      </c>
      <c r="E3049" s="91"/>
      <c r="F3049">
        <v>960</v>
      </c>
      <c r="G3049">
        <v>20</v>
      </c>
      <c r="H3049" s="89">
        <v>46227</v>
      </c>
      <c r="I3049" s="89">
        <v>46232</v>
      </c>
      <c r="J3049" s="91" t="s">
        <v>4215</v>
      </c>
      <c r="K3049" s="91"/>
      <c r="M3049" s="91"/>
      <c r="N3049" s="91" t="s">
        <v>4123</v>
      </c>
    </row>
    <row r="3050" spans="1:14" x14ac:dyDescent="0.25">
      <c r="A3050" s="91" t="s">
        <v>1314</v>
      </c>
      <c r="B3050" s="91" t="s">
        <v>1328</v>
      </c>
      <c r="C3050" s="91" t="s">
        <v>4216</v>
      </c>
      <c r="D3050" s="91" t="s">
        <v>15</v>
      </c>
      <c r="E3050" s="91"/>
      <c r="F3050">
        <v>288</v>
      </c>
      <c r="G3050">
        <v>6</v>
      </c>
      <c r="H3050" s="89">
        <v>46227</v>
      </c>
      <c r="I3050" s="89">
        <v>46230</v>
      </c>
      <c r="J3050" s="91" t="s">
        <v>4217</v>
      </c>
      <c r="K3050" s="91"/>
      <c r="M3050" s="91"/>
      <c r="N3050" s="91" t="s">
        <v>4123</v>
      </c>
    </row>
    <row r="3051" spans="1:14" x14ac:dyDescent="0.25">
      <c r="A3051" s="91" t="s">
        <v>1324</v>
      </c>
      <c r="B3051" s="91" t="s">
        <v>1338</v>
      </c>
      <c r="C3051" s="91" t="s">
        <v>4216</v>
      </c>
      <c r="D3051" s="91" t="s">
        <v>15</v>
      </c>
      <c r="E3051" s="91"/>
      <c r="F3051">
        <v>624</v>
      </c>
      <c r="G3051">
        <v>13</v>
      </c>
      <c r="H3051" s="89">
        <v>46227</v>
      </c>
      <c r="I3051" s="89">
        <v>46234</v>
      </c>
      <c r="J3051" s="91" t="s">
        <v>4205</v>
      </c>
      <c r="K3051" s="91"/>
      <c r="M3051" s="91"/>
      <c r="N3051" s="91" t="s">
        <v>4123</v>
      </c>
    </row>
    <row r="3052" spans="1:14" x14ac:dyDescent="0.25">
      <c r="A3052" s="91" t="s">
        <v>1315</v>
      </c>
      <c r="B3052" s="91" t="s">
        <v>1329</v>
      </c>
      <c r="C3052" s="91" t="s">
        <v>4216</v>
      </c>
      <c r="D3052" s="91" t="s">
        <v>15</v>
      </c>
      <c r="E3052" s="91"/>
      <c r="F3052">
        <v>16</v>
      </c>
      <c r="G3052" t="s">
        <v>1419</v>
      </c>
      <c r="H3052" s="89">
        <v>46227</v>
      </c>
      <c r="I3052" s="89">
        <v>46227</v>
      </c>
      <c r="J3052" s="91" t="s">
        <v>4195</v>
      </c>
      <c r="K3052" s="91"/>
      <c r="M3052" s="91"/>
      <c r="N3052" s="91" t="s">
        <v>4123</v>
      </c>
    </row>
    <row r="3053" spans="1:14" x14ac:dyDescent="0.25">
      <c r="A3053" s="91" t="s">
        <v>1313</v>
      </c>
      <c r="B3053" s="91" t="s">
        <v>1327</v>
      </c>
      <c r="C3053" s="91" t="s">
        <v>4216</v>
      </c>
      <c r="D3053" s="91" t="s">
        <v>15</v>
      </c>
      <c r="E3053" s="91"/>
      <c r="F3053">
        <v>48</v>
      </c>
      <c r="G3053">
        <v>1</v>
      </c>
      <c r="H3053" s="89">
        <v>46227</v>
      </c>
      <c r="I3053" s="89">
        <v>46232</v>
      </c>
      <c r="J3053" s="91" t="s">
        <v>4218</v>
      </c>
      <c r="K3053" s="91"/>
      <c r="M3053" s="91"/>
      <c r="N3053" s="91" t="s">
        <v>4123</v>
      </c>
    </row>
    <row r="3054" spans="1:14" x14ac:dyDescent="0.25">
      <c r="A3054" s="91" t="s">
        <v>1316</v>
      </c>
      <c r="B3054" s="91" t="s">
        <v>1330</v>
      </c>
      <c r="C3054" s="91" t="s">
        <v>4219</v>
      </c>
      <c r="D3054" s="91" t="s">
        <v>15</v>
      </c>
      <c r="E3054" s="91"/>
      <c r="F3054">
        <v>38</v>
      </c>
      <c r="G3054" t="s">
        <v>1419</v>
      </c>
      <c r="H3054" s="89">
        <v>46227</v>
      </c>
      <c r="I3054" s="89">
        <v>46229</v>
      </c>
      <c r="J3054" s="91" t="s">
        <v>4220</v>
      </c>
      <c r="K3054" s="91"/>
      <c r="M3054" s="91"/>
      <c r="N3054" s="91" t="s">
        <v>4123</v>
      </c>
    </row>
    <row r="3055" spans="1:14" x14ac:dyDescent="0.25">
      <c r="A3055" s="91" t="s">
        <v>1317</v>
      </c>
      <c r="B3055" s="91" t="s">
        <v>1331</v>
      </c>
      <c r="C3055" s="91" t="s">
        <v>4221</v>
      </c>
      <c r="D3055" s="91" t="s">
        <v>15</v>
      </c>
      <c r="E3055" s="91"/>
      <c r="F3055">
        <v>31</v>
      </c>
      <c r="G3055" t="s">
        <v>1419</v>
      </c>
      <c r="H3055" s="89">
        <v>46227</v>
      </c>
      <c r="I3055" s="89">
        <v>46229</v>
      </c>
      <c r="J3055" s="91" t="s">
        <v>3549</v>
      </c>
      <c r="K3055" s="91"/>
      <c r="M3055" s="91"/>
      <c r="N3055" s="91" t="s">
        <v>4123</v>
      </c>
    </row>
    <row r="3056" spans="1:14" x14ac:dyDescent="0.25">
      <c r="A3056" s="91" t="s">
        <v>1318</v>
      </c>
      <c r="B3056" s="91" t="s">
        <v>1332</v>
      </c>
      <c r="C3056" s="91" t="s">
        <v>4222</v>
      </c>
      <c r="D3056" s="91" t="s">
        <v>15</v>
      </c>
      <c r="E3056" s="91"/>
      <c r="F3056">
        <v>18</v>
      </c>
      <c r="G3056" t="s">
        <v>1419</v>
      </c>
      <c r="H3056" s="89">
        <v>46227</v>
      </c>
      <c r="I3056" s="89">
        <v>46229</v>
      </c>
      <c r="J3056" s="91" t="s">
        <v>4220</v>
      </c>
      <c r="K3056" s="91"/>
      <c r="M3056" s="91"/>
      <c r="N3056" s="91" t="s">
        <v>4123</v>
      </c>
    </row>
    <row r="3057" spans="1:14" x14ac:dyDescent="0.25">
      <c r="A3057" s="91" t="s">
        <v>1314</v>
      </c>
      <c r="B3057" s="91" t="s">
        <v>1328</v>
      </c>
      <c r="C3057" s="91" t="s">
        <v>4223</v>
      </c>
      <c r="D3057" s="91" t="s">
        <v>21</v>
      </c>
      <c r="E3057" s="91"/>
      <c r="F3057">
        <v>240</v>
      </c>
      <c r="G3057">
        <v>5</v>
      </c>
      <c r="H3057" s="89">
        <v>46227</v>
      </c>
      <c r="I3057" s="89">
        <v>46232</v>
      </c>
      <c r="J3057" s="91" t="s">
        <v>4224</v>
      </c>
      <c r="K3057" s="91"/>
      <c r="M3057" s="91"/>
      <c r="N3057" s="91" t="s">
        <v>4123</v>
      </c>
    </row>
    <row r="3058" spans="1:14" x14ac:dyDescent="0.25">
      <c r="A3058" s="91" t="s">
        <v>1313</v>
      </c>
      <c r="B3058" s="91" t="s">
        <v>1327</v>
      </c>
      <c r="C3058" s="91" t="s">
        <v>4223</v>
      </c>
      <c r="D3058" s="91" t="s">
        <v>21</v>
      </c>
      <c r="E3058" s="91"/>
      <c r="F3058">
        <v>912</v>
      </c>
      <c r="G3058">
        <v>19</v>
      </c>
      <c r="H3058" s="89">
        <v>46227</v>
      </c>
      <c r="I3058" s="89">
        <v>46232</v>
      </c>
      <c r="J3058" s="91" t="s">
        <v>4225</v>
      </c>
      <c r="K3058" s="91"/>
      <c r="M3058" s="91"/>
      <c r="N3058" s="91" t="s">
        <v>4123</v>
      </c>
    </row>
    <row r="3059" spans="1:14" x14ac:dyDescent="0.25">
      <c r="A3059" s="91" t="s">
        <v>1315</v>
      </c>
      <c r="B3059" s="91" t="s">
        <v>1329</v>
      </c>
      <c r="C3059" s="91" t="s">
        <v>4223</v>
      </c>
      <c r="D3059" s="91" t="s">
        <v>21</v>
      </c>
      <c r="E3059" s="91"/>
      <c r="F3059">
        <v>56</v>
      </c>
      <c r="G3059" t="s">
        <v>1419</v>
      </c>
      <c r="H3059" s="89">
        <v>46227</v>
      </c>
      <c r="I3059" s="89">
        <v>46227</v>
      </c>
      <c r="J3059" s="91" t="s">
        <v>4130</v>
      </c>
      <c r="K3059" s="91"/>
      <c r="M3059" s="91"/>
      <c r="N3059" s="91" t="s">
        <v>4123</v>
      </c>
    </row>
    <row r="3060" spans="1:14" x14ac:dyDescent="0.25">
      <c r="A3060" s="91" t="s">
        <v>1316</v>
      </c>
      <c r="B3060" s="91" t="s">
        <v>1330</v>
      </c>
      <c r="C3060" s="91" t="s">
        <v>4226</v>
      </c>
      <c r="D3060" s="91" t="s">
        <v>21</v>
      </c>
      <c r="E3060" s="91"/>
      <c r="F3060">
        <v>9</v>
      </c>
      <c r="G3060" t="s">
        <v>1419</v>
      </c>
      <c r="H3060" s="89">
        <v>46227</v>
      </c>
      <c r="I3060" s="89">
        <v>46229</v>
      </c>
      <c r="J3060" s="91" t="s">
        <v>4220</v>
      </c>
      <c r="K3060" s="91"/>
      <c r="M3060" s="91"/>
      <c r="N3060" s="91" t="s">
        <v>4123</v>
      </c>
    </row>
    <row r="3061" spans="1:14" x14ac:dyDescent="0.25">
      <c r="A3061" s="91" t="s">
        <v>1317</v>
      </c>
      <c r="B3061" s="91" t="s">
        <v>1331</v>
      </c>
      <c r="C3061" s="91" t="s">
        <v>4227</v>
      </c>
      <c r="D3061" s="91" t="s">
        <v>21</v>
      </c>
      <c r="E3061" s="91"/>
      <c r="F3061">
        <v>12</v>
      </c>
      <c r="G3061" t="s">
        <v>1419</v>
      </c>
      <c r="H3061" s="89">
        <v>46227</v>
      </c>
      <c r="I3061" s="89">
        <v>46229</v>
      </c>
      <c r="J3061" s="91" t="s">
        <v>3549</v>
      </c>
      <c r="K3061" s="91"/>
      <c r="M3061" s="91"/>
      <c r="N3061" s="91" t="s">
        <v>4123</v>
      </c>
    </row>
    <row r="3062" spans="1:14" x14ac:dyDescent="0.25">
      <c r="A3062" s="91" t="s">
        <v>1318</v>
      </c>
      <c r="B3062" s="91" t="s">
        <v>1332</v>
      </c>
      <c r="C3062" s="91" t="s">
        <v>4228</v>
      </c>
      <c r="D3062" s="91" t="s">
        <v>21</v>
      </c>
      <c r="E3062" s="91"/>
      <c r="F3062">
        <v>51</v>
      </c>
      <c r="G3062" t="s">
        <v>1419</v>
      </c>
      <c r="H3062" s="89">
        <v>46227</v>
      </c>
      <c r="I3062" s="89">
        <v>46229</v>
      </c>
      <c r="J3062" s="91" t="s">
        <v>4220</v>
      </c>
      <c r="K3062" s="91"/>
      <c r="M3062" s="91"/>
      <c r="N3062" s="91" t="s">
        <v>4123</v>
      </c>
    </row>
    <row r="3063" spans="1:14" x14ac:dyDescent="0.25">
      <c r="A3063" s="91" t="s">
        <v>1324</v>
      </c>
      <c r="B3063" s="91" t="s">
        <v>1338</v>
      </c>
      <c r="C3063" s="91" t="s">
        <v>4229</v>
      </c>
      <c r="D3063" s="91" t="s">
        <v>114</v>
      </c>
      <c r="E3063" s="91"/>
      <c r="F3063">
        <v>1152</v>
      </c>
      <c r="G3063">
        <v>24</v>
      </c>
      <c r="H3063" s="89">
        <v>46228</v>
      </c>
      <c r="I3063" s="89">
        <v>46235</v>
      </c>
      <c r="J3063" s="91" t="s">
        <v>4230</v>
      </c>
      <c r="K3063" s="91"/>
      <c r="M3063" s="91"/>
      <c r="N3063" s="91" t="s">
        <v>4123</v>
      </c>
    </row>
    <row r="3064" spans="1:14" x14ac:dyDescent="0.25">
      <c r="A3064" s="91" t="s">
        <v>1324</v>
      </c>
      <c r="B3064" s="91" t="s">
        <v>1338</v>
      </c>
      <c r="C3064" s="91" t="s">
        <v>4231</v>
      </c>
      <c r="D3064" s="91" t="s">
        <v>13</v>
      </c>
      <c r="E3064" s="91"/>
      <c r="F3064">
        <v>960</v>
      </c>
      <c r="G3064">
        <v>20</v>
      </c>
      <c r="H3064" s="89">
        <v>46228</v>
      </c>
      <c r="I3064" s="89">
        <v>46235</v>
      </c>
      <c r="J3064" s="91" t="s">
        <v>4206</v>
      </c>
      <c r="K3064" s="91"/>
      <c r="M3064" s="91"/>
      <c r="N3064" s="91" t="s">
        <v>4123</v>
      </c>
    </row>
    <row r="3065" spans="1:14" x14ac:dyDescent="0.25">
      <c r="A3065" s="91" t="s">
        <v>1324</v>
      </c>
      <c r="B3065" s="91" t="s">
        <v>1338</v>
      </c>
      <c r="C3065" s="91" t="s">
        <v>4232</v>
      </c>
      <c r="D3065" s="91" t="s">
        <v>150</v>
      </c>
      <c r="E3065" s="91"/>
      <c r="F3065">
        <v>864</v>
      </c>
      <c r="G3065">
        <v>18</v>
      </c>
      <c r="H3065" s="89">
        <v>46228</v>
      </c>
      <c r="I3065" s="89">
        <v>46235</v>
      </c>
      <c r="J3065" s="91" t="s">
        <v>4206</v>
      </c>
      <c r="K3065" s="91"/>
      <c r="M3065" s="91"/>
      <c r="N3065" s="91" t="s">
        <v>4123</v>
      </c>
    </row>
    <row r="3066" spans="1:14" x14ac:dyDescent="0.25">
      <c r="A3066" s="91" t="s">
        <v>1313</v>
      </c>
      <c r="B3066" s="91" t="s">
        <v>1327</v>
      </c>
      <c r="C3066" s="91" t="s">
        <v>4232</v>
      </c>
      <c r="D3066" s="91" t="s">
        <v>150</v>
      </c>
      <c r="E3066" s="91"/>
      <c r="F3066">
        <v>96</v>
      </c>
      <c r="G3066">
        <v>2</v>
      </c>
      <c r="H3066" s="89">
        <v>46228</v>
      </c>
      <c r="I3066" s="89">
        <v>46234</v>
      </c>
      <c r="J3066" s="91" t="s">
        <v>4233</v>
      </c>
      <c r="K3066" s="91"/>
      <c r="M3066" s="91"/>
      <c r="N3066" s="91" t="s">
        <v>4123</v>
      </c>
    </row>
    <row r="3067" spans="1:14" x14ac:dyDescent="0.25">
      <c r="A3067" s="91" t="s">
        <v>1320</v>
      </c>
      <c r="B3067" s="91" t="s">
        <v>1334</v>
      </c>
      <c r="C3067" s="91" t="s">
        <v>4234</v>
      </c>
      <c r="D3067" s="91" t="s">
        <v>88</v>
      </c>
      <c r="E3067" s="91"/>
      <c r="F3067">
        <v>960</v>
      </c>
      <c r="G3067">
        <v>20</v>
      </c>
      <c r="H3067" s="89">
        <v>46228</v>
      </c>
      <c r="I3067" s="89">
        <v>46233</v>
      </c>
      <c r="J3067" s="91" t="s">
        <v>4235</v>
      </c>
      <c r="K3067" s="91"/>
      <c r="M3067" s="91"/>
      <c r="N3067" s="91" t="s">
        <v>4123</v>
      </c>
    </row>
    <row r="3068" spans="1:14" x14ac:dyDescent="0.25">
      <c r="A3068" s="91" t="s">
        <v>1320</v>
      </c>
      <c r="B3068" s="91" t="s">
        <v>1334</v>
      </c>
      <c r="C3068" s="91" t="s">
        <v>4232</v>
      </c>
      <c r="D3068" s="91" t="s">
        <v>150</v>
      </c>
      <c r="E3068" s="91"/>
      <c r="F3068">
        <v>96</v>
      </c>
      <c r="G3068">
        <v>2</v>
      </c>
      <c r="H3068" s="89">
        <v>46228</v>
      </c>
      <c r="I3068" s="89">
        <v>46232</v>
      </c>
      <c r="J3068" s="91" t="s">
        <v>4215</v>
      </c>
      <c r="K3068" s="91"/>
      <c r="M3068" s="91"/>
      <c r="N3068" s="91" t="s">
        <v>4123</v>
      </c>
    </row>
    <row r="3069" spans="1:14" x14ac:dyDescent="0.25">
      <c r="A3069" s="91" t="s">
        <v>1313</v>
      </c>
      <c r="B3069" s="91" t="s">
        <v>1327</v>
      </c>
      <c r="C3069" s="91" t="s">
        <v>4236</v>
      </c>
      <c r="D3069" s="91" t="s">
        <v>21</v>
      </c>
      <c r="E3069" s="91"/>
      <c r="F3069">
        <v>1152</v>
      </c>
      <c r="G3069">
        <v>24</v>
      </c>
      <c r="H3069" s="89">
        <v>46228</v>
      </c>
      <c r="I3069" s="89">
        <v>46232</v>
      </c>
      <c r="J3069" s="91" t="s">
        <v>4237</v>
      </c>
      <c r="K3069" s="91"/>
      <c r="M3069" s="91"/>
      <c r="N3069" s="91" t="s">
        <v>4123</v>
      </c>
    </row>
    <row r="3070" spans="1:14" x14ac:dyDescent="0.25">
      <c r="A3070" s="91" t="s">
        <v>1315</v>
      </c>
      <c r="B3070" s="91" t="s">
        <v>1329</v>
      </c>
      <c r="C3070" s="91" t="s">
        <v>4236</v>
      </c>
      <c r="D3070" s="91" t="s">
        <v>21</v>
      </c>
      <c r="E3070" s="91"/>
      <c r="F3070">
        <v>50</v>
      </c>
      <c r="G3070" t="s">
        <v>1419</v>
      </c>
      <c r="H3070" s="89">
        <v>46228</v>
      </c>
      <c r="I3070" s="89">
        <v>46230</v>
      </c>
      <c r="J3070" s="91" t="s">
        <v>4238</v>
      </c>
      <c r="K3070" s="91"/>
      <c r="M3070" s="91"/>
      <c r="N3070" s="91" t="s">
        <v>4123</v>
      </c>
    </row>
    <row r="3071" spans="1:14" x14ac:dyDescent="0.25">
      <c r="A3071" s="91" t="s">
        <v>1316</v>
      </c>
      <c r="B3071" s="91" t="s">
        <v>1330</v>
      </c>
      <c r="C3071" s="91" t="s">
        <v>4239</v>
      </c>
      <c r="D3071" s="91" t="s">
        <v>21</v>
      </c>
      <c r="E3071" s="91"/>
      <c r="F3071">
        <v>44</v>
      </c>
      <c r="G3071" t="s">
        <v>1419</v>
      </c>
      <c r="H3071" s="89">
        <v>46228</v>
      </c>
      <c r="I3071" s="89">
        <v>46230</v>
      </c>
      <c r="J3071" s="91" t="s">
        <v>4240</v>
      </c>
      <c r="K3071" s="91"/>
      <c r="M3071" s="91"/>
      <c r="N3071" s="91" t="s">
        <v>4123</v>
      </c>
    </row>
    <row r="3072" spans="1:14" x14ac:dyDescent="0.25">
      <c r="A3072" s="91" t="s">
        <v>1317</v>
      </c>
      <c r="B3072" s="91" t="s">
        <v>1331</v>
      </c>
      <c r="C3072" s="91" t="s">
        <v>4241</v>
      </c>
      <c r="D3072" s="91" t="s">
        <v>21</v>
      </c>
      <c r="E3072" s="91"/>
      <c r="F3072">
        <v>23</v>
      </c>
      <c r="G3072" t="s">
        <v>1419</v>
      </c>
      <c r="H3072" s="89">
        <v>46228</v>
      </c>
      <c r="I3072" s="89">
        <v>46230</v>
      </c>
      <c r="J3072" s="91" t="s">
        <v>4242</v>
      </c>
      <c r="K3072" s="91"/>
      <c r="M3072" s="91"/>
      <c r="N3072" s="91" t="s">
        <v>4123</v>
      </c>
    </row>
    <row r="3073" spans="1:14" x14ac:dyDescent="0.25">
      <c r="A3073" s="91" t="s">
        <v>1318</v>
      </c>
      <c r="B3073" s="91" t="s">
        <v>1332</v>
      </c>
      <c r="C3073" s="91" t="s">
        <v>4243</v>
      </c>
      <c r="D3073" s="91" t="s">
        <v>21</v>
      </c>
      <c r="E3073" s="91"/>
      <c r="F3073">
        <v>49</v>
      </c>
      <c r="G3073" t="s">
        <v>1419</v>
      </c>
      <c r="H3073" s="89">
        <v>46228</v>
      </c>
      <c r="I3073" s="89">
        <v>46230</v>
      </c>
      <c r="J3073" s="91" t="s">
        <v>4240</v>
      </c>
      <c r="K3073" s="91"/>
      <c r="M3073" s="91"/>
      <c r="N3073" s="91" t="s">
        <v>4123</v>
      </c>
    </row>
    <row r="3074" spans="1:14" x14ac:dyDescent="0.25">
      <c r="A3074" s="91" t="s">
        <v>1314</v>
      </c>
      <c r="B3074" s="91" t="s">
        <v>1328</v>
      </c>
      <c r="C3074" s="91" t="s">
        <v>4244</v>
      </c>
      <c r="D3074" s="91" t="s">
        <v>15</v>
      </c>
      <c r="E3074" s="91"/>
      <c r="F3074">
        <v>96</v>
      </c>
      <c r="G3074">
        <v>2</v>
      </c>
      <c r="H3074" s="89">
        <v>46228</v>
      </c>
      <c r="I3074" s="89">
        <v>46232</v>
      </c>
      <c r="J3074" s="91" t="s">
        <v>4218</v>
      </c>
      <c r="K3074" s="91"/>
      <c r="M3074" s="91"/>
      <c r="N3074" s="91" t="s">
        <v>4123</v>
      </c>
    </row>
    <row r="3075" spans="1:14" x14ac:dyDescent="0.25">
      <c r="A3075" s="91" t="s">
        <v>1313</v>
      </c>
      <c r="B3075" s="91" t="s">
        <v>1327</v>
      </c>
      <c r="C3075" s="91" t="s">
        <v>4244</v>
      </c>
      <c r="D3075" s="91" t="s">
        <v>15</v>
      </c>
      <c r="E3075" s="91"/>
      <c r="F3075">
        <v>1008</v>
      </c>
      <c r="G3075">
        <v>21</v>
      </c>
      <c r="H3075" s="89">
        <v>46228</v>
      </c>
      <c r="I3075" s="89">
        <v>46232</v>
      </c>
      <c r="J3075" s="91" t="s">
        <v>4218</v>
      </c>
      <c r="K3075" s="91"/>
      <c r="M3075" s="91"/>
      <c r="N3075" s="91" t="s">
        <v>4123</v>
      </c>
    </row>
    <row r="3076" spans="1:14" x14ac:dyDescent="0.25">
      <c r="A3076" s="91" t="s">
        <v>1313</v>
      </c>
      <c r="B3076" s="91" t="s">
        <v>1327</v>
      </c>
      <c r="C3076" s="91" t="s">
        <v>4244</v>
      </c>
      <c r="D3076" s="91" t="s">
        <v>15</v>
      </c>
      <c r="E3076" s="91"/>
      <c r="F3076">
        <v>48</v>
      </c>
      <c r="G3076">
        <v>1</v>
      </c>
      <c r="H3076" s="89">
        <v>46228</v>
      </c>
      <c r="I3076" s="89">
        <v>46234</v>
      </c>
      <c r="J3076" s="91" t="s">
        <v>4233</v>
      </c>
      <c r="K3076" s="91"/>
      <c r="M3076" s="91"/>
      <c r="N3076" s="91" t="s">
        <v>4123</v>
      </c>
    </row>
    <row r="3077" spans="1:14" x14ac:dyDescent="0.25">
      <c r="A3077" s="91" t="s">
        <v>1315</v>
      </c>
      <c r="B3077" s="91" t="s">
        <v>1329</v>
      </c>
      <c r="C3077" s="91" t="s">
        <v>4244</v>
      </c>
      <c r="D3077" s="91" t="s">
        <v>15</v>
      </c>
      <c r="E3077" s="91"/>
      <c r="F3077">
        <v>6</v>
      </c>
      <c r="G3077" t="s">
        <v>1419</v>
      </c>
      <c r="H3077" s="89">
        <v>46228</v>
      </c>
      <c r="I3077" s="89">
        <v>46230</v>
      </c>
      <c r="J3077" s="91" t="s">
        <v>4238</v>
      </c>
      <c r="K3077" s="91"/>
      <c r="M3077" s="91"/>
      <c r="N3077" s="91" t="s">
        <v>4123</v>
      </c>
    </row>
    <row r="3078" spans="1:14" x14ac:dyDescent="0.25">
      <c r="A3078" s="91" t="s">
        <v>1316</v>
      </c>
      <c r="B3078" s="91" t="s">
        <v>1330</v>
      </c>
      <c r="C3078" s="91" t="s">
        <v>4245</v>
      </c>
      <c r="D3078" s="91" t="s">
        <v>15</v>
      </c>
      <c r="E3078" s="91"/>
      <c r="F3078">
        <v>21</v>
      </c>
      <c r="G3078" t="s">
        <v>1419</v>
      </c>
      <c r="H3078" s="89">
        <v>46228</v>
      </c>
      <c r="I3078" s="89">
        <v>46230</v>
      </c>
      <c r="J3078" s="91" t="s">
        <v>4240</v>
      </c>
      <c r="K3078" s="91"/>
      <c r="M3078" s="91"/>
      <c r="N3078" s="91" t="s">
        <v>4123</v>
      </c>
    </row>
    <row r="3079" spans="1:14" x14ac:dyDescent="0.25">
      <c r="A3079" s="91" t="s">
        <v>1317</v>
      </c>
      <c r="B3079" s="91" t="s">
        <v>1331</v>
      </c>
      <c r="C3079" s="91" t="s">
        <v>4246</v>
      </c>
      <c r="D3079" s="91" t="s">
        <v>15</v>
      </c>
      <c r="E3079" s="91"/>
      <c r="F3079">
        <v>26</v>
      </c>
      <c r="G3079" t="s">
        <v>1419</v>
      </c>
      <c r="H3079" s="89">
        <v>46228</v>
      </c>
      <c r="I3079" s="89">
        <v>46230</v>
      </c>
      <c r="J3079" s="91" t="s">
        <v>4242</v>
      </c>
      <c r="K3079" s="91"/>
      <c r="M3079" s="91"/>
      <c r="N3079" s="91" t="s">
        <v>4123</v>
      </c>
    </row>
    <row r="3080" spans="1:14" x14ac:dyDescent="0.25">
      <c r="A3080" s="91" t="s">
        <v>1318</v>
      </c>
      <c r="B3080" s="91" t="s">
        <v>1332</v>
      </c>
      <c r="C3080" s="91" t="s">
        <v>4247</v>
      </c>
      <c r="D3080" s="91" t="s">
        <v>15</v>
      </c>
      <c r="E3080" s="91"/>
      <c r="F3080">
        <v>25</v>
      </c>
      <c r="G3080" t="s">
        <v>1419</v>
      </c>
      <c r="H3080" s="89">
        <v>46228</v>
      </c>
      <c r="I3080" s="89">
        <v>46230</v>
      </c>
      <c r="J3080" s="91" t="s">
        <v>4240</v>
      </c>
      <c r="K3080" s="91"/>
      <c r="M3080" s="91"/>
      <c r="N3080" s="91" t="s">
        <v>4123</v>
      </c>
    </row>
    <row r="3081" spans="1:14" x14ac:dyDescent="0.25">
      <c r="A3081" s="91" t="s">
        <v>1324</v>
      </c>
      <c r="B3081" s="91" t="s">
        <v>1338</v>
      </c>
      <c r="C3081" s="91" t="s">
        <v>4248</v>
      </c>
      <c r="D3081" s="91" t="s">
        <v>13</v>
      </c>
      <c r="E3081" s="91"/>
      <c r="F3081">
        <v>720</v>
      </c>
      <c r="G3081">
        <v>15</v>
      </c>
      <c r="H3081" s="89">
        <v>46230</v>
      </c>
      <c r="I3081" s="89">
        <v>46237</v>
      </c>
      <c r="J3081" s="91" t="s">
        <v>4249</v>
      </c>
      <c r="K3081" s="91"/>
      <c r="M3081" s="91"/>
      <c r="N3081" s="91" t="s">
        <v>4250</v>
      </c>
    </row>
    <row r="3082" spans="1:14" x14ac:dyDescent="0.25">
      <c r="A3082" s="91" t="s">
        <v>1320</v>
      </c>
      <c r="B3082" s="91" t="s">
        <v>1334</v>
      </c>
      <c r="C3082" s="91" t="s">
        <v>4251</v>
      </c>
      <c r="D3082" s="91" t="s">
        <v>147</v>
      </c>
      <c r="E3082" s="91"/>
      <c r="F3082">
        <v>960</v>
      </c>
      <c r="G3082">
        <v>20</v>
      </c>
      <c r="H3082" s="89">
        <v>46230</v>
      </c>
      <c r="I3082" s="89">
        <v>46233</v>
      </c>
      <c r="J3082" s="91" t="s">
        <v>4235</v>
      </c>
      <c r="K3082" s="91"/>
      <c r="M3082" s="91"/>
      <c r="N3082" s="91" t="s">
        <v>4250</v>
      </c>
    </row>
    <row r="3083" spans="1:14" x14ac:dyDescent="0.25">
      <c r="A3083" s="91" t="s">
        <v>1313</v>
      </c>
      <c r="B3083" s="91" t="s">
        <v>1327</v>
      </c>
      <c r="C3083" s="91" t="s">
        <v>4252</v>
      </c>
      <c r="D3083" s="91" t="s">
        <v>15</v>
      </c>
      <c r="E3083" s="91"/>
      <c r="F3083">
        <v>756</v>
      </c>
      <c r="G3083">
        <v>16.75</v>
      </c>
      <c r="H3083" s="89">
        <v>46230</v>
      </c>
      <c r="I3083" s="89">
        <v>46234</v>
      </c>
      <c r="J3083" s="91" t="s">
        <v>4233</v>
      </c>
      <c r="K3083" s="91"/>
      <c r="M3083" s="91"/>
      <c r="N3083" s="91" t="s">
        <v>4250</v>
      </c>
    </row>
    <row r="3084" spans="1:14" x14ac:dyDescent="0.25">
      <c r="A3084" s="91" t="s">
        <v>1319</v>
      </c>
      <c r="B3084" s="91" t="s">
        <v>1333</v>
      </c>
      <c r="C3084" s="91" t="s">
        <v>4252</v>
      </c>
      <c r="D3084" s="91" t="s">
        <v>15</v>
      </c>
      <c r="E3084" s="91"/>
      <c r="F3084">
        <v>60</v>
      </c>
      <c r="G3084">
        <v>1.25</v>
      </c>
      <c r="H3084" s="89">
        <v>46230</v>
      </c>
      <c r="I3084" s="89">
        <v>46234</v>
      </c>
      <c r="J3084" s="91" t="s">
        <v>4233</v>
      </c>
      <c r="K3084" s="91"/>
      <c r="M3084" s="91"/>
      <c r="N3084" s="91" t="s">
        <v>4250</v>
      </c>
    </row>
    <row r="3085" spans="1:14" x14ac:dyDescent="0.25">
      <c r="A3085" s="91" t="s">
        <v>1314</v>
      </c>
      <c r="B3085" s="91" t="s">
        <v>1328</v>
      </c>
      <c r="C3085" s="91" t="s">
        <v>4252</v>
      </c>
      <c r="D3085" s="91" t="s">
        <v>15</v>
      </c>
      <c r="E3085" s="91"/>
      <c r="F3085">
        <v>48</v>
      </c>
      <c r="G3085">
        <v>1</v>
      </c>
      <c r="H3085" s="89">
        <v>46230</v>
      </c>
      <c r="I3085" s="89">
        <v>46234</v>
      </c>
      <c r="J3085" s="91" t="s">
        <v>4253</v>
      </c>
      <c r="K3085" s="91"/>
      <c r="M3085" s="91"/>
      <c r="N3085" s="91" t="s">
        <v>4250</v>
      </c>
    </row>
    <row r="3086" spans="1:14" x14ac:dyDescent="0.25">
      <c r="A3086" s="91" t="s">
        <v>1315</v>
      </c>
      <c r="B3086" s="91" t="s">
        <v>1329</v>
      </c>
      <c r="C3086" s="91" t="s">
        <v>4252</v>
      </c>
      <c r="D3086" s="91" t="s">
        <v>15</v>
      </c>
      <c r="E3086" s="91"/>
      <c r="F3086">
        <v>30</v>
      </c>
      <c r="G3086" t="s">
        <v>1419</v>
      </c>
      <c r="H3086" s="89">
        <v>46230</v>
      </c>
      <c r="I3086" s="89">
        <v>46232</v>
      </c>
      <c r="J3086" s="91" t="s">
        <v>3549</v>
      </c>
      <c r="K3086" s="91"/>
      <c r="M3086" s="91"/>
      <c r="N3086" s="91" t="s">
        <v>4250</v>
      </c>
    </row>
    <row r="3087" spans="1:14" x14ac:dyDescent="0.25">
      <c r="A3087" s="91" t="s">
        <v>1313</v>
      </c>
      <c r="B3087" s="91" t="s">
        <v>1327</v>
      </c>
      <c r="C3087" s="91" t="s">
        <v>4252</v>
      </c>
      <c r="D3087" s="91" t="s">
        <v>15</v>
      </c>
      <c r="E3087" s="91"/>
      <c r="F3087">
        <v>240</v>
      </c>
      <c r="G3087">
        <v>5</v>
      </c>
      <c r="H3087" s="89">
        <v>46230</v>
      </c>
      <c r="I3087" s="89">
        <v>46234</v>
      </c>
      <c r="J3087" s="91" t="s">
        <v>4253</v>
      </c>
      <c r="K3087" s="91"/>
      <c r="M3087" s="91"/>
      <c r="N3087" s="91" t="s">
        <v>4250</v>
      </c>
    </row>
    <row r="3088" spans="1:14" x14ac:dyDescent="0.25">
      <c r="A3088" s="91" t="s">
        <v>1316</v>
      </c>
      <c r="B3088" s="91" t="s">
        <v>1330</v>
      </c>
      <c r="C3088" s="91" t="s">
        <v>4254</v>
      </c>
      <c r="D3088" s="91" t="s">
        <v>15</v>
      </c>
      <c r="E3088" s="91"/>
      <c r="F3088">
        <v>34</v>
      </c>
      <c r="G3088" t="s">
        <v>1419</v>
      </c>
      <c r="H3088" s="89">
        <v>46230</v>
      </c>
      <c r="I3088" s="89">
        <v>46232</v>
      </c>
      <c r="J3088" s="91" t="s">
        <v>3549</v>
      </c>
      <c r="K3088" s="91"/>
      <c r="M3088" s="91"/>
      <c r="N3088" s="91" t="s">
        <v>4250</v>
      </c>
    </row>
    <row r="3089" spans="1:14" x14ac:dyDescent="0.25">
      <c r="A3089" s="91" t="s">
        <v>1317</v>
      </c>
      <c r="B3089" s="91" t="s">
        <v>1331</v>
      </c>
      <c r="C3089" s="91" t="s">
        <v>4255</v>
      </c>
      <c r="D3089" s="91" t="s">
        <v>15</v>
      </c>
      <c r="E3089" s="91"/>
      <c r="F3089">
        <v>30</v>
      </c>
      <c r="G3089" t="s">
        <v>1419</v>
      </c>
      <c r="H3089" s="89">
        <v>46230</v>
      </c>
      <c r="I3089" s="89">
        <v>46232</v>
      </c>
      <c r="J3089" s="91" t="s">
        <v>3549</v>
      </c>
      <c r="K3089" s="91"/>
      <c r="M3089" s="91"/>
      <c r="N3089" s="91" t="s">
        <v>4250</v>
      </c>
    </row>
    <row r="3090" spans="1:14" x14ac:dyDescent="0.25">
      <c r="A3090" s="91" t="s">
        <v>1318</v>
      </c>
      <c r="B3090" s="91" t="s">
        <v>1332</v>
      </c>
      <c r="C3090" s="91" t="s">
        <v>4256</v>
      </c>
      <c r="D3090" s="91" t="s">
        <v>15</v>
      </c>
      <c r="E3090" s="91"/>
      <c r="F3090">
        <v>22</v>
      </c>
      <c r="G3090" t="s">
        <v>1419</v>
      </c>
      <c r="H3090" s="89">
        <v>46230</v>
      </c>
      <c r="I3090" s="89">
        <v>46232</v>
      </c>
      <c r="J3090" s="91" t="s">
        <v>3549</v>
      </c>
      <c r="K3090" s="91"/>
      <c r="M3090" s="91"/>
      <c r="N3090" s="91" t="s">
        <v>4250</v>
      </c>
    </row>
    <row r="3091" spans="1:14" x14ac:dyDescent="0.25">
      <c r="A3091" s="91" t="s">
        <v>1324</v>
      </c>
      <c r="B3091" s="91" t="s">
        <v>1338</v>
      </c>
      <c r="C3091" s="91" t="s">
        <v>4257</v>
      </c>
      <c r="D3091" s="91" t="s">
        <v>28</v>
      </c>
      <c r="E3091" s="91"/>
      <c r="F3091">
        <v>816</v>
      </c>
      <c r="G3091">
        <v>17</v>
      </c>
      <c r="H3091" s="89">
        <v>46230</v>
      </c>
      <c r="I3091" s="89">
        <v>46237</v>
      </c>
      <c r="J3091" s="91" t="s">
        <v>4249</v>
      </c>
      <c r="K3091" s="91"/>
      <c r="M3091" s="91"/>
      <c r="N3091" s="91" t="s">
        <v>4250</v>
      </c>
    </row>
    <row r="3092" spans="1:14" x14ac:dyDescent="0.25">
      <c r="A3092" s="91" t="s">
        <v>1315</v>
      </c>
      <c r="B3092" s="91" t="s">
        <v>1329</v>
      </c>
      <c r="C3092" s="91" t="s">
        <v>4257</v>
      </c>
      <c r="D3092" s="91" t="s">
        <v>28</v>
      </c>
      <c r="E3092" s="91"/>
      <c r="F3092">
        <v>111</v>
      </c>
      <c r="G3092" t="s">
        <v>1419</v>
      </c>
      <c r="H3092" s="89">
        <v>46230</v>
      </c>
      <c r="I3092" s="89">
        <v>46232</v>
      </c>
      <c r="J3092" s="91" t="s">
        <v>3549</v>
      </c>
      <c r="K3092" s="91"/>
      <c r="M3092" s="91"/>
      <c r="N3092" s="91" t="s">
        <v>4250</v>
      </c>
    </row>
    <row r="3093" spans="1:14" x14ac:dyDescent="0.25">
      <c r="A3093" s="91" t="s">
        <v>1316</v>
      </c>
      <c r="B3093" s="91" t="s">
        <v>1330</v>
      </c>
      <c r="C3093" s="91" t="s">
        <v>4258</v>
      </c>
      <c r="D3093" s="91" t="s">
        <v>28</v>
      </c>
      <c r="E3093" s="91"/>
      <c r="F3093">
        <v>49</v>
      </c>
      <c r="G3093" t="s">
        <v>1419</v>
      </c>
      <c r="H3093" s="89">
        <v>46230</v>
      </c>
      <c r="I3093" s="89">
        <v>46232</v>
      </c>
      <c r="J3093" s="91" t="s">
        <v>3549</v>
      </c>
      <c r="K3093" s="91"/>
      <c r="M3093" s="91"/>
      <c r="N3093" s="91" t="s">
        <v>4250</v>
      </c>
    </row>
    <row r="3094" spans="1:14" x14ac:dyDescent="0.25">
      <c r="A3094" s="91" t="s">
        <v>1317</v>
      </c>
      <c r="B3094" s="91" t="s">
        <v>1331</v>
      </c>
      <c r="C3094" s="91" t="s">
        <v>4259</v>
      </c>
      <c r="D3094" s="91" t="s">
        <v>28</v>
      </c>
      <c r="E3094" s="91"/>
      <c r="F3094">
        <v>20</v>
      </c>
      <c r="G3094" t="s">
        <v>1419</v>
      </c>
      <c r="H3094" s="89">
        <v>46230</v>
      </c>
      <c r="I3094" s="89">
        <v>46232</v>
      </c>
      <c r="J3094" s="91" t="s">
        <v>3549</v>
      </c>
      <c r="K3094" s="91"/>
      <c r="M3094" s="91"/>
      <c r="N3094" s="91" t="s">
        <v>4250</v>
      </c>
    </row>
    <row r="3095" spans="1:14" x14ac:dyDescent="0.25">
      <c r="A3095" s="91" t="s">
        <v>1318</v>
      </c>
      <c r="B3095" s="91" t="s">
        <v>1332</v>
      </c>
      <c r="C3095" s="91" t="s">
        <v>4260</v>
      </c>
      <c r="D3095" s="91" t="s">
        <v>28</v>
      </c>
      <c r="E3095" s="91"/>
      <c r="F3095">
        <v>43</v>
      </c>
      <c r="G3095" t="s">
        <v>1419</v>
      </c>
      <c r="H3095" s="89">
        <v>46230</v>
      </c>
      <c r="I3095" s="89">
        <v>46232</v>
      </c>
      <c r="J3095" s="91" t="s">
        <v>3549</v>
      </c>
      <c r="K3095" s="91"/>
      <c r="M3095" s="91"/>
      <c r="N3095" s="91" t="s">
        <v>4250</v>
      </c>
    </row>
    <row r="3096" spans="1:14" x14ac:dyDescent="0.25">
      <c r="A3096" s="91" t="s">
        <v>1320</v>
      </c>
      <c r="B3096" s="91" t="s">
        <v>1334</v>
      </c>
      <c r="C3096" s="91" t="s">
        <v>4261</v>
      </c>
      <c r="D3096" s="91" t="s">
        <v>20</v>
      </c>
      <c r="E3096" s="91"/>
      <c r="F3096">
        <v>960</v>
      </c>
      <c r="G3096">
        <v>20</v>
      </c>
      <c r="H3096" s="89">
        <v>46230</v>
      </c>
      <c r="I3096" s="89">
        <v>46234</v>
      </c>
      <c r="J3096" s="91" t="s">
        <v>4262</v>
      </c>
      <c r="K3096" s="91"/>
      <c r="M3096" s="91"/>
      <c r="N3096" s="91" t="s">
        <v>4250</v>
      </c>
    </row>
    <row r="3097" spans="1:14" x14ac:dyDescent="0.25">
      <c r="A3097" s="91" t="s">
        <v>1315</v>
      </c>
      <c r="B3097" s="91" t="s">
        <v>1329</v>
      </c>
      <c r="C3097" s="91" t="s">
        <v>4261</v>
      </c>
      <c r="D3097" s="91" t="s">
        <v>20</v>
      </c>
      <c r="E3097" s="91"/>
      <c r="F3097">
        <v>184</v>
      </c>
      <c r="G3097" t="s">
        <v>1419</v>
      </c>
      <c r="H3097" s="89">
        <v>46230</v>
      </c>
      <c r="I3097" s="89">
        <v>46232</v>
      </c>
      <c r="J3097" s="91" t="s">
        <v>3549</v>
      </c>
      <c r="K3097" s="91"/>
      <c r="M3097" s="91"/>
      <c r="N3097" s="91" t="s">
        <v>4250</v>
      </c>
    </row>
    <row r="3098" spans="1:14" x14ac:dyDescent="0.25">
      <c r="A3098" s="91" t="s">
        <v>1316</v>
      </c>
      <c r="B3098" s="91" t="s">
        <v>1330</v>
      </c>
      <c r="C3098" s="91" t="s">
        <v>4263</v>
      </c>
      <c r="D3098" s="91" t="s">
        <v>20</v>
      </c>
      <c r="E3098" s="91"/>
      <c r="F3098">
        <v>228</v>
      </c>
      <c r="G3098" t="s">
        <v>1419</v>
      </c>
      <c r="H3098" s="89">
        <v>46230</v>
      </c>
      <c r="I3098" s="89">
        <v>46232</v>
      </c>
      <c r="J3098" s="91" t="s">
        <v>3549</v>
      </c>
      <c r="K3098" s="91"/>
      <c r="M3098" s="91"/>
      <c r="N3098" s="91" t="s">
        <v>4250</v>
      </c>
    </row>
    <row r="3099" spans="1:14" x14ac:dyDescent="0.25">
      <c r="A3099" s="91" t="s">
        <v>1317</v>
      </c>
      <c r="B3099" s="91" t="s">
        <v>1331</v>
      </c>
      <c r="C3099" s="91" t="s">
        <v>4264</v>
      </c>
      <c r="D3099" s="91" t="s">
        <v>20</v>
      </c>
      <c r="E3099" s="91"/>
      <c r="F3099">
        <v>28</v>
      </c>
      <c r="G3099" t="s">
        <v>1419</v>
      </c>
      <c r="H3099" s="89">
        <v>46230</v>
      </c>
      <c r="I3099" s="89">
        <v>46232</v>
      </c>
      <c r="J3099" s="91" t="s">
        <v>3549</v>
      </c>
      <c r="K3099" s="91"/>
      <c r="M3099" s="91"/>
      <c r="N3099" s="91" t="s">
        <v>4250</v>
      </c>
    </row>
    <row r="3100" spans="1:14" x14ac:dyDescent="0.25">
      <c r="A3100" s="91" t="s">
        <v>1318</v>
      </c>
      <c r="B3100" s="91" t="s">
        <v>1332</v>
      </c>
      <c r="C3100" s="91" t="s">
        <v>4265</v>
      </c>
      <c r="D3100" s="91" t="s">
        <v>20</v>
      </c>
      <c r="E3100" s="91"/>
      <c r="F3100">
        <v>69</v>
      </c>
      <c r="G3100" t="s">
        <v>1419</v>
      </c>
      <c r="H3100" s="89">
        <v>46230</v>
      </c>
      <c r="I3100" s="89">
        <v>46232</v>
      </c>
      <c r="J3100" s="91" t="s">
        <v>3549</v>
      </c>
      <c r="K3100" s="91"/>
      <c r="M3100" s="91"/>
      <c r="N3100" s="91" t="s">
        <v>4250</v>
      </c>
    </row>
    <row r="3101" spans="1:14" x14ac:dyDescent="0.25">
      <c r="A3101" s="91" t="s">
        <v>1324</v>
      </c>
      <c r="B3101" s="91" t="s">
        <v>1338</v>
      </c>
      <c r="C3101" s="91" t="s">
        <v>4266</v>
      </c>
      <c r="D3101" s="91" t="s">
        <v>152</v>
      </c>
      <c r="E3101" s="91"/>
      <c r="F3101">
        <v>240</v>
      </c>
      <c r="G3101">
        <v>5</v>
      </c>
      <c r="H3101" s="89">
        <v>46231</v>
      </c>
      <c r="I3101" s="89">
        <v>46237</v>
      </c>
      <c r="J3101" s="91" t="s">
        <v>4249</v>
      </c>
      <c r="K3101" s="91"/>
      <c r="M3101" s="91"/>
      <c r="N3101" s="91" t="s">
        <v>4250</v>
      </c>
    </row>
    <row r="3102" spans="1:14" x14ac:dyDescent="0.25">
      <c r="A3102" s="91" t="s">
        <v>1320</v>
      </c>
      <c r="B3102" s="91" t="s">
        <v>1334</v>
      </c>
      <c r="C3102" s="91" t="s">
        <v>4267</v>
      </c>
      <c r="D3102" s="91" t="s">
        <v>23</v>
      </c>
      <c r="E3102" s="91"/>
      <c r="F3102">
        <v>960</v>
      </c>
      <c r="G3102">
        <v>20</v>
      </c>
      <c r="H3102" s="89">
        <v>46231</v>
      </c>
      <c r="I3102" s="89">
        <v>46235</v>
      </c>
      <c r="J3102" s="91" t="s">
        <v>4268</v>
      </c>
      <c r="K3102" s="91"/>
      <c r="M3102" s="91"/>
      <c r="N3102" s="91" t="s">
        <v>4250</v>
      </c>
    </row>
    <row r="3103" spans="1:14" x14ac:dyDescent="0.25">
      <c r="A3103" s="91" t="s">
        <v>1320</v>
      </c>
      <c r="B3103" s="91" t="s">
        <v>1334</v>
      </c>
      <c r="C3103" s="91" t="s">
        <v>4269</v>
      </c>
      <c r="D3103" s="91" t="s">
        <v>150</v>
      </c>
      <c r="E3103" s="91"/>
      <c r="F3103">
        <v>960</v>
      </c>
      <c r="G3103">
        <v>20</v>
      </c>
      <c r="H3103" s="89">
        <v>46231</v>
      </c>
      <c r="I3103" s="89">
        <v>46234</v>
      </c>
      <c r="J3103" s="91" t="s">
        <v>4270</v>
      </c>
      <c r="K3103" s="91"/>
      <c r="M3103" s="91"/>
      <c r="N3103" s="91" t="s">
        <v>4250</v>
      </c>
    </row>
    <row r="3104" spans="1:14" x14ac:dyDescent="0.25">
      <c r="A3104" s="91" t="s">
        <v>1313</v>
      </c>
      <c r="B3104" s="91" t="s">
        <v>1327</v>
      </c>
      <c r="C3104" s="91" t="s">
        <v>4271</v>
      </c>
      <c r="D3104" s="91" t="s">
        <v>15</v>
      </c>
      <c r="E3104" s="91"/>
      <c r="F3104">
        <v>864</v>
      </c>
      <c r="G3104">
        <v>18</v>
      </c>
      <c r="H3104" s="89">
        <v>46231</v>
      </c>
      <c r="I3104" s="89">
        <v>46234</v>
      </c>
      <c r="J3104" s="91" t="s">
        <v>4253</v>
      </c>
      <c r="K3104" s="91"/>
      <c r="M3104" s="91"/>
      <c r="N3104" s="91" t="s">
        <v>4250</v>
      </c>
    </row>
    <row r="3105" spans="1:14" x14ac:dyDescent="0.25">
      <c r="A3105" s="91" t="s">
        <v>1314</v>
      </c>
      <c r="B3105" s="91" t="s">
        <v>1328</v>
      </c>
      <c r="C3105" s="91" t="s">
        <v>4271</v>
      </c>
      <c r="D3105" s="91" t="s">
        <v>15</v>
      </c>
      <c r="E3105" s="91"/>
      <c r="F3105">
        <v>240</v>
      </c>
      <c r="G3105">
        <v>5</v>
      </c>
      <c r="H3105" s="89">
        <v>46231</v>
      </c>
      <c r="I3105" s="89">
        <v>46235</v>
      </c>
      <c r="J3105" s="91" t="s">
        <v>4272</v>
      </c>
      <c r="K3105" s="91"/>
      <c r="M3105" s="91"/>
      <c r="N3105" s="91" t="s">
        <v>4250</v>
      </c>
    </row>
    <row r="3106" spans="1:14" x14ac:dyDescent="0.25">
      <c r="A3106" s="91" t="s">
        <v>1313</v>
      </c>
      <c r="B3106" s="91" t="s">
        <v>1327</v>
      </c>
      <c r="C3106" s="91" t="s">
        <v>4271</v>
      </c>
      <c r="D3106" s="91" t="s">
        <v>15</v>
      </c>
      <c r="E3106" s="91"/>
      <c r="F3106">
        <v>48</v>
      </c>
      <c r="G3106">
        <v>1</v>
      </c>
      <c r="H3106" s="89">
        <v>46231</v>
      </c>
      <c r="I3106" s="89">
        <v>46235</v>
      </c>
      <c r="J3106" s="91" t="s">
        <v>4273</v>
      </c>
      <c r="K3106" s="91"/>
      <c r="M3106" s="91"/>
      <c r="N3106" s="91" t="s">
        <v>4250</v>
      </c>
    </row>
    <row r="3107" spans="1:14" x14ac:dyDescent="0.25">
      <c r="A3107" s="91" t="s">
        <v>1315</v>
      </c>
      <c r="B3107" s="91" t="s">
        <v>1329</v>
      </c>
      <c r="C3107" s="91" t="s">
        <v>4271</v>
      </c>
      <c r="D3107" s="91" t="s">
        <v>15</v>
      </c>
      <c r="E3107" s="91"/>
      <c r="F3107">
        <v>2</v>
      </c>
      <c r="G3107" t="s">
        <v>1419</v>
      </c>
      <c r="H3107" s="89">
        <v>46231</v>
      </c>
      <c r="I3107" s="89">
        <v>46233</v>
      </c>
      <c r="J3107" s="91" t="s">
        <v>3549</v>
      </c>
      <c r="K3107" s="91"/>
      <c r="M3107" s="91"/>
      <c r="N3107" s="91" t="s">
        <v>4250</v>
      </c>
    </row>
    <row r="3108" spans="1:14" x14ac:dyDescent="0.25">
      <c r="A3108" s="91" t="s">
        <v>1316</v>
      </c>
      <c r="B3108" s="91" t="s">
        <v>1330</v>
      </c>
      <c r="C3108" s="91" t="s">
        <v>4274</v>
      </c>
      <c r="D3108" s="91" t="s">
        <v>15</v>
      </c>
      <c r="E3108" s="91"/>
      <c r="F3108">
        <v>43</v>
      </c>
      <c r="G3108" t="s">
        <v>1419</v>
      </c>
      <c r="H3108" s="89">
        <v>46231</v>
      </c>
      <c r="I3108" s="89">
        <v>46233</v>
      </c>
      <c r="J3108" s="91" t="s">
        <v>3549</v>
      </c>
      <c r="K3108" s="91"/>
      <c r="M3108" s="91"/>
      <c r="N3108" s="91" t="s">
        <v>4250</v>
      </c>
    </row>
    <row r="3109" spans="1:14" x14ac:dyDescent="0.25">
      <c r="A3109" s="91" t="s">
        <v>1317</v>
      </c>
      <c r="B3109" s="91" t="s">
        <v>1331</v>
      </c>
      <c r="C3109" s="91" t="s">
        <v>4275</v>
      </c>
      <c r="D3109" s="91" t="s">
        <v>15</v>
      </c>
      <c r="E3109" s="91"/>
      <c r="F3109">
        <v>41</v>
      </c>
      <c r="G3109" t="s">
        <v>1419</v>
      </c>
      <c r="H3109" s="89">
        <v>46231</v>
      </c>
      <c r="I3109" s="89">
        <v>46233</v>
      </c>
      <c r="J3109" s="91" t="s">
        <v>3549</v>
      </c>
      <c r="K3109" s="91"/>
      <c r="M3109" s="91"/>
      <c r="N3109" s="91" t="s">
        <v>4250</v>
      </c>
    </row>
    <row r="3110" spans="1:14" x14ac:dyDescent="0.25">
      <c r="A3110" s="91" t="s">
        <v>1318</v>
      </c>
      <c r="B3110" s="91" t="s">
        <v>1332</v>
      </c>
      <c r="C3110" s="91" t="s">
        <v>4276</v>
      </c>
      <c r="D3110" s="91" t="s">
        <v>15</v>
      </c>
      <c r="E3110" s="91"/>
      <c r="F3110">
        <v>30</v>
      </c>
      <c r="G3110" t="s">
        <v>1419</v>
      </c>
      <c r="H3110" s="89">
        <v>46231</v>
      </c>
      <c r="I3110" s="89">
        <v>46233</v>
      </c>
      <c r="J3110" s="91" t="s">
        <v>3549</v>
      </c>
      <c r="K3110" s="91"/>
      <c r="M3110" s="91"/>
      <c r="N3110" s="91" t="s">
        <v>4250</v>
      </c>
    </row>
    <row r="3111" spans="1:14" x14ac:dyDescent="0.25">
      <c r="A3111" s="91" t="s">
        <v>1322</v>
      </c>
      <c r="B3111" s="91" t="s">
        <v>1336</v>
      </c>
      <c r="C3111" s="91" t="s">
        <v>4277</v>
      </c>
      <c r="D3111" s="91" t="s">
        <v>20</v>
      </c>
      <c r="E3111" s="91"/>
      <c r="F3111">
        <v>324</v>
      </c>
      <c r="G3111">
        <v>6</v>
      </c>
      <c r="H3111" s="89">
        <v>46231</v>
      </c>
      <c r="I3111" s="89">
        <v>46235</v>
      </c>
      <c r="J3111" s="91" t="s">
        <v>4278</v>
      </c>
      <c r="K3111" s="91"/>
      <c r="M3111" s="91"/>
      <c r="N3111" s="91" t="s">
        <v>4250</v>
      </c>
    </row>
    <row r="3112" spans="1:14" x14ac:dyDescent="0.25">
      <c r="A3112" s="91" t="s">
        <v>1323</v>
      </c>
      <c r="B3112" s="91" t="s">
        <v>1337</v>
      </c>
      <c r="C3112" s="91" t="s">
        <v>4277</v>
      </c>
      <c r="D3112" s="91" t="s">
        <v>20</v>
      </c>
      <c r="E3112" s="91"/>
      <c r="F3112">
        <v>756</v>
      </c>
      <c r="G3112">
        <v>14</v>
      </c>
      <c r="H3112" s="89">
        <v>46231</v>
      </c>
      <c r="I3112" s="89">
        <v>46235</v>
      </c>
      <c r="J3112" s="91" t="s">
        <v>4278</v>
      </c>
      <c r="K3112" s="91"/>
      <c r="M3112" s="91"/>
      <c r="N3112" s="91" t="s">
        <v>4250</v>
      </c>
    </row>
    <row r="3113" spans="1:14" x14ac:dyDescent="0.25">
      <c r="A3113" s="91" t="s">
        <v>1313</v>
      </c>
      <c r="B3113" s="91" t="s">
        <v>1327</v>
      </c>
      <c r="C3113" s="91" t="s">
        <v>4277</v>
      </c>
      <c r="D3113" s="91" t="s">
        <v>20</v>
      </c>
      <c r="E3113" s="91"/>
      <c r="F3113">
        <v>144</v>
      </c>
      <c r="G3113">
        <v>3</v>
      </c>
      <c r="H3113" s="89">
        <v>46231</v>
      </c>
      <c r="I3113" s="89">
        <v>46233</v>
      </c>
      <c r="J3113" s="91" t="s">
        <v>3549</v>
      </c>
      <c r="K3113" s="91"/>
      <c r="M3113" s="91"/>
      <c r="N3113" s="91" t="s">
        <v>4250</v>
      </c>
    </row>
    <row r="3114" spans="1:14" x14ac:dyDescent="0.25">
      <c r="A3114" s="91" t="s">
        <v>1315</v>
      </c>
      <c r="B3114" s="91" t="s">
        <v>1329</v>
      </c>
      <c r="C3114" s="91" t="s">
        <v>4277</v>
      </c>
      <c r="D3114" s="91" t="s">
        <v>20</v>
      </c>
      <c r="E3114" s="91"/>
      <c r="F3114">
        <v>21</v>
      </c>
      <c r="G3114" t="s">
        <v>1419</v>
      </c>
      <c r="H3114" s="89">
        <v>46231</v>
      </c>
      <c r="I3114" s="89">
        <v>46233</v>
      </c>
      <c r="J3114" s="91" t="s">
        <v>3549</v>
      </c>
      <c r="K3114" s="91"/>
      <c r="M3114" s="91"/>
      <c r="N3114" s="91" t="s">
        <v>4250</v>
      </c>
    </row>
    <row r="3115" spans="1:14" x14ac:dyDescent="0.25">
      <c r="A3115" s="91" t="s">
        <v>1316</v>
      </c>
      <c r="B3115" s="91" t="s">
        <v>1330</v>
      </c>
      <c r="C3115" s="91" t="s">
        <v>4279</v>
      </c>
      <c r="D3115" s="91" t="s">
        <v>20</v>
      </c>
      <c r="E3115" s="91"/>
      <c r="F3115">
        <v>155</v>
      </c>
      <c r="G3115" t="s">
        <v>1419</v>
      </c>
      <c r="H3115" s="89">
        <v>46231</v>
      </c>
      <c r="I3115" s="89">
        <v>46233</v>
      </c>
      <c r="J3115" s="91" t="s">
        <v>3549</v>
      </c>
      <c r="K3115" s="91"/>
      <c r="M3115" s="91"/>
      <c r="N3115" s="91" t="s">
        <v>4250</v>
      </c>
    </row>
    <row r="3116" spans="1:14" x14ac:dyDescent="0.25">
      <c r="A3116" s="91" t="s">
        <v>1317</v>
      </c>
      <c r="B3116" s="91" t="s">
        <v>1331</v>
      </c>
      <c r="C3116" s="91" t="s">
        <v>4280</v>
      </c>
      <c r="D3116" s="91" t="s">
        <v>20</v>
      </c>
      <c r="E3116" s="91"/>
      <c r="F3116">
        <v>20</v>
      </c>
      <c r="G3116" t="s">
        <v>1419</v>
      </c>
      <c r="H3116" s="89">
        <v>46231</v>
      </c>
      <c r="I3116" s="89">
        <v>46233</v>
      </c>
      <c r="J3116" s="91" t="s">
        <v>3549</v>
      </c>
      <c r="K3116" s="91"/>
      <c r="M3116" s="91"/>
      <c r="N3116" s="91" t="s">
        <v>4250</v>
      </c>
    </row>
    <row r="3117" spans="1:14" x14ac:dyDescent="0.25">
      <c r="A3117" s="91" t="s">
        <v>1318</v>
      </c>
      <c r="B3117" s="91" t="s">
        <v>1332</v>
      </c>
      <c r="C3117" s="91" t="s">
        <v>4281</v>
      </c>
      <c r="D3117" s="91" t="s">
        <v>20</v>
      </c>
      <c r="E3117" s="91"/>
      <c r="F3117">
        <v>76</v>
      </c>
      <c r="G3117" t="s">
        <v>1419</v>
      </c>
      <c r="H3117" s="89">
        <v>46231</v>
      </c>
      <c r="I3117" s="89">
        <v>46233</v>
      </c>
      <c r="J3117" s="91" t="s">
        <v>3549</v>
      </c>
      <c r="K3117" s="91"/>
      <c r="M3117" s="91"/>
      <c r="N3117" s="91" t="s">
        <v>4250</v>
      </c>
    </row>
    <row r="3118" spans="1:14" x14ac:dyDescent="0.25">
      <c r="A3118" s="91" t="s">
        <v>1320</v>
      </c>
      <c r="B3118" s="91" t="s">
        <v>1334</v>
      </c>
      <c r="C3118" s="91" t="s">
        <v>4282</v>
      </c>
      <c r="D3118" s="91" t="s">
        <v>21</v>
      </c>
      <c r="E3118" s="91"/>
      <c r="F3118">
        <v>960</v>
      </c>
      <c r="G3118">
        <v>20</v>
      </c>
      <c r="H3118" s="89">
        <v>46231</v>
      </c>
      <c r="I3118" s="89">
        <v>46235</v>
      </c>
      <c r="J3118" s="91" t="s">
        <v>4283</v>
      </c>
      <c r="K3118" s="91"/>
      <c r="M3118" s="91"/>
      <c r="N3118" s="91" t="s">
        <v>4250</v>
      </c>
    </row>
    <row r="3119" spans="1:14" x14ac:dyDescent="0.25">
      <c r="A3119" s="91" t="s">
        <v>1313</v>
      </c>
      <c r="B3119" s="91" t="s">
        <v>1327</v>
      </c>
      <c r="C3119" s="91" t="s">
        <v>4282</v>
      </c>
      <c r="D3119" s="91" t="s">
        <v>21</v>
      </c>
      <c r="E3119" s="91"/>
      <c r="F3119">
        <v>576</v>
      </c>
      <c r="G3119">
        <v>12</v>
      </c>
      <c r="H3119" s="89">
        <v>46231</v>
      </c>
      <c r="I3119" s="89">
        <v>46233</v>
      </c>
      <c r="J3119" s="91" t="s">
        <v>3549</v>
      </c>
      <c r="K3119" s="91"/>
      <c r="M3119" s="91"/>
      <c r="N3119" s="91" t="s">
        <v>4250</v>
      </c>
    </row>
    <row r="3120" spans="1:14" x14ac:dyDescent="0.25">
      <c r="A3120" s="91" t="s">
        <v>1315</v>
      </c>
      <c r="B3120" s="91" t="s">
        <v>1329</v>
      </c>
      <c r="C3120" s="91" t="s">
        <v>4282</v>
      </c>
      <c r="D3120" s="91" t="s">
        <v>21</v>
      </c>
      <c r="E3120" s="91"/>
      <c r="F3120">
        <v>50</v>
      </c>
      <c r="G3120" t="s">
        <v>1419</v>
      </c>
      <c r="H3120" s="89">
        <v>46231</v>
      </c>
      <c r="I3120" s="89">
        <v>46233</v>
      </c>
      <c r="J3120" s="91" t="s">
        <v>3549</v>
      </c>
      <c r="K3120" s="91"/>
      <c r="M3120" s="91"/>
      <c r="N3120" s="91" t="s">
        <v>4250</v>
      </c>
    </row>
    <row r="3121" spans="1:14" x14ac:dyDescent="0.25">
      <c r="A3121" s="91" t="s">
        <v>1316</v>
      </c>
      <c r="B3121" s="91" t="s">
        <v>1330</v>
      </c>
      <c r="C3121" s="91" t="s">
        <v>4284</v>
      </c>
      <c r="D3121" s="91" t="s">
        <v>21</v>
      </c>
      <c r="E3121" s="91"/>
      <c r="F3121">
        <v>30</v>
      </c>
      <c r="G3121" t="s">
        <v>1419</v>
      </c>
      <c r="H3121" s="89">
        <v>46231</v>
      </c>
      <c r="I3121" s="89">
        <v>46233</v>
      </c>
      <c r="J3121" s="91" t="s">
        <v>3549</v>
      </c>
      <c r="K3121" s="91"/>
      <c r="M3121" s="91"/>
      <c r="N3121" s="91" t="s">
        <v>4250</v>
      </c>
    </row>
    <row r="3122" spans="1:14" x14ac:dyDescent="0.25">
      <c r="A3122" s="91" t="s">
        <v>1317</v>
      </c>
      <c r="B3122" s="91" t="s">
        <v>1331</v>
      </c>
      <c r="C3122" s="91" t="s">
        <v>4285</v>
      </c>
      <c r="D3122" s="91" t="s">
        <v>21</v>
      </c>
      <c r="E3122" s="91"/>
      <c r="F3122">
        <v>14</v>
      </c>
      <c r="G3122" t="s">
        <v>1419</v>
      </c>
      <c r="H3122" s="89">
        <v>46231</v>
      </c>
      <c r="I3122" s="89">
        <v>46233</v>
      </c>
      <c r="J3122" s="91" t="s">
        <v>3549</v>
      </c>
      <c r="K3122" s="91"/>
      <c r="M3122" s="91"/>
      <c r="N3122" s="91" t="s">
        <v>4250</v>
      </c>
    </row>
    <row r="3123" spans="1:14" x14ac:dyDescent="0.25">
      <c r="A3123" s="91" t="s">
        <v>1318</v>
      </c>
      <c r="B3123" s="91" t="s">
        <v>1332</v>
      </c>
      <c r="C3123" s="91" t="s">
        <v>4286</v>
      </c>
      <c r="D3123" s="91" t="s">
        <v>21</v>
      </c>
      <c r="E3123" s="91"/>
      <c r="F3123">
        <v>72</v>
      </c>
      <c r="G3123" t="s">
        <v>1419</v>
      </c>
      <c r="H3123" s="89">
        <v>46231</v>
      </c>
      <c r="I3123" s="89">
        <v>46233</v>
      </c>
      <c r="J3123" s="91" t="s">
        <v>3549</v>
      </c>
      <c r="K3123" s="91"/>
      <c r="M3123" s="91"/>
      <c r="N3123" s="91" t="s">
        <v>4250</v>
      </c>
    </row>
    <row r="3124" spans="1:14" x14ac:dyDescent="0.25">
      <c r="A3124" s="91" t="s">
        <v>1320</v>
      </c>
      <c r="B3124" s="91" t="s">
        <v>1334</v>
      </c>
      <c r="C3124" s="91" t="s">
        <v>4287</v>
      </c>
      <c r="D3124" s="91" t="s">
        <v>23</v>
      </c>
      <c r="E3124" s="91"/>
      <c r="F3124">
        <v>720</v>
      </c>
      <c r="G3124">
        <v>15</v>
      </c>
      <c r="H3124" s="89">
        <v>46232</v>
      </c>
      <c r="I3124" s="89">
        <v>46237</v>
      </c>
      <c r="J3124" s="91" t="s">
        <v>4288</v>
      </c>
      <c r="K3124" s="91"/>
      <c r="M3124" s="91"/>
      <c r="N3124" s="91" t="s">
        <v>4250</v>
      </c>
    </row>
    <row r="3125" spans="1:14" x14ac:dyDescent="0.25">
      <c r="A3125" s="91" t="s">
        <v>1321</v>
      </c>
      <c r="B3125" s="91" t="s">
        <v>1335</v>
      </c>
      <c r="C3125" s="91" t="s">
        <v>4289</v>
      </c>
      <c r="D3125" s="91" t="s">
        <v>4290</v>
      </c>
      <c r="E3125" s="91"/>
      <c r="F3125">
        <v>144</v>
      </c>
      <c r="G3125">
        <v>3</v>
      </c>
      <c r="H3125" s="89">
        <v>46232</v>
      </c>
      <c r="I3125" s="89">
        <v>46237</v>
      </c>
      <c r="J3125" s="91" t="s">
        <v>4249</v>
      </c>
      <c r="K3125" s="91"/>
      <c r="M3125" s="91"/>
      <c r="N3125" s="91" t="s">
        <v>4250</v>
      </c>
    </row>
    <row r="3126" spans="1:14" x14ac:dyDescent="0.25">
      <c r="A3126" s="91" t="s">
        <v>1321</v>
      </c>
      <c r="B3126" s="91" t="s">
        <v>1335</v>
      </c>
      <c r="C3126" s="91" t="s">
        <v>4289</v>
      </c>
      <c r="D3126" s="91" t="s">
        <v>4290</v>
      </c>
      <c r="E3126" s="91"/>
      <c r="F3126">
        <v>96</v>
      </c>
      <c r="G3126">
        <v>2</v>
      </c>
      <c r="H3126" s="89">
        <v>46232</v>
      </c>
      <c r="I3126" s="89">
        <v>46234</v>
      </c>
      <c r="J3126" s="91" t="s">
        <v>3549</v>
      </c>
      <c r="K3126" s="91"/>
      <c r="M3126" s="91"/>
      <c r="N3126" s="91" t="s">
        <v>4250</v>
      </c>
    </row>
    <row r="3127" spans="1:14" x14ac:dyDescent="0.25">
      <c r="A3127" s="91" t="s">
        <v>1324</v>
      </c>
      <c r="B3127" s="91" t="s">
        <v>1338</v>
      </c>
      <c r="C3127" s="91" t="s">
        <v>4291</v>
      </c>
      <c r="D3127" s="91" t="s">
        <v>119</v>
      </c>
      <c r="E3127" s="91"/>
      <c r="F3127">
        <v>960</v>
      </c>
      <c r="G3127">
        <v>20</v>
      </c>
      <c r="H3127" s="89">
        <v>46232</v>
      </c>
      <c r="I3127" s="89">
        <v>46237</v>
      </c>
      <c r="J3127" s="91" t="s">
        <v>4292</v>
      </c>
      <c r="K3127" s="91"/>
      <c r="M3127" s="91"/>
      <c r="N3127" s="91" t="s">
        <v>4250</v>
      </c>
    </row>
    <row r="3128" spans="1:14" x14ac:dyDescent="0.25">
      <c r="A3128" s="91" t="s">
        <v>1313</v>
      </c>
      <c r="B3128" s="91" t="s">
        <v>1327</v>
      </c>
      <c r="C3128" s="91" t="s">
        <v>4293</v>
      </c>
      <c r="D3128" s="91" t="s">
        <v>20</v>
      </c>
      <c r="E3128" s="91"/>
      <c r="F3128">
        <v>1056</v>
      </c>
      <c r="G3128">
        <v>22</v>
      </c>
      <c r="H3128" s="89">
        <v>46232</v>
      </c>
      <c r="I3128" s="89">
        <v>46237</v>
      </c>
      <c r="J3128" s="91" t="s">
        <v>4294</v>
      </c>
      <c r="K3128" s="91"/>
      <c r="M3128" s="91"/>
      <c r="N3128" s="91" t="s">
        <v>4250</v>
      </c>
    </row>
    <row r="3129" spans="1:14" x14ac:dyDescent="0.25">
      <c r="A3129" s="91" t="s">
        <v>1313</v>
      </c>
      <c r="B3129" s="91" t="s">
        <v>1327</v>
      </c>
      <c r="C3129" s="91" t="s">
        <v>4293</v>
      </c>
      <c r="D3129" s="91" t="s">
        <v>20</v>
      </c>
      <c r="E3129" s="91"/>
      <c r="F3129">
        <v>48</v>
      </c>
      <c r="G3129">
        <v>3</v>
      </c>
      <c r="H3129" s="89">
        <v>46232</v>
      </c>
      <c r="I3129" s="89">
        <v>46234</v>
      </c>
      <c r="J3129" s="91" t="s">
        <v>3549</v>
      </c>
      <c r="K3129" s="91"/>
      <c r="M3129" s="91"/>
      <c r="N3129" s="91" t="s">
        <v>4250</v>
      </c>
    </row>
    <row r="3130" spans="1:14" x14ac:dyDescent="0.25">
      <c r="A3130" s="91" t="s">
        <v>1315</v>
      </c>
      <c r="B3130" s="91" t="s">
        <v>1329</v>
      </c>
      <c r="C3130" s="91" t="s">
        <v>4293</v>
      </c>
      <c r="D3130" s="91" t="s">
        <v>20</v>
      </c>
      <c r="E3130" s="91"/>
      <c r="F3130">
        <v>35</v>
      </c>
      <c r="G3130" t="s">
        <v>1419</v>
      </c>
      <c r="H3130" s="89">
        <v>46232</v>
      </c>
      <c r="I3130" s="89">
        <v>46234</v>
      </c>
      <c r="J3130" s="91" t="s">
        <v>3549</v>
      </c>
      <c r="K3130" s="91"/>
      <c r="M3130" s="91"/>
      <c r="N3130" s="91" t="s">
        <v>4250</v>
      </c>
    </row>
    <row r="3131" spans="1:14" x14ac:dyDescent="0.25">
      <c r="A3131" s="91" t="s">
        <v>1316</v>
      </c>
      <c r="B3131" s="91" t="s">
        <v>1330</v>
      </c>
      <c r="C3131" s="91" t="s">
        <v>4295</v>
      </c>
      <c r="D3131" s="91" t="s">
        <v>20</v>
      </c>
      <c r="E3131" s="91"/>
      <c r="F3131">
        <v>233</v>
      </c>
      <c r="G3131" t="s">
        <v>1419</v>
      </c>
      <c r="H3131" s="89">
        <v>46232</v>
      </c>
      <c r="I3131" s="89">
        <v>46234</v>
      </c>
      <c r="J3131" s="91" t="s">
        <v>3549</v>
      </c>
      <c r="K3131" s="91"/>
      <c r="M3131" s="91"/>
      <c r="N3131" s="91" t="s">
        <v>4250</v>
      </c>
    </row>
    <row r="3132" spans="1:14" x14ac:dyDescent="0.25">
      <c r="A3132" s="91" t="s">
        <v>1317</v>
      </c>
      <c r="B3132" s="91" t="s">
        <v>1331</v>
      </c>
      <c r="C3132" s="91" t="s">
        <v>4296</v>
      </c>
      <c r="D3132" s="91" t="s">
        <v>20</v>
      </c>
      <c r="E3132" s="91"/>
      <c r="F3132">
        <v>59</v>
      </c>
      <c r="G3132" t="s">
        <v>1419</v>
      </c>
      <c r="H3132" s="89">
        <v>46232</v>
      </c>
      <c r="I3132" s="89">
        <v>46234</v>
      </c>
      <c r="J3132" s="91" t="s">
        <v>3549</v>
      </c>
      <c r="K3132" s="91"/>
      <c r="M3132" s="91"/>
      <c r="N3132" s="91" t="s">
        <v>4250</v>
      </c>
    </row>
    <row r="3133" spans="1:14" x14ac:dyDescent="0.25">
      <c r="A3133" s="91" t="s">
        <v>1318</v>
      </c>
      <c r="B3133" s="91" t="s">
        <v>1332</v>
      </c>
      <c r="C3133" s="91" t="s">
        <v>4297</v>
      </c>
      <c r="D3133" s="91" t="s">
        <v>20</v>
      </c>
      <c r="E3133" s="91"/>
      <c r="F3133">
        <v>75</v>
      </c>
      <c r="G3133" t="s">
        <v>1419</v>
      </c>
      <c r="H3133" s="89">
        <v>46232</v>
      </c>
      <c r="I3133" s="89">
        <v>46234</v>
      </c>
      <c r="J3133" s="91" t="s">
        <v>3549</v>
      </c>
      <c r="K3133" s="91"/>
      <c r="M3133" s="91"/>
      <c r="N3133" s="91" t="s">
        <v>4250</v>
      </c>
    </row>
    <row r="3134" spans="1:14" x14ac:dyDescent="0.25">
      <c r="A3134" s="91" t="s">
        <v>1313</v>
      </c>
      <c r="B3134" s="91" t="s">
        <v>1327</v>
      </c>
      <c r="C3134" s="91" t="s">
        <v>4298</v>
      </c>
      <c r="D3134" s="91" t="s">
        <v>15</v>
      </c>
      <c r="E3134" s="91"/>
      <c r="F3134">
        <v>864</v>
      </c>
      <c r="G3134">
        <v>18</v>
      </c>
      <c r="H3134" s="89">
        <v>46232</v>
      </c>
      <c r="I3134" s="89">
        <v>46235</v>
      </c>
      <c r="J3134" s="91" t="s">
        <v>4273</v>
      </c>
      <c r="K3134" s="91"/>
      <c r="M3134" s="91"/>
      <c r="N3134" s="91" t="s">
        <v>4250</v>
      </c>
    </row>
    <row r="3135" spans="1:14" x14ac:dyDescent="0.25">
      <c r="A3135" s="91" t="s">
        <v>1313</v>
      </c>
      <c r="B3135" s="91" t="s">
        <v>1327</v>
      </c>
      <c r="C3135" s="91" t="s">
        <v>4298</v>
      </c>
      <c r="D3135" s="91" t="s">
        <v>15</v>
      </c>
      <c r="E3135" s="91"/>
      <c r="F3135">
        <v>288</v>
      </c>
      <c r="G3135">
        <v>6</v>
      </c>
      <c r="H3135" s="89">
        <v>46232</v>
      </c>
      <c r="I3135" s="89">
        <v>46234</v>
      </c>
      <c r="J3135" s="91" t="s">
        <v>3549</v>
      </c>
      <c r="K3135" s="91"/>
      <c r="M3135" s="91"/>
      <c r="N3135" s="91" t="s">
        <v>4250</v>
      </c>
    </row>
    <row r="3136" spans="1:14" x14ac:dyDescent="0.25">
      <c r="A3136" s="91" t="s">
        <v>1315</v>
      </c>
      <c r="B3136" s="91" t="s">
        <v>1329</v>
      </c>
      <c r="C3136" s="91" t="s">
        <v>4298</v>
      </c>
      <c r="D3136" s="91" t="s">
        <v>15</v>
      </c>
      <c r="E3136" s="91"/>
      <c r="F3136">
        <v>34</v>
      </c>
      <c r="G3136" t="s">
        <v>1419</v>
      </c>
      <c r="H3136" s="89">
        <v>46232</v>
      </c>
      <c r="I3136" s="89">
        <v>46234</v>
      </c>
      <c r="J3136" s="91" t="s">
        <v>3549</v>
      </c>
      <c r="K3136" s="91"/>
      <c r="M3136" s="91"/>
      <c r="N3136" s="91" t="s">
        <v>4250</v>
      </c>
    </row>
    <row r="3137" spans="1:14" x14ac:dyDescent="0.25">
      <c r="A3137" s="91" t="s">
        <v>1316</v>
      </c>
      <c r="B3137" s="91" t="s">
        <v>1330</v>
      </c>
      <c r="C3137" s="91" t="s">
        <v>4299</v>
      </c>
      <c r="D3137" s="91" t="s">
        <v>15</v>
      </c>
      <c r="E3137" s="91"/>
      <c r="F3137">
        <v>44</v>
      </c>
      <c r="G3137" t="s">
        <v>1419</v>
      </c>
      <c r="H3137" s="89">
        <v>46232</v>
      </c>
      <c r="I3137" s="89">
        <v>46234</v>
      </c>
      <c r="J3137" s="91" t="s">
        <v>3549</v>
      </c>
      <c r="K3137" s="91"/>
      <c r="M3137" s="91"/>
      <c r="N3137" s="91" t="s">
        <v>4250</v>
      </c>
    </row>
    <row r="3138" spans="1:14" x14ac:dyDescent="0.25">
      <c r="A3138" s="91" t="s">
        <v>1317</v>
      </c>
      <c r="B3138" s="91" t="s">
        <v>1331</v>
      </c>
      <c r="C3138" s="91" t="s">
        <v>4300</v>
      </c>
      <c r="D3138" s="91" t="s">
        <v>15</v>
      </c>
      <c r="E3138" s="91"/>
      <c r="F3138">
        <v>52</v>
      </c>
      <c r="G3138" t="s">
        <v>1419</v>
      </c>
      <c r="H3138" s="89">
        <v>46232</v>
      </c>
      <c r="I3138" s="89">
        <v>46234</v>
      </c>
      <c r="J3138" s="91" t="s">
        <v>3549</v>
      </c>
      <c r="K3138" s="91"/>
      <c r="M3138" s="91"/>
      <c r="N3138" s="91" t="s">
        <v>4250</v>
      </c>
    </row>
    <row r="3139" spans="1:14" x14ac:dyDescent="0.25">
      <c r="A3139" s="91" t="s">
        <v>1318</v>
      </c>
      <c r="B3139" s="91" t="s">
        <v>1332</v>
      </c>
      <c r="C3139" s="91" t="s">
        <v>4301</v>
      </c>
      <c r="D3139" s="91" t="s">
        <v>15</v>
      </c>
      <c r="E3139" s="91"/>
      <c r="F3139">
        <v>20</v>
      </c>
      <c r="G3139" t="s">
        <v>1419</v>
      </c>
      <c r="H3139" s="89">
        <v>46232</v>
      </c>
      <c r="I3139" s="89">
        <v>46234</v>
      </c>
      <c r="J3139" s="91" t="s">
        <v>3549</v>
      </c>
      <c r="K3139" s="91"/>
      <c r="M3139" s="91"/>
      <c r="N3139" s="91" t="s">
        <v>4250</v>
      </c>
    </row>
    <row r="3140" spans="1:14" x14ac:dyDescent="0.25">
      <c r="A3140" s="91" t="s">
        <v>1324</v>
      </c>
      <c r="B3140" s="91" t="s">
        <v>1338</v>
      </c>
      <c r="C3140" s="91" t="s">
        <v>4302</v>
      </c>
      <c r="D3140" s="91" t="s">
        <v>21</v>
      </c>
      <c r="E3140" s="91"/>
      <c r="F3140">
        <v>960</v>
      </c>
      <c r="G3140">
        <v>20</v>
      </c>
      <c r="H3140" s="89">
        <v>46232</v>
      </c>
      <c r="I3140" s="89">
        <v>46237</v>
      </c>
      <c r="J3140" s="91" t="s">
        <v>4292</v>
      </c>
      <c r="K3140" s="91"/>
      <c r="M3140" s="91"/>
      <c r="N3140" s="91" t="s">
        <v>4250</v>
      </c>
    </row>
    <row r="3141" spans="1:14" x14ac:dyDescent="0.25">
      <c r="A3141" s="91" t="s">
        <v>1324</v>
      </c>
      <c r="B3141" s="91" t="s">
        <v>1338</v>
      </c>
      <c r="C3141" s="91" t="s">
        <v>4302</v>
      </c>
      <c r="D3141" s="91" t="s">
        <v>21</v>
      </c>
      <c r="E3141" s="91"/>
      <c r="F3141">
        <v>48</v>
      </c>
      <c r="G3141">
        <v>1</v>
      </c>
      <c r="H3141" s="89">
        <v>46232</v>
      </c>
      <c r="I3141" s="89">
        <v>46239</v>
      </c>
      <c r="J3141" s="91" t="s">
        <v>4303</v>
      </c>
      <c r="K3141" s="91"/>
      <c r="M3141" s="91"/>
      <c r="N3141" s="91" t="s">
        <v>4250</v>
      </c>
    </row>
    <row r="3142" spans="1:14" x14ac:dyDescent="0.25">
      <c r="A3142" s="91" t="s">
        <v>1313</v>
      </c>
      <c r="B3142" s="91" t="s">
        <v>1327</v>
      </c>
      <c r="C3142" s="91" t="s">
        <v>4302</v>
      </c>
      <c r="D3142" s="91" t="s">
        <v>21</v>
      </c>
      <c r="E3142" s="91"/>
      <c r="F3142">
        <v>384</v>
      </c>
      <c r="G3142">
        <v>8</v>
      </c>
      <c r="H3142" s="89">
        <v>46232</v>
      </c>
      <c r="I3142" s="89">
        <v>46234</v>
      </c>
      <c r="J3142" s="91" t="s">
        <v>3549</v>
      </c>
      <c r="K3142" s="91"/>
      <c r="M3142" s="91"/>
      <c r="N3142" s="91" t="s">
        <v>4250</v>
      </c>
    </row>
    <row r="3143" spans="1:14" x14ac:dyDescent="0.25">
      <c r="A3143" s="91" t="s">
        <v>1315</v>
      </c>
      <c r="B3143" s="91" t="s">
        <v>1329</v>
      </c>
      <c r="C3143" s="91" t="s">
        <v>4302</v>
      </c>
      <c r="D3143" s="91" t="s">
        <v>21</v>
      </c>
      <c r="E3143" s="91"/>
      <c r="F3143">
        <v>28</v>
      </c>
      <c r="G3143" t="s">
        <v>1419</v>
      </c>
      <c r="H3143" s="89">
        <v>46232</v>
      </c>
      <c r="I3143" s="89">
        <v>46234</v>
      </c>
      <c r="J3143" s="91" t="s">
        <v>3549</v>
      </c>
      <c r="K3143" s="91"/>
      <c r="M3143" s="91"/>
      <c r="N3143" s="91" t="s">
        <v>4250</v>
      </c>
    </row>
    <row r="3144" spans="1:14" x14ac:dyDescent="0.25">
      <c r="A3144" s="91" t="s">
        <v>1316</v>
      </c>
      <c r="B3144" s="91" t="s">
        <v>1330</v>
      </c>
      <c r="C3144" s="91" t="s">
        <v>4304</v>
      </c>
      <c r="D3144" s="91" t="s">
        <v>21</v>
      </c>
      <c r="E3144" s="91"/>
      <c r="F3144">
        <v>19</v>
      </c>
      <c r="G3144" t="s">
        <v>1419</v>
      </c>
      <c r="H3144" s="89">
        <v>46232</v>
      </c>
      <c r="I3144" s="89">
        <v>46234</v>
      </c>
      <c r="J3144" s="91" t="s">
        <v>3549</v>
      </c>
      <c r="K3144" s="91"/>
      <c r="M3144" s="91"/>
      <c r="N3144" s="91" t="s">
        <v>4250</v>
      </c>
    </row>
    <row r="3145" spans="1:14" x14ac:dyDescent="0.25">
      <c r="A3145" s="91" t="s">
        <v>1317</v>
      </c>
      <c r="B3145" s="91" t="s">
        <v>1331</v>
      </c>
      <c r="C3145" s="91" t="s">
        <v>4305</v>
      </c>
      <c r="D3145" s="91" t="s">
        <v>21</v>
      </c>
      <c r="E3145" s="91"/>
      <c r="F3145">
        <v>15</v>
      </c>
      <c r="G3145" t="s">
        <v>1419</v>
      </c>
      <c r="H3145" s="89">
        <v>46232</v>
      </c>
      <c r="I3145" s="89">
        <v>46234</v>
      </c>
      <c r="J3145" s="91" t="s">
        <v>3549</v>
      </c>
      <c r="K3145" s="91"/>
      <c r="M3145" s="91"/>
      <c r="N3145" s="91" t="s">
        <v>4250</v>
      </c>
    </row>
    <row r="3146" spans="1:14" x14ac:dyDescent="0.25">
      <c r="A3146" s="91" t="s">
        <v>1318</v>
      </c>
      <c r="B3146" s="91" t="s">
        <v>1332</v>
      </c>
      <c r="C3146" s="91" t="s">
        <v>4306</v>
      </c>
      <c r="D3146" s="91" t="s">
        <v>21</v>
      </c>
      <c r="E3146" s="91"/>
      <c r="F3146">
        <v>85</v>
      </c>
      <c r="G3146" t="s">
        <v>1419</v>
      </c>
      <c r="H3146" s="89">
        <v>46232</v>
      </c>
      <c r="I3146" s="89">
        <v>46234</v>
      </c>
      <c r="J3146" s="91" t="s">
        <v>3549</v>
      </c>
      <c r="K3146" s="91"/>
      <c r="M3146" s="91"/>
      <c r="N3146" s="91" t="s">
        <v>4250</v>
      </c>
    </row>
    <row r="3147" spans="1:14" x14ac:dyDescent="0.25">
      <c r="A3147" s="91" t="s">
        <v>1320</v>
      </c>
      <c r="B3147" s="91" t="s">
        <v>1334</v>
      </c>
      <c r="C3147" s="91" t="s">
        <v>4307</v>
      </c>
      <c r="D3147" s="91" t="s">
        <v>23</v>
      </c>
      <c r="E3147" s="91"/>
      <c r="F3147">
        <v>480</v>
      </c>
      <c r="G3147">
        <v>10</v>
      </c>
      <c r="H3147" s="89">
        <v>46233</v>
      </c>
      <c r="I3147" s="89">
        <v>46237</v>
      </c>
      <c r="J3147" s="91" t="s">
        <v>4288</v>
      </c>
      <c r="K3147" s="91"/>
      <c r="M3147" s="91"/>
      <c r="N3147" s="91" t="s">
        <v>4250</v>
      </c>
    </row>
    <row r="3148" spans="1:14" x14ac:dyDescent="0.25">
      <c r="A3148" s="91" t="s">
        <v>1320</v>
      </c>
      <c r="B3148" s="91" t="s">
        <v>1334</v>
      </c>
      <c r="C3148" s="91" t="s">
        <v>4307</v>
      </c>
      <c r="D3148" s="91" t="s">
        <v>23</v>
      </c>
      <c r="E3148" s="91"/>
      <c r="F3148">
        <v>240</v>
      </c>
      <c r="G3148">
        <v>5</v>
      </c>
      <c r="H3148" s="89">
        <v>46233</v>
      </c>
      <c r="I3148" s="89">
        <v>46237</v>
      </c>
      <c r="J3148" s="91" t="s">
        <v>4308</v>
      </c>
      <c r="K3148" s="91"/>
      <c r="M3148" s="91"/>
      <c r="N3148" s="91" t="s">
        <v>4250</v>
      </c>
    </row>
    <row r="3149" spans="1:14" x14ac:dyDescent="0.25">
      <c r="A3149" s="91" t="s">
        <v>1324</v>
      </c>
      <c r="B3149" s="91" t="s">
        <v>1338</v>
      </c>
      <c r="C3149" s="91" t="s">
        <v>4309</v>
      </c>
      <c r="D3149" s="91" t="s">
        <v>150</v>
      </c>
      <c r="E3149" s="91"/>
      <c r="F3149">
        <v>960</v>
      </c>
      <c r="G3149">
        <v>20</v>
      </c>
      <c r="H3149" s="89">
        <v>46233</v>
      </c>
      <c r="I3149" s="89">
        <v>46239</v>
      </c>
      <c r="J3149" s="91" t="s">
        <v>4303</v>
      </c>
      <c r="K3149" s="91"/>
      <c r="M3149" s="91"/>
      <c r="N3149" s="91" t="s">
        <v>4250</v>
      </c>
    </row>
    <row r="3150" spans="1:14" x14ac:dyDescent="0.25">
      <c r="A3150" s="91" t="s">
        <v>1320</v>
      </c>
      <c r="B3150" s="91" t="s">
        <v>1334</v>
      </c>
      <c r="C3150" s="91" t="s">
        <v>4310</v>
      </c>
      <c r="D3150" s="91" t="s">
        <v>30</v>
      </c>
      <c r="E3150" s="91"/>
      <c r="F3150">
        <v>480</v>
      </c>
      <c r="G3150">
        <v>10</v>
      </c>
      <c r="H3150" s="89">
        <v>46233</v>
      </c>
      <c r="I3150" s="89">
        <v>46237</v>
      </c>
      <c r="J3150" s="91" t="s">
        <v>4308</v>
      </c>
      <c r="K3150" s="91"/>
      <c r="M3150" s="91"/>
      <c r="N3150" s="91" t="s">
        <v>4250</v>
      </c>
    </row>
    <row r="3151" spans="1:14" x14ac:dyDescent="0.25">
      <c r="A3151" s="91" t="s">
        <v>1320</v>
      </c>
      <c r="B3151" s="91" t="s">
        <v>1334</v>
      </c>
      <c r="C3151" s="91" t="s">
        <v>4310</v>
      </c>
      <c r="D3151" s="91" t="s">
        <v>30</v>
      </c>
      <c r="E3151" s="91"/>
      <c r="F3151">
        <v>96</v>
      </c>
      <c r="G3151">
        <v>2</v>
      </c>
      <c r="H3151" s="89">
        <v>46233</v>
      </c>
      <c r="I3151" s="89">
        <v>46239</v>
      </c>
      <c r="J3151" s="91" t="s">
        <v>4311</v>
      </c>
      <c r="K3151" s="91"/>
      <c r="M3151" s="91"/>
      <c r="N3151" s="91" t="s">
        <v>4250</v>
      </c>
    </row>
    <row r="3152" spans="1:14" x14ac:dyDescent="0.25">
      <c r="A3152" s="91" t="s">
        <v>1313</v>
      </c>
      <c r="B3152" s="91" t="s">
        <v>1327</v>
      </c>
      <c r="C3152" s="91" t="s">
        <v>4312</v>
      </c>
      <c r="D3152" s="91" t="s">
        <v>4313</v>
      </c>
      <c r="E3152" s="91"/>
      <c r="F3152">
        <v>1152</v>
      </c>
      <c r="G3152">
        <v>24</v>
      </c>
      <c r="H3152" s="89">
        <v>46233</v>
      </c>
      <c r="I3152" s="89">
        <v>46239</v>
      </c>
      <c r="J3152" s="91" t="s">
        <v>4314</v>
      </c>
      <c r="K3152" s="91"/>
      <c r="M3152" s="91"/>
      <c r="N3152" s="91" t="s">
        <v>4250</v>
      </c>
    </row>
    <row r="3153" spans="1:14" x14ac:dyDescent="0.25">
      <c r="A3153" s="91" t="s">
        <v>1313</v>
      </c>
      <c r="B3153" s="91" t="s">
        <v>1327</v>
      </c>
      <c r="C3153" s="91" t="s">
        <v>4315</v>
      </c>
      <c r="D3153" s="91" t="s">
        <v>15</v>
      </c>
      <c r="E3153" s="91"/>
      <c r="F3153">
        <v>864</v>
      </c>
      <c r="G3153">
        <v>18</v>
      </c>
      <c r="H3153" s="89">
        <v>46233</v>
      </c>
      <c r="I3153" s="89">
        <v>46238</v>
      </c>
      <c r="J3153" s="91" t="s">
        <v>4316</v>
      </c>
      <c r="K3153" s="91"/>
      <c r="M3153" s="91"/>
      <c r="N3153" s="91" t="s">
        <v>4250</v>
      </c>
    </row>
    <row r="3154" spans="1:14" x14ac:dyDescent="0.25">
      <c r="A3154" s="91" t="s">
        <v>1313</v>
      </c>
      <c r="B3154" s="91" t="s">
        <v>1327</v>
      </c>
      <c r="C3154" s="91" t="s">
        <v>4315</v>
      </c>
      <c r="D3154" s="91" t="s">
        <v>15</v>
      </c>
      <c r="E3154" s="91"/>
      <c r="F3154">
        <v>144</v>
      </c>
      <c r="G3154">
        <v>3</v>
      </c>
      <c r="H3154" s="89">
        <v>46233</v>
      </c>
      <c r="I3154" s="89">
        <v>46237</v>
      </c>
      <c r="J3154" s="91" t="s">
        <v>4317</v>
      </c>
      <c r="K3154" s="91"/>
      <c r="M3154" s="91"/>
      <c r="N3154" s="91" t="s">
        <v>4250</v>
      </c>
    </row>
    <row r="3155" spans="1:14" x14ac:dyDescent="0.25">
      <c r="A3155" s="91" t="s">
        <v>1314</v>
      </c>
      <c r="B3155" s="91" t="s">
        <v>1328</v>
      </c>
      <c r="C3155" s="91" t="s">
        <v>4315</v>
      </c>
      <c r="D3155" s="91" t="s">
        <v>15</v>
      </c>
      <c r="E3155" s="91"/>
      <c r="F3155">
        <v>96</v>
      </c>
      <c r="G3155">
        <v>2</v>
      </c>
      <c r="H3155" s="89">
        <v>46233</v>
      </c>
      <c r="I3155" s="89">
        <v>46237</v>
      </c>
      <c r="J3155" s="91" t="s">
        <v>4294</v>
      </c>
      <c r="K3155" s="91"/>
      <c r="M3155" s="91"/>
      <c r="N3155" s="91" t="s">
        <v>4250</v>
      </c>
    </row>
    <row r="3156" spans="1:14" x14ac:dyDescent="0.25">
      <c r="A3156" s="91" t="s">
        <v>1314</v>
      </c>
      <c r="B3156" s="91" t="s">
        <v>1328</v>
      </c>
      <c r="C3156" s="91" t="s">
        <v>4315</v>
      </c>
      <c r="D3156" s="91" t="s">
        <v>15</v>
      </c>
      <c r="E3156" s="91"/>
      <c r="F3156">
        <v>240</v>
      </c>
      <c r="G3156">
        <v>5</v>
      </c>
      <c r="H3156" s="89">
        <v>46233</v>
      </c>
      <c r="I3156" s="89">
        <v>46237</v>
      </c>
      <c r="J3156" s="91" t="s">
        <v>4318</v>
      </c>
      <c r="K3156" s="91"/>
      <c r="M3156" s="91"/>
      <c r="N3156" s="91" t="s">
        <v>4250</v>
      </c>
    </row>
    <row r="3157" spans="1:14" x14ac:dyDescent="0.25">
      <c r="A3157" s="91" t="s">
        <v>1315</v>
      </c>
      <c r="B3157" s="91" t="s">
        <v>1329</v>
      </c>
      <c r="C3157" s="91" t="s">
        <v>4315</v>
      </c>
      <c r="D3157" s="91" t="s">
        <v>15</v>
      </c>
      <c r="E3157" s="91"/>
      <c r="F3157">
        <v>5</v>
      </c>
      <c r="G3157" t="s">
        <v>1419</v>
      </c>
      <c r="H3157" s="89">
        <v>46233</v>
      </c>
      <c r="I3157" s="89">
        <v>46235</v>
      </c>
      <c r="J3157" s="91" t="s">
        <v>3549</v>
      </c>
      <c r="K3157" s="91"/>
      <c r="M3157" s="91"/>
      <c r="N3157" s="91" t="s">
        <v>4250</v>
      </c>
    </row>
    <row r="3158" spans="1:14" x14ac:dyDescent="0.25">
      <c r="A3158" s="91" t="s">
        <v>1316</v>
      </c>
      <c r="B3158" s="91" t="s">
        <v>1330</v>
      </c>
      <c r="C3158" s="91" t="s">
        <v>4319</v>
      </c>
      <c r="D3158" s="91" t="s">
        <v>15</v>
      </c>
      <c r="E3158" s="91"/>
      <c r="F3158">
        <v>38</v>
      </c>
      <c r="G3158" t="s">
        <v>1419</v>
      </c>
      <c r="H3158" s="89">
        <v>46233</v>
      </c>
      <c r="I3158" s="89">
        <v>46235</v>
      </c>
      <c r="J3158" s="91" t="s">
        <v>3549</v>
      </c>
      <c r="K3158" s="91"/>
      <c r="M3158" s="91"/>
      <c r="N3158" s="91" t="s">
        <v>4250</v>
      </c>
    </row>
    <row r="3159" spans="1:14" x14ac:dyDescent="0.25">
      <c r="A3159" s="91" t="s">
        <v>1317</v>
      </c>
      <c r="B3159" s="91" t="s">
        <v>1331</v>
      </c>
      <c r="C3159" s="91" t="s">
        <v>4320</v>
      </c>
      <c r="D3159" s="91" t="s">
        <v>15</v>
      </c>
      <c r="E3159" s="91"/>
      <c r="F3159">
        <v>53</v>
      </c>
      <c r="G3159" t="s">
        <v>1419</v>
      </c>
      <c r="H3159" s="89">
        <v>46233</v>
      </c>
      <c r="I3159" s="89">
        <v>46235</v>
      </c>
      <c r="J3159" s="91" t="s">
        <v>3549</v>
      </c>
      <c r="K3159" s="91"/>
      <c r="M3159" s="91"/>
      <c r="N3159" s="91" t="s">
        <v>4250</v>
      </c>
    </row>
    <row r="3160" spans="1:14" x14ac:dyDescent="0.25">
      <c r="A3160" s="91" t="s">
        <v>1318</v>
      </c>
      <c r="B3160" s="91" t="s">
        <v>1332</v>
      </c>
      <c r="C3160" s="91" t="s">
        <v>4321</v>
      </c>
      <c r="D3160" s="91" t="s">
        <v>15</v>
      </c>
      <c r="E3160" s="91"/>
      <c r="F3160">
        <v>25</v>
      </c>
      <c r="G3160" t="s">
        <v>1419</v>
      </c>
      <c r="H3160" s="89">
        <v>46233</v>
      </c>
      <c r="I3160" s="89">
        <v>46235</v>
      </c>
      <c r="J3160" s="91" t="s">
        <v>3549</v>
      </c>
      <c r="K3160" s="91"/>
      <c r="M3160" s="91"/>
      <c r="N3160" s="91" t="s">
        <v>4250</v>
      </c>
    </row>
    <row r="3161" spans="1:14" x14ac:dyDescent="0.25">
      <c r="A3161" s="91" t="s">
        <v>1313</v>
      </c>
      <c r="B3161" s="91" t="s">
        <v>1327</v>
      </c>
      <c r="C3161" s="91" t="s">
        <v>4322</v>
      </c>
      <c r="D3161" s="91" t="s">
        <v>20</v>
      </c>
      <c r="E3161" s="91"/>
      <c r="F3161">
        <v>768</v>
      </c>
      <c r="G3161">
        <v>16</v>
      </c>
      <c r="H3161" s="89">
        <v>46233</v>
      </c>
      <c r="I3161" s="89">
        <v>46237</v>
      </c>
      <c r="J3161" s="91" t="s">
        <v>4317</v>
      </c>
      <c r="K3161" s="91"/>
      <c r="M3161" s="91"/>
      <c r="N3161" s="91" t="s">
        <v>4250</v>
      </c>
    </row>
    <row r="3162" spans="1:14" x14ac:dyDescent="0.25">
      <c r="A3162" s="91" t="s">
        <v>1325</v>
      </c>
      <c r="B3162" s="91" t="s">
        <v>1339</v>
      </c>
      <c r="C3162" s="91" t="s">
        <v>4322</v>
      </c>
      <c r="D3162" s="91" t="s">
        <v>20</v>
      </c>
      <c r="E3162" s="91"/>
      <c r="F3162">
        <v>96</v>
      </c>
      <c r="G3162">
        <v>2</v>
      </c>
      <c r="H3162" s="89">
        <v>46233</v>
      </c>
      <c r="I3162" s="89">
        <v>46233</v>
      </c>
      <c r="J3162" s="91" t="s">
        <v>3549</v>
      </c>
      <c r="K3162" s="91"/>
      <c r="M3162" s="91"/>
      <c r="N3162" s="91" t="s">
        <v>4250</v>
      </c>
    </row>
    <row r="3163" spans="1:14" x14ac:dyDescent="0.25">
      <c r="A3163" s="91" t="s">
        <v>1313</v>
      </c>
      <c r="B3163" s="91" t="s">
        <v>1327</v>
      </c>
      <c r="C3163" s="91" t="s">
        <v>4322</v>
      </c>
      <c r="D3163" s="91" t="s">
        <v>20</v>
      </c>
      <c r="E3163" s="91"/>
      <c r="F3163">
        <v>48</v>
      </c>
      <c r="G3163">
        <v>1</v>
      </c>
      <c r="H3163" s="89">
        <v>46233</v>
      </c>
      <c r="I3163" s="89">
        <v>46239</v>
      </c>
      <c r="J3163" s="91" t="s">
        <v>3549</v>
      </c>
      <c r="K3163" s="91"/>
      <c r="M3163" s="91"/>
      <c r="N3163" s="91" t="s">
        <v>4250</v>
      </c>
    </row>
    <row r="3164" spans="1:14" x14ac:dyDescent="0.25">
      <c r="A3164" s="91" t="s">
        <v>1315</v>
      </c>
      <c r="B3164" s="91" t="s">
        <v>1329</v>
      </c>
      <c r="C3164" s="91" t="s">
        <v>4322</v>
      </c>
      <c r="D3164" s="91" t="s">
        <v>20</v>
      </c>
      <c r="E3164" s="91"/>
      <c r="F3164">
        <v>30</v>
      </c>
      <c r="G3164" t="s">
        <v>1419</v>
      </c>
      <c r="H3164" s="89">
        <v>46233</v>
      </c>
      <c r="I3164" s="89">
        <v>46235</v>
      </c>
      <c r="J3164" s="91" t="s">
        <v>3549</v>
      </c>
      <c r="K3164" s="91"/>
      <c r="M3164" s="91"/>
      <c r="N3164" s="91" t="s">
        <v>4250</v>
      </c>
    </row>
    <row r="3165" spans="1:14" x14ac:dyDescent="0.25">
      <c r="A3165" s="91" t="s">
        <v>1316</v>
      </c>
      <c r="B3165" s="91" t="s">
        <v>1330</v>
      </c>
      <c r="C3165" s="91" t="s">
        <v>4323</v>
      </c>
      <c r="D3165" s="91" t="s">
        <v>20</v>
      </c>
      <c r="E3165" s="91"/>
      <c r="F3165">
        <v>232</v>
      </c>
      <c r="G3165" t="s">
        <v>1419</v>
      </c>
      <c r="H3165" s="89">
        <v>46233</v>
      </c>
      <c r="I3165" s="89">
        <v>46235</v>
      </c>
      <c r="J3165" s="91" t="s">
        <v>3549</v>
      </c>
      <c r="K3165" s="91"/>
      <c r="M3165" s="91"/>
      <c r="N3165" s="91" t="s">
        <v>4250</v>
      </c>
    </row>
    <row r="3166" spans="1:14" x14ac:dyDescent="0.25">
      <c r="A3166" s="91" t="s">
        <v>1317</v>
      </c>
      <c r="B3166" s="91" t="s">
        <v>1331</v>
      </c>
      <c r="C3166" s="91" t="s">
        <v>4324</v>
      </c>
      <c r="D3166" s="91" t="s">
        <v>20</v>
      </c>
      <c r="E3166" s="91"/>
      <c r="F3166">
        <v>15</v>
      </c>
      <c r="G3166" t="s">
        <v>1419</v>
      </c>
      <c r="H3166" s="89">
        <v>46233</v>
      </c>
      <c r="I3166" s="89">
        <v>46235</v>
      </c>
      <c r="J3166" s="91" t="s">
        <v>3549</v>
      </c>
      <c r="K3166" s="91"/>
      <c r="M3166" s="91"/>
      <c r="N3166" s="91" t="s">
        <v>4250</v>
      </c>
    </row>
    <row r="3167" spans="1:14" x14ac:dyDescent="0.25">
      <c r="A3167" s="91" t="s">
        <v>1318</v>
      </c>
      <c r="B3167" s="91" t="s">
        <v>1332</v>
      </c>
      <c r="C3167" s="91" t="s">
        <v>4325</v>
      </c>
      <c r="D3167" s="91" t="s">
        <v>20</v>
      </c>
      <c r="E3167" s="91"/>
      <c r="F3167">
        <v>48</v>
      </c>
      <c r="G3167" t="s">
        <v>1419</v>
      </c>
      <c r="H3167" s="89">
        <v>46233</v>
      </c>
      <c r="I3167" s="89">
        <v>46235</v>
      </c>
      <c r="J3167" s="91" t="s">
        <v>3549</v>
      </c>
      <c r="K3167" s="91"/>
      <c r="M3167" s="91"/>
      <c r="N3167" s="91" t="s">
        <v>4250</v>
      </c>
    </row>
    <row r="3168" spans="1:14" x14ac:dyDescent="0.25">
      <c r="A3168" s="91" t="s">
        <v>1324</v>
      </c>
      <c r="B3168" s="91" t="s">
        <v>1338</v>
      </c>
      <c r="C3168" s="91" t="s">
        <v>4326</v>
      </c>
      <c r="D3168" s="91" t="s">
        <v>28</v>
      </c>
      <c r="E3168" s="91"/>
      <c r="F3168">
        <v>912</v>
      </c>
      <c r="G3168">
        <v>19</v>
      </c>
      <c r="H3168" s="89">
        <v>46233</v>
      </c>
      <c r="I3168" s="89">
        <v>46239</v>
      </c>
      <c r="J3168" s="91" t="s">
        <v>4303</v>
      </c>
      <c r="K3168" s="91"/>
      <c r="M3168" s="91"/>
      <c r="N3168" s="91" t="s">
        <v>4250</v>
      </c>
    </row>
    <row r="3169" spans="1:14" x14ac:dyDescent="0.25">
      <c r="A3169" s="91" t="s">
        <v>1324</v>
      </c>
      <c r="B3169" s="91" t="s">
        <v>1338</v>
      </c>
      <c r="C3169" s="91" t="s">
        <v>4326</v>
      </c>
      <c r="D3169" s="91" t="s">
        <v>28</v>
      </c>
      <c r="E3169" s="91"/>
      <c r="F3169">
        <v>48</v>
      </c>
      <c r="G3169">
        <v>1</v>
      </c>
      <c r="H3169" s="89">
        <v>46233</v>
      </c>
      <c r="I3169" s="89">
        <v>46239</v>
      </c>
      <c r="J3169" s="91" t="s">
        <v>3549</v>
      </c>
      <c r="K3169" s="91"/>
      <c r="M3169" s="91"/>
      <c r="N3169" s="91" t="s">
        <v>4250</v>
      </c>
    </row>
    <row r="3170" spans="1:14" x14ac:dyDescent="0.25">
      <c r="A3170" s="91" t="s">
        <v>1315</v>
      </c>
      <c r="B3170" s="91" t="s">
        <v>1329</v>
      </c>
      <c r="C3170" s="91" t="s">
        <v>4326</v>
      </c>
      <c r="D3170" s="91" t="s">
        <v>28</v>
      </c>
      <c r="E3170" s="91"/>
      <c r="F3170">
        <v>161</v>
      </c>
      <c r="G3170" t="s">
        <v>1419</v>
      </c>
      <c r="H3170" s="89">
        <v>46233</v>
      </c>
      <c r="I3170" s="89">
        <v>46235</v>
      </c>
      <c r="J3170" s="91" t="s">
        <v>3549</v>
      </c>
      <c r="K3170" s="91"/>
      <c r="M3170" s="91"/>
      <c r="N3170" s="91" t="s">
        <v>4250</v>
      </c>
    </row>
    <row r="3171" spans="1:14" x14ac:dyDescent="0.25">
      <c r="A3171" s="91" t="s">
        <v>1316</v>
      </c>
      <c r="B3171" s="91" t="s">
        <v>1330</v>
      </c>
      <c r="C3171" s="91" t="s">
        <v>4327</v>
      </c>
      <c r="D3171" s="91" t="s">
        <v>28</v>
      </c>
      <c r="E3171" s="91"/>
      <c r="F3171">
        <v>30</v>
      </c>
      <c r="G3171" t="s">
        <v>1419</v>
      </c>
      <c r="H3171" s="89">
        <v>46233</v>
      </c>
      <c r="I3171" s="89">
        <v>46235</v>
      </c>
      <c r="J3171" s="91" t="s">
        <v>3549</v>
      </c>
      <c r="K3171" s="91"/>
      <c r="M3171" s="91"/>
      <c r="N3171" s="91" t="s">
        <v>4250</v>
      </c>
    </row>
    <row r="3172" spans="1:14" x14ac:dyDescent="0.25">
      <c r="A3172" s="91" t="s">
        <v>1317</v>
      </c>
      <c r="B3172" s="91" t="s">
        <v>1331</v>
      </c>
      <c r="C3172" s="91" t="s">
        <v>4328</v>
      </c>
      <c r="D3172" s="91" t="s">
        <v>28</v>
      </c>
      <c r="E3172" s="91"/>
      <c r="F3172">
        <v>26</v>
      </c>
      <c r="G3172" t="s">
        <v>1419</v>
      </c>
      <c r="H3172" s="89">
        <v>46233</v>
      </c>
      <c r="I3172" s="89">
        <v>46235</v>
      </c>
      <c r="J3172" s="91" t="s">
        <v>3549</v>
      </c>
      <c r="K3172" s="91"/>
      <c r="M3172" s="91"/>
      <c r="N3172" s="91" t="s">
        <v>4250</v>
      </c>
    </row>
    <row r="3173" spans="1:14" x14ac:dyDescent="0.25">
      <c r="A3173" s="91" t="s">
        <v>1318</v>
      </c>
      <c r="B3173" s="91" t="s">
        <v>1332</v>
      </c>
      <c r="C3173" s="91" t="s">
        <v>4329</v>
      </c>
      <c r="D3173" s="91" t="s">
        <v>28</v>
      </c>
      <c r="E3173" s="91"/>
      <c r="F3173">
        <v>56</v>
      </c>
      <c r="G3173" t="s">
        <v>1419</v>
      </c>
      <c r="H3173" s="89">
        <v>46233</v>
      </c>
      <c r="I3173" s="89">
        <v>46235</v>
      </c>
      <c r="J3173" s="91" t="s">
        <v>3549</v>
      </c>
      <c r="K3173" s="91"/>
      <c r="M3173" s="91"/>
      <c r="N3173" s="91" t="s">
        <v>4250</v>
      </c>
    </row>
    <row r="3174" spans="1:14" x14ac:dyDescent="0.25">
      <c r="A3174" s="91" t="s">
        <v>1321</v>
      </c>
      <c r="B3174" s="91" t="s">
        <v>1335</v>
      </c>
      <c r="C3174" s="91" t="s">
        <v>4330</v>
      </c>
      <c r="D3174" s="91" t="s">
        <v>27</v>
      </c>
      <c r="E3174" s="91"/>
      <c r="F3174">
        <v>144</v>
      </c>
      <c r="G3174">
        <v>3</v>
      </c>
      <c r="H3174" s="89">
        <v>46234</v>
      </c>
      <c r="I3174" s="89">
        <v>46242</v>
      </c>
      <c r="J3174" s="91" t="s">
        <v>4331</v>
      </c>
      <c r="K3174" s="91"/>
      <c r="M3174" s="91"/>
      <c r="N3174" s="91" t="s">
        <v>4250</v>
      </c>
    </row>
    <row r="3175" spans="1:14" x14ac:dyDescent="0.25">
      <c r="A3175" s="91" t="s">
        <v>1325</v>
      </c>
      <c r="B3175" s="91" t="s">
        <v>1339</v>
      </c>
      <c r="C3175" s="91" t="s">
        <v>4330</v>
      </c>
      <c r="D3175" s="91" t="s">
        <v>27</v>
      </c>
      <c r="E3175" s="91"/>
      <c r="F3175">
        <v>336</v>
      </c>
      <c r="G3175">
        <v>7</v>
      </c>
      <c r="H3175" s="89">
        <v>46234</v>
      </c>
      <c r="I3175" s="89">
        <v>46237</v>
      </c>
      <c r="J3175" s="91" t="s">
        <v>3549</v>
      </c>
      <c r="K3175" s="91"/>
      <c r="M3175" s="91"/>
      <c r="N3175" s="91" t="s">
        <v>4250</v>
      </c>
    </row>
    <row r="3176" spans="1:14" x14ac:dyDescent="0.25">
      <c r="A3176" s="91" t="s">
        <v>1320</v>
      </c>
      <c r="B3176" s="91" t="s">
        <v>1334</v>
      </c>
      <c r="C3176" s="91" t="s">
        <v>4332</v>
      </c>
      <c r="D3176" s="91" t="s">
        <v>13</v>
      </c>
      <c r="E3176" s="91"/>
      <c r="F3176">
        <v>960</v>
      </c>
      <c r="G3176">
        <v>20</v>
      </c>
      <c r="H3176" s="89">
        <v>46234</v>
      </c>
      <c r="I3176" s="89">
        <v>46239</v>
      </c>
      <c r="J3176" s="91" t="s">
        <v>4311</v>
      </c>
      <c r="K3176" s="91"/>
      <c r="M3176" s="91"/>
      <c r="N3176" s="91" t="s">
        <v>4250</v>
      </c>
    </row>
    <row r="3177" spans="1:14" x14ac:dyDescent="0.25">
      <c r="A3177" s="91" t="s">
        <v>1320</v>
      </c>
      <c r="B3177" s="91" t="s">
        <v>1334</v>
      </c>
      <c r="C3177" s="91" t="s">
        <v>4332</v>
      </c>
      <c r="D3177" s="91" t="s">
        <v>13</v>
      </c>
      <c r="E3177" s="91"/>
      <c r="F3177">
        <v>720</v>
      </c>
      <c r="G3177">
        <v>15</v>
      </c>
      <c r="H3177" s="89">
        <v>46234</v>
      </c>
      <c r="I3177" s="89">
        <v>46240</v>
      </c>
      <c r="J3177" s="91" t="s">
        <v>4333</v>
      </c>
      <c r="K3177" s="91"/>
      <c r="M3177" s="91"/>
      <c r="N3177" s="91" t="s">
        <v>4250</v>
      </c>
    </row>
    <row r="3178" spans="1:14" x14ac:dyDescent="0.25">
      <c r="A3178" s="91" t="s">
        <v>1326</v>
      </c>
      <c r="B3178" s="91" t="s">
        <v>1340</v>
      </c>
      <c r="C3178" s="91" t="s">
        <v>4334</v>
      </c>
      <c r="D3178" s="91" t="s">
        <v>32</v>
      </c>
      <c r="E3178" s="91"/>
      <c r="F3178">
        <v>840</v>
      </c>
      <c r="G3178">
        <v>20</v>
      </c>
      <c r="H3178" s="89">
        <v>46234</v>
      </c>
      <c r="I3178" s="89">
        <v>46238</v>
      </c>
      <c r="J3178" s="91" t="s">
        <v>4335</v>
      </c>
      <c r="K3178" s="91"/>
      <c r="M3178" s="91"/>
      <c r="N3178" s="91" t="s">
        <v>4250</v>
      </c>
    </row>
    <row r="3179" spans="1:14" x14ac:dyDescent="0.25">
      <c r="A3179" s="91" t="s">
        <v>1320</v>
      </c>
      <c r="B3179" s="91" t="s">
        <v>1334</v>
      </c>
      <c r="C3179" s="91" t="s">
        <v>4336</v>
      </c>
      <c r="D3179" s="91" t="s">
        <v>30</v>
      </c>
      <c r="E3179" s="91"/>
      <c r="F3179">
        <v>384</v>
      </c>
      <c r="G3179">
        <v>8</v>
      </c>
      <c r="H3179" s="89">
        <v>46234</v>
      </c>
      <c r="I3179" s="89">
        <v>46239</v>
      </c>
      <c r="J3179" s="91" t="s">
        <v>4337</v>
      </c>
      <c r="K3179" s="91"/>
      <c r="M3179" s="91"/>
      <c r="N3179" s="91" t="s">
        <v>4250</v>
      </c>
    </row>
    <row r="3180" spans="1:14" x14ac:dyDescent="0.25">
      <c r="A3180" s="91" t="s">
        <v>1320</v>
      </c>
      <c r="B3180" s="91" t="s">
        <v>1334</v>
      </c>
      <c r="C3180" s="91" t="s">
        <v>4338</v>
      </c>
      <c r="D3180" s="91" t="s">
        <v>97</v>
      </c>
      <c r="E3180" s="91"/>
      <c r="F3180">
        <v>576</v>
      </c>
      <c r="G3180">
        <v>12</v>
      </c>
      <c r="H3180" s="89">
        <v>46234</v>
      </c>
      <c r="I3180" s="89">
        <v>46240</v>
      </c>
      <c r="J3180" s="91" t="s">
        <v>4339</v>
      </c>
      <c r="K3180" s="91"/>
      <c r="M3180" s="91"/>
      <c r="N3180" s="91" t="s">
        <v>4250</v>
      </c>
    </row>
    <row r="3181" spans="1:14" x14ac:dyDescent="0.25">
      <c r="A3181" s="91" t="s">
        <v>1320</v>
      </c>
      <c r="B3181" s="91" t="s">
        <v>1334</v>
      </c>
      <c r="C3181" s="91" t="s">
        <v>4340</v>
      </c>
      <c r="D3181" s="91" t="s">
        <v>21</v>
      </c>
      <c r="E3181" s="91"/>
      <c r="F3181">
        <v>480</v>
      </c>
      <c r="G3181">
        <v>10</v>
      </c>
      <c r="H3181" s="89">
        <v>46234</v>
      </c>
      <c r="I3181" s="89">
        <v>46239</v>
      </c>
      <c r="J3181" s="91" t="s">
        <v>4337</v>
      </c>
      <c r="K3181" s="91"/>
      <c r="M3181" s="91"/>
      <c r="N3181" s="91" t="s">
        <v>4250</v>
      </c>
    </row>
    <row r="3182" spans="1:14" x14ac:dyDescent="0.25">
      <c r="A3182" s="91" t="s">
        <v>1313</v>
      </c>
      <c r="B3182" s="91" t="s">
        <v>1327</v>
      </c>
      <c r="C3182" s="91" t="s">
        <v>4340</v>
      </c>
      <c r="D3182" s="91" t="s">
        <v>21</v>
      </c>
      <c r="E3182" s="91"/>
      <c r="F3182">
        <v>912</v>
      </c>
      <c r="G3182">
        <v>19</v>
      </c>
      <c r="H3182" s="89">
        <v>46234</v>
      </c>
      <c r="I3182" s="89">
        <v>46240</v>
      </c>
      <c r="J3182" s="91" t="s">
        <v>4341</v>
      </c>
      <c r="K3182" s="91"/>
      <c r="M3182" s="91"/>
      <c r="N3182" s="91" t="s">
        <v>4250</v>
      </c>
    </row>
    <row r="3183" spans="1:14" x14ac:dyDescent="0.25">
      <c r="A3183" s="91" t="s">
        <v>1315</v>
      </c>
      <c r="B3183" s="91" t="s">
        <v>1329</v>
      </c>
      <c r="C3183" s="91" t="s">
        <v>4340</v>
      </c>
      <c r="D3183" s="91" t="s">
        <v>21</v>
      </c>
      <c r="E3183" s="91"/>
      <c r="F3183">
        <v>105</v>
      </c>
      <c r="G3183" t="s">
        <v>1419</v>
      </c>
      <c r="H3183" s="89">
        <v>46234</v>
      </c>
      <c r="I3183" s="89">
        <v>46236</v>
      </c>
      <c r="J3183" s="91" t="s">
        <v>3549</v>
      </c>
      <c r="K3183" s="91"/>
      <c r="M3183" s="91"/>
      <c r="N3183" s="91" t="s">
        <v>4250</v>
      </c>
    </row>
    <row r="3184" spans="1:14" x14ac:dyDescent="0.25">
      <c r="A3184" s="91" t="s">
        <v>1316</v>
      </c>
      <c r="B3184" s="91" t="s">
        <v>1330</v>
      </c>
      <c r="C3184" s="91" t="s">
        <v>4342</v>
      </c>
      <c r="D3184" s="91" t="s">
        <v>21</v>
      </c>
      <c r="E3184" s="91"/>
      <c r="F3184">
        <v>19</v>
      </c>
      <c r="G3184" t="s">
        <v>1419</v>
      </c>
      <c r="H3184" s="89">
        <v>46234</v>
      </c>
      <c r="I3184" s="89">
        <v>46236</v>
      </c>
      <c r="J3184" s="91" t="s">
        <v>3549</v>
      </c>
      <c r="K3184" s="91"/>
      <c r="M3184" s="91"/>
      <c r="N3184" s="91" t="s">
        <v>4250</v>
      </c>
    </row>
    <row r="3185" spans="1:14" x14ac:dyDescent="0.25">
      <c r="A3185" s="91" t="s">
        <v>1317</v>
      </c>
      <c r="B3185" s="91" t="s">
        <v>1331</v>
      </c>
      <c r="C3185" s="91" t="s">
        <v>4343</v>
      </c>
      <c r="D3185" s="91" t="s">
        <v>21</v>
      </c>
      <c r="E3185" s="91"/>
      <c r="F3185">
        <v>13</v>
      </c>
      <c r="G3185" t="s">
        <v>1419</v>
      </c>
      <c r="H3185" s="89">
        <v>46234</v>
      </c>
      <c r="I3185" s="89">
        <v>46236</v>
      </c>
      <c r="J3185" s="91" t="s">
        <v>3549</v>
      </c>
      <c r="K3185" s="91"/>
      <c r="M3185" s="91"/>
      <c r="N3185" s="91" t="s">
        <v>4250</v>
      </c>
    </row>
    <row r="3186" spans="1:14" x14ac:dyDescent="0.25">
      <c r="A3186" s="91" t="s">
        <v>1318</v>
      </c>
      <c r="B3186" s="91" t="s">
        <v>1332</v>
      </c>
      <c r="C3186" s="91" t="s">
        <v>4344</v>
      </c>
      <c r="D3186" s="91" t="s">
        <v>21</v>
      </c>
      <c r="E3186" s="91"/>
      <c r="F3186">
        <v>72</v>
      </c>
      <c r="G3186" t="s">
        <v>1419</v>
      </c>
      <c r="H3186" s="89">
        <v>46234</v>
      </c>
      <c r="I3186" s="89">
        <v>46236</v>
      </c>
      <c r="J3186" s="91" t="s">
        <v>3549</v>
      </c>
      <c r="K3186" s="91"/>
      <c r="M3186" s="91"/>
      <c r="N3186" s="91" t="s">
        <v>4250</v>
      </c>
    </row>
    <row r="3187" spans="1:14" x14ac:dyDescent="0.25">
      <c r="A3187" s="91" t="s">
        <v>1313</v>
      </c>
      <c r="B3187" s="91" t="s">
        <v>1327</v>
      </c>
      <c r="C3187" s="91" t="s">
        <v>4345</v>
      </c>
      <c r="D3187" s="91" t="s">
        <v>20</v>
      </c>
      <c r="E3187" s="91"/>
      <c r="F3187">
        <v>1104</v>
      </c>
      <c r="G3187">
        <v>23</v>
      </c>
      <c r="H3187" s="89">
        <v>46234</v>
      </c>
      <c r="I3187" s="89">
        <v>46239</v>
      </c>
      <c r="J3187" s="91" t="s">
        <v>3549</v>
      </c>
      <c r="K3187" s="91"/>
      <c r="M3187" s="91"/>
      <c r="N3187" s="91" t="s">
        <v>4250</v>
      </c>
    </row>
    <row r="3188" spans="1:14" x14ac:dyDescent="0.25">
      <c r="A3188" s="91" t="s">
        <v>1315</v>
      </c>
      <c r="B3188" s="91" t="s">
        <v>1329</v>
      </c>
      <c r="C3188" s="91" t="s">
        <v>4345</v>
      </c>
      <c r="D3188" s="91" t="s">
        <v>20</v>
      </c>
      <c r="E3188" s="91"/>
      <c r="F3188">
        <v>33</v>
      </c>
      <c r="G3188" t="s">
        <v>1419</v>
      </c>
      <c r="H3188" s="89">
        <v>46234</v>
      </c>
      <c r="I3188" s="89">
        <v>46236</v>
      </c>
      <c r="J3188" s="91" t="s">
        <v>3549</v>
      </c>
      <c r="K3188" s="91"/>
      <c r="M3188" s="91"/>
      <c r="N3188" s="91" t="s">
        <v>4250</v>
      </c>
    </row>
    <row r="3189" spans="1:14" x14ac:dyDescent="0.25">
      <c r="A3189" s="91" t="s">
        <v>1316</v>
      </c>
      <c r="B3189" s="91" t="s">
        <v>1330</v>
      </c>
      <c r="C3189" s="91" t="s">
        <v>4346</v>
      </c>
      <c r="D3189" s="91" t="s">
        <v>20</v>
      </c>
      <c r="E3189" s="91"/>
      <c r="F3189">
        <v>274</v>
      </c>
      <c r="G3189" t="s">
        <v>1419</v>
      </c>
      <c r="H3189" s="89">
        <v>46234</v>
      </c>
      <c r="I3189" s="89">
        <v>46236</v>
      </c>
      <c r="J3189" s="91" t="s">
        <v>3549</v>
      </c>
      <c r="K3189" s="91"/>
      <c r="M3189" s="91"/>
      <c r="N3189" s="91" t="s">
        <v>4250</v>
      </c>
    </row>
    <row r="3190" spans="1:14" x14ac:dyDescent="0.25">
      <c r="A3190" s="91" t="s">
        <v>1317</v>
      </c>
      <c r="B3190" s="91" t="s">
        <v>1331</v>
      </c>
      <c r="C3190" s="91" t="s">
        <v>4347</v>
      </c>
      <c r="D3190" s="91" t="s">
        <v>20</v>
      </c>
      <c r="E3190" s="91"/>
      <c r="F3190">
        <v>81</v>
      </c>
      <c r="G3190" t="s">
        <v>1419</v>
      </c>
      <c r="H3190" s="89">
        <v>46234</v>
      </c>
      <c r="I3190" s="89">
        <v>46236</v>
      </c>
      <c r="J3190" s="91" t="s">
        <v>3549</v>
      </c>
      <c r="K3190" s="91"/>
      <c r="M3190" s="91"/>
      <c r="N3190" s="91" t="s">
        <v>4250</v>
      </c>
    </row>
    <row r="3191" spans="1:14" x14ac:dyDescent="0.25">
      <c r="A3191" s="91" t="s">
        <v>1318</v>
      </c>
      <c r="B3191" s="91" t="s">
        <v>1332</v>
      </c>
      <c r="C3191" s="91" t="s">
        <v>4348</v>
      </c>
      <c r="D3191" s="91" t="s">
        <v>20</v>
      </c>
      <c r="E3191" s="91"/>
      <c r="F3191">
        <v>74</v>
      </c>
      <c r="G3191" t="s">
        <v>1419</v>
      </c>
      <c r="H3191" s="89">
        <v>46234</v>
      </c>
      <c r="I3191" s="89">
        <v>46236</v>
      </c>
      <c r="J3191" s="91" t="s">
        <v>3549</v>
      </c>
      <c r="K3191" s="91"/>
      <c r="M3191" s="91"/>
      <c r="N3191" s="91" t="s">
        <v>4250</v>
      </c>
    </row>
    <row r="3192" spans="1:14" x14ac:dyDescent="0.25">
      <c r="A3192" s="91" t="s">
        <v>1313</v>
      </c>
      <c r="B3192" s="91" t="s">
        <v>1327</v>
      </c>
      <c r="C3192" s="91" t="s">
        <v>4349</v>
      </c>
      <c r="D3192" s="91" t="s">
        <v>15</v>
      </c>
      <c r="E3192" s="91"/>
      <c r="F3192">
        <v>288</v>
      </c>
      <c r="G3192">
        <v>6</v>
      </c>
      <c r="H3192" s="89">
        <v>46234</v>
      </c>
      <c r="I3192" s="89">
        <v>46238</v>
      </c>
      <c r="J3192" s="91" t="s">
        <v>4316</v>
      </c>
      <c r="K3192" s="91"/>
      <c r="M3192" s="91"/>
      <c r="N3192" s="91" t="s">
        <v>4250</v>
      </c>
    </row>
    <row r="3193" spans="1:14" x14ac:dyDescent="0.25">
      <c r="A3193" s="91" t="s">
        <v>1314</v>
      </c>
      <c r="B3193" s="91" t="s">
        <v>1328</v>
      </c>
      <c r="C3193" s="91" t="s">
        <v>4349</v>
      </c>
      <c r="D3193" s="91" t="s">
        <v>15</v>
      </c>
      <c r="E3193" s="91"/>
      <c r="F3193">
        <v>48</v>
      </c>
      <c r="G3193">
        <v>1</v>
      </c>
      <c r="H3193" s="89">
        <v>46234</v>
      </c>
      <c r="I3193" s="89">
        <v>46239</v>
      </c>
      <c r="J3193" s="91" t="s">
        <v>3549</v>
      </c>
      <c r="K3193" s="91"/>
      <c r="M3193" s="91"/>
      <c r="N3193" s="91" t="s">
        <v>4250</v>
      </c>
    </row>
    <row r="3194" spans="1:14" x14ac:dyDescent="0.25">
      <c r="A3194" s="91" t="s">
        <v>1314</v>
      </c>
      <c r="B3194" s="91" t="s">
        <v>1328</v>
      </c>
      <c r="C3194" s="91" t="s">
        <v>4349</v>
      </c>
      <c r="D3194" s="91" t="s">
        <v>15</v>
      </c>
      <c r="E3194" s="91"/>
      <c r="F3194">
        <v>240</v>
      </c>
      <c r="G3194">
        <v>5</v>
      </c>
      <c r="H3194" s="89">
        <v>46234</v>
      </c>
      <c r="I3194" s="89">
        <v>46240</v>
      </c>
      <c r="J3194" s="91" t="s">
        <v>4350</v>
      </c>
      <c r="K3194" s="91"/>
      <c r="M3194" s="91"/>
      <c r="N3194" s="91" t="s">
        <v>4250</v>
      </c>
    </row>
    <row r="3195" spans="1:14" x14ac:dyDescent="0.25">
      <c r="A3195" s="91" t="s">
        <v>1313</v>
      </c>
      <c r="B3195" s="91" t="s">
        <v>1327</v>
      </c>
      <c r="C3195" s="91" t="s">
        <v>4349</v>
      </c>
      <c r="D3195" s="91" t="s">
        <v>15</v>
      </c>
      <c r="E3195" s="91"/>
      <c r="F3195">
        <v>576</v>
      </c>
      <c r="G3195">
        <v>12</v>
      </c>
      <c r="H3195" s="89">
        <v>46234</v>
      </c>
      <c r="I3195" s="89">
        <v>46241</v>
      </c>
      <c r="J3195" s="91" t="s">
        <v>4351</v>
      </c>
      <c r="K3195" s="91"/>
      <c r="M3195" s="91"/>
      <c r="N3195" s="91" t="s">
        <v>4250</v>
      </c>
    </row>
    <row r="3196" spans="1:14" x14ac:dyDescent="0.25">
      <c r="A3196" s="91" t="s">
        <v>1316</v>
      </c>
      <c r="B3196" s="91" t="s">
        <v>1330</v>
      </c>
      <c r="C3196" s="91" t="s">
        <v>4352</v>
      </c>
      <c r="D3196" s="91" t="s">
        <v>15</v>
      </c>
      <c r="E3196" s="91"/>
      <c r="F3196">
        <v>33</v>
      </c>
      <c r="G3196" t="s">
        <v>1419</v>
      </c>
      <c r="H3196" s="89">
        <v>46234</v>
      </c>
      <c r="I3196" s="89">
        <v>46236</v>
      </c>
      <c r="J3196" s="91" t="s">
        <v>3549</v>
      </c>
      <c r="K3196" s="91"/>
      <c r="M3196" s="91"/>
      <c r="N3196" s="91" t="s">
        <v>4250</v>
      </c>
    </row>
    <row r="3197" spans="1:14" x14ac:dyDescent="0.25">
      <c r="A3197" s="91" t="s">
        <v>1317</v>
      </c>
      <c r="B3197" s="91" t="s">
        <v>1331</v>
      </c>
      <c r="C3197" s="91" t="s">
        <v>4353</v>
      </c>
      <c r="D3197" s="91" t="s">
        <v>15</v>
      </c>
      <c r="E3197" s="91"/>
      <c r="F3197">
        <v>60</v>
      </c>
      <c r="G3197" t="s">
        <v>1419</v>
      </c>
      <c r="H3197" s="89">
        <v>46234</v>
      </c>
      <c r="I3197" s="89">
        <v>46236</v>
      </c>
      <c r="J3197" s="91" t="s">
        <v>3549</v>
      </c>
      <c r="K3197" s="91"/>
      <c r="M3197" s="91"/>
      <c r="N3197" s="91" t="s">
        <v>4250</v>
      </c>
    </row>
    <row r="3198" spans="1:14" x14ac:dyDescent="0.25">
      <c r="A3198" s="91" t="s">
        <v>1318</v>
      </c>
      <c r="B3198" s="91" t="s">
        <v>1332</v>
      </c>
      <c r="C3198" s="91" t="s">
        <v>4354</v>
      </c>
      <c r="D3198" s="91" t="s">
        <v>15</v>
      </c>
      <c r="E3198" s="91"/>
      <c r="F3198">
        <v>21</v>
      </c>
      <c r="G3198" t="s">
        <v>1419</v>
      </c>
      <c r="H3198" s="89">
        <v>46234</v>
      </c>
      <c r="I3198" s="89">
        <v>46236</v>
      </c>
      <c r="J3198" s="91" t="s">
        <v>3549</v>
      </c>
      <c r="K3198" s="91"/>
      <c r="M3198" s="91"/>
      <c r="N3198" s="91" t="s">
        <v>4250</v>
      </c>
    </row>
    <row r="3199" spans="1:14" x14ac:dyDescent="0.25">
      <c r="A3199" s="91" t="s">
        <v>1324</v>
      </c>
      <c r="B3199" s="91" t="s">
        <v>1338</v>
      </c>
      <c r="C3199" s="91" t="s">
        <v>4355</v>
      </c>
      <c r="D3199" s="91" t="s">
        <v>113</v>
      </c>
      <c r="E3199" s="91"/>
      <c r="F3199">
        <v>960</v>
      </c>
      <c r="G3199">
        <v>20</v>
      </c>
      <c r="H3199" s="89">
        <v>46235</v>
      </c>
      <c r="I3199" s="89">
        <v>46242</v>
      </c>
      <c r="J3199" s="91" t="s">
        <v>4331</v>
      </c>
      <c r="K3199" s="91"/>
      <c r="M3199" s="91"/>
      <c r="N3199" s="91" t="s">
        <v>4250</v>
      </c>
    </row>
    <row r="3200" spans="1:14" x14ac:dyDescent="0.25">
      <c r="A3200" s="91" t="s">
        <v>1324</v>
      </c>
      <c r="B3200" s="91" t="s">
        <v>1338</v>
      </c>
      <c r="C3200" s="91" t="s">
        <v>4356</v>
      </c>
      <c r="D3200" s="91" t="s">
        <v>24</v>
      </c>
      <c r="E3200" s="91"/>
      <c r="F3200">
        <v>816</v>
      </c>
      <c r="G3200">
        <v>17</v>
      </c>
      <c r="H3200" s="89">
        <v>46235</v>
      </c>
      <c r="I3200" s="89">
        <v>46242</v>
      </c>
      <c r="J3200" s="91" t="s">
        <v>4331</v>
      </c>
      <c r="K3200" s="91"/>
      <c r="M3200" s="91"/>
      <c r="N3200" s="91" t="s">
        <v>4250</v>
      </c>
    </row>
    <row r="3201" spans="1:14" x14ac:dyDescent="0.25">
      <c r="A3201" s="91" t="s">
        <v>1320</v>
      </c>
      <c r="B3201" s="91" t="s">
        <v>1334</v>
      </c>
      <c r="C3201" s="91" t="s">
        <v>4357</v>
      </c>
      <c r="D3201" s="91" t="s">
        <v>152</v>
      </c>
      <c r="E3201" s="91"/>
      <c r="F3201">
        <v>240</v>
      </c>
      <c r="G3201">
        <v>5</v>
      </c>
      <c r="H3201" s="89">
        <v>46235</v>
      </c>
      <c r="I3201" s="89">
        <v>46240</v>
      </c>
      <c r="J3201" s="91" t="s">
        <v>4339</v>
      </c>
      <c r="K3201" s="91"/>
      <c r="M3201" s="91"/>
      <c r="N3201" s="91" t="s">
        <v>4250</v>
      </c>
    </row>
    <row r="3202" spans="1:14" x14ac:dyDescent="0.25">
      <c r="A3202" s="91" t="s">
        <v>1320</v>
      </c>
      <c r="B3202" s="91" t="s">
        <v>1334</v>
      </c>
      <c r="C3202" s="91" t="s">
        <v>4358</v>
      </c>
      <c r="D3202" s="91" t="s">
        <v>97</v>
      </c>
      <c r="E3202" s="91"/>
      <c r="F3202">
        <v>384</v>
      </c>
      <c r="G3202">
        <v>8</v>
      </c>
      <c r="H3202" s="89">
        <v>46235</v>
      </c>
      <c r="I3202" s="89">
        <v>46240</v>
      </c>
      <c r="J3202" s="91" t="s">
        <v>4339</v>
      </c>
      <c r="K3202" s="91"/>
      <c r="M3202" s="91"/>
      <c r="N3202" s="91" t="s">
        <v>4250</v>
      </c>
    </row>
    <row r="3203" spans="1:14" x14ac:dyDescent="0.25">
      <c r="A3203" s="91" t="s">
        <v>1324</v>
      </c>
      <c r="B3203" s="91" t="s">
        <v>1338</v>
      </c>
      <c r="C3203" s="91" t="s">
        <v>4359</v>
      </c>
      <c r="D3203" s="91" t="s">
        <v>13</v>
      </c>
      <c r="E3203" s="91"/>
      <c r="F3203">
        <v>960</v>
      </c>
      <c r="G3203">
        <v>20</v>
      </c>
      <c r="H3203" s="89">
        <v>46237</v>
      </c>
      <c r="I3203" s="89">
        <v>46244</v>
      </c>
      <c r="J3203" s="91" t="s">
        <v>4360</v>
      </c>
      <c r="K3203" s="91"/>
      <c r="M3203" s="91"/>
      <c r="N3203" s="91" t="s">
        <v>4361</v>
      </c>
    </row>
    <row r="3204" spans="1:14" x14ac:dyDescent="0.25">
      <c r="A3204" s="91" t="s">
        <v>1320</v>
      </c>
      <c r="B3204" s="91" t="s">
        <v>1334</v>
      </c>
      <c r="C3204" s="91" t="s">
        <v>4359</v>
      </c>
      <c r="D3204" s="91" t="s">
        <v>13</v>
      </c>
      <c r="E3204" s="91"/>
      <c r="F3204">
        <v>480</v>
      </c>
      <c r="G3204">
        <v>10</v>
      </c>
      <c r="H3204" s="89">
        <v>46237</v>
      </c>
      <c r="I3204" s="89">
        <v>46242</v>
      </c>
      <c r="J3204" s="91" t="s">
        <v>4362</v>
      </c>
      <c r="K3204" s="91"/>
      <c r="M3204" s="91"/>
      <c r="N3204" s="91" t="s">
        <v>4361</v>
      </c>
    </row>
    <row r="3205" spans="1:14" x14ac:dyDescent="0.25">
      <c r="A3205" s="91" t="s">
        <v>1319</v>
      </c>
      <c r="B3205" s="91" t="s">
        <v>1333</v>
      </c>
      <c r="C3205" s="91" t="s">
        <v>4363</v>
      </c>
      <c r="D3205" s="91" t="s">
        <v>15</v>
      </c>
      <c r="E3205" s="91"/>
      <c r="F3205">
        <v>60</v>
      </c>
      <c r="G3205">
        <v>1.25</v>
      </c>
      <c r="H3205" s="89">
        <v>46237</v>
      </c>
      <c r="I3205" s="89">
        <v>46241</v>
      </c>
      <c r="J3205" s="91" t="s">
        <v>4351</v>
      </c>
      <c r="K3205" s="91"/>
      <c r="M3205" s="91"/>
      <c r="N3205" s="91" t="s">
        <v>4361</v>
      </c>
    </row>
    <row r="3206" spans="1:14" x14ac:dyDescent="0.25">
      <c r="A3206" s="91" t="s">
        <v>1313</v>
      </c>
      <c r="B3206" s="91" t="s">
        <v>1327</v>
      </c>
      <c r="C3206" s="91" t="s">
        <v>4363</v>
      </c>
      <c r="D3206" s="91" t="s">
        <v>15</v>
      </c>
      <c r="E3206" s="91"/>
      <c r="F3206">
        <v>36</v>
      </c>
      <c r="G3206">
        <v>0.75</v>
      </c>
      <c r="H3206" s="89">
        <v>46237</v>
      </c>
      <c r="I3206" s="89">
        <v>46241</v>
      </c>
      <c r="J3206" s="91" t="s">
        <v>4351</v>
      </c>
      <c r="K3206" s="91"/>
      <c r="M3206" s="91"/>
      <c r="N3206" s="91" t="s">
        <v>4361</v>
      </c>
    </row>
    <row r="3207" spans="1:14" x14ac:dyDescent="0.25">
      <c r="A3207" s="91" t="s">
        <v>1314</v>
      </c>
      <c r="B3207" s="91" t="s">
        <v>1328</v>
      </c>
      <c r="C3207" s="91" t="s">
        <v>4363</v>
      </c>
      <c r="D3207" s="91" t="s">
        <v>15</v>
      </c>
      <c r="E3207" s="91"/>
      <c r="F3207">
        <v>48</v>
      </c>
      <c r="G3207">
        <v>1</v>
      </c>
      <c r="H3207" s="89">
        <v>46237</v>
      </c>
      <c r="I3207" s="89">
        <v>46241</v>
      </c>
      <c r="J3207" s="91" t="s">
        <v>4364</v>
      </c>
      <c r="K3207" s="91"/>
      <c r="M3207" s="91"/>
      <c r="N3207" s="91" t="s">
        <v>4361</v>
      </c>
    </row>
    <row r="3208" spans="1:14" x14ac:dyDescent="0.25">
      <c r="A3208" s="91" t="s">
        <v>1313</v>
      </c>
      <c r="B3208" s="91" t="s">
        <v>1327</v>
      </c>
      <c r="C3208" s="91" t="s">
        <v>4363</v>
      </c>
      <c r="D3208" s="91" t="s">
        <v>15</v>
      </c>
      <c r="E3208" s="91"/>
      <c r="F3208">
        <v>1104</v>
      </c>
      <c r="G3208">
        <v>23</v>
      </c>
      <c r="H3208" s="89">
        <v>46237</v>
      </c>
      <c r="I3208" s="89">
        <v>46241</v>
      </c>
      <c r="J3208" s="91" t="s">
        <v>4364</v>
      </c>
      <c r="K3208" s="91"/>
      <c r="M3208" s="91"/>
      <c r="N3208" s="91" t="s">
        <v>4361</v>
      </c>
    </row>
    <row r="3209" spans="1:14" x14ac:dyDescent="0.25">
      <c r="A3209" s="91" t="s">
        <v>1315</v>
      </c>
      <c r="B3209" s="91" t="s">
        <v>1329</v>
      </c>
      <c r="C3209" s="91" t="s">
        <v>4363</v>
      </c>
      <c r="D3209" s="91" t="s">
        <v>15</v>
      </c>
      <c r="E3209" s="91"/>
      <c r="F3209">
        <v>37</v>
      </c>
      <c r="G3209" t="s">
        <v>1419</v>
      </c>
      <c r="H3209" s="89">
        <v>46237</v>
      </c>
      <c r="I3209" s="89">
        <v>46242</v>
      </c>
      <c r="J3209" s="91" t="s">
        <v>3549</v>
      </c>
      <c r="K3209" s="91"/>
      <c r="M3209" s="91"/>
      <c r="N3209" s="91" t="s">
        <v>4361</v>
      </c>
    </row>
    <row r="3210" spans="1:14" x14ac:dyDescent="0.25">
      <c r="A3210" s="91" t="s">
        <v>1316</v>
      </c>
      <c r="B3210" s="91" t="s">
        <v>1330</v>
      </c>
      <c r="C3210" s="91" t="s">
        <v>4365</v>
      </c>
      <c r="D3210" s="91" t="s">
        <v>15</v>
      </c>
      <c r="E3210" s="91"/>
      <c r="F3210">
        <v>42</v>
      </c>
      <c r="G3210" t="s">
        <v>1419</v>
      </c>
      <c r="H3210" s="89">
        <v>46237</v>
      </c>
      <c r="I3210" s="89">
        <v>46239</v>
      </c>
      <c r="J3210" s="91" t="s">
        <v>3549</v>
      </c>
      <c r="K3210" s="91"/>
      <c r="M3210" s="91"/>
      <c r="N3210" s="91" t="s">
        <v>4361</v>
      </c>
    </row>
    <row r="3211" spans="1:14" x14ac:dyDescent="0.25">
      <c r="A3211" s="91" t="s">
        <v>1317</v>
      </c>
      <c r="B3211" s="91" t="s">
        <v>1331</v>
      </c>
      <c r="C3211" s="91" t="s">
        <v>4366</v>
      </c>
      <c r="D3211" s="91" t="s">
        <v>15</v>
      </c>
      <c r="E3211" s="91"/>
      <c r="F3211">
        <v>56</v>
      </c>
      <c r="G3211" t="s">
        <v>1419</v>
      </c>
      <c r="H3211" s="89">
        <v>46237</v>
      </c>
      <c r="I3211" s="89">
        <v>46239</v>
      </c>
      <c r="J3211" s="91" t="s">
        <v>3549</v>
      </c>
      <c r="K3211" s="91"/>
      <c r="M3211" s="91"/>
      <c r="N3211" s="91" t="s">
        <v>4361</v>
      </c>
    </row>
    <row r="3212" spans="1:14" x14ac:dyDescent="0.25">
      <c r="A3212" s="91" t="s">
        <v>1318</v>
      </c>
      <c r="B3212" s="91" t="s">
        <v>1332</v>
      </c>
      <c r="C3212" s="91" t="s">
        <v>4367</v>
      </c>
      <c r="D3212" s="91" t="s">
        <v>15</v>
      </c>
      <c r="E3212" s="91"/>
      <c r="F3212">
        <v>33</v>
      </c>
      <c r="G3212" t="s">
        <v>1419</v>
      </c>
      <c r="H3212" s="89">
        <v>46237</v>
      </c>
      <c r="I3212" s="89">
        <v>46239</v>
      </c>
      <c r="J3212" s="91" t="s">
        <v>3549</v>
      </c>
      <c r="K3212" s="91"/>
      <c r="M3212" s="91"/>
      <c r="N3212" s="91" t="s">
        <v>4361</v>
      </c>
    </row>
    <row r="3213" spans="1:14" x14ac:dyDescent="0.25">
      <c r="A3213" s="91" t="s">
        <v>1320</v>
      </c>
      <c r="B3213" s="91" t="s">
        <v>1334</v>
      </c>
      <c r="C3213" s="91" t="s">
        <v>4368</v>
      </c>
      <c r="D3213" s="91" t="s">
        <v>20</v>
      </c>
      <c r="E3213" s="91"/>
      <c r="F3213">
        <v>960</v>
      </c>
      <c r="G3213">
        <v>20</v>
      </c>
      <c r="H3213" s="89">
        <v>46237</v>
      </c>
      <c r="I3213" s="89">
        <v>46241</v>
      </c>
      <c r="J3213" s="91" t="s">
        <v>4369</v>
      </c>
      <c r="K3213" s="91"/>
      <c r="M3213" s="91"/>
      <c r="N3213" s="91" t="s">
        <v>4361</v>
      </c>
    </row>
    <row r="3214" spans="1:14" x14ac:dyDescent="0.25">
      <c r="A3214" s="91" t="s">
        <v>1313</v>
      </c>
      <c r="B3214" s="91" t="s">
        <v>1327</v>
      </c>
      <c r="C3214" s="91" t="s">
        <v>4368</v>
      </c>
      <c r="D3214" s="91" t="s">
        <v>20</v>
      </c>
      <c r="E3214" s="91"/>
      <c r="F3214">
        <v>192</v>
      </c>
      <c r="G3214">
        <v>4</v>
      </c>
      <c r="H3214" s="89">
        <v>46237</v>
      </c>
      <c r="I3214" s="89">
        <v>46242</v>
      </c>
      <c r="J3214" s="91" t="s">
        <v>3549</v>
      </c>
      <c r="K3214" s="91"/>
      <c r="M3214" s="91"/>
      <c r="N3214" s="91" t="s">
        <v>4361</v>
      </c>
    </row>
    <row r="3215" spans="1:14" x14ac:dyDescent="0.25">
      <c r="A3215" s="91" t="s">
        <v>1315</v>
      </c>
      <c r="B3215" s="91" t="s">
        <v>1329</v>
      </c>
      <c r="C3215" s="91" t="s">
        <v>4368</v>
      </c>
      <c r="D3215" s="91" t="s">
        <v>20</v>
      </c>
      <c r="E3215" s="91"/>
      <c r="F3215">
        <v>46</v>
      </c>
      <c r="G3215" t="s">
        <v>1419</v>
      </c>
      <c r="H3215" s="89">
        <v>46237</v>
      </c>
      <c r="I3215" s="89">
        <v>46242</v>
      </c>
      <c r="J3215" s="91" t="s">
        <v>3549</v>
      </c>
      <c r="K3215" s="91"/>
      <c r="M3215" s="91"/>
      <c r="N3215" s="91" t="s">
        <v>4361</v>
      </c>
    </row>
    <row r="3216" spans="1:14" x14ac:dyDescent="0.25">
      <c r="A3216" s="91" t="s">
        <v>1316</v>
      </c>
      <c r="B3216" s="91" t="s">
        <v>1330</v>
      </c>
      <c r="C3216" s="91" t="s">
        <v>4370</v>
      </c>
      <c r="D3216" s="91" t="s">
        <v>20</v>
      </c>
      <c r="E3216" s="91"/>
      <c r="F3216">
        <v>199</v>
      </c>
      <c r="G3216" t="s">
        <v>1419</v>
      </c>
      <c r="H3216" s="89">
        <v>46237</v>
      </c>
      <c r="I3216" s="89">
        <v>46239</v>
      </c>
      <c r="J3216" s="91" t="s">
        <v>3549</v>
      </c>
      <c r="K3216" s="91"/>
      <c r="M3216" s="91"/>
      <c r="N3216" s="91" t="s">
        <v>4361</v>
      </c>
    </row>
    <row r="3217" spans="1:14" x14ac:dyDescent="0.25">
      <c r="A3217" s="91" t="s">
        <v>1317</v>
      </c>
      <c r="B3217" s="91" t="s">
        <v>1331</v>
      </c>
      <c r="C3217" s="91" t="s">
        <v>4371</v>
      </c>
      <c r="D3217" s="91" t="s">
        <v>20</v>
      </c>
      <c r="E3217" s="91"/>
      <c r="F3217">
        <v>51</v>
      </c>
      <c r="G3217" t="s">
        <v>1419</v>
      </c>
      <c r="H3217" s="89">
        <v>46237</v>
      </c>
      <c r="I3217" s="89">
        <v>46239</v>
      </c>
      <c r="J3217" s="91" t="s">
        <v>3549</v>
      </c>
      <c r="K3217" s="91"/>
      <c r="M3217" s="91"/>
      <c r="N3217" s="91" t="s">
        <v>4361</v>
      </c>
    </row>
    <row r="3218" spans="1:14" x14ac:dyDescent="0.25">
      <c r="A3218" s="91" t="s">
        <v>1318</v>
      </c>
      <c r="B3218" s="91" t="s">
        <v>1332</v>
      </c>
      <c r="C3218" s="91" t="s">
        <v>4372</v>
      </c>
      <c r="D3218" s="91" t="s">
        <v>20</v>
      </c>
      <c r="E3218" s="91"/>
      <c r="F3218">
        <v>68</v>
      </c>
      <c r="G3218" t="s">
        <v>1419</v>
      </c>
      <c r="H3218" s="89">
        <v>46237</v>
      </c>
      <c r="I3218" s="89">
        <v>46239</v>
      </c>
      <c r="J3218" s="91" t="s">
        <v>3549</v>
      </c>
      <c r="K3218" s="91"/>
      <c r="M3218" s="91"/>
      <c r="N3218" s="91" t="s">
        <v>4361</v>
      </c>
    </row>
    <row r="3219" spans="1:14" x14ac:dyDescent="0.25">
      <c r="A3219" s="91" t="s">
        <v>1320</v>
      </c>
      <c r="B3219" s="91" t="s">
        <v>1334</v>
      </c>
      <c r="C3219" s="91" t="s">
        <v>4373</v>
      </c>
      <c r="D3219" s="91" t="s">
        <v>21</v>
      </c>
      <c r="E3219" s="91"/>
      <c r="F3219">
        <v>960</v>
      </c>
      <c r="G3219">
        <v>20</v>
      </c>
      <c r="H3219" s="89">
        <v>46237</v>
      </c>
      <c r="I3219" s="89">
        <v>46241</v>
      </c>
      <c r="J3219" s="91" t="s">
        <v>4374</v>
      </c>
      <c r="K3219" s="91"/>
      <c r="M3219" s="91"/>
      <c r="N3219" s="91" t="s">
        <v>4361</v>
      </c>
    </row>
    <row r="3220" spans="1:14" x14ac:dyDescent="0.25">
      <c r="A3220" s="91" t="s">
        <v>1313</v>
      </c>
      <c r="B3220" s="91" t="s">
        <v>1327</v>
      </c>
      <c r="C3220" s="91" t="s">
        <v>4373</v>
      </c>
      <c r="D3220" s="91" t="s">
        <v>21</v>
      </c>
      <c r="E3220" s="91"/>
      <c r="F3220">
        <v>288</v>
      </c>
      <c r="G3220">
        <v>6</v>
      </c>
      <c r="H3220" s="89">
        <v>46237</v>
      </c>
      <c r="I3220" s="89">
        <v>46241</v>
      </c>
      <c r="J3220" s="91" t="s">
        <v>4351</v>
      </c>
      <c r="K3220" s="91"/>
      <c r="M3220" s="91"/>
      <c r="N3220" s="91" t="s">
        <v>4361</v>
      </c>
    </row>
    <row r="3221" spans="1:14" x14ac:dyDescent="0.25">
      <c r="A3221" s="91" t="s">
        <v>1315</v>
      </c>
      <c r="B3221" s="91" t="s">
        <v>1329</v>
      </c>
      <c r="C3221" s="91" t="s">
        <v>4373</v>
      </c>
      <c r="D3221" s="91" t="s">
        <v>21</v>
      </c>
      <c r="E3221" s="91"/>
      <c r="F3221">
        <v>136</v>
      </c>
      <c r="G3221" t="s">
        <v>1419</v>
      </c>
      <c r="H3221" s="89">
        <v>46237</v>
      </c>
      <c r="I3221" s="89">
        <v>46242</v>
      </c>
      <c r="J3221" s="91" t="s">
        <v>3549</v>
      </c>
      <c r="K3221" s="91"/>
      <c r="M3221" s="91"/>
      <c r="N3221" s="91" t="s">
        <v>4361</v>
      </c>
    </row>
    <row r="3222" spans="1:14" x14ac:dyDescent="0.25">
      <c r="A3222" s="91" t="s">
        <v>1316</v>
      </c>
      <c r="B3222" s="91" t="s">
        <v>1330</v>
      </c>
      <c r="C3222" s="91" t="s">
        <v>4375</v>
      </c>
      <c r="D3222" s="91" t="s">
        <v>21</v>
      </c>
      <c r="E3222" s="91"/>
      <c r="F3222">
        <v>33</v>
      </c>
      <c r="G3222" t="s">
        <v>1419</v>
      </c>
      <c r="H3222" s="89">
        <v>46237</v>
      </c>
      <c r="I3222" s="89">
        <v>46239</v>
      </c>
      <c r="J3222" s="91" t="s">
        <v>3549</v>
      </c>
      <c r="K3222" s="91"/>
      <c r="M3222" s="91"/>
      <c r="N3222" s="91" t="s">
        <v>4361</v>
      </c>
    </row>
    <row r="3223" spans="1:14" x14ac:dyDescent="0.25">
      <c r="A3223" s="91" t="s">
        <v>1317</v>
      </c>
      <c r="B3223" s="91" t="s">
        <v>1331</v>
      </c>
      <c r="C3223" s="91" t="s">
        <v>4376</v>
      </c>
      <c r="D3223" s="91" t="s">
        <v>21</v>
      </c>
      <c r="E3223" s="91"/>
      <c r="F3223">
        <v>11</v>
      </c>
      <c r="G3223" t="s">
        <v>1419</v>
      </c>
      <c r="H3223" s="89">
        <v>46237</v>
      </c>
      <c r="I3223" s="89">
        <v>46239</v>
      </c>
      <c r="J3223" s="91" t="s">
        <v>3549</v>
      </c>
      <c r="K3223" s="91"/>
      <c r="M3223" s="91"/>
      <c r="N3223" s="91" t="s">
        <v>4361</v>
      </c>
    </row>
    <row r="3224" spans="1:14" x14ac:dyDescent="0.25">
      <c r="A3224" s="91" t="s">
        <v>1318</v>
      </c>
      <c r="B3224" s="91" t="s">
        <v>1332</v>
      </c>
      <c r="C3224" s="91" t="s">
        <v>4377</v>
      </c>
      <c r="D3224" s="91" t="s">
        <v>21</v>
      </c>
      <c r="E3224" s="91"/>
      <c r="F3224">
        <v>74</v>
      </c>
      <c r="G3224" t="s">
        <v>1419</v>
      </c>
      <c r="H3224" s="89">
        <v>46237</v>
      </c>
      <c r="I3224" s="89">
        <v>46239</v>
      </c>
      <c r="J3224" s="91" t="s">
        <v>3549</v>
      </c>
      <c r="K3224" s="91"/>
      <c r="M3224" s="91"/>
      <c r="N3224" s="91" t="s">
        <v>4361</v>
      </c>
    </row>
    <row r="3225" spans="1:14" x14ac:dyDescent="0.25">
      <c r="A3225" s="91" t="s">
        <v>1324</v>
      </c>
      <c r="B3225" s="91" t="s">
        <v>1338</v>
      </c>
      <c r="C3225" s="91" t="s">
        <v>4378</v>
      </c>
      <c r="D3225" s="91" t="s">
        <v>150</v>
      </c>
      <c r="E3225" s="91"/>
      <c r="F3225">
        <v>1152</v>
      </c>
      <c r="G3225">
        <v>24</v>
      </c>
      <c r="H3225" s="89">
        <v>46238</v>
      </c>
      <c r="I3225" s="89">
        <v>46244</v>
      </c>
      <c r="J3225" s="91" t="s">
        <v>4379</v>
      </c>
      <c r="K3225" s="91"/>
      <c r="M3225" s="91"/>
      <c r="N3225" s="91" t="s">
        <v>4361</v>
      </c>
    </row>
    <row r="3226" spans="1:14" x14ac:dyDescent="0.25">
      <c r="A3226" s="91" t="s">
        <v>1321</v>
      </c>
      <c r="B3226" s="91" t="s">
        <v>1335</v>
      </c>
      <c r="C3226" s="91" t="s">
        <v>4380</v>
      </c>
      <c r="D3226" s="91" t="s">
        <v>32</v>
      </c>
      <c r="E3226" s="91"/>
      <c r="F3226">
        <v>144</v>
      </c>
      <c r="G3226">
        <v>3</v>
      </c>
      <c r="H3226" s="89">
        <v>46238</v>
      </c>
      <c r="I3226" s="89">
        <v>46245</v>
      </c>
      <c r="J3226" s="91" t="s">
        <v>4379</v>
      </c>
      <c r="K3226" s="91"/>
      <c r="M3226" s="91"/>
      <c r="N3226" s="91" t="s">
        <v>4361</v>
      </c>
    </row>
    <row r="3227" spans="1:14" x14ac:dyDescent="0.25">
      <c r="A3227" s="91" t="s">
        <v>1321</v>
      </c>
      <c r="B3227" s="91" t="s">
        <v>1335</v>
      </c>
      <c r="C3227" s="91" t="s">
        <v>4380</v>
      </c>
      <c r="D3227" s="91" t="s">
        <v>32</v>
      </c>
      <c r="E3227" s="91"/>
      <c r="F3227">
        <v>96</v>
      </c>
      <c r="G3227">
        <v>2</v>
      </c>
      <c r="H3227" s="89">
        <v>46238</v>
      </c>
      <c r="I3227" s="89">
        <v>46244</v>
      </c>
      <c r="J3227" s="91" t="s">
        <v>4360</v>
      </c>
      <c r="K3227" s="91"/>
      <c r="M3227" s="91"/>
      <c r="N3227" s="91" t="s">
        <v>4361</v>
      </c>
    </row>
    <row r="3228" spans="1:14" x14ac:dyDescent="0.25">
      <c r="A3228" s="91" t="s">
        <v>1320</v>
      </c>
      <c r="B3228" s="91" t="s">
        <v>1334</v>
      </c>
      <c r="C3228" s="91" t="s">
        <v>4381</v>
      </c>
      <c r="D3228" s="91" t="s">
        <v>152</v>
      </c>
      <c r="E3228" s="91"/>
      <c r="F3228">
        <v>480</v>
      </c>
      <c r="G3228">
        <v>10</v>
      </c>
      <c r="H3228" s="89">
        <v>46238</v>
      </c>
      <c r="I3228" s="89">
        <v>46242</v>
      </c>
      <c r="J3228" s="91" t="s">
        <v>4362</v>
      </c>
      <c r="K3228" s="91"/>
      <c r="M3228" s="91"/>
      <c r="N3228" s="91" t="s">
        <v>4361</v>
      </c>
    </row>
    <row r="3229" spans="1:14" x14ac:dyDescent="0.25">
      <c r="A3229" s="91" t="s">
        <v>1325</v>
      </c>
      <c r="B3229" s="91" t="s">
        <v>1339</v>
      </c>
      <c r="C3229" s="91" t="s">
        <v>4380</v>
      </c>
      <c r="D3229" s="91" t="s">
        <v>32</v>
      </c>
      <c r="E3229" s="91"/>
      <c r="F3229">
        <v>336</v>
      </c>
      <c r="G3229">
        <v>7</v>
      </c>
      <c r="H3229" s="89">
        <v>46238</v>
      </c>
      <c r="I3229" s="89">
        <v>46241</v>
      </c>
      <c r="J3229" s="91" t="s">
        <v>3549</v>
      </c>
      <c r="K3229" s="91"/>
      <c r="M3229" s="91"/>
      <c r="N3229" s="91" t="s">
        <v>4361</v>
      </c>
    </row>
    <row r="3230" spans="1:14" x14ac:dyDescent="0.25">
      <c r="A3230" s="91" t="s">
        <v>1313</v>
      </c>
      <c r="B3230" s="91" t="s">
        <v>1327</v>
      </c>
      <c r="C3230" s="91" t="s">
        <v>4382</v>
      </c>
      <c r="D3230" s="91" t="s">
        <v>15</v>
      </c>
      <c r="E3230" s="91"/>
      <c r="F3230">
        <v>1152</v>
      </c>
      <c r="G3230">
        <v>24</v>
      </c>
      <c r="H3230" s="89">
        <v>46238</v>
      </c>
      <c r="I3230" s="89">
        <v>46242</v>
      </c>
      <c r="J3230" s="91" t="s">
        <v>4383</v>
      </c>
      <c r="K3230" s="91"/>
      <c r="M3230" s="91"/>
      <c r="N3230" s="91" t="s">
        <v>4361</v>
      </c>
    </row>
    <row r="3231" spans="1:14" x14ac:dyDescent="0.25">
      <c r="A3231" s="91" t="s">
        <v>1314</v>
      </c>
      <c r="B3231" s="91" t="s">
        <v>1328</v>
      </c>
      <c r="C3231" s="91" t="s">
        <v>4382</v>
      </c>
      <c r="D3231" s="91" t="s">
        <v>15</v>
      </c>
      <c r="E3231" s="91"/>
      <c r="F3231">
        <v>240</v>
      </c>
      <c r="G3231">
        <v>5</v>
      </c>
      <c r="H3231" s="89">
        <v>46238</v>
      </c>
      <c r="I3231" s="89">
        <v>46242</v>
      </c>
      <c r="J3231" s="91" t="s">
        <v>4384</v>
      </c>
      <c r="K3231" s="91"/>
      <c r="M3231" s="91"/>
      <c r="N3231" s="91" t="s">
        <v>4361</v>
      </c>
    </row>
    <row r="3232" spans="1:14" x14ac:dyDescent="0.25">
      <c r="A3232" s="91" t="s">
        <v>1314</v>
      </c>
      <c r="B3232" s="91" t="s">
        <v>1328</v>
      </c>
      <c r="C3232" s="91" t="s">
        <v>4382</v>
      </c>
      <c r="D3232" s="91" t="s">
        <v>15</v>
      </c>
      <c r="E3232" s="91"/>
      <c r="F3232">
        <v>48</v>
      </c>
      <c r="G3232">
        <v>1</v>
      </c>
      <c r="H3232" s="89">
        <v>46238</v>
      </c>
      <c r="I3232" s="89">
        <v>46244</v>
      </c>
      <c r="J3232" s="91" t="s">
        <v>4385</v>
      </c>
      <c r="K3232" s="91"/>
      <c r="M3232" s="91"/>
      <c r="N3232" s="91" t="s">
        <v>4361</v>
      </c>
    </row>
    <row r="3233" spans="1:14" x14ac:dyDescent="0.25">
      <c r="A3233" s="91" t="s">
        <v>1313</v>
      </c>
      <c r="B3233" s="91" t="s">
        <v>1327</v>
      </c>
      <c r="C3233" s="91" t="s">
        <v>4382</v>
      </c>
      <c r="D3233" s="91" t="s">
        <v>15</v>
      </c>
      <c r="E3233" s="91"/>
      <c r="F3233">
        <v>192</v>
      </c>
      <c r="G3233">
        <v>4</v>
      </c>
      <c r="H3233" s="89">
        <v>46238</v>
      </c>
      <c r="I3233" s="89">
        <v>46242</v>
      </c>
      <c r="J3233" s="91" t="s">
        <v>4386</v>
      </c>
      <c r="K3233" s="91"/>
      <c r="M3233" s="91"/>
      <c r="N3233" s="91" t="s">
        <v>4361</v>
      </c>
    </row>
    <row r="3234" spans="1:14" x14ac:dyDescent="0.25">
      <c r="A3234" s="91" t="s">
        <v>1315</v>
      </c>
      <c r="B3234" s="91" t="s">
        <v>1329</v>
      </c>
      <c r="C3234" s="91" t="s">
        <v>4382</v>
      </c>
      <c r="D3234" s="91" t="s">
        <v>15</v>
      </c>
      <c r="E3234" s="91"/>
      <c r="F3234">
        <v>15</v>
      </c>
      <c r="G3234" t="s">
        <v>1419</v>
      </c>
      <c r="H3234" s="89">
        <v>46238</v>
      </c>
      <c r="I3234" s="89">
        <v>46242</v>
      </c>
      <c r="J3234" s="91" t="s">
        <v>3549</v>
      </c>
      <c r="K3234" s="91"/>
      <c r="M3234" s="91"/>
      <c r="N3234" s="91" t="s">
        <v>4361</v>
      </c>
    </row>
    <row r="3235" spans="1:14" x14ac:dyDescent="0.25">
      <c r="A3235" s="91" t="s">
        <v>1316</v>
      </c>
      <c r="B3235" s="91" t="s">
        <v>1330</v>
      </c>
      <c r="C3235" s="91" t="s">
        <v>4387</v>
      </c>
      <c r="D3235" s="91" t="s">
        <v>15</v>
      </c>
      <c r="E3235" s="91"/>
      <c r="F3235">
        <v>69</v>
      </c>
      <c r="G3235" t="s">
        <v>1419</v>
      </c>
      <c r="H3235" s="89">
        <v>46238</v>
      </c>
      <c r="I3235" s="89">
        <v>46240</v>
      </c>
      <c r="J3235" s="91" t="s">
        <v>3549</v>
      </c>
      <c r="K3235" s="91"/>
      <c r="M3235" s="91"/>
      <c r="N3235" s="91" t="s">
        <v>4361</v>
      </c>
    </row>
    <row r="3236" spans="1:14" x14ac:dyDescent="0.25">
      <c r="A3236" s="91" t="s">
        <v>1317</v>
      </c>
      <c r="B3236" s="91" t="s">
        <v>1331</v>
      </c>
      <c r="C3236" s="91" t="s">
        <v>4388</v>
      </c>
      <c r="D3236" s="91" t="s">
        <v>15</v>
      </c>
      <c r="E3236" s="91"/>
      <c r="F3236">
        <v>102</v>
      </c>
      <c r="G3236" t="s">
        <v>1419</v>
      </c>
      <c r="H3236" s="89">
        <v>46238</v>
      </c>
      <c r="I3236" s="89">
        <v>46240</v>
      </c>
      <c r="J3236" s="91" t="s">
        <v>3549</v>
      </c>
      <c r="K3236" s="91"/>
      <c r="M3236" s="91"/>
      <c r="N3236" s="91" t="s">
        <v>4361</v>
      </c>
    </row>
    <row r="3237" spans="1:14" x14ac:dyDescent="0.25">
      <c r="A3237" s="91" t="s">
        <v>1318</v>
      </c>
      <c r="B3237" s="91" t="s">
        <v>1332</v>
      </c>
      <c r="C3237" s="91" t="s">
        <v>4389</v>
      </c>
      <c r="D3237" s="91" t="s">
        <v>15</v>
      </c>
      <c r="E3237" s="91"/>
      <c r="F3237">
        <v>51</v>
      </c>
      <c r="G3237" t="s">
        <v>1419</v>
      </c>
      <c r="H3237" s="89">
        <v>46238</v>
      </c>
      <c r="I3237" s="89">
        <v>46240</v>
      </c>
      <c r="J3237" s="91" t="s">
        <v>3549</v>
      </c>
      <c r="K3237" s="91"/>
      <c r="M3237" s="91"/>
      <c r="N3237" s="91" t="s">
        <v>4361</v>
      </c>
    </row>
    <row r="3238" spans="1:14" x14ac:dyDescent="0.25">
      <c r="A3238" s="91" t="s">
        <v>1324</v>
      </c>
      <c r="B3238" s="91" t="s">
        <v>1338</v>
      </c>
      <c r="C3238" s="91" t="s">
        <v>4390</v>
      </c>
      <c r="D3238" s="91" t="s">
        <v>28</v>
      </c>
      <c r="E3238" s="91"/>
      <c r="F3238">
        <v>864</v>
      </c>
      <c r="G3238">
        <v>18</v>
      </c>
      <c r="H3238" s="89">
        <v>46238</v>
      </c>
      <c r="I3238" s="89">
        <v>46244</v>
      </c>
      <c r="J3238" s="91" t="s">
        <v>4360</v>
      </c>
      <c r="K3238" s="91"/>
      <c r="M3238" s="91"/>
      <c r="N3238" s="91" t="s">
        <v>4361</v>
      </c>
    </row>
    <row r="3239" spans="1:14" x14ac:dyDescent="0.25">
      <c r="A3239" s="91" t="s">
        <v>1313</v>
      </c>
      <c r="B3239" s="91" t="s">
        <v>1327</v>
      </c>
      <c r="C3239" s="91" t="s">
        <v>4390</v>
      </c>
      <c r="D3239" s="91" t="s">
        <v>28</v>
      </c>
      <c r="E3239" s="91"/>
      <c r="F3239">
        <v>48</v>
      </c>
      <c r="G3239">
        <v>1</v>
      </c>
      <c r="H3239" s="89">
        <v>46238</v>
      </c>
      <c r="I3239" s="89">
        <v>46242</v>
      </c>
      <c r="J3239" s="91" t="s">
        <v>3549</v>
      </c>
      <c r="K3239" s="91"/>
      <c r="M3239" s="91"/>
      <c r="N3239" s="91" t="s">
        <v>4361</v>
      </c>
    </row>
    <row r="3240" spans="1:14" x14ac:dyDescent="0.25">
      <c r="A3240" s="91" t="s">
        <v>1315</v>
      </c>
      <c r="B3240" s="91" t="s">
        <v>1329</v>
      </c>
      <c r="C3240" s="91" t="s">
        <v>4390</v>
      </c>
      <c r="D3240" s="91" t="s">
        <v>28</v>
      </c>
      <c r="E3240" s="91"/>
      <c r="F3240">
        <v>171</v>
      </c>
      <c r="G3240" t="s">
        <v>1419</v>
      </c>
      <c r="H3240" s="89">
        <v>46238</v>
      </c>
      <c r="I3240" s="89">
        <v>46242</v>
      </c>
      <c r="J3240" s="91" t="s">
        <v>3549</v>
      </c>
      <c r="K3240" s="91"/>
      <c r="M3240" s="91"/>
      <c r="N3240" s="91" t="s">
        <v>4361</v>
      </c>
    </row>
    <row r="3241" spans="1:14" x14ac:dyDescent="0.25">
      <c r="A3241" s="91" t="s">
        <v>1316</v>
      </c>
      <c r="B3241" s="91" t="s">
        <v>1330</v>
      </c>
      <c r="C3241" s="91" t="s">
        <v>4391</v>
      </c>
      <c r="D3241" s="91" t="s">
        <v>28</v>
      </c>
      <c r="E3241" s="91"/>
      <c r="F3241">
        <v>19</v>
      </c>
      <c r="G3241" t="s">
        <v>1419</v>
      </c>
      <c r="H3241" s="89">
        <v>46238</v>
      </c>
      <c r="I3241" s="89">
        <v>46240</v>
      </c>
      <c r="J3241" s="91" t="s">
        <v>3549</v>
      </c>
      <c r="K3241" s="91"/>
      <c r="M3241" s="91"/>
      <c r="N3241" s="91" t="s">
        <v>4361</v>
      </c>
    </row>
    <row r="3242" spans="1:14" x14ac:dyDescent="0.25">
      <c r="A3242" s="91" t="s">
        <v>1317</v>
      </c>
      <c r="B3242" s="91" t="s">
        <v>1331</v>
      </c>
      <c r="C3242" s="91" t="s">
        <v>4392</v>
      </c>
      <c r="D3242" s="91" t="s">
        <v>28</v>
      </c>
      <c r="E3242" s="91"/>
      <c r="F3242">
        <v>3</v>
      </c>
      <c r="G3242" t="s">
        <v>1419</v>
      </c>
      <c r="H3242" s="89">
        <v>46238</v>
      </c>
      <c r="I3242" s="89">
        <v>46240</v>
      </c>
      <c r="J3242" s="91" t="s">
        <v>3549</v>
      </c>
      <c r="K3242" s="91"/>
      <c r="M3242" s="91"/>
      <c r="N3242" s="91" t="s">
        <v>4361</v>
      </c>
    </row>
    <row r="3243" spans="1:14" x14ac:dyDescent="0.25">
      <c r="A3243" s="91" t="s">
        <v>1318</v>
      </c>
      <c r="B3243" s="91" t="s">
        <v>1332</v>
      </c>
      <c r="C3243" s="91" t="s">
        <v>4393</v>
      </c>
      <c r="D3243" s="91" t="s">
        <v>28</v>
      </c>
      <c r="E3243" s="91"/>
      <c r="F3243">
        <v>36</v>
      </c>
      <c r="G3243" t="s">
        <v>1419</v>
      </c>
      <c r="H3243" s="89">
        <v>46238</v>
      </c>
      <c r="I3243" s="89">
        <v>46240</v>
      </c>
      <c r="J3243" s="91" t="s">
        <v>3549</v>
      </c>
      <c r="K3243" s="91"/>
      <c r="M3243" s="91"/>
      <c r="N3243" s="91" t="s">
        <v>4361</v>
      </c>
    </row>
    <row r="3244" spans="1:14" x14ac:dyDescent="0.25">
      <c r="A3244" s="91" t="s">
        <v>1323</v>
      </c>
      <c r="B3244" s="91" t="s">
        <v>1337</v>
      </c>
      <c r="C3244" s="91" t="s">
        <v>4394</v>
      </c>
      <c r="D3244" s="91" t="s">
        <v>20</v>
      </c>
      <c r="E3244" s="91"/>
      <c r="F3244">
        <v>918</v>
      </c>
      <c r="G3244">
        <v>17</v>
      </c>
      <c r="H3244" s="89">
        <v>46238</v>
      </c>
      <c r="I3244" s="89">
        <v>46242</v>
      </c>
      <c r="J3244" s="91" t="s">
        <v>4395</v>
      </c>
      <c r="K3244" s="91"/>
      <c r="M3244" s="91"/>
      <c r="N3244" s="91" t="s">
        <v>4361</v>
      </c>
    </row>
    <row r="3245" spans="1:14" x14ac:dyDescent="0.25">
      <c r="A3245" s="91" t="s">
        <v>1322</v>
      </c>
      <c r="B3245" s="91" t="s">
        <v>1336</v>
      </c>
      <c r="C3245" s="91" t="s">
        <v>4394</v>
      </c>
      <c r="D3245" s="91" t="s">
        <v>20</v>
      </c>
      <c r="E3245" s="91"/>
      <c r="F3245">
        <v>162</v>
      </c>
      <c r="G3245">
        <v>3</v>
      </c>
      <c r="H3245" s="89">
        <v>46238</v>
      </c>
      <c r="I3245" s="89">
        <v>46242</v>
      </c>
      <c r="J3245" s="91" t="s">
        <v>4395</v>
      </c>
      <c r="K3245" s="91"/>
      <c r="M3245" s="91"/>
      <c r="N3245" s="91" t="s">
        <v>4361</v>
      </c>
    </row>
    <row r="3246" spans="1:14" x14ac:dyDescent="0.25">
      <c r="A3246" s="91" t="s">
        <v>1313</v>
      </c>
      <c r="B3246" s="91" t="s">
        <v>1327</v>
      </c>
      <c r="C3246" s="91" t="s">
        <v>4394</v>
      </c>
      <c r="D3246" s="91" t="s">
        <v>20</v>
      </c>
      <c r="E3246" s="91"/>
      <c r="F3246">
        <v>144</v>
      </c>
      <c r="G3246">
        <v>3</v>
      </c>
      <c r="H3246" s="89">
        <v>46238</v>
      </c>
      <c r="I3246" s="89">
        <v>46242</v>
      </c>
      <c r="J3246" s="91" t="s">
        <v>3549</v>
      </c>
      <c r="K3246" s="91"/>
      <c r="M3246" s="91"/>
      <c r="N3246" s="91" t="s">
        <v>4361</v>
      </c>
    </row>
    <row r="3247" spans="1:14" x14ac:dyDescent="0.25">
      <c r="A3247" s="91" t="s">
        <v>1315</v>
      </c>
      <c r="B3247" s="91" t="s">
        <v>1329</v>
      </c>
      <c r="C3247" s="91" t="s">
        <v>4394</v>
      </c>
      <c r="D3247" s="91" t="s">
        <v>20</v>
      </c>
      <c r="E3247" s="91"/>
      <c r="F3247">
        <v>3</v>
      </c>
      <c r="G3247" t="s">
        <v>1419</v>
      </c>
      <c r="H3247" s="89">
        <v>46238</v>
      </c>
      <c r="I3247" s="89">
        <v>46242</v>
      </c>
      <c r="J3247" s="91" t="s">
        <v>3549</v>
      </c>
      <c r="K3247" s="91"/>
      <c r="M3247" s="91"/>
      <c r="N3247" s="91" t="s">
        <v>4361</v>
      </c>
    </row>
    <row r="3248" spans="1:14" x14ac:dyDescent="0.25">
      <c r="A3248" s="91" t="s">
        <v>1316</v>
      </c>
      <c r="B3248" s="91" t="s">
        <v>1330</v>
      </c>
      <c r="C3248" s="91" t="s">
        <v>4396</v>
      </c>
      <c r="D3248" s="91" t="s">
        <v>20</v>
      </c>
      <c r="E3248" s="91"/>
      <c r="F3248">
        <v>85</v>
      </c>
      <c r="G3248" t="s">
        <v>1419</v>
      </c>
      <c r="H3248" s="89">
        <v>46238</v>
      </c>
      <c r="I3248" s="89">
        <v>46240</v>
      </c>
      <c r="J3248" s="91" t="s">
        <v>3549</v>
      </c>
      <c r="K3248" s="91"/>
      <c r="M3248" s="91"/>
      <c r="N3248" s="91" t="s">
        <v>4361</v>
      </c>
    </row>
    <row r="3249" spans="1:14" x14ac:dyDescent="0.25">
      <c r="A3249" s="91" t="s">
        <v>1317</v>
      </c>
      <c r="B3249" s="91" t="s">
        <v>1331</v>
      </c>
      <c r="C3249" s="91" t="s">
        <v>4397</v>
      </c>
      <c r="D3249" s="91" t="s">
        <v>20</v>
      </c>
      <c r="E3249" s="91"/>
      <c r="F3249">
        <v>9</v>
      </c>
      <c r="G3249" t="s">
        <v>1419</v>
      </c>
      <c r="H3249" s="89">
        <v>46238</v>
      </c>
      <c r="I3249" s="89">
        <v>46240</v>
      </c>
      <c r="J3249" s="91" t="s">
        <v>3549</v>
      </c>
      <c r="K3249" s="91"/>
      <c r="M3249" s="91"/>
      <c r="N3249" s="91" t="s">
        <v>4361</v>
      </c>
    </row>
    <row r="3250" spans="1:14" x14ac:dyDescent="0.25">
      <c r="A3250" s="91" t="s">
        <v>1318</v>
      </c>
      <c r="B3250" s="91" t="s">
        <v>1332</v>
      </c>
      <c r="C3250" s="91" t="s">
        <v>4398</v>
      </c>
      <c r="D3250" s="91" t="s">
        <v>20</v>
      </c>
      <c r="E3250" s="91"/>
      <c r="F3250">
        <v>49</v>
      </c>
      <c r="G3250" t="s">
        <v>1419</v>
      </c>
      <c r="H3250" s="89">
        <v>46238</v>
      </c>
      <c r="I3250" s="89">
        <v>46240</v>
      </c>
      <c r="J3250" s="91" t="s">
        <v>3549</v>
      </c>
      <c r="K3250" s="91"/>
      <c r="M3250" s="91"/>
      <c r="N3250" s="91" t="s">
        <v>4361</v>
      </c>
    </row>
    <row r="3251" spans="1:14" x14ac:dyDescent="0.25">
      <c r="A3251" s="91" t="s">
        <v>1324</v>
      </c>
      <c r="B3251" s="91" t="s">
        <v>1338</v>
      </c>
      <c r="C3251" s="91" t="s">
        <v>4399</v>
      </c>
      <c r="D3251" s="91" t="s">
        <v>119</v>
      </c>
      <c r="E3251" s="91"/>
      <c r="F3251">
        <v>960</v>
      </c>
      <c r="G3251">
        <v>20</v>
      </c>
      <c r="H3251" s="89">
        <v>46239</v>
      </c>
      <c r="I3251" s="89">
        <v>46246</v>
      </c>
      <c r="J3251" s="91" t="s">
        <v>4400</v>
      </c>
      <c r="K3251" s="91"/>
      <c r="M3251" s="91"/>
      <c r="N3251" s="91" t="s">
        <v>4361</v>
      </c>
    </row>
    <row r="3252" spans="1:14" x14ac:dyDescent="0.25">
      <c r="A3252" s="91" t="s">
        <v>1320</v>
      </c>
      <c r="B3252" s="91" t="s">
        <v>1334</v>
      </c>
      <c r="C3252" s="91" t="s">
        <v>4401</v>
      </c>
      <c r="D3252" s="91" t="s">
        <v>150</v>
      </c>
      <c r="E3252" s="91"/>
      <c r="F3252">
        <v>960</v>
      </c>
      <c r="G3252">
        <v>20</v>
      </c>
      <c r="H3252" s="89">
        <v>46239</v>
      </c>
      <c r="I3252" s="89">
        <v>46242</v>
      </c>
      <c r="J3252" s="91" t="s">
        <v>4402</v>
      </c>
      <c r="K3252" s="91"/>
      <c r="M3252" s="91"/>
      <c r="N3252" s="91" t="s">
        <v>4361</v>
      </c>
    </row>
    <row r="3253" spans="1:14" x14ac:dyDescent="0.25">
      <c r="A3253" s="91" t="s">
        <v>1324</v>
      </c>
      <c r="B3253" s="91" t="s">
        <v>1338</v>
      </c>
      <c r="C3253" s="91" t="s">
        <v>4403</v>
      </c>
      <c r="D3253" s="91" t="s">
        <v>23</v>
      </c>
      <c r="E3253" s="91"/>
      <c r="F3253">
        <v>816</v>
      </c>
      <c r="G3253">
        <v>17</v>
      </c>
      <c r="H3253" s="89">
        <v>46239</v>
      </c>
      <c r="I3253" s="89">
        <v>46245</v>
      </c>
      <c r="J3253" s="91" t="s">
        <v>4379</v>
      </c>
      <c r="K3253" s="91"/>
      <c r="M3253" s="91"/>
      <c r="N3253" s="91" t="s">
        <v>4361</v>
      </c>
    </row>
    <row r="3254" spans="1:14" x14ac:dyDescent="0.25">
      <c r="A3254" s="91" t="s">
        <v>1313</v>
      </c>
      <c r="B3254" s="91" t="s">
        <v>1327</v>
      </c>
      <c r="C3254" s="91" t="s">
        <v>4404</v>
      </c>
      <c r="D3254" s="91" t="s">
        <v>15</v>
      </c>
      <c r="E3254" s="91"/>
      <c r="F3254">
        <v>720</v>
      </c>
      <c r="G3254">
        <v>15</v>
      </c>
      <c r="H3254" s="89">
        <v>46239</v>
      </c>
      <c r="I3254" s="89">
        <v>46242</v>
      </c>
      <c r="J3254" s="91" t="s">
        <v>4386</v>
      </c>
      <c r="K3254" s="91"/>
      <c r="M3254" s="91"/>
      <c r="N3254" s="91" t="s">
        <v>4361</v>
      </c>
    </row>
    <row r="3255" spans="1:14" x14ac:dyDescent="0.25">
      <c r="A3255" s="91" t="s">
        <v>1313</v>
      </c>
      <c r="B3255" s="91" t="s">
        <v>1327</v>
      </c>
      <c r="C3255" s="91" t="s">
        <v>4404</v>
      </c>
      <c r="D3255" s="91" t="s">
        <v>15</v>
      </c>
      <c r="E3255" s="91"/>
      <c r="F3255">
        <v>48</v>
      </c>
      <c r="G3255">
        <v>1</v>
      </c>
      <c r="H3255" s="89">
        <v>46239</v>
      </c>
      <c r="I3255" s="89">
        <v>46241</v>
      </c>
      <c r="J3255" s="91" t="s">
        <v>3549</v>
      </c>
      <c r="K3255" s="91"/>
      <c r="M3255" s="91"/>
      <c r="N3255" s="91" t="s">
        <v>4361</v>
      </c>
    </row>
    <row r="3256" spans="1:14" x14ac:dyDescent="0.25">
      <c r="A3256" s="91" t="s">
        <v>1315</v>
      </c>
      <c r="B3256" s="91" t="s">
        <v>1329</v>
      </c>
      <c r="C3256" s="91" t="s">
        <v>4404</v>
      </c>
      <c r="D3256" s="91" t="s">
        <v>15</v>
      </c>
      <c r="E3256" s="91"/>
      <c r="F3256">
        <v>43</v>
      </c>
      <c r="G3256" t="s">
        <v>1419</v>
      </c>
      <c r="H3256" s="89">
        <v>46239</v>
      </c>
      <c r="I3256" s="89">
        <v>46242</v>
      </c>
      <c r="J3256" s="91" t="s">
        <v>3549</v>
      </c>
      <c r="K3256" s="91"/>
      <c r="M3256" s="91"/>
      <c r="N3256" s="91" t="s">
        <v>4361</v>
      </c>
    </row>
    <row r="3257" spans="1:14" x14ac:dyDescent="0.25">
      <c r="A3257" s="91" t="s">
        <v>1316</v>
      </c>
      <c r="B3257" s="91" t="s">
        <v>1330</v>
      </c>
      <c r="C3257" s="91" t="s">
        <v>4405</v>
      </c>
      <c r="D3257" s="91" t="s">
        <v>15</v>
      </c>
      <c r="E3257" s="91"/>
      <c r="F3257">
        <v>58</v>
      </c>
      <c r="G3257" t="s">
        <v>1419</v>
      </c>
      <c r="H3257" s="89">
        <v>46239</v>
      </c>
      <c r="I3257" s="89">
        <v>46241</v>
      </c>
      <c r="J3257" s="91" t="s">
        <v>3549</v>
      </c>
      <c r="K3257" s="91"/>
      <c r="M3257" s="91"/>
      <c r="N3257" s="91" t="s">
        <v>4361</v>
      </c>
    </row>
    <row r="3258" spans="1:14" x14ac:dyDescent="0.25">
      <c r="A3258" s="91" t="s">
        <v>1317</v>
      </c>
      <c r="B3258" s="91" t="s">
        <v>1331</v>
      </c>
      <c r="C3258" s="91" t="s">
        <v>4406</v>
      </c>
      <c r="D3258" s="91" t="s">
        <v>15</v>
      </c>
      <c r="E3258" s="91"/>
      <c r="F3258">
        <v>85</v>
      </c>
      <c r="G3258" t="s">
        <v>1419</v>
      </c>
      <c r="H3258" s="89">
        <v>46239</v>
      </c>
      <c r="I3258" s="89">
        <v>46241</v>
      </c>
      <c r="J3258" s="91" t="s">
        <v>3549</v>
      </c>
      <c r="K3258" s="91"/>
      <c r="M3258" s="91"/>
      <c r="N3258" s="91" t="s">
        <v>4361</v>
      </c>
    </row>
    <row r="3259" spans="1:14" x14ac:dyDescent="0.25">
      <c r="A3259" s="91" t="s">
        <v>1318</v>
      </c>
      <c r="B3259" s="91" t="s">
        <v>1332</v>
      </c>
      <c r="C3259" s="91" t="s">
        <v>4407</v>
      </c>
      <c r="D3259" s="91" t="s">
        <v>15</v>
      </c>
      <c r="E3259" s="91"/>
      <c r="F3259">
        <v>45</v>
      </c>
      <c r="G3259" t="s">
        <v>1419</v>
      </c>
      <c r="H3259" s="89">
        <v>46239</v>
      </c>
      <c r="I3259" s="89">
        <v>46241</v>
      </c>
      <c r="J3259" s="91" t="s">
        <v>3549</v>
      </c>
      <c r="K3259" s="91"/>
      <c r="M3259" s="91"/>
      <c r="N3259" s="91" t="s">
        <v>4361</v>
      </c>
    </row>
    <row r="3260" spans="1:14" x14ac:dyDescent="0.25">
      <c r="A3260" s="91" t="s">
        <v>1324</v>
      </c>
      <c r="B3260" s="91" t="s">
        <v>1338</v>
      </c>
      <c r="C3260" s="91" t="s">
        <v>4408</v>
      </c>
      <c r="D3260" s="91" t="s">
        <v>21</v>
      </c>
      <c r="E3260" s="91"/>
      <c r="F3260">
        <v>960</v>
      </c>
      <c r="G3260">
        <v>20</v>
      </c>
      <c r="H3260" s="89">
        <v>46238</v>
      </c>
      <c r="I3260" s="89">
        <v>46245</v>
      </c>
      <c r="J3260" s="91" t="s">
        <v>4379</v>
      </c>
      <c r="K3260" s="91"/>
      <c r="M3260" s="91"/>
      <c r="N3260" s="91" t="s">
        <v>4361</v>
      </c>
    </row>
    <row r="3261" spans="1:14" x14ac:dyDescent="0.25">
      <c r="A3261" s="91" t="s">
        <v>1313</v>
      </c>
      <c r="B3261" s="91" t="s">
        <v>1327</v>
      </c>
      <c r="C3261" s="91" t="s">
        <v>4409</v>
      </c>
      <c r="D3261" s="91" t="s">
        <v>21</v>
      </c>
      <c r="E3261" s="91"/>
      <c r="F3261">
        <v>192</v>
      </c>
      <c r="G3261">
        <v>4</v>
      </c>
      <c r="H3261" s="89">
        <v>46239</v>
      </c>
      <c r="I3261" s="89">
        <v>46242</v>
      </c>
      <c r="J3261" s="91" t="s">
        <v>3549</v>
      </c>
      <c r="K3261" s="91"/>
      <c r="M3261" s="91"/>
      <c r="N3261" s="91" t="s">
        <v>4361</v>
      </c>
    </row>
    <row r="3262" spans="1:14" x14ac:dyDescent="0.25">
      <c r="A3262" s="91" t="s">
        <v>1315</v>
      </c>
      <c r="B3262" s="91" t="s">
        <v>1329</v>
      </c>
      <c r="C3262" s="91" t="s">
        <v>4409</v>
      </c>
      <c r="D3262" s="91" t="s">
        <v>21</v>
      </c>
      <c r="E3262" s="91"/>
      <c r="F3262">
        <v>74</v>
      </c>
      <c r="G3262" t="s">
        <v>1419</v>
      </c>
      <c r="H3262" s="89">
        <v>46239</v>
      </c>
      <c r="I3262" s="89">
        <v>46242</v>
      </c>
      <c r="J3262" s="91" t="s">
        <v>3549</v>
      </c>
      <c r="K3262" s="91"/>
      <c r="M3262" s="91"/>
      <c r="N3262" s="91" t="s">
        <v>4361</v>
      </c>
    </row>
    <row r="3263" spans="1:14" x14ac:dyDescent="0.25">
      <c r="A3263" s="91" t="s">
        <v>1316</v>
      </c>
      <c r="B3263" s="91" t="s">
        <v>1330</v>
      </c>
      <c r="C3263" s="91" t="s">
        <v>4410</v>
      </c>
      <c r="D3263" s="91" t="s">
        <v>21</v>
      </c>
      <c r="E3263" s="91"/>
      <c r="F3263">
        <v>44</v>
      </c>
      <c r="G3263" t="s">
        <v>1419</v>
      </c>
      <c r="H3263" s="89">
        <v>46239</v>
      </c>
      <c r="I3263" s="89">
        <v>46241</v>
      </c>
      <c r="J3263" s="91" t="s">
        <v>3549</v>
      </c>
      <c r="K3263" s="91"/>
      <c r="M3263" s="91"/>
      <c r="N3263" s="91" t="s">
        <v>4361</v>
      </c>
    </row>
    <row r="3264" spans="1:14" x14ac:dyDescent="0.25">
      <c r="A3264" s="91" t="s">
        <v>1317</v>
      </c>
      <c r="B3264" s="91" t="s">
        <v>1331</v>
      </c>
      <c r="C3264" s="91" t="s">
        <v>4411</v>
      </c>
      <c r="D3264" s="91" t="s">
        <v>21</v>
      </c>
      <c r="E3264" s="91"/>
      <c r="F3264">
        <v>26</v>
      </c>
      <c r="G3264" t="s">
        <v>1419</v>
      </c>
      <c r="H3264" s="89">
        <v>46239</v>
      </c>
      <c r="I3264" s="89">
        <v>46241</v>
      </c>
      <c r="J3264" s="91" t="s">
        <v>3549</v>
      </c>
      <c r="K3264" s="91"/>
      <c r="M3264" s="91"/>
      <c r="N3264" s="91" t="s">
        <v>4361</v>
      </c>
    </row>
    <row r="3265" spans="1:14" x14ac:dyDescent="0.25">
      <c r="A3265" s="91" t="s">
        <v>1318</v>
      </c>
      <c r="B3265" s="91" t="s">
        <v>1332</v>
      </c>
      <c r="C3265" s="91" t="s">
        <v>4412</v>
      </c>
      <c r="D3265" s="91" t="s">
        <v>21</v>
      </c>
      <c r="E3265" s="91"/>
      <c r="F3265">
        <v>78</v>
      </c>
      <c r="G3265" t="s">
        <v>1419</v>
      </c>
      <c r="H3265" s="89">
        <v>46239</v>
      </c>
      <c r="I3265" s="89">
        <v>46241</v>
      </c>
      <c r="J3265" s="91" t="s">
        <v>3549</v>
      </c>
      <c r="K3265" s="91"/>
      <c r="M3265" s="91"/>
      <c r="N3265" s="91" t="s">
        <v>4361</v>
      </c>
    </row>
    <row r="3266" spans="1:14" x14ac:dyDescent="0.25">
      <c r="A3266" s="91" t="s">
        <v>1313</v>
      </c>
      <c r="B3266" s="91" t="s">
        <v>1327</v>
      </c>
      <c r="C3266" s="91" t="s">
        <v>4413</v>
      </c>
      <c r="D3266" s="91" t="s">
        <v>20</v>
      </c>
      <c r="E3266" s="91"/>
      <c r="F3266">
        <v>990</v>
      </c>
      <c r="G3266">
        <v>20.625</v>
      </c>
      <c r="H3266" s="89">
        <v>46239</v>
      </c>
      <c r="I3266" s="89">
        <v>46244</v>
      </c>
      <c r="J3266" s="91" t="s">
        <v>4414</v>
      </c>
      <c r="K3266" s="91"/>
      <c r="M3266" s="91"/>
      <c r="N3266" s="91" t="s">
        <v>4361</v>
      </c>
    </row>
    <row r="3267" spans="1:14" x14ac:dyDescent="0.25">
      <c r="A3267" s="91" t="s">
        <v>1319</v>
      </c>
      <c r="B3267" s="91" t="s">
        <v>1333</v>
      </c>
      <c r="C3267" s="91" t="s">
        <v>4413</v>
      </c>
      <c r="D3267" s="91" t="s">
        <v>20</v>
      </c>
      <c r="E3267" s="91"/>
      <c r="F3267">
        <v>66</v>
      </c>
      <c r="G3267">
        <v>1.375</v>
      </c>
      <c r="H3267" s="89">
        <v>46239</v>
      </c>
      <c r="I3267" s="89">
        <v>46244</v>
      </c>
      <c r="J3267" s="91" t="s">
        <v>4414</v>
      </c>
      <c r="K3267" s="91"/>
      <c r="M3267" s="91"/>
      <c r="N3267" s="91" t="s">
        <v>4361</v>
      </c>
    </row>
    <row r="3268" spans="1:14" x14ac:dyDescent="0.25">
      <c r="A3268" s="91" t="s">
        <v>1313</v>
      </c>
      <c r="B3268" s="91" t="s">
        <v>1327</v>
      </c>
      <c r="C3268" s="91" t="s">
        <v>4413</v>
      </c>
      <c r="D3268" s="91" t="s">
        <v>20</v>
      </c>
      <c r="E3268" s="91"/>
      <c r="F3268">
        <v>192</v>
      </c>
      <c r="G3268">
        <v>4</v>
      </c>
      <c r="H3268" s="89">
        <v>46239</v>
      </c>
      <c r="I3268" s="89">
        <v>46242</v>
      </c>
      <c r="J3268" s="91" t="s">
        <v>3549</v>
      </c>
      <c r="K3268" s="91"/>
      <c r="M3268" s="91"/>
      <c r="N3268" s="91" t="s">
        <v>4361</v>
      </c>
    </row>
    <row r="3269" spans="1:14" x14ac:dyDescent="0.25">
      <c r="A3269" s="91" t="s">
        <v>1315</v>
      </c>
      <c r="B3269" s="91" t="s">
        <v>1329</v>
      </c>
      <c r="C3269" s="91" t="s">
        <v>4413</v>
      </c>
      <c r="D3269" s="91" t="s">
        <v>20</v>
      </c>
      <c r="E3269" s="91"/>
      <c r="F3269">
        <v>14</v>
      </c>
      <c r="G3269" t="s">
        <v>1419</v>
      </c>
      <c r="H3269" s="89">
        <v>46239</v>
      </c>
      <c r="I3269" s="89">
        <v>46242</v>
      </c>
      <c r="J3269" s="91" t="s">
        <v>3549</v>
      </c>
      <c r="K3269" s="91"/>
      <c r="M3269" s="91"/>
      <c r="N3269" s="91" t="s">
        <v>4361</v>
      </c>
    </row>
    <row r="3270" spans="1:14" x14ac:dyDescent="0.25">
      <c r="A3270" s="91" t="s">
        <v>1316</v>
      </c>
      <c r="B3270" s="91" t="s">
        <v>1330</v>
      </c>
      <c r="C3270" s="91" t="s">
        <v>4415</v>
      </c>
      <c r="D3270" s="91" t="s">
        <v>20</v>
      </c>
      <c r="E3270" s="91"/>
      <c r="F3270">
        <v>133</v>
      </c>
      <c r="G3270" t="s">
        <v>1419</v>
      </c>
      <c r="H3270" s="89">
        <v>46239</v>
      </c>
      <c r="I3270" s="89">
        <v>46241</v>
      </c>
      <c r="J3270" s="91" t="s">
        <v>3549</v>
      </c>
      <c r="K3270" s="91"/>
      <c r="M3270" s="91"/>
      <c r="N3270" s="91" t="s">
        <v>4361</v>
      </c>
    </row>
    <row r="3271" spans="1:14" x14ac:dyDescent="0.25">
      <c r="A3271" s="91" t="s">
        <v>1317</v>
      </c>
      <c r="B3271" s="91" t="s">
        <v>1331</v>
      </c>
      <c r="C3271" s="91" t="s">
        <v>4416</v>
      </c>
      <c r="D3271" s="91" t="s">
        <v>20</v>
      </c>
      <c r="E3271" s="91"/>
      <c r="F3271">
        <v>21</v>
      </c>
      <c r="G3271" t="s">
        <v>1419</v>
      </c>
      <c r="H3271" s="89">
        <v>46239</v>
      </c>
      <c r="I3271" s="89">
        <v>46241</v>
      </c>
      <c r="J3271" s="91" t="s">
        <v>3549</v>
      </c>
      <c r="K3271" s="91"/>
      <c r="M3271" s="91"/>
      <c r="N3271" s="91" t="s">
        <v>4361</v>
      </c>
    </row>
    <row r="3272" spans="1:14" x14ac:dyDescent="0.25">
      <c r="A3272" s="91" t="s">
        <v>1318</v>
      </c>
      <c r="B3272" s="91" t="s">
        <v>1332</v>
      </c>
      <c r="C3272" s="91" t="s">
        <v>4417</v>
      </c>
      <c r="D3272" s="91" t="s">
        <v>20</v>
      </c>
      <c r="E3272" s="91"/>
      <c r="F3272">
        <v>73</v>
      </c>
      <c r="G3272" t="s">
        <v>1419</v>
      </c>
      <c r="H3272" s="89">
        <v>46239</v>
      </c>
      <c r="I3272" s="89">
        <v>46241</v>
      </c>
      <c r="J3272" s="91" t="s">
        <v>3549</v>
      </c>
      <c r="K3272" s="91"/>
      <c r="M3272" s="91"/>
      <c r="N3272" s="91" t="s">
        <v>4361</v>
      </c>
    </row>
    <row r="3273" spans="1:14" x14ac:dyDescent="0.25">
      <c r="A3273" s="91" t="s">
        <v>1320</v>
      </c>
      <c r="B3273" s="91" t="s">
        <v>1334</v>
      </c>
      <c r="C3273" s="91" t="s">
        <v>4418</v>
      </c>
      <c r="D3273" s="91" t="s">
        <v>23</v>
      </c>
      <c r="E3273" s="91"/>
      <c r="F3273">
        <v>960</v>
      </c>
      <c r="G3273">
        <v>20</v>
      </c>
      <c r="H3273" s="89">
        <v>46240</v>
      </c>
      <c r="I3273" s="89">
        <v>46244</v>
      </c>
      <c r="J3273" s="91" t="s">
        <v>4419</v>
      </c>
      <c r="K3273" s="91"/>
      <c r="M3273" s="91"/>
      <c r="N3273" s="91" t="s">
        <v>4361</v>
      </c>
    </row>
    <row r="3274" spans="1:14" x14ac:dyDescent="0.25">
      <c r="A3274" s="91" t="s">
        <v>1320</v>
      </c>
      <c r="B3274" s="91" t="s">
        <v>1334</v>
      </c>
      <c r="C3274" s="91" t="s">
        <v>4420</v>
      </c>
      <c r="D3274" s="91" t="s">
        <v>150</v>
      </c>
      <c r="E3274" s="91"/>
      <c r="F3274">
        <v>960</v>
      </c>
      <c r="G3274">
        <v>20</v>
      </c>
      <c r="H3274" s="89">
        <v>46240</v>
      </c>
      <c r="I3274" s="89">
        <v>46244</v>
      </c>
      <c r="J3274" s="91" t="s">
        <v>4421</v>
      </c>
      <c r="K3274" s="91"/>
      <c r="M3274" s="91"/>
      <c r="N3274" s="91" t="s">
        <v>4361</v>
      </c>
    </row>
    <row r="3275" spans="1:14" x14ac:dyDescent="0.25">
      <c r="A3275" s="91" t="s">
        <v>1320</v>
      </c>
      <c r="B3275" s="91" t="s">
        <v>1334</v>
      </c>
      <c r="C3275" s="91" t="s">
        <v>4422</v>
      </c>
      <c r="D3275" s="91" t="s">
        <v>4313</v>
      </c>
      <c r="E3275" s="91"/>
      <c r="F3275">
        <v>960</v>
      </c>
      <c r="G3275">
        <v>20</v>
      </c>
      <c r="H3275" s="89">
        <v>46240</v>
      </c>
      <c r="I3275" s="89">
        <v>46245</v>
      </c>
      <c r="J3275" s="91" t="s">
        <v>4423</v>
      </c>
      <c r="K3275" s="91"/>
      <c r="M3275" s="91"/>
      <c r="N3275" s="91" t="s">
        <v>4361</v>
      </c>
    </row>
    <row r="3276" spans="1:14" x14ac:dyDescent="0.25">
      <c r="A3276" s="91" t="s">
        <v>1320</v>
      </c>
      <c r="B3276" s="91" t="s">
        <v>1334</v>
      </c>
      <c r="C3276" s="91" t="s">
        <v>4422</v>
      </c>
      <c r="D3276" s="91" t="s">
        <v>4313</v>
      </c>
      <c r="E3276" s="91"/>
      <c r="F3276">
        <v>624</v>
      </c>
      <c r="G3276">
        <v>13</v>
      </c>
      <c r="H3276" s="89">
        <v>46240</v>
      </c>
      <c r="I3276" s="89">
        <v>46246</v>
      </c>
      <c r="J3276" s="91" t="s">
        <v>4424</v>
      </c>
      <c r="K3276" s="91"/>
      <c r="M3276" s="91"/>
      <c r="N3276" s="91" t="s">
        <v>4361</v>
      </c>
    </row>
    <row r="3277" spans="1:14" x14ac:dyDescent="0.25">
      <c r="A3277" s="91" t="s">
        <v>1324</v>
      </c>
      <c r="B3277" s="91" t="s">
        <v>1338</v>
      </c>
      <c r="C3277" s="91" t="s">
        <v>4425</v>
      </c>
      <c r="D3277" s="91" t="s">
        <v>21</v>
      </c>
      <c r="E3277" s="91"/>
      <c r="F3277">
        <v>960</v>
      </c>
      <c r="G3277">
        <v>20</v>
      </c>
      <c r="H3277" s="89">
        <v>46240</v>
      </c>
      <c r="I3277" s="89">
        <v>46246</v>
      </c>
      <c r="J3277" s="91" t="s">
        <v>4400</v>
      </c>
      <c r="K3277" s="91"/>
      <c r="M3277" s="91"/>
      <c r="N3277" s="91" t="s">
        <v>4361</v>
      </c>
    </row>
    <row r="3278" spans="1:14" x14ac:dyDescent="0.25">
      <c r="A3278" s="91" t="s">
        <v>1313</v>
      </c>
      <c r="B3278" s="91" t="s">
        <v>1327</v>
      </c>
      <c r="C3278" s="91" t="s">
        <v>4425</v>
      </c>
      <c r="D3278" s="91" t="s">
        <v>21</v>
      </c>
      <c r="E3278" s="91"/>
      <c r="F3278">
        <v>528</v>
      </c>
      <c r="G3278">
        <v>11</v>
      </c>
      <c r="H3278" s="89">
        <v>46240</v>
      </c>
      <c r="I3278" s="89">
        <v>46242</v>
      </c>
      <c r="J3278" s="91" t="s">
        <v>3549</v>
      </c>
      <c r="K3278" s="91"/>
      <c r="M3278" s="91"/>
      <c r="N3278" s="91" t="s">
        <v>4361</v>
      </c>
    </row>
    <row r="3279" spans="1:14" x14ac:dyDescent="0.25">
      <c r="A3279" s="91" t="s">
        <v>1315</v>
      </c>
      <c r="B3279" s="91" t="s">
        <v>1329</v>
      </c>
      <c r="C3279" s="91" t="s">
        <v>4425</v>
      </c>
      <c r="D3279" s="91" t="s">
        <v>21</v>
      </c>
      <c r="E3279" s="91"/>
      <c r="F3279">
        <v>149</v>
      </c>
      <c r="G3279" t="s">
        <v>1419</v>
      </c>
      <c r="H3279" s="89">
        <v>46240</v>
      </c>
      <c r="I3279" s="89">
        <v>46242</v>
      </c>
      <c r="J3279" s="91" t="s">
        <v>3549</v>
      </c>
      <c r="K3279" s="91"/>
      <c r="M3279" s="91"/>
      <c r="N3279" s="91" t="s">
        <v>4361</v>
      </c>
    </row>
    <row r="3280" spans="1:14" x14ac:dyDescent="0.25">
      <c r="A3280" s="91" t="s">
        <v>1316</v>
      </c>
      <c r="B3280" s="91" t="s">
        <v>1330</v>
      </c>
      <c r="C3280" s="91" t="s">
        <v>4426</v>
      </c>
      <c r="D3280" s="91" t="s">
        <v>21</v>
      </c>
      <c r="E3280" s="91"/>
      <c r="F3280">
        <v>36</v>
      </c>
      <c r="G3280" t="s">
        <v>1419</v>
      </c>
      <c r="H3280" s="89">
        <v>46240</v>
      </c>
      <c r="I3280" s="89">
        <v>46242</v>
      </c>
      <c r="J3280" s="91" t="s">
        <v>3549</v>
      </c>
      <c r="K3280" s="91"/>
      <c r="M3280" s="91"/>
      <c r="N3280" s="91" t="s">
        <v>4361</v>
      </c>
    </row>
    <row r="3281" spans="1:14" x14ac:dyDescent="0.25">
      <c r="A3281" s="91" t="s">
        <v>1317</v>
      </c>
      <c r="B3281" s="91" t="s">
        <v>1331</v>
      </c>
      <c r="C3281" s="91" t="s">
        <v>4427</v>
      </c>
      <c r="D3281" s="91" t="s">
        <v>21</v>
      </c>
      <c r="E3281" s="91"/>
      <c r="F3281">
        <v>16</v>
      </c>
      <c r="G3281" t="s">
        <v>1419</v>
      </c>
      <c r="H3281" s="89">
        <v>46240</v>
      </c>
      <c r="I3281" s="89">
        <v>46242</v>
      </c>
      <c r="J3281" s="91" t="s">
        <v>3549</v>
      </c>
      <c r="K3281" s="91"/>
      <c r="M3281" s="91"/>
      <c r="N3281" s="91" t="s">
        <v>4361</v>
      </c>
    </row>
    <row r="3282" spans="1:14" x14ac:dyDescent="0.25">
      <c r="A3282" s="91" t="s">
        <v>1318</v>
      </c>
      <c r="B3282" s="91" t="s">
        <v>1332</v>
      </c>
      <c r="C3282" s="91" t="s">
        <v>4428</v>
      </c>
      <c r="D3282" s="91" t="s">
        <v>21</v>
      </c>
      <c r="E3282" s="91"/>
      <c r="F3282">
        <v>72</v>
      </c>
      <c r="G3282" t="s">
        <v>1419</v>
      </c>
      <c r="H3282" s="89">
        <v>46240</v>
      </c>
      <c r="I3282" s="89">
        <v>46242</v>
      </c>
      <c r="J3282" s="91" t="s">
        <v>3549</v>
      </c>
      <c r="K3282" s="91"/>
      <c r="M3282" s="91"/>
      <c r="N3282" s="91" t="s">
        <v>4361</v>
      </c>
    </row>
    <row r="3283" spans="1:14" x14ac:dyDescent="0.25">
      <c r="A3283" s="91" t="s">
        <v>1313</v>
      </c>
      <c r="B3283" s="91" t="s">
        <v>1327</v>
      </c>
      <c r="C3283" s="91" t="s">
        <v>4429</v>
      </c>
      <c r="D3283" s="91" t="s">
        <v>15</v>
      </c>
      <c r="E3283" s="91"/>
      <c r="F3283">
        <v>912</v>
      </c>
      <c r="G3283">
        <v>19</v>
      </c>
      <c r="H3283" s="89">
        <v>46240</v>
      </c>
      <c r="I3283" s="89">
        <v>46244</v>
      </c>
      <c r="J3283" s="91" t="s">
        <v>4430</v>
      </c>
      <c r="K3283" s="91"/>
      <c r="M3283" s="91"/>
      <c r="N3283" s="91" t="s">
        <v>4361</v>
      </c>
    </row>
    <row r="3284" spans="1:14" x14ac:dyDescent="0.25">
      <c r="A3284" s="91" t="s">
        <v>1314</v>
      </c>
      <c r="B3284" s="91" t="s">
        <v>1328</v>
      </c>
      <c r="C3284" s="91" t="s">
        <v>4429</v>
      </c>
      <c r="D3284" s="91" t="s">
        <v>15</v>
      </c>
      <c r="E3284" s="91"/>
      <c r="F3284">
        <v>192</v>
      </c>
      <c r="G3284">
        <v>4</v>
      </c>
      <c r="H3284" s="89">
        <v>46240</v>
      </c>
      <c r="I3284" s="89">
        <v>46244</v>
      </c>
      <c r="J3284" s="91" t="s">
        <v>4385</v>
      </c>
      <c r="K3284" s="91"/>
      <c r="M3284" s="91"/>
      <c r="N3284" s="91" t="s">
        <v>4361</v>
      </c>
    </row>
    <row r="3285" spans="1:14" x14ac:dyDescent="0.25">
      <c r="A3285" s="91" t="s">
        <v>1313</v>
      </c>
      <c r="B3285" s="91" t="s">
        <v>1327</v>
      </c>
      <c r="C3285" s="91" t="s">
        <v>4429</v>
      </c>
      <c r="D3285" s="91" t="s">
        <v>15</v>
      </c>
      <c r="E3285" s="91"/>
      <c r="F3285">
        <v>96</v>
      </c>
      <c r="G3285">
        <v>2</v>
      </c>
      <c r="H3285" s="89">
        <v>46240</v>
      </c>
      <c r="I3285" s="89">
        <v>46246</v>
      </c>
      <c r="J3285" s="91" t="s">
        <v>4431</v>
      </c>
      <c r="K3285" s="91"/>
      <c r="M3285" s="91"/>
      <c r="N3285" s="91" t="s">
        <v>4361</v>
      </c>
    </row>
    <row r="3286" spans="1:14" x14ac:dyDescent="0.25">
      <c r="A3286" s="91" t="s">
        <v>1315</v>
      </c>
      <c r="B3286" s="91" t="s">
        <v>1329</v>
      </c>
      <c r="C3286" s="91" t="s">
        <v>4429</v>
      </c>
      <c r="D3286" s="91" t="s">
        <v>15</v>
      </c>
      <c r="E3286" s="91"/>
      <c r="F3286">
        <v>32</v>
      </c>
      <c r="G3286" t="s">
        <v>1419</v>
      </c>
      <c r="H3286" s="89">
        <v>46240</v>
      </c>
      <c r="I3286" s="89">
        <v>46242</v>
      </c>
      <c r="J3286" s="91" t="s">
        <v>3549</v>
      </c>
      <c r="K3286" s="91"/>
      <c r="M3286" s="91"/>
      <c r="N3286" s="91" t="s">
        <v>4361</v>
      </c>
    </row>
    <row r="3287" spans="1:14" x14ac:dyDescent="0.25">
      <c r="A3287" s="91" t="s">
        <v>1316</v>
      </c>
      <c r="B3287" s="91" t="s">
        <v>1330</v>
      </c>
      <c r="C3287" s="91" t="s">
        <v>4432</v>
      </c>
      <c r="D3287" s="91" t="s">
        <v>15</v>
      </c>
      <c r="E3287" s="91"/>
      <c r="F3287">
        <v>32</v>
      </c>
      <c r="G3287" t="s">
        <v>1419</v>
      </c>
      <c r="H3287" s="89">
        <v>46240</v>
      </c>
      <c r="I3287" s="89">
        <v>46242</v>
      </c>
      <c r="J3287" s="91" t="s">
        <v>3549</v>
      </c>
      <c r="K3287" s="91"/>
      <c r="M3287" s="91"/>
      <c r="N3287" s="91" t="s">
        <v>4361</v>
      </c>
    </row>
    <row r="3288" spans="1:14" x14ac:dyDescent="0.25">
      <c r="A3288" s="91" t="s">
        <v>1317</v>
      </c>
      <c r="B3288" s="91" t="s">
        <v>1331</v>
      </c>
      <c r="C3288" s="91" t="s">
        <v>4433</v>
      </c>
      <c r="D3288" s="91" t="s">
        <v>15</v>
      </c>
      <c r="E3288" s="91"/>
      <c r="F3288">
        <v>13</v>
      </c>
      <c r="G3288" t="s">
        <v>1419</v>
      </c>
      <c r="H3288" s="89">
        <v>46240</v>
      </c>
      <c r="I3288" s="89">
        <v>46242</v>
      </c>
      <c r="J3288" s="91" t="s">
        <v>3549</v>
      </c>
      <c r="K3288" s="91"/>
      <c r="M3288" s="91"/>
      <c r="N3288" s="91" t="s">
        <v>4361</v>
      </c>
    </row>
    <row r="3289" spans="1:14" x14ac:dyDescent="0.25">
      <c r="A3289" s="91" t="s">
        <v>1318</v>
      </c>
      <c r="B3289" s="91" t="s">
        <v>1332</v>
      </c>
      <c r="C3289" s="91" t="s">
        <v>4434</v>
      </c>
      <c r="D3289" s="91" t="s">
        <v>15</v>
      </c>
      <c r="E3289" s="91"/>
      <c r="F3289">
        <v>35</v>
      </c>
      <c r="G3289" t="s">
        <v>1419</v>
      </c>
      <c r="H3289" s="89">
        <v>46240</v>
      </c>
      <c r="I3289" s="89">
        <v>46242</v>
      </c>
      <c r="J3289" s="91" t="s">
        <v>3549</v>
      </c>
      <c r="K3289" s="91"/>
      <c r="M3289" s="91"/>
      <c r="N3289" s="91" t="s">
        <v>4361</v>
      </c>
    </row>
    <row r="3290" spans="1:14" x14ac:dyDescent="0.25">
      <c r="A3290" s="91" t="s">
        <v>1313</v>
      </c>
      <c r="B3290" s="91" t="s">
        <v>1327</v>
      </c>
      <c r="C3290" s="91" t="s">
        <v>4435</v>
      </c>
      <c r="D3290" s="91" t="s">
        <v>20</v>
      </c>
      <c r="E3290" s="91"/>
      <c r="F3290">
        <v>1056</v>
      </c>
      <c r="G3290">
        <v>22</v>
      </c>
      <c r="H3290" s="89">
        <v>46240</v>
      </c>
      <c r="I3290" s="89">
        <v>46244</v>
      </c>
      <c r="J3290" s="91" t="s">
        <v>4436</v>
      </c>
      <c r="K3290" s="91"/>
      <c r="M3290" s="91"/>
      <c r="N3290" s="91" t="s">
        <v>4361</v>
      </c>
    </row>
    <row r="3291" spans="1:14" x14ac:dyDescent="0.25">
      <c r="A3291" s="91" t="s">
        <v>1313</v>
      </c>
      <c r="B3291" s="91" t="s">
        <v>1327</v>
      </c>
      <c r="C3291" s="91" t="s">
        <v>4435</v>
      </c>
      <c r="D3291" s="91" t="s">
        <v>20</v>
      </c>
      <c r="E3291" s="91"/>
      <c r="F3291">
        <v>96</v>
      </c>
      <c r="G3291">
        <v>2</v>
      </c>
      <c r="H3291" s="89">
        <v>46240</v>
      </c>
      <c r="I3291" s="89">
        <v>46242</v>
      </c>
      <c r="J3291" s="91" t="s">
        <v>3549</v>
      </c>
      <c r="K3291" s="91"/>
      <c r="M3291" s="91"/>
      <c r="N3291" s="91" t="s">
        <v>4361</v>
      </c>
    </row>
    <row r="3292" spans="1:14" x14ac:dyDescent="0.25">
      <c r="A3292" s="91" t="s">
        <v>1315</v>
      </c>
      <c r="B3292" s="91" t="s">
        <v>1329</v>
      </c>
      <c r="C3292" s="91" t="s">
        <v>4435</v>
      </c>
      <c r="D3292" s="91" t="s">
        <v>20</v>
      </c>
      <c r="E3292" s="91"/>
      <c r="F3292">
        <v>21</v>
      </c>
      <c r="G3292" t="s">
        <v>1419</v>
      </c>
      <c r="H3292" s="89">
        <v>46240</v>
      </c>
      <c r="I3292" s="89">
        <v>46242</v>
      </c>
      <c r="J3292" s="91" t="s">
        <v>3549</v>
      </c>
      <c r="K3292" s="91"/>
      <c r="M3292" s="91"/>
      <c r="N3292" s="91" t="s">
        <v>4361</v>
      </c>
    </row>
    <row r="3293" spans="1:14" x14ac:dyDescent="0.25">
      <c r="A3293" s="91" t="s">
        <v>1325</v>
      </c>
      <c r="B3293" s="91" t="s">
        <v>1339</v>
      </c>
      <c r="C3293" s="91" t="s">
        <v>4435</v>
      </c>
      <c r="D3293" s="91" t="s">
        <v>20</v>
      </c>
      <c r="E3293" s="91"/>
      <c r="F3293">
        <v>144</v>
      </c>
      <c r="G3293">
        <v>3</v>
      </c>
      <c r="H3293" s="89">
        <v>46240</v>
      </c>
      <c r="I3293" s="89">
        <v>46242</v>
      </c>
      <c r="J3293" s="91" t="s">
        <v>3549</v>
      </c>
      <c r="K3293" s="91"/>
      <c r="M3293" s="91"/>
      <c r="N3293" s="91" t="s">
        <v>4361</v>
      </c>
    </row>
    <row r="3294" spans="1:14" x14ac:dyDescent="0.25">
      <c r="A3294" s="91" t="s">
        <v>1316</v>
      </c>
      <c r="B3294" s="91" t="s">
        <v>1330</v>
      </c>
      <c r="C3294" s="91" t="s">
        <v>4437</v>
      </c>
      <c r="D3294" s="91" t="s">
        <v>20</v>
      </c>
      <c r="E3294" s="91"/>
      <c r="F3294">
        <v>148</v>
      </c>
      <c r="G3294" t="s">
        <v>1419</v>
      </c>
      <c r="H3294" s="89">
        <v>46240</v>
      </c>
      <c r="I3294" s="89">
        <v>46242</v>
      </c>
      <c r="J3294" s="91" t="s">
        <v>3549</v>
      </c>
      <c r="K3294" s="91"/>
      <c r="M3294" s="91"/>
      <c r="N3294" s="91" t="s">
        <v>4361</v>
      </c>
    </row>
    <row r="3295" spans="1:14" x14ac:dyDescent="0.25">
      <c r="A3295" s="91" t="s">
        <v>1317</v>
      </c>
      <c r="B3295" s="91" t="s">
        <v>1331</v>
      </c>
      <c r="C3295" s="91" t="s">
        <v>4438</v>
      </c>
      <c r="D3295" s="91" t="s">
        <v>20</v>
      </c>
      <c r="E3295" s="91"/>
      <c r="F3295">
        <v>65</v>
      </c>
      <c r="G3295" t="s">
        <v>1419</v>
      </c>
      <c r="H3295" s="89">
        <v>46240</v>
      </c>
      <c r="I3295" s="89">
        <v>46242</v>
      </c>
      <c r="J3295" s="91" t="s">
        <v>3549</v>
      </c>
      <c r="K3295" s="91"/>
      <c r="M3295" s="91"/>
      <c r="N3295" s="91" t="s">
        <v>4361</v>
      </c>
    </row>
    <row r="3296" spans="1:14" x14ac:dyDescent="0.25">
      <c r="A3296" s="91" t="s">
        <v>1318</v>
      </c>
      <c r="B3296" s="91" t="s">
        <v>1332</v>
      </c>
      <c r="C3296" s="91" t="s">
        <v>4439</v>
      </c>
      <c r="D3296" s="91" t="s">
        <v>20</v>
      </c>
      <c r="E3296" s="91"/>
      <c r="F3296">
        <v>78</v>
      </c>
      <c r="G3296" t="s">
        <v>1419</v>
      </c>
      <c r="H3296" s="89">
        <v>46240</v>
      </c>
      <c r="I3296" s="89">
        <v>46242</v>
      </c>
      <c r="J3296" s="91" t="s">
        <v>3549</v>
      </c>
      <c r="K3296" s="91"/>
      <c r="M3296" s="91"/>
      <c r="N3296" s="91" t="s">
        <v>4361</v>
      </c>
    </row>
    <row r="3297" spans="1:14" x14ac:dyDescent="0.25">
      <c r="A3297" s="91" t="s">
        <v>1320</v>
      </c>
      <c r="B3297" s="91" t="s">
        <v>1334</v>
      </c>
      <c r="C3297" s="91" t="s">
        <v>4440</v>
      </c>
      <c r="D3297" s="91" t="s">
        <v>23</v>
      </c>
      <c r="E3297" s="91"/>
      <c r="F3297">
        <v>960</v>
      </c>
      <c r="G3297">
        <v>20</v>
      </c>
      <c r="H3297" s="89">
        <v>46241</v>
      </c>
      <c r="I3297" s="89">
        <v>46245</v>
      </c>
      <c r="J3297" s="91" t="s">
        <v>4441</v>
      </c>
      <c r="K3297" s="91"/>
      <c r="M3297" s="91"/>
      <c r="N3297" s="91" t="s">
        <v>4361</v>
      </c>
    </row>
    <row r="3298" spans="1:14" x14ac:dyDescent="0.25">
      <c r="A3298" s="91" t="s">
        <v>1326</v>
      </c>
      <c r="B3298" s="91" t="s">
        <v>1340</v>
      </c>
      <c r="C3298" s="91" t="s">
        <v>4442</v>
      </c>
      <c r="D3298" s="91" t="s">
        <v>32</v>
      </c>
      <c r="E3298" s="91"/>
      <c r="F3298">
        <v>840</v>
      </c>
      <c r="G3298">
        <v>20</v>
      </c>
      <c r="H3298" s="89">
        <v>46241</v>
      </c>
      <c r="I3298" s="89">
        <v>46245</v>
      </c>
      <c r="J3298" s="91" t="s">
        <v>4443</v>
      </c>
      <c r="K3298" s="91"/>
      <c r="M3298" s="91"/>
      <c r="N3298" s="91" t="s">
        <v>4361</v>
      </c>
    </row>
    <row r="3299" spans="1:14" x14ac:dyDescent="0.25">
      <c r="A3299" s="91" t="s">
        <v>1324</v>
      </c>
      <c r="B3299" s="91" t="s">
        <v>1338</v>
      </c>
      <c r="C3299" s="91" t="s">
        <v>4444</v>
      </c>
      <c r="D3299" s="91" t="s">
        <v>118</v>
      </c>
      <c r="E3299" s="91"/>
      <c r="F3299">
        <v>960</v>
      </c>
      <c r="G3299">
        <v>20</v>
      </c>
      <c r="H3299" s="89">
        <v>46241</v>
      </c>
      <c r="I3299" s="89">
        <v>46249</v>
      </c>
      <c r="J3299" s="91" t="s">
        <v>4445</v>
      </c>
      <c r="K3299" s="91"/>
      <c r="M3299" s="91"/>
      <c r="N3299" s="91" t="s">
        <v>4361</v>
      </c>
    </row>
    <row r="3300" spans="1:14" x14ac:dyDescent="0.25">
      <c r="A3300" s="91" t="s">
        <v>1320</v>
      </c>
      <c r="B3300" s="91" t="s">
        <v>1334</v>
      </c>
      <c r="C3300" s="91" t="s">
        <v>4446</v>
      </c>
      <c r="D3300" s="91" t="s">
        <v>4313</v>
      </c>
      <c r="E3300" s="91"/>
      <c r="F3300">
        <v>336</v>
      </c>
      <c r="G3300">
        <v>7</v>
      </c>
      <c r="H3300" s="89">
        <v>46241</v>
      </c>
      <c r="I3300" s="89">
        <v>46246</v>
      </c>
      <c r="J3300" s="91" t="s">
        <v>4424</v>
      </c>
      <c r="K3300" s="91"/>
      <c r="M3300" s="91"/>
      <c r="N3300" s="91" t="s">
        <v>4361</v>
      </c>
    </row>
    <row r="3301" spans="1:14" x14ac:dyDescent="0.25">
      <c r="A3301" s="91" t="s">
        <v>1321</v>
      </c>
      <c r="B3301" s="91" t="s">
        <v>1335</v>
      </c>
      <c r="C3301" s="91" t="s">
        <v>4447</v>
      </c>
      <c r="D3301" s="91" t="s">
        <v>27</v>
      </c>
      <c r="E3301" s="91"/>
      <c r="F3301">
        <v>144</v>
      </c>
      <c r="G3301">
        <v>3</v>
      </c>
      <c r="H3301" s="89">
        <v>46241</v>
      </c>
      <c r="I3301" s="89">
        <v>46249</v>
      </c>
      <c r="J3301" s="91" t="s">
        <v>4445</v>
      </c>
      <c r="K3301" s="91"/>
      <c r="M3301" s="91"/>
      <c r="N3301" s="91" t="s">
        <v>4361</v>
      </c>
    </row>
    <row r="3302" spans="1:14" x14ac:dyDescent="0.25">
      <c r="A3302" s="91" t="s">
        <v>1325</v>
      </c>
      <c r="B3302" s="91" t="s">
        <v>1339</v>
      </c>
      <c r="C3302" s="91" t="s">
        <v>4447</v>
      </c>
      <c r="D3302" s="91" t="s">
        <v>27</v>
      </c>
      <c r="E3302" s="91"/>
      <c r="F3302">
        <v>336</v>
      </c>
      <c r="G3302">
        <v>7</v>
      </c>
      <c r="H3302" s="89">
        <v>46241</v>
      </c>
      <c r="I3302" s="89">
        <v>46244</v>
      </c>
      <c r="J3302" s="91" t="s">
        <v>3549</v>
      </c>
      <c r="K3302" s="91"/>
      <c r="M3302" s="91"/>
      <c r="N3302" s="91" t="s">
        <v>4361</v>
      </c>
    </row>
    <row r="3303" spans="1:14" x14ac:dyDescent="0.25">
      <c r="A3303" s="91" t="s">
        <v>1320</v>
      </c>
      <c r="B3303" s="91" t="s">
        <v>1334</v>
      </c>
      <c r="C3303" s="91" t="s">
        <v>4448</v>
      </c>
      <c r="D3303" s="91" t="s">
        <v>20</v>
      </c>
      <c r="E3303" s="91"/>
      <c r="F3303">
        <v>816</v>
      </c>
      <c r="G3303">
        <v>17</v>
      </c>
      <c r="H3303" s="89">
        <v>46241</v>
      </c>
      <c r="I3303" s="89">
        <v>46247</v>
      </c>
      <c r="J3303" s="91" t="s">
        <v>4449</v>
      </c>
      <c r="K3303" s="91"/>
      <c r="M3303" s="91"/>
      <c r="N3303" s="91" t="s">
        <v>4361</v>
      </c>
    </row>
    <row r="3304" spans="1:14" x14ac:dyDescent="0.25">
      <c r="A3304" s="91" t="s">
        <v>1313</v>
      </c>
      <c r="B3304" s="91" t="s">
        <v>1327</v>
      </c>
      <c r="C3304" s="91" t="s">
        <v>4448</v>
      </c>
      <c r="D3304" s="91" t="s">
        <v>20</v>
      </c>
      <c r="E3304" s="91"/>
      <c r="F3304">
        <v>144</v>
      </c>
      <c r="G3304">
        <v>3</v>
      </c>
      <c r="H3304" s="89">
        <v>46241</v>
      </c>
      <c r="I3304" s="89">
        <v>46242</v>
      </c>
      <c r="J3304" s="91" t="s">
        <v>3549</v>
      </c>
      <c r="K3304" s="91"/>
      <c r="M3304" s="91"/>
      <c r="N3304" s="91" t="s">
        <v>4361</v>
      </c>
    </row>
    <row r="3305" spans="1:14" x14ac:dyDescent="0.25">
      <c r="A3305" s="91" t="s">
        <v>1315</v>
      </c>
      <c r="B3305" s="91" t="s">
        <v>1329</v>
      </c>
      <c r="C3305" s="91" t="s">
        <v>4448</v>
      </c>
      <c r="D3305" s="91" t="s">
        <v>20</v>
      </c>
      <c r="E3305" s="91"/>
      <c r="F3305">
        <v>30</v>
      </c>
      <c r="G3305" t="s">
        <v>1419</v>
      </c>
      <c r="H3305" s="89">
        <v>46241</v>
      </c>
      <c r="I3305" s="89">
        <v>46242</v>
      </c>
      <c r="J3305" s="91" t="s">
        <v>3549</v>
      </c>
      <c r="K3305" s="91"/>
      <c r="M3305" s="91"/>
      <c r="N3305" s="91" t="s">
        <v>4361</v>
      </c>
    </row>
    <row r="3306" spans="1:14" x14ac:dyDescent="0.25">
      <c r="A3306" s="91" t="s">
        <v>1325</v>
      </c>
      <c r="B3306" s="91" t="s">
        <v>1339</v>
      </c>
      <c r="C3306" s="91" t="s">
        <v>4448</v>
      </c>
      <c r="D3306" s="91" t="s">
        <v>20</v>
      </c>
      <c r="E3306" s="91"/>
      <c r="F3306">
        <v>96</v>
      </c>
      <c r="G3306">
        <v>2</v>
      </c>
      <c r="H3306" s="89">
        <v>46241</v>
      </c>
      <c r="I3306" s="89">
        <v>46243</v>
      </c>
      <c r="J3306" s="91" t="s">
        <v>3549</v>
      </c>
      <c r="K3306" s="91"/>
      <c r="M3306" s="91"/>
      <c r="N3306" s="91" t="s">
        <v>4361</v>
      </c>
    </row>
    <row r="3307" spans="1:14" x14ac:dyDescent="0.25">
      <c r="A3307" s="91" t="s">
        <v>1316</v>
      </c>
      <c r="B3307" s="91" t="s">
        <v>1330</v>
      </c>
      <c r="C3307" s="91" t="s">
        <v>4450</v>
      </c>
      <c r="D3307" s="91" t="s">
        <v>20</v>
      </c>
      <c r="E3307" s="91"/>
      <c r="F3307">
        <v>98</v>
      </c>
      <c r="G3307" t="s">
        <v>1419</v>
      </c>
      <c r="H3307" s="89">
        <v>46241</v>
      </c>
      <c r="I3307" s="89">
        <v>46243</v>
      </c>
      <c r="J3307" s="91" t="s">
        <v>3549</v>
      </c>
      <c r="K3307" s="91"/>
      <c r="M3307" s="91"/>
      <c r="N3307" s="91" t="s">
        <v>4361</v>
      </c>
    </row>
    <row r="3308" spans="1:14" x14ac:dyDescent="0.25">
      <c r="A3308" s="91" t="s">
        <v>1317</v>
      </c>
      <c r="B3308" s="91" t="s">
        <v>1331</v>
      </c>
      <c r="C3308" s="91" t="s">
        <v>4451</v>
      </c>
      <c r="D3308" s="91" t="s">
        <v>20</v>
      </c>
      <c r="E3308" s="91"/>
      <c r="F3308">
        <v>30</v>
      </c>
      <c r="G3308" t="s">
        <v>1419</v>
      </c>
      <c r="H3308" s="89">
        <v>46241</v>
      </c>
      <c r="I3308" s="89">
        <v>46243</v>
      </c>
      <c r="J3308" s="91" t="s">
        <v>3549</v>
      </c>
      <c r="K3308" s="91"/>
      <c r="M3308" s="91"/>
      <c r="N3308" s="91" t="s">
        <v>4361</v>
      </c>
    </row>
    <row r="3309" spans="1:14" x14ac:dyDescent="0.25">
      <c r="A3309" s="91" t="s">
        <v>1318</v>
      </c>
      <c r="B3309" s="91" t="s">
        <v>1332</v>
      </c>
      <c r="C3309" s="91" t="s">
        <v>4452</v>
      </c>
      <c r="D3309" s="91" t="s">
        <v>20</v>
      </c>
      <c r="E3309" s="91"/>
      <c r="F3309">
        <v>72</v>
      </c>
      <c r="G3309" t="s">
        <v>1419</v>
      </c>
      <c r="H3309" s="89">
        <v>46241</v>
      </c>
      <c r="I3309" s="89">
        <v>46243</v>
      </c>
      <c r="J3309" s="91" t="s">
        <v>3549</v>
      </c>
      <c r="K3309" s="91"/>
      <c r="M3309" s="91"/>
      <c r="N3309" s="91" t="s">
        <v>4361</v>
      </c>
    </row>
    <row r="3310" spans="1:14" x14ac:dyDescent="0.25">
      <c r="A3310" s="91" t="s">
        <v>1320</v>
      </c>
      <c r="B3310" s="91" t="s">
        <v>1334</v>
      </c>
      <c r="C3310" s="91" t="s">
        <v>4453</v>
      </c>
      <c r="D3310" s="91" t="s">
        <v>28</v>
      </c>
      <c r="E3310" s="91"/>
      <c r="F3310">
        <v>960</v>
      </c>
      <c r="G3310">
        <v>20</v>
      </c>
      <c r="H3310" s="89">
        <v>46241</v>
      </c>
      <c r="I3310" s="89">
        <v>46246</v>
      </c>
      <c r="J3310" s="91" t="s">
        <v>4454</v>
      </c>
      <c r="K3310" s="91"/>
      <c r="M3310" s="91"/>
      <c r="N3310" s="91" t="s">
        <v>4361</v>
      </c>
    </row>
    <row r="3311" spans="1:14" x14ac:dyDescent="0.25">
      <c r="A3311" s="91" t="s">
        <v>1315</v>
      </c>
      <c r="B3311" s="91" t="s">
        <v>1329</v>
      </c>
      <c r="C3311" s="91" t="s">
        <v>4453</v>
      </c>
      <c r="D3311" s="91" t="s">
        <v>28</v>
      </c>
      <c r="E3311" s="91"/>
      <c r="F3311">
        <v>101</v>
      </c>
      <c r="G3311" t="s">
        <v>1419</v>
      </c>
      <c r="H3311" s="89">
        <v>46241</v>
      </c>
      <c r="I3311" s="89">
        <v>46242</v>
      </c>
      <c r="J3311" s="91" t="s">
        <v>3549</v>
      </c>
      <c r="K3311" s="91"/>
      <c r="M3311" s="91"/>
      <c r="N3311" s="91" t="s">
        <v>4361</v>
      </c>
    </row>
    <row r="3312" spans="1:14" x14ac:dyDescent="0.25">
      <c r="A3312" s="91" t="s">
        <v>1316</v>
      </c>
      <c r="B3312" s="91" t="s">
        <v>1330</v>
      </c>
      <c r="C3312" s="91" t="s">
        <v>4453</v>
      </c>
      <c r="D3312" s="91" t="s">
        <v>28</v>
      </c>
      <c r="E3312" s="91"/>
      <c r="F3312">
        <v>30</v>
      </c>
      <c r="G3312" t="s">
        <v>1419</v>
      </c>
      <c r="H3312" s="89">
        <v>46241</v>
      </c>
      <c r="I3312" s="89">
        <v>46243</v>
      </c>
      <c r="J3312" s="91" t="s">
        <v>3549</v>
      </c>
      <c r="K3312" s="91"/>
      <c r="M3312" s="91"/>
      <c r="N3312" s="91" t="s">
        <v>4361</v>
      </c>
    </row>
    <row r="3313" spans="1:14" x14ac:dyDescent="0.25">
      <c r="A3313" s="91" t="s">
        <v>1317</v>
      </c>
      <c r="B3313" s="91" t="s">
        <v>1331</v>
      </c>
      <c r="C3313" s="91" t="s">
        <v>4455</v>
      </c>
      <c r="D3313" s="91" t="s">
        <v>28</v>
      </c>
      <c r="E3313" s="91"/>
      <c r="F3313">
        <v>9</v>
      </c>
      <c r="G3313" t="s">
        <v>1419</v>
      </c>
      <c r="H3313" s="89">
        <v>46241</v>
      </c>
      <c r="I3313" s="89">
        <v>46243</v>
      </c>
      <c r="J3313" s="91" t="s">
        <v>3549</v>
      </c>
      <c r="K3313" s="91"/>
      <c r="M3313" s="91"/>
      <c r="N3313" s="91" t="s">
        <v>4361</v>
      </c>
    </row>
    <row r="3314" spans="1:14" x14ac:dyDescent="0.25">
      <c r="A3314" s="91" t="s">
        <v>1318</v>
      </c>
      <c r="B3314" s="91" t="s">
        <v>1332</v>
      </c>
      <c r="C3314" s="91" t="s">
        <v>4456</v>
      </c>
      <c r="D3314" s="91" t="s">
        <v>28</v>
      </c>
      <c r="E3314" s="91"/>
      <c r="F3314">
        <v>35</v>
      </c>
      <c r="G3314" t="s">
        <v>1419</v>
      </c>
      <c r="H3314" s="89">
        <v>46241</v>
      </c>
      <c r="I3314" s="89">
        <v>46243</v>
      </c>
      <c r="J3314" s="91" t="s">
        <v>3549</v>
      </c>
      <c r="K3314" s="91"/>
      <c r="M3314" s="91"/>
      <c r="N3314" s="91" t="s">
        <v>4361</v>
      </c>
    </row>
    <row r="3315" spans="1:14" x14ac:dyDescent="0.25">
      <c r="A3315" s="91" t="s">
        <v>1313</v>
      </c>
      <c r="B3315" s="91" t="s">
        <v>1327</v>
      </c>
      <c r="C3315" s="91" t="s">
        <v>4457</v>
      </c>
      <c r="D3315" s="91" t="s">
        <v>15</v>
      </c>
      <c r="E3315" s="91"/>
      <c r="F3315">
        <v>960</v>
      </c>
      <c r="G3315">
        <v>20</v>
      </c>
      <c r="H3315" s="89">
        <v>46241</v>
      </c>
      <c r="I3315" s="89">
        <v>46246</v>
      </c>
      <c r="J3315" s="91" t="s">
        <v>4431</v>
      </c>
      <c r="K3315" s="91"/>
      <c r="M3315" s="91"/>
      <c r="N3315" s="91" t="s">
        <v>4361</v>
      </c>
    </row>
    <row r="3316" spans="1:14" x14ac:dyDescent="0.25">
      <c r="A3316" s="91" t="s">
        <v>1313</v>
      </c>
      <c r="B3316" s="91" t="s">
        <v>1327</v>
      </c>
      <c r="C3316" s="91" t="s">
        <v>4457</v>
      </c>
      <c r="D3316" s="91" t="s">
        <v>15</v>
      </c>
      <c r="E3316" s="91"/>
      <c r="F3316">
        <v>48</v>
      </c>
      <c r="G3316">
        <v>1</v>
      </c>
      <c r="H3316" s="89">
        <v>46241</v>
      </c>
      <c r="I3316" s="89">
        <v>46243</v>
      </c>
      <c r="J3316" s="91"/>
      <c r="K3316" s="91"/>
      <c r="M3316" s="91"/>
      <c r="N3316" s="91" t="s">
        <v>4361</v>
      </c>
    </row>
    <row r="3317" spans="1:14" x14ac:dyDescent="0.25">
      <c r="A3317" s="91" t="s">
        <v>1314</v>
      </c>
      <c r="B3317" s="91" t="s">
        <v>1328</v>
      </c>
      <c r="C3317" s="91" t="s">
        <v>4457</v>
      </c>
      <c r="D3317" s="91" t="s">
        <v>15</v>
      </c>
      <c r="E3317" s="91"/>
      <c r="F3317">
        <v>96</v>
      </c>
      <c r="G3317">
        <v>2</v>
      </c>
      <c r="H3317" s="89">
        <v>46241</v>
      </c>
      <c r="I3317" s="89">
        <v>46244</v>
      </c>
      <c r="J3317" s="91" t="s">
        <v>4436</v>
      </c>
      <c r="K3317" s="91"/>
      <c r="M3317" s="91"/>
      <c r="N3317" s="91" t="s">
        <v>4361</v>
      </c>
    </row>
    <row r="3318" spans="1:14" x14ac:dyDescent="0.25">
      <c r="A3318" s="91" t="s">
        <v>1313</v>
      </c>
      <c r="B3318" s="91" t="s">
        <v>1327</v>
      </c>
      <c r="C3318" s="91" t="s">
        <v>4457</v>
      </c>
      <c r="D3318" s="91" t="s">
        <v>15</v>
      </c>
      <c r="E3318" s="91"/>
      <c r="F3318">
        <v>432</v>
      </c>
      <c r="G3318">
        <v>9</v>
      </c>
      <c r="H3318" s="89">
        <v>46241</v>
      </c>
      <c r="I3318" s="89">
        <v>46247</v>
      </c>
      <c r="J3318" s="91" t="s">
        <v>4458</v>
      </c>
      <c r="K3318" s="91"/>
      <c r="M3318" s="91"/>
      <c r="N3318" s="91" t="s">
        <v>4361</v>
      </c>
    </row>
    <row r="3319" spans="1:14" x14ac:dyDescent="0.25">
      <c r="A3319" s="91" t="s">
        <v>1315</v>
      </c>
      <c r="B3319" s="91" t="s">
        <v>1329</v>
      </c>
      <c r="C3319" s="91" t="s">
        <v>4457</v>
      </c>
      <c r="D3319" s="91" t="s">
        <v>15</v>
      </c>
      <c r="E3319" s="91"/>
      <c r="F3319">
        <v>79</v>
      </c>
      <c r="G3319" t="s">
        <v>1419</v>
      </c>
      <c r="H3319" s="89">
        <v>46241</v>
      </c>
      <c r="I3319" s="89">
        <v>46242</v>
      </c>
      <c r="J3319" s="91" t="s">
        <v>3549</v>
      </c>
      <c r="K3319" s="91"/>
      <c r="M3319" s="91"/>
      <c r="N3319" s="91" t="s">
        <v>4361</v>
      </c>
    </row>
    <row r="3320" spans="1:14" x14ac:dyDescent="0.25">
      <c r="A3320" s="91" t="s">
        <v>1316</v>
      </c>
      <c r="B3320" s="91" t="s">
        <v>1330</v>
      </c>
      <c r="C3320" s="91" t="s">
        <v>4459</v>
      </c>
      <c r="D3320" s="91" t="s">
        <v>15</v>
      </c>
      <c r="E3320" s="91"/>
      <c r="F3320">
        <v>33</v>
      </c>
      <c r="G3320" t="s">
        <v>1419</v>
      </c>
      <c r="H3320" s="89">
        <v>46241</v>
      </c>
      <c r="I3320" s="89">
        <v>46243</v>
      </c>
      <c r="J3320" s="91" t="s">
        <v>3549</v>
      </c>
      <c r="K3320" s="91"/>
      <c r="M3320" s="91"/>
      <c r="N3320" s="91" t="s">
        <v>4361</v>
      </c>
    </row>
    <row r="3321" spans="1:14" x14ac:dyDescent="0.25">
      <c r="A3321" s="91" t="s">
        <v>1317</v>
      </c>
      <c r="B3321" s="91" t="s">
        <v>1331</v>
      </c>
      <c r="C3321" s="91" t="s">
        <v>4460</v>
      </c>
      <c r="D3321" s="91" t="s">
        <v>15</v>
      </c>
      <c r="E3321" s="91"/>
      <c r="F3321">
        <v>75</v>
      </c>
      <c r="G3321" t="s">
        <v>1419</v>
      </c>
      <c r="H3321" s="89">
        <v>46241</v>
      </c>
      <c r="I3321" s="89">
        <v>46243</v>
      </c>
      <c r="J3321" s="91" t="s">
        <v>3549</v>
      </c>
      <c r="K3321" s="91"/>
      <c r="M3321" s="91"/>
      <c r="N3321" s="91" t="s">
        <v>4361</v>
      </c>
    </row>
    <row r="3322" spans="1:14" x14ac:dyDescent="0.25">
      <c r="A3322" s="91" t="s">
        <v>1318</v>
      </c>
      <c r="B3322" s="91" t="s">
        <v>1332</v>
      </c>
      <c r="C3322" s="91" t="s">
        <v>4461</v>
      </c>
      <c r="D3322" s="91" t="s">
        <v>15</v>
      </c>
      <c r="E3322" s="91"/>
      <c r="F3322">
        <v>36</v>
      </c>
      <c r="G3322" t="s">
        <v>1419</v>
      </c>
      <c r="H3322" s="89">
        <v>46241</v>
      </c>
      <c r="I3322" s="89">
        <v>46243</v>
      </c>
      <c r="J3322" s="91" t="s">
        <v>3549</v>
      </c>
      <c r="K3322" s="91"/>
      <c r="M3322" s="91"/>
      <c r="N3322" s="91" t="s">
        <v>4361</v>
      </c>
    </row>
    <row r="3323" spans="1:14" x14ac:dyDescent="0.25">
      <c r="A3323" s="91" t="s">
        <v>1324</v>
      </c>
      <c r="B3323" s="91" t="s">
        <v>1338</v>
      </c>
      <c r="C3323" s="91" t="s">
        <v>4462</v>
      </c>
      <c r="D3323" s="91" t="s">
        <v>88</v>
      </c>
      <c r="E3323" s="91"/>
      <c r="F3323">
        <v>816</v>
      </c>
      <c r="G3323">
        <v>17</v>
      </c>
      <c r="H3323" s="89">
        <v>46242</v>
      </c>
      <c r="I3323" s="89">
        <v>46249</v>
      </c>
      <c r="J3323" s="91" t="s">
        <v>4445</v>
      </c>
      <c r="K3323" s="91"/>
      <c r="M3323" s="91"/>
      <c r="N3323" s="91" t="s">
        <v>4361</v>
      </c>
    </row>
    <row r="3324" spans="1:14" x14ac:dyDescent="0.25">
      <c r="A3324" s="91" t="s">
        <v>1320</v>
      </c>
      <c r="B3324" s="91" t="s">
        <v>1334</v>
      </c>
      <c r="C3324" s="91" t="s">
        <v>4462</v>
      </c>
      <c r="D3324" s="91" t="s">
        <v>88</v>
      </c>
      <c r="E3324" s="91"/>
      <c r="F3324">
        <v>144</v>
      </c>
      <c r="G3324">
        <v>3</v>
      </c>
      <c r="H3324" s="89">
        <v>46242</v>
      </c>
      <c r="I3324" s="89">
        <v>46247</v>
      </c>
      <c r="J3324" s="91" t="s">
        <v>4449</v>
      </c>
      <c r="K3324" s="91"/>
      <c r="M3324" s="91"/>
      <c r="N3324" s="91" t="s">
        <v>4361</v>
      </c>
    </row>
    <row r="3325" spans="1:14" x14ac:dyDescent="0.25">
      <c r="A3325" s="91" t="s">
        <v>1314</v>
      </c>
      <c r="B3325" s="91" t="s">
        <v>1328</v>
      </c>
      <c r="C3325" s="91" t="s">
        <v>4463</v>
      </c>
      <c r="D3325" s="91" t="s">
        <v>21</v>
      </c>
      <c r="E3325" s="91"/>
      <c r="F3325">
        <v>96</v>
      </c>
      <c r="G3325">
        <v>2</v>
      </c>
      <c r="H3325" s="89">
        <v>46242</v>
      </c>
      <c r="I3325" s="89">
        <v>46246</v>
      </c>
      <c r="J3325" s="91" t="s">
        <v>4431</v>
      </c>
      <c r="K3325" s="91"/>
      <c r="M3325" s="91"/>
      <c r="N3325" s="91" t="s">
        <v>4361</v>
      </c>
    </row>
    <row r="3326" spans="1:14" x14ac:dyDescent="0.25">
      <c r="A3326" s="91" t="s">
        <v>1313</v>
      </c>
      <c r="B3326" s="91" t="s">
        <v>1327</v>
      </c>
      <c r="C3326" s="91" t="s">
        <v>4463</v>
      </c>
      <c r="D3326" s="91" t="s">
        <v>21</v>
      </c>
      <c r="E3326" s="91"/>
      <c r="F3326">
        <v>960</v>
      </c>
      <c r="G3326">
        <v>20</v>
      </c>
      <c r="H3326" s="89">
        <v>46242</v>
      </c>
      <c r="I3326" s="89">
        <v>46248</v>
      </c>
      <c r="J3326" s="91" t="s">
        <v>4464</v>
      </c>
      <c r="K3326" s="91"/>
      <c r="M3326" s="91"/>
      <c r="N3326" s="91" t="s">
        <v>4361</v>
      </c>
    </row>
    <row r="3327" spans="1:14" x14ac:dyDescent="0.25">
      <c r="A3327" s="91" t="s">
        <v>1315</v>
      </c>
      <c r="B3327" s="91" t="s">
        <v>1329</v>
      </c>
      <c r="C3327" s="91" t="s">
        <v>4463</v>
      </c>
      <c r="D3327" s="91" t="s">
        <v>21</v>
      </c>
      <c r="E3327" s="91"/>
      <c r="F3327">
        <v>122</v>
      </c>
      <c r="G3327" t="s">
        <v>1419</v>
      </c>
      <c r="H3327" s="89">
        <v>46242</v>
      </c>
      <c r="I3327" s="89">
        <v>46242</v>
      </c>
      <c r="J3327" s="91" t="s">
        <v>3549</v>
      </c>
      <c r="K3327" s="91"/>
      <c r="M3327" s="91"/>
      <c r="N3327" s="91" t="s">
        <v>4361</v>
      </c>
    </row>
    <row r="3328" spans="1:14" x14ac:dyDescent="0.25">
      <c r="A3328" s="91" t="s">
        <v>1316</v>
      </c>
      <c r="B3328" s="91" t="s">
        <v>1330</v>
      </c>
      <c r="C3328" s="91" t="s">
        <v>4465</v>
      </c>
      <c r="D3328" s="91" t="s">
        <v>21</v>
      </c>
      <c r="E3328" s="91"/>
      <c r="F3328">
        <v>34</v>
      </c>
      <c r="G3328" t="s">
        <v>1419</v>
      </c>
      <c r="H3328" s="89">
        <v>46242</v>
      </c>
      <c r="I3328" s="89">
        <v>46244</v>
      </c>
      <c r="J3328" s="91" t="s">
        <v>3549</v>
      </c>
      <c r="K3328" s="91"/>
      <c r="M3328" s="91"/>
      <c r="N3328" s="91" t="s">
        <v>4361</v>
      </c>
    </row>
    <row r="3329" spans="1:14" x14ac:dyDescent="0.25">
      <c r="A3329" s="91" t="s">
        <v>1317</v>
      </c>
      <c r="B3329" s="91" t="s">
        <v>1331</v>
      </c>
      <c r="C3329" s="91" t="s">
        <v>4466</v>
      </c>
      <c r="D3329" s="91" t="s">
        <v>21</v>
      </c>
      <c r="E3329" s="91"/>
      <c r="F3329">
        <v>1</v>
      </c>
      <c r="G3329" t="s">
        <v>1419</v>
      </c>
      <c r="H3329" s="89">
        <v>46242</v>
      </c>
      <c r="I3329" s="89">
        <v>46244</v>
      </c>
      <c r="J3329" s="91" t="s">
        <v>3549</v>
      </c>
      <c r="K3329" s="91"/>
      <c r="M3329" s="91"/>
      <c r="N3329" s="91" t="s">
        <v>4361</v>
      </c>
    </row>
    <row r="3330" spans="1:14" x14ac:dyDescent="0.25">
      <c r="A3330" s="91" t="s">
        <v>1318</v>
      </c>
      <c r="B3330" s="91" t="s">
        <v>1332</v>
      </c>
      <c r="C3330" s="91" t="s">
        <v>4467</v>
      </c>
      <c r="D3330" s="91" t="s">
        <v>21</v>
      </c>
      <c r="E3330" s="91"/>
      <c r="F3330">
        <v>46</v>
      </c>
      <c r="G3330" t="s">
        <v>1419</v>
      </c>
      <c r="H3330" s="89">
        <v>46242</v>
      </c>
      <c r="I3330" s="89">
        <v>46244</v>
      </c>
      <c r="J3330" s="91" t="s">
        <v>3549</v>
      </c>
      <c r="K3330" s="91"/>
      <c r="M3330" s="91"/>
      <c r="N3330" s="91" t="s">
        <v>4361</v>
      </c>
    </row>
    <row r="3331" spans="1:14" x14ac:dyDescent="0.25">
      <c r="A3331" s="91" t="s">
        <v>1320</v>
      </c>
      <c r="B3331" s="91" t="s">
        <v>1334</v>
      </c>
      <c r="C3331" s="91" t="s">
        <v>4468</v>
      </c>
      <c r="D3331" s="91" t="s">
        <v>23</v>
      </c>
      <c r="E3331" s="91" t="s">
        <v>14</v>
      </c>
      <c r="F3331">
        <v>960</v>
      </c>
      <c r="G3331">
        <v>20</v>
      </c>
      <c r="H3331" s="89">
        <v>46251</v>
      </c>
      <c r="I3331" s="89">
        <v>46255</v>
      </c>
      <c r="J3331" s="91" t="s">
        <v>4469</v>
      </c>
      <c r="K3331" s="91" t="s">
        <v>4470</v>
      </c>
      <c r="L3331">
        <v>1</v>
      </c>
      <c r="M3331" s="91" t="s">
        <v>4471</v>
      </c>
      <c r="N3331" s="91" t="s">
        <v>4472</v>
      </c>
    </row>
    <row r="3332" spans="1:14" x14ac:dyDescent="0.25">
      <c r="A3332" s="91" t="s">
        <v>1320</v>
      </c>
      <c r="B3332" s="91" t="s">
        <v>1334</v>
      </c>
      <c r="C3332" s="91" t="s">
        <v>4473</v>
      </c>
      <c r="D3332" s="91" t="s">
        <v>13</v>
      </c>
      <c r="E3332" s="91" t="s">
        <v>14</v>
      </c>
      <c r="F3332">
        <v>960</v>
      </c>
      <c r="G3332">
        <v>20</v>
      </c>
      <c r="H3332" s="89">
        <v>46251</v>
      </c>
      <c r="I3332" s="89">
        <v>46256</v>
      </c>
      <c r="J3332" s="91" t="s">
        <v>4474</v>
      </c>
      <c r="K3332" s="91" t="s">
        <v>4475</v>
      </c>
      <c r="L3332">
        <v>1</v>
      </c>
      <c r="M3332" s="91" t="s">
        <v>4476</v>
      </c>
      <c r="N3332" s="91" t="s">
        <v>4472</v>
      </c>
    </row>
    <row r="3333" spans="1:14" x14ac:dyDescent="0.25">
      <c r="A3333" s="91" t="s">
        <v>1320</v>
      </c>
      <c r="B3333" s="91" t="s">
        <v>1334</v>
      </c>
      <c r="C3333" s="91" t="s">
        <v>4473</v>
      </c>
      <c r="D3333" s="91" t="s">
        <v>13</v>
      </c>
      <c r="E3333" s="91" t="s">
        <v>14</v>
      </c>
      <c r="F3333">
        <v>480</v>
      </c>
      <c r="G3333">
        <v>10</v>
      </c>
      <c r="H3333" s="89">
        <v>46251</v>
      </c>
      <c r="I3333" s="89">
        <v>46256</v>
      </c>
      <c r="J3333" s="91" t="s">
        <v>4477</v>
      </c>
      <c r="K3333" s="91" t="s">
        <v>4478</v>
      </c>
      <c r="L3333">
        <v>1</v>
      </c>
      <c r="M3333" s="91" t="s">
        <v>4479</v>
      </c>
      <c r="N3333" s="91" t="s">
        <v>4472</v>
      </c>
    </row>
    <row r="3334" spans="1:14" x14ac:dyDescent="0.25">
      <c r="A3334" s="91" t="s">
        <v>1313</v>
      </c>
      <c r="B3334" s="91" t="s">
        <v>1327</v>
      </c>
      <c r="C3334" s="91" t="s">
        <v>4480</v>
      </c>
      <c r="D3334" s="91" t="s">
        <v>28</v>
      </c>
      <c r="E3334" s="91" t="s">
        <v>22</v>
      </c>
      <c r="F3334">
        <v>960</v>
      </c>
      <c r="G3334">
        <v>20</v>
      </c>
      <c r="H3334" s="89">
        <v>46251</v>
      </c>
      <c r="I3334" s="89">
        <v>46256</v>
      </c>
      <c r="J3334" s="91" t="s">
        <v>4481</v>
      </c>
      <c r="K3334" s="91" t="s">
        <v>4482</v>
      </c>
      <c r="L3334">
        <v>1</v>
      </c>
      <c r="M3334" s="91" t="s">
        <v>4483</v>
      </c>
      <c r="N3334" s="91" t="s">
        <v>4472</v>
      </c>
    </row>
    <row r="3335" spans="1:14" x14ac:dyDescent="0.25">
      <c r="A3335" s="91" t="s">
        <v>1313</v>
      </c>
      <c r="B3335" s="91" t="s">
        <v>1327</v>
      </c>
      <c r="C3335" s="91" t="s">
        <v>4484</v>
      </c>
      <c r="D3335" s="91" t="s">
        <v>15</v>
      </c>
      <c r="E3335" s="91" t="s">
        <v>17</v>
      </c>
      <c r="F3335">
        <v>48</v>
      </c>
      <c r="G3335">
        <v>1</v>
      </c>
      <c r="H3335" s="89">
        <v>46251</v>
      </c>
      <c r="I3335" s="89">
        <v>46256</v>
      </c>
      <c r="J3335" s="91" t="s">
        <v>4485</v>
      </c>
      <c r="K3335" s="91" t="s">
        <v>4486</v>
      </c>
      <c r="L3335">
        <v>1</v>
      </c>
      <c r="M3335" s="91" t="s">
        <v>4487</v>
      </c>
      <c r="N3335" s="91" t="s">
        <v>4472</v>
      </c>
    </row>
    <row r="3336" spans="1:14" x14ac:dyDescent="0.25">
      <c r="A3336" s="91" t="s">
        <v>1313</v>
      </c>
      <c r="B3336" s="91" t="s">
        <v>1327</v>
      </c>
      <c r="C3336" s="91" t="s">
        <v>4484</v>
      </c>
      <c r="D3336" s="91" t="s">
        <v>15</v>
      </c>
      <c r="E3336" s="91" t="s">
        <v>22</v>
      </c>
      <c r="F3336">
        <v>192</v>
      </c>
      <c r="G3336">
        <v>4</v>
      </c>
      <c r="H3336" s="89">
        <v>46251</v>
      </c>
      <c r="I3336" s="89">
        <v>46256</v>
      </c>
      <c r="J3336" s="91" t="s">
        <v>4481</v>
      </c>
      <c r="K3336" s="91" t="s">
        <v>4488</v>
      </c>
      <c r="L3336">
        <v>1</v>
      </c>
      <c r="M3336" s="91" t="s">
        <v>4489</v>
      </c>
      <c r="N3336" s="91" t="s">
        <v>4472</v>
      </c>
    </row>
    <row r="3337" spans="1:14" x14ac:dyDescent="0.25">
      <c r="A3337" s="91" t="s">
        <v>1313</v>
      </c>
      <c r="B3337" s="91" t="s">
        <v>1327</v>
      </c>
      <c r="C3337" s="91" t="s">
        <v>4484</v>
      </c>
      <c r="D3337" s="91" t="s">
        <v>15</v>
      </c>
      <c r="E3337" s="91" t="s">
        <v>16</v>
      </c>
      <c r="F3337">
        <v>768</v>
      </c>
      <c r="G3337">
        <v>16</v>
      </c>
      <c r="H3337" s="89">
        <v>46251</v>
      </c>
      <c r="I3337" s="89">
        <v>46256</v>
      </c>
      <c r="J3337" s="91" t="s">
        <v>4490</v>
      </c>
      <c r="K3337" s="91" t="s">
        <v>4491</v>
      </c>
      <c r="L3337">
        <v>1</v>
      </c>
      <c r="M3337" s="91" t="s">
        <v>4492</v>
      </c>
      <c r="N3337" s="91" t="s">
        <v>4472</v>
      </c>
    </row>
    <row r="3338" spans="1:14" x14ac:dyDescent="0.25">
      <c r="A3338" s="91" t="s">
        <v>1315</v>
      </c>
      <c r="B3338" s="91" t="s">
        <v>1329</v>
      </c>
      <c r="C3338" s="91" t="s">
        <v>4484</v>
      </c>
      <c r="D3338" s="91" t="s">
        <v>15</v>
      </c>
      <c r="E3338" s="91" t="s">
        <v>19</v>
      </c>
      <c r="F3338">
        <v>19</v>
      </c>
      <c r="G3338" t="s">
        <v>1419</v>
      </c>
      <c r="H3338" s="89">
        <v>46251</v>
      </c>
      <c r="I3338" s="89">
        <v>46255</v>
      </c>
      <c r="J3338" s="91" t="s">
        <v>1656</v>
      </c>
      <c r="K3338" s="91" t="s">
        <v>4493</v>
      </c>
      <c r="L3338">
        <v>1</v>
      </c>
      <c r="M3338" s="91" t="s">
        <v>4494</v>
      </c>
      <c r="N3338" s="91" t="s">
        <v>4472</v>
      </c>
    </row>
    <row r="3339" spans="1:14" x14ac:dyDescent="0.25">
      <c r="A3339" s="91" t="s">
        <v>1314</v>
      </c>
      <c r="B3339" s="91" t="s">
        <v>1328</v>
      </c>
      <c r="C3339" s="91" t="s">
        <v>4484</v>
      </c>
      <c r="D3339" s="91" t="s">
        <v>15</v>
      </c>
      <c r="E3339" s="91" t="s">
        <v>16</v>
      </c>
      <c r="F3339">
        <v>240</v>
      </c>
      <c r="G3339">
        <v>5</v>
      </c>
      <c r="H3339" s="89">
        <v>46251</v>
      </c>
      <c r="I3339" s="89">
        <v>46256</v>
      </c>
      <c r="J3339" s="91" t="s">
        <v>4495</v>
      </c>
      <c r="K3339" s="91" t="s">
        <v>4496</v>
      </c>
      <c r="L3339">
        <v>1</v>
      </c>
      <c r="M3339" s="91" t="s">
        <v>4497</v>
      </c>
      <c r="N3339" s="91" t="s">
        <v>4472</v>
      </c>
    </row>
    <row r="3340" spans="1:14" x14ac:dyDescent="0.25">
      <c r="A3340" s="91" t="s">
        <v>1319</v>
      </c>
      <c r="B3340" s="91" t="s">
        <v>1333</v>
      </c>
      <c r="C3340" s="91" t="s">
        <v>4498</v>
      </c>
      <c r="D3340" s="91" t="s">
        <v>20</v>
      </c>
      <c r="E3340" s="91" t="s">
        <v>17</v>
      </c>
      <c r="F3340">
        <v>60</v>
      </c>
      <c r="G3340">
        <v>1.25</v>
      </c>
      <c r="H3340" s="89">
        <v>46251</v>
      </c>
      <c r="I3340" s="89">
        <v>46255</v>
      </c>
      <c r="J3340" s="91" t="s">
        <v>4499</v>
      </c>
      <c r="K3340" s="91" t="s">
        <v>4500</v>
      </c>
      <c r="L3340">
        <v>1</v>
      </c>
      <c r="M3340" s="91" t="s">
        <v>4501</v>
      </c>
      <c r="N3340" s="91" t="s">
        <v>4472</v>
      </c>
    </row>
    <row r="3341" spans="1:14" x14ac:dyDescent="0.25">
      <c r="A3341" s="91" t="s">
        <v>1313</v>
      </c>
      <c r="B3341" s="91" t="s">
        <v>1327</v>
      </c>
      <c r="C3341" s="91" t="s">
        <v>4498</v>
      </c>
      <c r="D3341" s="91" t="s">
        <v>20</v>
      </c>
      <c r="E3341" s="91" t="s">
        <v>17</v>
      </c>
      <c r="F3341">
        <v>900</v>
      </c>
      <c r="G3341">
        <v>18.75</v>
      </c>
      <c r="H3341" s="89">
        <v>46251</v>
      </c>
      <c r="I3341" s="89">
        <v>46255</v>
      </c>
      <c r="J3341" s="91" t="s">
        <v>4499</v>
      </c>
      <c r="K3341" s="91" t="s">
        <v>4502</v>
      </c>
      <c r="L3341">
        <v>1</v>
      </c>
      <c r="M3341" s="91" t="s">
        <v>4503</v>
      </c>
      <c r="N3341" s="91" t="s">
        <v>4472</v>
      </c>
    </row>
    <row r="3342" spans="1:14" x14ac:dyDescent="0.25">
      <c r="A3342" s="91" t="s">
        <v>1313</v>
      </c>
      <c r="B3342" s="91" t="s">
        <v>1327</v>
      </c>
      <c r="C3342" s="91" t="s">
        <v>4498</v>
      </c>
      <c r="D3342" s="91" t="s">
        <v>20</v>
      </c>
      <c r="E3342" s="91" t="s">
        <v>19</v>
      </c>
      <c r="F3342">
        <v>144</v>
      </c>
      <c r="G3342">
        <v>3</v>
      </c>
      <c r="H3342" s="89">
        <v>46251</v>
      </c>
      <c r="I3342" s="89">
        <v>46255</v>
      </c>
      <c r="J3342" s="91" t="s">
        <v>1656</v>
      </c>
      <c r="K3342" s="91" t="s">
        <v>4504</v>
      </c>
      <c r="L3342">
        <v>1</v>
      </c>
      <c r="M3342" s="91" t="s">
        <v>4505</v>
      </c>
      <c r="N3342" s="91" t="s">
        <v>4472</v>
      </c>
    </row>
    <row r="3343" spans="1:14" x14ac:dyDescent="0.25">
      <c r="A3343" s="91" t="s">
        <v>1315</v>
      </c>
      <c r="B3343" s="91" t="s">
        <v>1329</v>
      </c>
      <c r="C3343" s="91" t="s">
        <v>4498</v>
      </c>
      <c r="D3343" s="91" t="s">
        <v>20</v>
      </c>
      <c r="E3343" s="91" t="s">
        <v>19</v>
      </c>
      <c r="F3343">
        <v>46</v>
      </c>
      <c r="G3343" t="s">
        <v>1419</v>
      </c>
      <c r="H3343" s="89">
        <v>46251</v>
      </c>
      <c r="I3343" s="89">
        <v>46255</v>
      </c>
      <c r="J3343" s="91" t="s">
        <v>1656</v>
      </c>
      <c r="K3343" s="91" t="s">
        <v>4506</v>
      </c>
      <c r="L3343">
        <v>1</v>
      </c>
      <c r="M3343" s="91" t="s">
        <v>4507</v>
      </c>
      <c r="N3343" s="91" t="s">
        <v>4472</v>
      </c>
    </row>
    <row r="3344" spans="1:14" x14ac:dyDescent="0.25">
      <c r="A3344" s="91" t="s">
        <v>1316</v>
      </c>
      <c r="B3344" s="91" t="s">
        <v>1330</v>
      </c>
      <c r="C3344" s="91" t="s">
        <v>4508</v>
      </c>
      <c r="D3344" s="91" t="s">
        <v>20</v>
      </c>
      <c r="E3344" s="91" t="s">
        <v>19</v>
      </c>
      <c r="F3344">
        <v>124</v>
      </c>
      <c r="G3344" t="s">
        <v>1419</v>
      </c>
      <c r="H3344" s="89">
        <v>46251</v>
      </c>
      <c r="I3344" s="89">
        <v>46255</v>
      </c>
      <c r="J3344" s="91" t="s">
        <v>1656</v>
      </c>
      <c r="K3344" s="91" t="s">
        <v>4509</v>
      </c>
      <c r="L3344">
        <v>1</v>
      </c>
      <c r="M3344" s="91" t="s">
        <v>4510</v>
      </c>
      <c r="N3344" s="91" t="s">
        <v>4472</v>
      </c>
    </row>
    <row r="3345" spans="1:14" x14ac:dyDescent="0.25">
      <c r="A3345" s="91" t="s">
        <v>1317</v>
      </c>
      <c r="B3345" s="91" t="s">
        <v>1331</v>
      </c>
      <c r="C3345" s="91" t="s">
        <v>4511</v>
      </c>
      <c r="D3345" s="91" t="s">
        <v>20</v>
      </c>
      <c r="E3345" s="91" t="s">
        <v>19</v>
      </c>
      <c r="F3345">
        <v>22</v>
      </c>
      <c r="G3345" t="s">
        <v>1419</v>
      </c>
      <c r="H3345" s="89">
        <v>46251</v>
      </c>
      <c r="I3345" s="89">
        <v>46255</v>
      </c>
      <c r="J3345" s="91" t="s">
        <v>1656</v>
      </c>
      <c r="K3345" s="91" t="s">
        <v>4512</v>
      </c>
      <c r="L3345">
        <v>1</v>
      </c>
      <c r="M3345" s="91" t="s">
        <v>4513</v>
      </c>
      <c r="N3345" s="91" t="s">
        <v>4472</v>
      </c>
    </row>
    <row r="3346" spans="1:14" x14ac:dyDescent="0.25">
      <c r="A3346" s="91" t="s">
        <v>1318</v>
      </c>
      <c r="B3346" s="91" t="s">
        <v>1332</v>
      </c>
      <c r="C3346" s="91" t="s">
        <v>4514</v>
      </c>
      <c r="D3346" s="91" t="s">
        <v>20</v>
      </c>
      <c r="E3346" s="91" t="s">
        <v>19</v>
      </c>
      <c r="F3346">
        <v>63</v>
      </c>
      <c r="G3346" t="s">
        <v>1419</v>
      </c>
      <c r="H3346" s="89">
        <v>46251</v>
      </c>
      <c r="I3346" s="89">
        <v>46255</v>
      </c>
      <c r="J3346" s="91" t="s">
        <v>1656</v>
      </c>
      <c r="K3346" s="91" t="s">
        <v>4515</v>
      </c>
      <c r="L3346">
        <v>1</v>
      </c>
      <c r="M3346" s="91" t="s">
        <v>4516</v>
      </c>
      <c r="N3346" s="91" t="s">
        <v>4472</v>
      </c>
    </row>
    <row r="3347" spans="1:14" x14ac:dyDescent="0.25">
      <c r="A3347" s="91" t="s">
        <v>1315</v>
      </c>
      <c r="B3347" s="91" t="s">
        <v>1329</v>
      </c>
      <c r="C3347" s="91" t="s">
        <v>4480</v>
      </c>
      <c r="D3347" s="91" t="s">
        <v>28</v>
      </c>
      <c r="E3347" s="91" t="s">
        <v>19</v>
      </c>
      <c r="F3347">
        <v>50</v>
      </c>
      <c r="G3347" t="s">
        <v>1419</v>
      </c>
      <c r="H3347" s="89">
        <v>46251</v>
      </c>
      <c r="I3347" s="89">
        <v>46255</v>
      </c>
      <c r="J3347" s="91" t="s">
        <v>1656</v>
      </c>
      <c r="K3347" s="91" t="s">
        <v>4517</v>
      </c>
      <c r="L3347">
        <v>1</v>
      </c>
      <c r="M3347" s="91" t="s">
        <v>4518</v>
      </c>
      <c r="N3347" s="91" t="s">
        <v>4472</v>
      </c>
    </row>
    <row r="3348" spans="1:14" x14ac:dyDescent="0.25">
      <c r="A3348" s="91" t="s">
        <v>1316</v>
      </c>
      <c r="B3348" s="91" t="s">
        <v>1330</v>
      </c>
      <c r="C3348" s="91" t="s">
        <v>4519</v>
      </c>
      <c r="D3348" s="91" t="s">
        <v>28</v>
      </c>
      <c r="E3348" s="91" t="s">
        <v>19</v>
      </c>
      <c r="F3348">
        <v>19</v>
      </c>
      <c r="G3348" t="s">
        <v>1419</v>
      </c>
      <c r="H3348" s="89">
        <v>46251</v>
      </c>
      <c r="I3348" s="89">
        <v>46255</v>
      </c>
      <c r="J3348" s="91" t="s">
        <v>1656</v>
      </c>
      <c r="K3348" s="91" t="s">
        <v>4520</v>
      </c>
      <c r="L3348">
        <v>1</v>
      </c>
      <c r="M3348" s="91" t="s">
        <v>4521</v>
      </c>
      <c r="N3348" s="91" t="s">
        <v>4472</v>
      </c>
    </row>
    <row r="3349" spans="1:14" x14ac:dyDescent="0.25">
      <c r="A3349" s="91" t="s">
        <v>1317</v>
      </c>
      <c r="B3349" s="91" t="s">
        <v>1331</v>
      </c>
      <c r="C3349" s="91" t="s">
        <v>4522</v>
      </c>
      <c r="D3349" s="91" t="s">
        <v>28</v>
      </c>
      <c r="E3349" s="91" t="s">
        <v>19</v>
      </c>
      <c r="F3349">
        <v>11</v>
      </c>
      <c r="G3349" t="s">
        <v>1419</v>
      </c>
      <c r="H3349" s="89">
        <v>46251</v>
      </c>
      <c r="I3349" s="89">
        <v>46255</v>
      </c>
      <c r="J3349" s="91" t="s">
        <v>1656</v>
      </c>
      <c r="K3349" s="91" t="s">
        <v>4523</v>
      </c>
      <c r="L3349">
        <v>1</v>
      </c>
      <c r="M3349" s="91" t="s">
        <v>4524</v>
      </c>
      <c r="N3349" s="91" t="s">
        <v>4472</v>
      </c>
    </row>
    <row r="3350" spans="1:14" x14ac:dyDescent="0.25">
      <c r="A3350" s="91" t="s">
        <v>1318</v>
      </c>
      <c r="B3350" s="91" t="s">
        <v>1332</v>
      </c>
      <c r="C3350" s="91" t="s">
        <v>4525</v>
      </c>
      <c r="D3350" s="91" t="s">
        <v>28</v>
      </c>
      <c r="E3350" s="91" t="s">
        <v>19</v>
      </c>
      <c r="F3350">
        <v>22</v>
      </c>
      <c r="G3350" t="s">
        <v>1419</v>
      </c>
      <c r="H3350" s="89">
        <v>46251</v>
      </c>
      <c r="I3350" s="89">
        <v>46255</v>
      </c>
      <c r="J3350" s="91" t="s">
        <v>1656</v>
      </c>
      <c r="K3350" s="91" t="s">
        <v>4526</v>
      </c>
      <c r="L3350">
        <v>1</v>
      </c>
      <c r="M3350" s="91" t="s">
        <v>4527</v>
      </c>
      <c r="N3350" s="91" t="s">
        <v>4472</v>
      </c>
    </row>
    <row r="3351" spans="1:14" x14ac:dyDescent="0.25">
      <c r="A3351" s="91" t="s">
        <v>1316</v>
      </c>
      <c r="B3351" s="91" t="s">
        <v>1330</v>
      </c>
      <c r="C3351" s="91" t="s">
        <v>4528</v>
      </c>
      <c r="D3351" s="91" t="s">
        <v>15</v>
      </c>
      <c r="E3351" s="91" t="s">
        <v>19</v>
      </c>
      <c r="F3351">
        <v>56</v>
      </c>
      <c r="G3351" t="s">
        <v>1419</v>
      </c>
      <c r="H3351" s="89">
        <v>46251</v>
      </c>
      <c r="I3351" s="89">
        <v>46255</v>
      </c>
      <c r="J3351" s="91" t="s">
        <v>1656</v>
      </c>
      <c r="K3351" s="91" t="s">
        <v>4529</v>
      </c>
      <c r="L3351">
        <v>1</v>
      </c>
      <c r="M3351" s="91" t="s">
        <v>4530</v>
      </c>
      <c r="N3351" s="91" t="s">
        <v>4472</v>
      </c>
    </row>
    <row r="3352" spans="1:14" x14ac:dyDescent="0.25">
      <c r="A3352" s="91" t="s">
        <v>1317</v>
      </c>
      <c r="B3352" s="91" t="s">
        <v>1331</v>
      </c>
      <c r="C3352" s="91" t="s">
        <v>4531</v>
      </c>
      <c r="D3352" s="91" t="s">
        <v>15</v>
      </c>
      <c r="E3352" s="91" t="s">
        <v>19</v>
      </c>
      <c r="F3352">
        <v>132</v>
      </c>
      <c r="G3352" t="s">
        <v>1419</v>
      </c>
      <c r="H3352" s="89">
        <v>46251</v>
      </c>
      <c r="I3352" s="89">
        <v>46255</v>
      </c>
      <c r="J3352" s="91" t="s">
        <v>1656</v>
      </c>
      <c r="K3352" s="91" t="s">
        <v>4532</v>
      </c>
      <c r="L3352">
        <v>1</v>
      </c>
      <c r="M3352" s="91" t="s">
        <v>4533</v>
      </c>
      <c r="N3352" s="91" t="s">
        <v>4472</v>
      </c>
    </row>
    <row r="3353" spans="1:14" x14ac:dyDescent="0.25">
      <c r="A3353" s="91" t="s">
        <v>1318</v>
      </c>
      <c r="B3353" s="91" t="s">
        <v>1332</v>
      </c>
      <c r="C3353" s="91" t="s">
        <v>4534</v>
      </c>
      <c r="D3353" s="91" t="s">
        <v>15</v>
      </c>
      <c r="E3353" s="91" t="s">
        <v>19</v>
      </c>
      <c r="F3353">
        <v>23</v>
      </c>
      <c r="G3353" t="s">
        <v>1419</v>
      </c>
      <c r="H3353" s="89">
        <v>46251</v>
      </c>
      <c r="I3353" s="89">
        <v>46255</v>
      </c>
      <c r="J3353" s="91" t="s">
        <v>1656</v>
      </c>
      <c r="K3353" s="91" t="s">
        <v>4535</v>
      </c>
      <c r="L3353">
        <v>1</v>
      </c>
      <c r="M3353" s="91" t="s">
        <v>4536</v>
      </c>
      <c r="N3353" s="91" t="s">
        <v>4472</v>
      </c>
    </row>
    <row r="3354" spans="1:14" x14ac:dyDescent="0.25">
      <c r="A3354" s="91" t="s">
        <v>1319</v>
      </c>
      <c r="B3354" s="91" t="s">
        <v>1333</v>
      </c>
      <c r="C3354" s="91" t="s">
        <v>4537</v>
      </c>
      <c r="D3354" s="91" t="s">
        <v>15</v>
      </c>
      <c r="E3354" s="91" t="s">
        <v>17</v>
      </c>
      <c r="F3354">
        <v>48</v>
      </c>
      <c r="G3354">
        <v>1</v>
      </c>
      <c r="H3354" s="89">
        <v>46252</v>
      </c>
      <c r="I3354" s="89">
        <v>46256</v>
      </c>
      <c r="J3354" s="91" t="s">
        <v>4485</v>
      </c>
      <c r="K3354" s="91" t="s">
        <v>4538</v>
      </c>
      <c r="L3354">
        <v>1</v>
      </c>
      <c r="M3354" s="91" t="s">
        <v>4539</v>
      </c>
      <c r="N3354" s="91" t="s">
        <v>4472</v>
      </c>
    </row>
    <row r="3355" spans="1:14" x14ac:dyDescent="0.25">
      <c r="A3355" s="91" t="s">
        <v>1313</v>
      </c>
      <c r="B3355" s="91" t="s">
        <v>1327</v>
      </c>
      <c r="C3355" s="91" t="s">
        <v>4537</v>
      </c>
      <c r="D3355" s="91" t="s">
        <v>15</v>
      </c>
      <c r="E3355" s="91" t="s">
        <v>17</v>
      </c>
      <c r="F3355">
        <v>1056</v>
      </c>
      <c r="G3355">
        <v>22</v>
      </c>
      <c r="H3355" s="89">
        <v>46252</v>
      </c>
      <c r="I3355" s="89">
        <v>46256</v>
      </c>
      <c r="J3355" s="91" t="s">
        <v>4485</v>
      </c>
      <c r="K3355" s="91" t="s">
        <v>4540</v>
      </c>
      <c r="L3355">
        <v>1</v>
      </c>
      <c r="M3355" s="91" t="s">
        <v>4541</v>
      </c>
      <c r="N3355" s="91" t="s">
        <v>4472</v>
      </c>
    </row>
    <row r="3356" spans="1:14" x14ac:dyDescent="0.25">
      <c r="A3356" s="91" t="s">
        <v>1313</v>
      </c>
      <c r="B3356" s="91" t="s">
        <v>1327</v>
      </c>
      <c r="C3356" s="91" t="s">
        <v>4537</v>
      </c>
      <c r="D3356" s="91" t="s">
        <v>15</v>
      </c>
      <c r="E3356" s="91" t="s">
        <v>17</v>
      </c>
      <c r="F3356">
        <v>48</v>
      </c>
      <c r="G3356">
        <v>1</v>
      </c>
      <c r="H3356" s="89">
        <v>46252</v>
      </c>
      <c r="I3356" s="89">
        <v>46258</v>
      </c>
      <c r="J3356" s="91" t="s">
        <v>4542</v>
      </c>
      <c r="K3356" s="91" t="s">
        <v>4543</v>
      </c>
      <c r="L3356">
        <v>1</v>
      </c>
      <c r="M3356" s="91" t="s">
        <v>4544</v>
      </c>
      <c r="N3356" s="91" t="s">
        <v>4472</v>
      </c>
    </row>
    <row r="3357" spans="1:14" x14ac:dyDescent="0.25">
      <c r="A3357" s="91" t="s">
        <v>1313</v>
      </c>
      <c r="B3357" s="91" t="s">
        <v>1327</v>
      </c>
      <c r="C3357" s="91" t="s">
        <v>4537</v>
      </c>
      <c r="D3357" s="91" t="s">
        <v>15</v>
      </c>
      <c r="E3357" s="91" t="s">
        <v>16</v>
      </c>
      <c r="F3357">
        <v>144</v>
      </c>
      <c r="G3357">
        <v>3</v>
      </c>
      <c r="H3357" s="89">
        <v>46252</v>
      </c>
      <c r="I3357" s="89">
        <v>46256</v>
      </c>
      <c r="J3357" s="91" t="s">
        <v>4490</v>
      </c>
      <c r="K3357" s="91" t="s">
        <v>4545</v>
      </c>
      <c r="L3357">
        <v>1</v>
      </c>
      <c r="M3357" s="91" t="s">
        <v>4546</v>
      </c>
      <c r="N3357" s="91" t="s">
        <v>4472</v>
      </c>
    </row>
    <row r="3358" spans="1:14" x14ac:dyDescent="0.25">
      <c r="A3358" s="91" t="s">
        <v>1324</v>
      </c>
      <c r="B3358" s="91" t="s">
        <v>1338</v>
      </c>
      <c r="C3358" s="91" t="s">
        <v>4547</v>
      </c>
      <c r="D3358" s="91" t="s">
        <v>23</v>
      </c>
      <c r="E3358" s="91" t="s">
        <v>65</v>
      </c>
      <c r="F3358">
        <v>960</v>
      </c>
      <c r="G3358">
        <v>20</v>
      </c>
      <c r="H3358" s="89">
        <v>46252</v>
      </c>
      <c r="I3358" s="89">
        <v>46259</v>
      </c>
      <c r="J3358" s="91" t="s">
        <v>4548</v>
      </c>
      <c r="K3358" s="91" t="s">
        <v>4549</v>
      </c>
      <c r="L3358">
        <v>1</v>
      </c>
      <c r="M3358" s="91" t="s">
        <v>4550</v>
      </c>
      <c r="N3358" s="91" t="s">
        <v>4472</v>
      </c>
    </row>
    <row r="3359" spans="1:14" x14ac:dyDescent="0.25">
      <c r="A3359" s="91" t="s">
        <v>1323</v>
      </c>
      <c r="B3359" s="91" t="s">
        <v>1337</v>
      </c>
      <c r="C3359" s="91" t="s">
        <v>4551</v>
      </c>
      <c r="D3359" s="91" t="s">
        <v>20</v>
      </c>
      <c r="E3359" s="91" t="s">
        <v>26</v>
      </c>
      <c r="F3359">
        <v>918</v>
      </c>
      <c r="G3359">
        <v>17</v>
      </c>
      <c r="H3359" s="89">
        <v>46252</v>
      </c>
      <c r="I3359" s="89">
        <v>46258</v>
      </c>
      <c r="J3359" s="91" t="s">
        <v>4552</v>
      </c>
      <c r="K3359" s="91" t="s">
        <v>4553</v>
      </c>
      <c r="L3359">
        <v>1</v>
      </c>
      <c r="M3359" s="91" t="s">
        <v>4554</v>
      </c>
      <c r="N3359" s="91" t="s">
        <v>4472</v>
      </c>
    </row>
    <row r="3360" spans="1:14" x14ac:dyDescent="0.25">
      <c r="A3360" s="91" t="s">
        <v>1322</v>
      </c>
      <c r="B3360" s="91" t="s">
        <v>1336</v>
      </c>
      <c r="C3360" s="91" t="s">
        <v>4551</v>
      </c>
      <c r="D3360" s="91" t="s">
        <v>20</v>
      </c>
      <c r="E3360" s="91" t="s">
        <v>26</v>
      </c>
      <c r="F3360">
        <v>162</v>
      </c>
      <c r="G3360">
        <v>3</v>
      </c>
      <c r="H3360" s="89">
        <v>46252</v>
      </c>
      <c r="I3360" s="89">
        <v>46258</v>
      </c>
      <c r="J3360" s="91" t="s">
        <v>4552</v>
      </c>
      <c r="K3360" s="91" t="s">
        <v>4555</v>
      </c>
      <c r="L3360">
        <v>1</v>
      </c>
      <c r="M3360" s="91" t="s">
        <v>4556</v>
      </c>
      <c r="N3360" s="91" t="s">
        <v>4472</v>
      </c>
    </row>
    <row r="3361" spans="1:14" x14ac:dyDescent="0.25">
      <c r="A3361" s="91" t="s">
        <v>1313</v>
      </c>
      <c r="B3361" s="91" t="s">
        <v>1327</v>
      </c>
      <c r="C3361" s="91" t="s">
        <v>4551</v>
      </c>
      <c r="D3361" s="91" t="s">
        <v>20</v>
      </c>
      <c r="E3361" s="91" t="s">
        <v>19</v>
      </c>
      <c r="F3361">
        <v>96</v>
      </c>
      <c r="G3361">
        <v>2</v>
      </c>
      <c r="H3361" s="89">
        <v>46252</v>
      </c>
      <c r="I3361" s="89">
        <v>46255</v>
      </c>
      <c r="J3361" s="91" t="s">
        <v>1656</v>
      </c>
      <c r="K3361" s="91" t="s">
        <v>4557</v>
      </c>
      <c r="L3361">
        <v>1</v>
      </c>
      <c r="M3361" s="91" t="s">
        <v>4558</v>
      </c>
      <c r="N3361" s="91" t="s">
        <v>4472</v>
      </c>
    </row>
    <row r="3362" spans="1:14" x14ac:dyDescent="0.25">
      <c r="A3362" s="91" t="s">
        <v>1320</v>
      </c>
      <c r="B3362" s="91" t="s">
        <v>1334</v>
      </c>
      <c r="C3362" s="91" t="s">
        <v>4559</v>
      </c>
      <c r="D3362" s="91" t="s">
        <v>152</v>
      </c>
      <c r="E3362" s="91" t="s">
        <v>14</v>
      </c>
      <c r="F3362">
        <v>480</v>
      </c>
      <c r="G3362">
        <v>10</v>
      </c>
      <c r="H3362" s="89">
        <v>46252</v>
      </c>
      <c r="I3362" s="89">
        <v>46256</v>
      </c>
      <c r="J3362" s="91" t="s">
        <v>4477</v>
      </c>
      <c r="K3362" s="91" t="s">
        <v>4560</v>
      </c>
      <c r="L3362">
        <v>1</v>
      </c>
      <c r="M3362" s="91" t="s">
        <v>4561</v>
      </c>
      <c r="N3362" s="91" t="s">
        <v>4472</v>
      </c>
    </row>
    <row r="3363" spans="1:14" x14ac:dyDescent="0.25">
      <c r="A3363" s="91" t="s">
        <v>1320</v>
      </c>
      <c r="B3363" s="91" t="s">
        <v>1334</v>
      </c>
      <c r="C3363" s="91" t="s">
        <v>4562</v>
      </c>
      <c r="D3363" s="91" t="s">
        <v>21</v>
      </c>
      <c r="E3363" s="91" t="s">
        <v>14</v>
      </c>
      <c r="F3363">
        <v>960</v>
      </c>
      <c r="G3363">
        <v>20</v>
      </c>
      <c r="H3363" s="89">
        <v>46252</v>
      </c>
      <c r="I3363" s="89">
        <v>46258</v>
      </c>
      <c r="J3363" s="91" t="s">
        <v>4563</v>
      </c>
      <c r="K3363" s="91" t="s">
        <v>4564</v>
      </c>
      <c r="L3363">
        <v>1</v>
      </c>
      <c r="M3363" s="91" t="s">
        <v>4565</v>
      </c>
      <c r="N3363" s="91" t="s">
        <v>4472</v>
      </c>
    </row>
    <row r="3364" spans="1:14" x14ac:dyDescent="0.25">
      <c r="A3364" s="91" t="s">
        <v>1315</v>
      </c>
      <c r="B3364" s="91" t="s">
        <v>1329</v>
      </c>
      <c r="C3364" s="91" t="s">
        <v>4537</v>
      </c>
      <c r="D3364" s="91" t="s">
        <v>15</v>
      </c>
      <c r="E3364" s="91" t="s">
        <v>19</v>
      </c>
      <c r="F3364">
        <v>7</v>
      </c>
      <c r="G3364" t="s">
        <v>1419</v>
      </c>
      <c r="H3364" s="89">
        <v>46252</v>
      </c>
      <c r="I3364" s="89">
        <v>46255</v>
      </c>
      <c r="J3364" s="91" t="s">
        <v>1656</v>
      </c>
      <c r="K3364" s="91" t="s">
        <v>4566</v>
      </c>
      <c r="L3364">
        <v>1</v>
      </c>
      <c r="M3364" s="91" t="s">
        <v>4567</v>
      </c>
      <c r="N3364" s="91" t="s">
        <v>4472</v>
      </c>
    </row>
    <row r="3365" spans="1:14" x14ac:dyDescent="0.25">
      <c r="A3365" s="91" t="s">
        <v>1316</v>
      </c>
      <c r="B3365" s="91" t="s">
        <v>1330</v>
      </c>
      <c r="C3365" s="91" t="s">
        <v>4568</v>
      </c>
      <c r="D3365" s="91" t="s">
        <v>15</v>
      </c>
      <c r="E3365" s="91" t="s">
        <v>19</v>
      </c>
      <c r="F3365">
        <v>62</v>
      </c>
      <c r="G3365" t="s">
        <v>1419</v>
      </c>
      <c r="H3365" s="89">
        <v>46252</v>
      </c>
      <c r="I3365" s="89">
        <v>46255</v>
      </c>
      <c r="J3365" s="91" t="s">
        <v>1656</v>
      </c>
      <c r="K3365" s="91" t="s">
        <v>4569</v>
      </c>
      <c r="L3365">
        <v>1</v>
      </c>
      <c r="M3365" s="91" t="s">
        <v>4570</v>
      </c>
      <c r="N3365" s="91" t="s">
        <v>4472</v>
      </c>
    </row>
    <row r="3366" spans="1:14" x14ac:dyDescent="0.25">
      <c r="A3366" s="91" t="s">
        <v>1317</v>
      </c>
      <c r="B3366" s="91" t="s">
        <v>1331</v>
      </c>
      <c r="C3366" s="91" t="s">
        <v>4571</v>
      </c>
      <c r="D3366" s="91" t="s">
        <v>15</v>
      </c>
      <c r="E3366" s="91" t="s">
        <v>19</v>
      </c>
      <c r="F3366">
        <v>85</v>
      </c>
      <c r="G3366" t="s">
        <v>1419</v>
      </c>
      <c r="H3366" s="89">
        <v>46252</v>
      </c>
      <c r="I3366" s="89">
        <v>46255</v>
      </c>
      <c r="J3366" s="91" t="s">
        <v>1656</v>
      </c>
      <c r="K3366" s="91" t="s">
        <v>4572</v>
      </c>
      <c r="L3366">
        <v>1</v>
      </c>
      <c r="M3366" s="91" t="s">
        <v>4573</v>
      </c>
      <c r="N3366" s="91" t="s">
        <v>4472</v>
      </c>
    </row>
    <row r="3367" spans="1:14" x14ac:dyDescent="0.25">
      <c r="A3367" s="91" t="s">
        <v>1318</v>
      </c>
      <c r="B3367" s="91" t="s">
        <v>1332</v>
      </c>
      <c r="C3367" s="91" t="s">
        <v>4574</v>
      </c>
      <c r="D3367" s="91" t="s">
        <v>15</v>
      </c>
      <c r="E3367" s="91" t="s">
        <v>19</v>
      </c>
      <c r="F3367">
        <v>36</v>
      </c>
      <c r="G3367" t="s">
        <v>1419</v>
      </c>
      <c r="H3367" s="89">
        <v>46252</v>
      </c>
      <c r="I3367" s="89">
        <v>46255</v>
      </c>
      <c r="J3367" s="91" t="s">
        <v>1656</v>
      </c>
      <c r="K3367" s="91" t="s">
        <v>4575</v>
      </c>
      <c r="L3367">
        <v>1</v>
      </c>
      <c r="M3367" s="91" t="s">
        <v>4576</v>
      </c>
      <c r="N3367" s="91" t="s">
        <v>4472</v>
      </c>
    </row>
    <row r="3368" spans="1:14" x14ac:dyDescent="0.25">
      <c r="A3368" s="91" t="s">
        <v>1316</v>
      </c>
      <c r="B3368" s="91" t="s">
        <v>1330</v>
      </c>
      <c r="C3368" s="91" t="s">
        <v>4577</v>
      </c>
      <c r="D3368" s="91" t="s">
        <v>20</v>
      </c>
      <c r="E3368" s="91" t="s">
        <v>19</v>
      </c>
      <c r="F3368">
        <v>60</v>
      </c>
      <c r="G3368" t="s">
        <v>1419</v>
      </c>
      <c r="H3368" s="89">
        <v>46252</v>
      </c>
      <c r="I3368" s="89">
        <v>46255</v>
      </c>
      <c r="J3368" s="91" t="s">
        <v>1656</v>
      </c>
      <c r="K3368" s="91" t="s">
        <v>4578</v>
      </c>
      <c r="L3368">
        <v>1</v>
      </c>
      <c r="M3368" s="91" t="s">
        <v>4579</v>
      </c>
      <c r="N3368" s="91" t="s">
        <v>4472</v>
      </c>
    </row>
    <row r="3369" spans="1:14" x14ac:dyDescent="0.25">
      <c r="A3369" s="91" t="s">
        <v>1317</v>
      </c>
      <c r="B3369" s="91" t="s">
        <v>1331</v>
      </c>
      <c r="C3369" s="91" t="s">
        <v>4580</v>
      </c>
      <c r="D3369" s="91" t="s">
        <v>20</v>
      </c>
      <c r="E3369" s="91" t="s">
        <v>19</v>
      </c>
      <c r="F3369">
        <v>8</v>
      </c>
      <c r="G3369" t="s">
        <v>1419</v>
      </c>
      <c r="H3369" s="89">
        <v>46252</v>
      </c>
      <c r="I3369" s="89">
        <v>46255</v>
      </c>
      <c r="J3369" s="91" t="s">
        <v>1656</v>
      </c>
      <c r="K3369" s="91" t="s">
        <v>4581</v>
      </c>
      <c r="L3369">
        <v>1</v>
      </c>
      <c r="M3369" s="91" t="s">
        <v>4582</v>
      </c>
      <c r="N3369" s="91" t="s">
        <v>4472</v>
      </c>
    </row>
    <row r="3370" spans="1:14" x14ac:dyDescent="0.25">
      <c r="A3370" s="91" t="s">
        <v>1318</v>
      </c>
      <c r="B3370" s="91" t="s">
        <v>1332</v>
      </c>
      <c r="C3370" s="91" t="s">
        <v>4583</v>
      </c>
      <c r="D3370" s="91" t="s">
        <v>20</v>
      </c>
      <c r="E3370" s="91" t="s">
        <v>19</v>
      </c>
      <c r="F3370">
        <v>47</v>
      </c>
      <c r="G3370" t="s">
        <v>1419</v>
      </c>
      <c r="H3370" s="89">
        <v>46252</v>
      </c>
      <c r="I3370" s="89">
        <v>46255</v>
      </c>
      <c r="J3370" s="91" t="s">
        <v>1656</v>
      </c>
      <c r="K3370" s="91" t="s">
        <v>4584</v>
      </c>
      <c r="L3370">
        <v>1</v>
      </c>
      <c r="M3370" s="91" t="s">
        <v>4585</v>
      </c>
      <c r="N3370" s="91" t="s">
        <v>4472</v>
      </c>
    </row>
    <row r="3371" spans="1:14" x14ac:dyDescent="0.25">
      <c r="A3371" s="91" t="s">
        <v>1315</v>
      </c>
      <c r="B3371" s="91" t="s">
        <v>1329</v>
      </c>
      <c r="C3371" s="91" t="s">
        <v>4562</v>
      </c>
      <c r="D3371" s="91" t="s">
        <v>21</v>
      </c>
      <c r="E3371" s="91" t="s">
        <v>19</v>
      </c>
      <c r="F3371">
        <v>58</v>
      </c>
      <c r="G3371" t="s">
        <v>1419</v>
      </c>
      <c r="H3371" s="89">
        <v>46252</v>
      </c>
      <c r="I3371" s="89">
        <v>46255</v>
      </c>
      <c r="J3371" s="91" t="s">
        <v>1656</v>
      </c>
      <c r="K3371" s="91" t="s">
        <v>4586</v>
      </c>
      <c r="L3371">
        <v>1</v>
      </c>
      <c r="M3371" s="91" t="s">
        <v>4587</v>
      </c>
      <c r="N3371" s="91" t="s">
        <v>4472</v>
      </c>
    </row>
    <row r="3372" spans="1:14" x14ac:dyDescent="0.25">
      <c r="A3372" s="91" t="s">
        <v>1316</v>
      </c>
      <c r="B3372" s="91" t="s">
        <v>1330</v>
      </c>
      <c r="C3372" s="91" t="s">
        <v>4588</v>
      </c>
      <c r="D3372" s="91" t="s">
        <v>21</v>
      </c>
      <c r="E3372" s="91" t="s">
        <v>19</v>
      </c>
      <c r="F3372">
        <v>37</v>
      </c>
      <c r="G3372" t="s">
        <v>1419</v>
      </c>
      <c r="H3372" s="89">
        <v>46252</v>
      </c>
      <c r="I3372" s="89">
        <v>46255</v>
      </c>
      <c r="J3372" s="91" t="s">
        <v>1656</v>
      </c>
      <c r="K3372" s="91" t="s">
        <v>4589</v>
      </c>
      <c r="L3372">
        <v>1</v>
      </c>
      <c r="M3372" s="91" t="s">
        <v>4590</v>
      </c>
      <c r="N3372" s="91" t="s">
        <v>4472</v>
      </c>
    </row>
    <row r="3373" spans="1:14" x14ac:dyDescent="0.25">
      <c r="A3373" s="91" t="s">
        <v>1317</v>
      </c>
      <c r="B3373" s="91" t="s">
        <v>1331</v>
      </c>
      <c r="C3373" s="91" t="s">
        <v>4591</v>
      </c>
      <c r="D3373" s="91" t="s">
        <v>21</v>
      </c>
      <c r="E3373" s="91" t="s">
        <v>19</v>
      </c>
      <c r="F3373">
        <v>27</v>
      </c>
      <c r="G3373" t="s">
        <v>1419</v>
      </c>
      <c r="H3373" s="89">
        <v>46252</v>
      </c>
      <c r="I3373" s="89">
        <v>46255</v>
      </c>
      <c r="J3373" s="91" t="s">
        <v>1656</v>
      </c>
      <c r="K3373" s="91" t="s">
        <v>4592</v>
      </c>
      <c r="L3373">
        <v>1</v>
      </c>
      <c r="M3373" s="91" t="s">
        <v>4593</v>
      </c>
      <c r="N3373" s="91" t="s">
        <v>4472</v>
      </c>
    </row>
    <row r="3374" spans="1:14" x14ac:dyDescent="0.25">
      <c r="A3374" s="91" t="s">
        <v>1318</v>
      </c>
      <c r="B3374" s="91" t="s">
        <v>1332</v>
      </c>
      <c r="C3374" s="91" t="s">
        <v>4594</v>
      </c>
      <c r="D3374" s="91" t="s">
        <v>21</v>
      </c>
      <c r="E3374" s="91" t="s">
        <v>19</v>
      </c>
      <c r="F3374">
        <v>60</v>
      </c>
      <c r="G3374" t="s">
        <v>1419</v>
      </c>
      <c r="H3374" s="89">
        <v>46252</v>
      </c>
      <c r="I3374" s="89">
        <v>46255</v>
      </c>
      <c r="J3374" s="91" t="s">
        <v>1656</v>
      </c>
      <c r="K3374" s="91" t="s">
        <v>4595</v>
      </c>
      <c r="L3374">
        <v>1</v>
      </c>
      <c r="M3374" s="91" t="s">
        <v>4596</v>
      </c>
      <c r="N3374" s="91" t="s">
        <v>4472</v>
      </c>
    </row>
    <row r="3375" spans="1:14" x14ac:dyDescent="0.25">
      <c r="A3375" s="91" t="s">
        <v>1313</v>
      </c>
      <c r="B3375" s="91" t="s">
        <v>1327</v>
      </c>
      <c r="C3375" s="91" t="s">
        <v>4562</v>
      </c>
      <c r="D3375" s="91" t="s">
        <v>21</v>
      </c>
      <c r="E3375" s="91" t="s">
        <v>19</v>
      </c>
      <c r="F3375">
        <v>240</v>
      </c>
      <c r="G3375">
        <v>5</v>
      </c>
      <c r="H3375" s="89">
        <v>46252</v>
      </c>
      <c r="I3375" s="89">
        <v>46255</v>
      </c>
      <c r="J3375" s="91" t="s">
        <v>1656</v>
      </c>
      <c r="K3375" s="91" t="s">
        <v>4597</v>
      </c>
      <c r="L3375">
        <v>1</v>
      </c>
      <c r="M3375" s="91" t="s">
        <v>4598</v>
      </c>
      <c r="N3375" s="91" t="s">
        <v>4472</v>
      </c>
    </row>
    <row r="3376" spans="1:14" x14ac:dyDescent="0.25">
      <c r="A3376" s="91" t="s">
        <v>1313</v>
      </c>
      <c r="B3376" s="91" t="s">
        <v>1327</v>
      </c>
      <c r="C3376" s="91" t="s">
        <v>4562</v>
      </c>
      <c r="D3376" s="91" t="s">
        <v>21</v>
      </c>
      <c r="E3376" s="91" t="s">
        <v>19</v>
      </c>
      <c r="F3376">
        <v>384</v>
      </c>
      <c r="G3376">
        <v>8</v>
      </c>
      <c r="H3376" s="89">
        <v>46252</v>
      </c>
      <c r="I3376" s="89">
        <v>46255</v>
      </c>
      <c r="J3376" s="91" t="s">
        <v>1656</v>
      </c>
      <c r="K3376" s="91" t="s">
        <v>4597</v>
      </c>
      <c r="L3376">
        <v>2</v>
      </c>
      <c r="M3376" s="91" t="s">
        <v>4599</v>
      </c>
      <c r="N3376" s="91" t="s">
        <v>4472</v>
      </c>
    </row>
    <row r="3377" spans="1:14" x14ac:dyDescent="0.25">
      <c r="A3377" s="91" t="s">
        <v>1313</v>
      </c>
      <c r="B3377" s="91" t="s">
        <v>1327</v>
      </c>
      <c r="C3377" s="91" t="s">
        <v>4600</v>
      </c>
      <c r="D3377" s="91" t="s">
        <v>15</v>
      </c>
      <c r="E3377" s="91" t="s">
        <v>17</v>
      </c>
      <c r="F3377">
        <v>1182</v>
      </c>
      <c r="G3377">
        <v>24.625</v>
      </c>
      <c r="H3377" s="89">
        <v>46253</v>
      </c>
      <c r="I3377" s="89">
        <v>46258</v>
      </c>
      <c r="J3377" s="91" t="s">
        <v>4542</v>
      </c>
      <c r="K3377" s="91" t="s">
        <v>4601</v>
      </c>
      <c r="L3377">
        <v>1</v>
      </c>
      <c r="M3377" s="91" t="s">
        <v>4602</v>
      </c>
      <c r="N3377" s="91" t="s">
        <v>4472</v>
      </c>
    </row>
    <row r="3378" spans="1:14" x14ac:dyDescent="0.25">
      <c r="A3378" s="91" t="s">
        <v>1319</v>
      </c>
      <c r="B3378" s="91" t="s">
        <v>1333</v>
      </c>
      <c r="C3378" s="91" t="s">
        <v>4600</v>
      </c>
      <c r="D3378" s="91" t="s">
        <v>15</v>
      </c>
      <c r="E3378" s="91" t="s">
        <v>17</v>
      </c>
      <c r="F3378">
        <v>66</v>
      </c>
      <c r="G3378">
        <v>1.375</v>
      </c>
      <c r="H3378" s="89">
        <v>46253</v>
      </c>
      <c r="I3378" s="89">
        <v>46258</v>
      </c>
      <c r="J3378" s="91" t="s">
        <v>4542</v>
      </c>
      <c r="K3378" s="91" t="s">
        <v>4603</v>
      </c>
      <c r="L3378">
        <v>1</v>
      </c>
      <c r="M3378" s="91" t="s">
        <v>4604</v>
      </c>
      <c r="N3378" s="91" t="s">
        <v>4472</v>
      </c>
    </row>
    <row r="3379" spans="1:14" x14ac:dyDescent="0.25">
      <c r="A3379" s="91" t="s">
        <v>1313</v>
      </c>
      <c r="B3379" s="91" t="s">
        <v>1327</v>
      </c>
      <c r="C3379" s="91" t="s">
        <v>4605</v>
      </c>
      <c r="D3379" s="91" t="s">
        <v>20</v>
      </c>
      <c r="E3379" s="91" t="s">
        <v>22</v>
      </c>
      <c r="F3379">
        <v>1152</v>
      </c>
      <c r="G3379">
        <v>24</v>
      </c>
      <c r="H3379" s="89">
        <v>46253</v>
      </c>
      <c r="I3379" s="89">
        <v>46257</v>
      </c>
      <c r="J3379" s="91" t="s">
        <v>4606</v>
      </c>
      <c r="K3379" s="91" t="s">
        <v>4607</v>
      </c>
      <c r="L3379">
        <v>1</v>
      </c>
      <c r="M3379" s="91" t="s">
        <v>4608</v>
      </c>
      <c r="N3379" s="91" t="s">
        <v>4472</v>
      </c>
    </row>
    <row r="3380" spans="1:14" x14ac:dyDescent="0.25">
      <c r="A3380" s="91" t="s">
        <v>1321</v>
      </c>
      <c r="B3380" s="91" t="s">
        <v>1335</v>
      </c>
      <c r="C3380" s="91" t="s">
        <v>4609</v>
      </c>
      <c r="D3380" s="91" t="s">
        <v>27</v>
      </c>
      <c r="E3380" s="91" t="s">
        <v>65</v>
      </c>
      <c r="F3380">
        <v>144</v>
      </c>
      <c r="G3380">
        <v>3</v>
      </c>
      <c r="H3380" s="89">
        <v>46253</v>
      </c>
      <c r="I3380" s="89">
        <v>46259</v>
      </c>
      <c r="J3380" s="91" t="s">
        <v>4548</v>
      </c>
      <c r="K3380" s="91" t="s">
        <v>4610</v>
      </c>
      <c r="L3380">
        <v>1</v>
      </c>
      <c r="M3380" s="91" t="s">
        <v>4611</v>
      </c>
      <c r="N3380" s="91" t="s">
        <v>4472</v>
      </c>
    </row>
    <row r="3381" spans="1:14" x14ac:dyDescent="0.25">
      <c r="A3381" s="91" t="s">
        <v>1324</v>
      </c>
      <c r="B3381" s="91" t="s">
        <v>1338</v>
      </c>
      <c r="C3381" s="91" t="s">
        <v>4612</v>
      </c>
      <c r="D3381" s="91" t="s">
        <v>21</v>
      </c>
      <c r="E3381" s="91" t="s">
        <v>65</v>
      </c>
      <c r="F3381">
        <v>816</v>
      </c>
      <c r="G3381">
        <v>17</v>
      </c>
      <c r="H3381" s="89">
        <v>46253</v>
      </c>
      <c r="I3381" s="89">
        <v>46259</v>
      </c>
      <c r="J3381" s="91" t="s">
        <v>4548</v>
      </c>
      <c r="K3381" s="91" t="s">
        <v>4613</v>
      </c>
      <c r="L3381">
        <v>1</v>
      </c>
      <c r="M3381" s="91" t="s">
        <v>4614</v>
      </c>
      <c r="N3381" s="91" t="s">
        <v>4472</v>
      </c>
    </row>
    <row r="3382" spans="1:14" x14ac:dyDescent="0.25">
      <c r="A3382" s="91" t="s">
        <v>1324</v>
      </c>
      <c r="B3382" s="91" t="s">
        <v>1338</v>
      </c>
      <c r="C3382" s="91" t="s">
        <v>4615</v>
      </c>
      <c r="D3382" s="91" t="s">
        <v>23</v>
      </c>
      <c r="E3382" s="91" t="s">
        <v>65</v>
      </c>
      <c r="F3382">
        <v>960</v>
      </c>
      <c r="G3382">
        <v>20</v>
      </c>
      <c r="H3382" s="89">
        <v>46253</v>
      </c>
      <c r="I3382" s="89">
        <v>46260</v>
      </c>
      <c r="J3382" s="91" t="s">
        <v>4616</v>
      </c>
      <c r="K3382" s="91" t="s">
        <v>4617</v>
      </c>
      <c r="L3382">
        <v>1</v>
      </c>
      <c r="M3382" s="91" t="s">
        <v>4618</v>
      </c>
      <c r="N3382" s="91" t="s">
        <v>4472</v>
      </c>
    </row>
    <row r="3383" spans="1:14" x14ac:dyDescent="0.25">
      <c r="A3383" s="91" t="s">
        <v>1320</v>
      </c>
      <c r="B3383" s="91" t="s">
        <v>1334</v>
      </c>
      <c r="C3383" s="91" t="s">
        <v>4619</v>
      </c>
      <c r="D3383" s="91" t="s">
        <v>150</v>
      </c>
      <c r="E3383" s="91" t="s">
        <v>14</v>
      </c>
      <c r="F3383">
        <v>960</v>
      </c>
      <c r="G3383">
        <v>20</v>
      </c>
      <c r="H3383" s="89">
        <v>46253</v>
      </c>
      <c r="I3383" s="89">
        <v>46258</v>
      </c>
      <c r="J3383" s="91" t="s">
        <v>4620</v>
      </c>
      <c r="K3383" s="91" t="s">
        <v>4621</v>
      </c>
      <c r="L3383">
        <v>1</v>
      </c>
      <c r="M3383" s="91" t="s">
        <v>4622</v>
      </c>
      <c r="N3383" s="91" t="s">
        <v>4472</v>
      </c>
    </row>
    <row r="3384" spans="1:14" x14ac:dyDescent="0.25">
      <c r="A3384" s="91" t="s">
        <v>1313</v>
      </c>
      <c r="B3384" s="91" t="s">
        <v>1327</v>
      </c>
      <c r="C3384" s="91" t="s">
        <v>4600</v>
      </c>
      <c r="D3384" s="91" t="s">
        <v>15</v>
      </c>
      <c r="E3384" s="91" t="s">
        <v>19</v>
      </c>
      <c r="F3384">
        <v>48</v>
      </c>
      <c r="G3384">
        <v>1</v>
      </c>
      <c r="H3384" s="89">
        <v>46253</v>
      </c>
      <c r="I3384" s="89">
        <v>46255</v>
      </c>
      <c r="J3384" s="91" t="s">
        <v>1656</v>
      </c>
      <c r="K3384" s="91" t="s">
        <v>4623</v>
      </c>
      <c r="L3384">
        <v>1</v>
      </c>
      <c r="M3384" s="91" t="s">
        <v>4624</v>
      </c>
      <c r="N3384" s="91" t="s">
        <v>4472</v>
      </c>
    </row>
    <row r="3385" spans="1:14" x14ac:dyDescent="0.25">
      <c r="A3385" s="91" t="s">
        <v>1315</v>
      </c>
      <c r="B3385" s="91" t="s">
        <v>1329</v>
      </c>
      <c r="C3385" s="91" t="s">
        <v>4600</v>
      </c>
      <c r="D3385" s="91" t="s">
        <v>15</v>
      </c>
      <c r="E3385" s="91" t="s">
        <v>19</v>
      </c>
      <c r="F3385">
        <v>5</v>
      </c>
      <c r="G3385" t="s">
        <v>1419</v>
      </c>
      <c r="H3385" s="89">
        <v>46253</v>
      </c>
      <c r="I3385" s="89">
        <v>46255</v>
      </c>
      <c r="J3385" s="91" t="s">
        <v>1656</v>
      </c>
      <c r="K3385" s="91" t="s">
        <v>4625</v>
      </c>
      <c r="L3385">
        <v>1</v>
      </c>
      <c r="M3385" s="91" t="s">
        <v>4626</v>
      </c>
      <c r="N3385" s="91" t="s">
        <v>4472</v>
      </c>
    </row>
    <row r="3386" spans="1:14" x14ac:dyDescent="0.25">
      <c r="A3386" s="91" t="s">
        <v>1316</v>
      </c>
      <c r="B3386" s="91" t="s">
        <v>1330</v>
      </c>
      <c r="C3386" s="91" t="s">
        <v>4627</v>
      </c>
      <c r="D3386" s="91" t="s">
        <v>15</v>
      </c>
      <c r="E3386" s="91" t="s">
        <v>19</v>
      </c>
      <c r="F3386">
        <v>48</v>
      </c>
      <c r="G3386" t="s">
        <v>1419</v>
      </c>
      <c r="H3386" s="89">
        <v>46253</v>
      </c>
      <c r="I3386" s="89">
        <v>46255</v>
      </c>
      <c r="J3386" s="91" t="s">
        <v>1656</v>
      </c>
      <c r="K3386" s="91" t="s">
        <v>4628</v>
      </c>
      <c r="L3386">
        <v>1</v>
      </c>
      <c r="M3386" s="91" t="s">
        <v>4629</v>
      </c>
      <c r="N3386" s="91" t="s">
        <v>4472</v>
      </c>
    </row>
    <row r="3387" spans="1:14" x14ac:dyDescent="0.25">
      <c r="A3387" s="91" t="s">
        <v>1317</v>
      </c>
      <c r="B3387" s="91" t="s">
        <v>1331</v>
      </c>
      <c r="C3387" s="91" t="s">
        <v>4630</v>
      </c>
      <c r="D3387" s="91" t="s">
        <v>15</v>
      </c>
      <c r="E3387" s="91" t="s">
        <v>19</v>
      </c>
      <c r="F3387">
        <v>88</v>
      </c>
      <c r="G3387" t="s">
        <v>1419</v>
      </c>
      <c r="H3387" s="89">
        <v>46253</v>
      </c>
      <c r="I3387" s="89">
        <v>46255</v>
      </c>
      <c r="J3387" s="91" t="s">
        <v>1656</v>
      </c>
      <c r="K3387" s="91" t="s">
        <v>4631</v>
      </c>
      <c r="L3387">
        <v>1</v>
      </c>
      <c r="M3387" s="91" t="s">
        <v>4632</v>
      </c>
      <c r="N3387" s="91" t="s">
        <v>4472</v>
      </c>
    </row>
    <row r="3388" spans="1:14" x14ac:dyDescent="0.25">
      <c r="A3388" s="91" t="s">
        <v>1318</v>
      </c>
      <c r="B3388" s="91" t="s">
        <v>1332</v>
      </c>
      <c r="C3388" s="91" t="s">
        <v>4633</v>
      </c>
      <c r="D3388" s="91" t="s">
        <v>15</v>
      </c>
      <c r="E3388" s="91" t="s">
        <v>19</v>
      </c>
      <c r="F3388">
        <v>28</v>
      </c>
      <c r="G3388" t="s">
        <v>1419</v>
      </c>
      <c r="H3388" s="89">
        <v>46253</v>
      </c>
      <c r="I3388" s="89">
        <v>46255</v>
      </c>
      <c r="J3388" s="91" t="s">
        <v>1656</v>
      </c>
      <c r="K3388" s="91" t="s">
        <v>4634</v>
      </c>
      <c r="L3388">
        <v>1</v>
      </c>
      <c r="M3388" s="91" t="s">
        <v>4635</v>
      </c>
      <c r="N3388" s="91" t="s">
        <v>4472</v>
      </c>
    </row>
    <row r="3389" spans="1:14" x14ac:dyDescent="0.25">
      <c r="A3389" s="91" t="s">
        <v>1313</v>
      </c>
      <c r="B3389" s="91" t="s">
        <v>1327</v>
      </c>
      <c r="C3389" s="91" t="s">
        <v>4605</v>
      </c>
      <c r="D3389" s="91" t="s">
        <v>20</v>
      </c>
      <c r="E3389" s="91" t="s">
        <v>19</v>
      </c>
      <c r="F3389">
        <v>48</v>
      </c>
      <c r="G3389">
        <v>1</v>
      </c>
      <c r="H3389" s="89">
        <v>46253</v>
      </c>
      <c r="I3389" s="89">
        <v>46255</v>
      </c>
      <c r="J3389" s="91" t="s">
        <v>1656</v>
      </c>
      <c r="K3389" s="91" t="s">
        <v>4636</v>
      </c>
      <c r="L3389">
        <v>1</v>
      </c>
      <c r="M3389" s="91" t="s">
        <v>4637</v>
      </c>
      <c r="N3389" s="91" t="s">
        <v>4472</v>
      </c>
    </row>
    <row r="3390" spans="1:14" x14ac:dyDescent="0.25">
      <c r="A3390" s="91" t="s">
        <v>1315</v>
      </c>
      <c r="B3390" s="91" t="s">
        <v>1329</v>
      </c>
      <c r="C3390" s="91" t="s">
        <v>4605</v>
      </c>
      <c r="D3390" s="91" t="s">
        <v>20</v>
      </c>
      <c r="E3390" s="91" t="s">
        <v>19</v>
      </c>
      <c r="F3390">
        <v>18</v>
      </c>
      <c r="G3390" t="s">
        <v>1419</v>
      </c>
      <c r="H3390" s="89">
        <v>46253</v>
      </c>
      <c r="I3390" s="89">
        <v>46255</v>
      </c>
      <c r="J3390" s="91" t="s">
        <v>1656</v>
      </c>
      <c r="K3390" s="91" t="s">
        <v>4638</v>
      </c>
      <c r="L3390">
        <v>1</v>
      </c>
      <c r="M3390" s="91" t="s">
        <v>4639</v>
      </c>
      <c r="N3390" s="91" t="s">
        <v>4472</v>
      </c>
    </row>
    <row r="3391" spans="1:14" x14ac:dyDescent="0.25">
      <c r="A3391" s="91" t="s">
        <v>1316</v>
      </c>
      <c r="B3391" s="91" t="s">
        <v>1330</v>
      </c>
      <c r="C3391" s="91" t="s">
        <v>4640</v>
      </c>
      <c r="D3391" s="91" t="s">
        <v>20</v>
      </c>
      <c r="E3391" s="91" t="s">
        <v>19</v>
      </c>
      <c r="F3391">
        <v>92</v>
      </c>
      <c r="G3391" t="s">
        <v>1419</v>
      </c>
      <c r="H3391" s="89">
        <v>46253</v>
      </c>
      <c r="I3391" s="89">
        <v>46255</v>
      </c>
      <c r="J3391" s="91" t="s">
        <v>1656</v>
      </c>
      <c r="K3391" s="91" t="s">
        <v>4641</v>
      </c>
      <c r="L3391">
        <v>1</v>
      </c>
      <c r="M3391" s="91" t="s">
        <v>4642</v>
      </c>
      <c r="N3391" s="91" t="s">
        <v>4472</v>
      </c>
    </row>
    <row r="3392" spans="1:14" x14ac:dyDescent="0.25">
      <c r="A3392" s="91" t="s">
        <v>1317</v>
      </c>
      <c r="B3392" s="91" t="s">
        <v>1331</v>
      </c>
      <c r="C3392" s="91" t="s">
        <v>4643</v>
      </c>
      <c r="D3392" s="91" t="s">
        <v>20</v>
      </c>
      <c r="E3392" s="91" t="s">
        <v>19</v>
      </c>
      <c r="F3392">
        <v>10</v>
      </c>
      <c r="G3392" t="s">
        <v>1419</v>
      </c>
      <c r="H3392" s="89">
        <v>46253</v>
      </c>
      <c r="I3392" s="89">
        <v>46255</v>
      </c>
      <c r="J3392" s="91" t="s">
        <v>1656</v>
      </c>
      <c r="K3392" s="91" t="s">
        <v>4644</v>
      </c>
      <c r="L3392">
        <v>1</v>
      </c>
      <c r="M3392" s="91" t="s">
        <v>4645</v>
      </c>
      <c r="N3392" s="91" t="s">
        <v>4472</v>
      </c>
    </row>
    <row r="3393" spans="1:14" x14ac:dyDescent="0.25">
      <c r="A3393" s="91" t="s">
        <v>1318</v>
      </c>
      <c r="B3393" s="91" t="s">
        <v>1332</v>
      </c>
      <c r="C3393" s="91" t="s">
        <v>4646</v>
      </c>
      <c r="D3393" s="91" t="s">
        <v>20</v>
      </c>
      <c r="E3393" s="91" t="s">
        <v>19</v>
      </c>
      <c r="F3393">
        <v>49</v>
      </c>
      <c r="G3393" t="s">
        <v>1419</v>
      </c>
      <c r="H3393" s="89">
        <v>46253</v>
      </c>
      <c r="I3393" s="89">
        <v>46255</v>
      </c>
      <c r="J3393" s="91" t="s">
        <v>1656</v>
      </c>
      <c r="K3393" s="91" t="s">
        <v>4647</v>
      </c>
      <c r="L3393">
        <v>1</v>
      </c>
      <c r="M3393" s="91" t="s">
        <v>4648</v>
      </c>
      <c r="N3393" s="91" t="s">
        <v>4472</v>
      </c>
    </row>
    <row r="3394" spans="1:14" x14ac:dyDescent="0.25">
      <c r="A3394" s="91" t="s">
        <v>1315</v>
      </c>
      <c r="B3394" s="91" t="s">
        <v>1329</v>
      </c>
      <c r="C3394" s="91" t="s">
        <v>4612</v>
      </c>
      <c r="D3394" s="91" t="s">
        <v>21</v>
      </c>
      <c r="E3394" s="91" t="s">
        <v>19</v>
      </c>
      <c r="F3394">
        <v>93</v>
      </c>
      <c r="G3394" t="s">
        <v>1419</v>
      </c>
      <c r="H3394" s="89">
        <v>46253</v>
      </c>
      <c r="I3394" s="89">
        <v>46255</v>
      </c>
      <c r="J3394" s="91" t="s">
        <v>1656</v>
      </c>
      <c r="K3394" s="91" t="s">
        <v>4649</v>
      </c>
      <c r="L3394">
        <v>1</v>
      </c>
      <c r="M3394" s="91" t="s">
        <v>4650</v>
      </c>
      <c r="N3394" s="91" t="s">
        <v>4472</v>
      </c>
    </row>
    <row r="3395" spans="1:14" x14ac:dyDescent="0.25">
      <c r="A3395" s="91" t="s">
        <v>1315</v>
      </c>
      <c r="B3395" s="91" t="s">
        <v>1329</v>
      </c>
      <c r="C3395" s="91" t="s">
        <v>4612</v>
      </c>
      <c r="D3395" s="91" t="s">
        <v>21</v>
      </c>
      <c r="E3395" s="91" t="s">
        <v>19</v>
      </c>
      <c r="F3395">
        <v>11</v>
      </c>
      <c r="G3395" t="s">
        <v>1419</v>
      </c>
      <c r="H3395" s="89">
        <v>46253</v>
      </c>
      <c r="I3395" s="89">
        <v>46255</v>
      </c>
      <c r="J3395" s="91" t="s">
        <v>1656</v>
      </c>
      <c r="K3395" s="91" t="s">
        <v>4649</v>
      </c>
      <c r="L3395">
        <v>2</v>
      </c>
      <c r="M3395" s="91" t="s">
        <v>4651</v>
      </c>
      <c r="N3395" s="91" t="s">
        <v>4472</v>
      </c>
    </row>
    <row r="3396" spans="1:14" x14ac:dyDescent="0.25">
      <c r="A3396" s="91" t="s">
        <v>1316</v>
      </c>
      <c r="B3396" s="91" t="s">
        <v>1330</v>
      </c>
      <c r="C3396" s="91" t="s">
        <v>4652</v>
      </c>
      <c r="D3396" s="91" t="s">
        <v>21</v>
      </c>
      <c r="E3396" s="91" t="s">
        <v>19</v>
      </c>
      <c r="F3396">
        <v>27</v>
      </c>
      <c r="G3396" t="s">
        <v>1419</v>
      </c>
      <c r="H3396" s="89">
        <v>46253</v>
      </c>
      <c r="I3396" s="89">
        <v>46255</v>
      </c>
      <c r="J3396" s="91" t="s">
        <v>1656</v>
      </c>
      <c r="K3396" s="91" t="s">
        <v>4653</v>
      </c>
      <c r="L3396">
        <v>1</v>
      </c>
      <c r="M3396" s="91" t="s">
        <v>4654</v>
      </c>
      <c r="N3396" s="91" t="s">
        <v>4472</v>
      </c>
    </row>
    <row r="3397" spans="1:14" x14ac:dyDescent="0.25">
      <c r="A3397" s="91" t="s">
        <v>1317</v>
      </c>
      <c r="B3397" s="91" t="s">
        <v>1331</v>
      </c>
      <c r="C3397" s="91" t="s">
        <v>4655</v>
      </c>
      <c r="D3397" s="91" t="s">
        <v>21</v>
      </c>
      <c r="E3397" s="91" t="s">
        <v>19</v>
      </c>
      <c r="F3397">
        <v>10</v>
      </c>
      <c r="G3397" t="s">
        <v>1419</v>
      </c>
      <c r="H3397" s="89">
        <v>46253</v>
      </c>
      <c r="I3397" s="89">
        <v>46255</v>
      </c>
      <c r="J3397" s="91" t="s">
        <v>1656</v>
      </c>
      <c r="K3397" s="91" t="s">
        <v>4656</v>
      </c>
      <c r="L3397">
        <v>1</v>
      </c>
      <c r="M3397" s="91" t="s">
        <v>4657</v>
      </c>
      <c r="N3397" s="91" t="s">
        <v>4472</v>
      </c>
    </row>
    <row r="3398" spans="1:14" x14ac:dyDescent="0.25">
      <c r="A3398" s="91" t="s">
        <v>1318</v>
      </c>
      <c r="B3398" s="91" t="s">
        <v>1332</v>
      </c>
      <c r="C3398" s="91" t="s">
        <v>4658</v>
      </c>
      <c r="D3398" s="91" t="s">
        <v>21</v>
      </c>
      <c r="E3398" s="91" t="s">
        <v>19</v>
      </c>
      <c r="F3398">
        <v>39</v>
      </c>
      <c r="G3398" t="s">
        <v>1419</v>
      </c>
      <c r="H3398" s="89">
        <v>46253</v>
      </c>
      <c r="I3398" s="89">
        <v>46255</v>
      </c>
      <c r="J3398" s="91" t="s">
        <v>1656</v>
      </c>
      <c r="K3398" s="91" t="s">
        <v>4659</v>
      </c>
      <c r="L3398">
        <v>1</v>
      </c>
      <c r="M3398" s="91" t="s">
        <v>4660</v>
      </c>
      <c r="N3398" s="91" t="s">
        <v>4472</v>
      </c>
    </row>
    <row r="3399" spans="1:14" x14ac:dyDescent="0.25">
      <c r="A3399" s="91" t="s">
        <v>1325</v>
      </c>
      <c r="B3399" s="91" t="s">
        <v>1339</v>
      </c>
      <c r="C3399" s="91" t="s">
        <v>4609</v>
      </c>
      <c r="D3399" s="91" t="s">
        <v>27</v>
      </c>
      <c r="E3399" s="91" t="s">
        <v>19</v>
      </c>
      <c r="F3399">
        <v>336</v>
      </c>
      <c r="G3399">
        <v>7</v>
      </c>
      <c r="H3399" s="89">
        <v>46253</v>
      </c>
      <c r="I3399" s="89">
        <v>46255</v>
      </c>
      <c r="J3399" s="91" t="s">
        <v>1656</v>
      </c>
      <c r="K3399" s="91" t="s">
        <v>4661</v>
      </c>
      <c r="L3399">
        <v>1</v>
      </c>
      <c r="M3399" s="91" t="s">
        <v>4662</v>
      </c>
      <c r="N3399" s="91" t="s">
        <v>4472</v>
      </c>
    </row>
    <row r="3400" spans="1:14" x14ac:dyDescent="0.25">
      <c r="A3400" s="91" t="s">
        <v>1313</v>
      </c>
      <c r="B3400" s="91" t="s">
        <v>1327</v>
      </c>
      <c r="C3400" s="91" t="s">
        <v>4612</v>
      </c>
      <c r="D3400" s="91" t="s">
        <v>21</v>
      </c>
      <c r="E3400" s="91" t="s">
        <v>31</v>
      </c>
      <c r="F3400">
        <v>480</v>
      </c>
      <c r="G3400">
        <v>10</v>
      </c>
      <c r="H3400" s="89">
        <v>46253</v>
      </c>
      <c r="I3400" s="89">
        <v>46258</v>
      </c>
      <c r="J3400" s="91" t="s">
        <v>4663</v>
      </c>
      <c r="K3400" s="91" t="s">
        <v>4664</v>
      </c>
      <c r="L3400">
        <v>1</v>
      </c>
      <c r="M3400" s="91" t="s">
        <v>4665</v>
      </c>
      <c r="N3400" s="91" t="s">
        <v>4472</v>
      </c>
    </row>
    <row r="3401" spans="1:14" x14ac:dyDescent="0.25">
      <c r="A3401" s="91" t="s">
        <v>1313</v>
      </c>
      <c r="B3401" s="91" t="s">
        <v>1327</v>
      </c>
      <c r="C3401" s="91" t="s">
        <v>4666</v>
      </c>
      <c r="D3401" s="91" t="s">
        <v>4313</v>
      </c>
      <c r="E3401" s="91" t="s">
        <v>22</v>
      </c>
      <c r="F3401">
        <v>1152</v>
      </c>
      <c r="G3401">
        <v>24</v>
      </c>
      <c r="H3401" s="89">
        <v>46254</v>
      </c>
      <c r="I3401" s="89">
        <v>46258</v>
      </c>
      <c r="J3401" s="91" t="s">
        <v>4667</v>
      </c>
      <c r="K3401" s="91" t="s">
        <v>4668</v>
      </c>
      <c r="L3401">
        <v>1</v>
      </c>
      <c r="M3401" s="91" t="s">
        <v>4669</v>
      </c>
      <c r="N3401" s="91" t="s">
        <v>4472</v>
      </c>
    </row>
    <row r="3402" spans="1:14" x14ac:dyDescent="0.25">
      <c r="A3402" s="91" t="s">
        <v>1320</v>
      </c>
      <c r="B3402" s="91" t="s">
        <v>1334</v>
      </c>
      <c r="C3402" s="91" t="s">
        <v>4670</v>
      </c>
      <c r="D3402" s="91" t="s">
        <v>30</v>
      </c>
      <c r="E3402" s="91" t="s">
        <v>14</v>
      </c>
      <c r="F3402">
        <v>480</v>
      </c>
      <c r="G3402">
        <v>10</v>
      </c>
      <c r="H3402" s="89">
        <v>46254</v>
      </c>
      <c r="I3402" s="89">
        <v>46259</v>
      </c>
      <c r="J3402" s="91" t="s">
        <v>4671</v>
      </c>
      <c r="K3402" s="91" t="s">
        <v>4672</v>
      </c>
      <c r="L3402">
        <v>1</v>
      </c>
      <c r="M3402" s="91" t="s">
        <v>4673</v>
      </c>
      <c r="N3402" s="91" t="s">
        <v>4472</v>
      </c>
    </row>
    <row r="3403" spans="1:14" x14ac:dyDescent="0.25">
      <c r="A3403" s="91" t="s">
        <v>1324</v>
      </c>
      <c r="B3403" s="91" t="s">
        <v>1338</v>
      </c>
      <c r="C3403" s="91" t="s">
        <v>4674</v>
      </c>
      <c r="D3403" s="91" t="s">
        <v>23</v>
      </c>
      <c r="E3403" s="91" t="s">
        <v>25</v>
      </c>
      <c r="F3403">
        <v>960</v>
      </c>
      <c r="G3403">
        <v>20</v>
      </c>
      <c r="H3403" s="89">
        <v>46254</v>
      </c>
      <c r="I3403" s="89">
        <v>46260</v>
      </c>
      <c r="J3403" s="91" t="s">
        <v>4675</v>
      </c>
      <c r="K3403" s="91" t="s">
        <v>4676</v>
      </c>
      <c r="L3403">
        <v>1</v>
      </c>
      <c r="M3403" s="91" t="s">
        <v>4677</v>
      </c>
      <c r="N3403" s="91" t="s">
        <v>4472</v>
      </c>
    </row>
    <row r="3404" spans="1:14" x14ac:dyDescent="0.25">
      <c r="A3404" s="91" t="s">
        <v>1313</v>
      </c>
      <c r="B3404" s="91" t="s">
        <v>1327</v>
      </c>
      <c r="C3404" s="91" t="s">
        <v>4678</v>
      </c>
      <c r="D3404" s="91" t="s">
        <v>119</v>
      </c>
      <c r="E3404" s="91" t="s">
        <v>16</v>
      </c>
      <c r="F3404">
        <v>912</v>
      </c>
      <c r="G3404">
        <v>19</v>
      </c>
      <c r="H3404" s="89">
        <v>46254</v>
      </c>
      <c r="I3404" s="89">
        <v>46258</v>
      </c>
      <c r="J3404" s="91" t="s">
        <v>4679</v>
      </c>
      <c r="K3404" s="91" t="s">
        <v>4680</v>
      </c>
      <c r="L3404">
        <v>1</v>
      </c>
      <c r="M3404" s="91" t="s">
        <v>4681</v>
      </c>
      <c r="N3404" s="91" t="s">
        <v>4472</v>
      </c>
    </row>
    <row r="3405" spans="1:14" x14ac:dyDescent="0.25">
      <c r="A3405" s="91" t="s">
        <v>1324</v>
      </c>
      <c r="B3405" s="91" t="s">
        <v>1338</v>
      </c>
      <c r="C3405" s="91" t="s">
        <v>4682</v>
      </c>
      <c r="D3405" s="91" t="s">
        <v>150</v>
      </c>
      <c r="E3405" s="91" t="s">
        <v>65</v>
      </c>
      <c r="F3405">
        <v>960</v>
      </c>
      <c r="G3405">
        <v>20</v>
      </c>
      <c r="H3405" s="89">
        <v>46254</v>
      </c>
      <c r="I3405" s="89">
        <v>46260</v>
      </c>
      <c r="J3405" s="91" t="s">
        <v>4616</v>
      </c>
      <c r="K3405" s="91" t="s">
        <v>4683</v>
      </c>
      <c r="L3405">
        <v>1</v>
      </c>
      <c r="M3405" s="91" t="s">
        <v>4684</v>
      </c>
      <c r="N3405" s="91" t="s">
        <v>4472</v>
      </c>
    </row>
    <row r="3406" spans="1:14" x14ac:dyDescent="0.25">
      <c r="A3406" s="91" t="s">
        <v>1319</v>
      </c>
      <c r="B3406" s="91" t="s">
        <v>1333</v>
      </c>
      <c r="C3406" s="91" t="s">
        <v>4685</v>
      </c>
      <c r="D3406" s="91" t="s">
        <v>21</v>
      </c>
      <c r="E3406" s="91" t="s">
        <v>31</v>
      </c>
      <c r="F3406">
        <v>5</v>
      </c>
      <c r="G3406">
        <v>0.10416666666666669</v>
      </c>
      <c r="H3406" s="89">
        <v>46254</v>
      </c>
      <c r="I3406" s="89">
        <v>46258</v>
      </c>
      <c r="J3406" s="91" t="s">
        <v>4686</v>
      </c>
      <c r="K3406" s="91" t="s">
        <v>4687</v>
      </c>
      <c r="L3406">
        <v>1</v>
      </c>
      <c r="M3406" s="91" t="s">
        <v>4688</v>
      </c>
      <c r="N3406" s="91" t="s">
        <v>4472</v>
      </c>
    </row>
    <row r="3407" spans="1:14" x14ac:dyDescent="0.25">
      <c r="A3407" s="91" t="s">
        <v>1314</v>
      </c>
      <c r="B3407" s="91" t="s">
        <v>1328</v>
      </c>
      <c r="C3407" s="91" t="s">
        <v>4685</v>
      </c>
      <c r="D3407" s="91" t="s">
        <v>21</v>
      </c>
      <c r="E3407" s="91" t="s">
        <v>31</v>
      </c>
      <c r="F3407">
        <v>96</v>
      </c>
      <c r="G3407">
        <v>2</v>
      </c>
      <c r="H3407" s="89">
        <v>46254</v>
      </c>
      <c r="I3407" s="89">
        <v>46258</v>
      </c>
      <c r="J3407" s="91" t="s">
        <v>4689</v>
      </c>
      <c r="K3407" s="91" t="s">
        <v>4690</v>
      </c>
      <c r="L3407">
        <v>1</v>
      </c>
      <c r="M3407" s="91" t="s">
        <v>4691</v>
      </c>
      <c r="N3407" s="91" t="s">
        <v>4472</v>
      </c>
    </row>
    <row r="3408" spans="1:14" x14ac:dyDescent="0.25">
      <c r="A3408" s="91" t="s">
        <v>1313</v>
      </c>
      <c r="B3408" s="91" t="s">
        <v>1327</v>
      </c>
      <c r="C3408" s="91" t="s">
        <v>4685</v>
      </c>
      <c r="D3408" s="91" t="s">
        <v>21</v>
      </c>
      <c r="E3408" s="91" t="s">
        <v>31</v>
      </c>
      <c r="F3408">
        <v>571</v>
      </c>
      <c r="G3408">
        <v>11.895833333333334</v>
      </c>
      <c r="H3408" s="89">
        <v>46254</v>
      </c>
      <c r="I3408" s="89">
        <v>46258</v>
      </c>
      <c r="J3408" s="91" t="s">
        <v>4663</v>
      </c>
      <c r="K3408" s="91" t="s">
        <v>4692</v>
      </c>
      <c r="L3408">
        <v>1</v>
      </c>
      <c r="M3408" s="91" t="s">
        <v>4693</v>
      </c>
      <c r="N3408" s="91" t="s">
        <v>4472</v>
      </c>
    </row>
    <row r="3409" spans="1:14" x14ac:dyDescent="0.25">
      <c r="A3409" s="91" t="s">
        <v>1313</v>
      </c>
      <c r="B3409" s="91" t="s">
        <v>1327</v>
      </c>
      <c r="C3409" s="91" t="s">
        <v>4685</v>
      </c>
      <c r="D3409" s="91" t="s">
        <v>21</v>
      </c>
      <c r="E3409" s="91" t="s">
        <v>18</v>
      </c>
      <c r="F3409">
        <v>144</v>
      </c>
      <c r="G3409">
        <v>3</v>
      </c>
      <c r="H3409" s="89">
        <v>46254</v>
      </c>
      <c r="I3409" s="89">
        <v>46260</v>
      </c>
      <c r="J3409" s="91" t="s">
        <v>4694</v>
      </c>
      <c r="K3409" s="91" t="s">
        <v>4695</v>
      </c>
      <c r="L3409">
        <v>1</v>
      </c>
      <c r="M3409" s="91" t="s">
        <v>4696</v>
      </c>
      <c r="N3409" s="91" t="s">
        <v>4472</v>
      </c>
    </row>
    <row r="3410" spans="1:14" x14ac:dyDescent="0.25">
      <c r="A3410" s="91" t="s">
        <v>1324</v>
      </c>
      <c r="B3410" s="91" t="s">
        <v>1338</v>
      </c>
      <c r="C3410" s="91" t="s">
        <v>4685</v>
      </c>
      <c r="D3410" s="91" t="s">
        <v>21</v>
      </c>
      <c r="E3410" s="91" t="s">
        <v>19</v>
      </c>
      <c r="F3410">
        <v>384</v>
      </c>
      <c r="G3410">
        <v>8</v>
      </c>
      <c r="H3410" s="89">
        <v>46254</v>
      </c>
      <c r="I3410" s="89">
        <v>46255</v>
      </c>
      <c r="J3410" s="91" t="s">
        <v>1656</v>
      </c>
      <c r="K3410" s="91" t="s">
        <v>4697</v>
      </c>
      <c r="L3410">
        <v>1</v>
      </c>
      <c r="M3410" s="91" t="s">
        <v>4698</v>
      </c>
      <c r="N3410" s="91" t="s">
        <v>4472</v>
      </c>
    </row>
    <row r="3411" spans="1:14" x14ac:dyDescent="0.25">
      <c r="A3411" s="91" t="s">
        <v>1324</v>
      </c>
      <c r="B3411" s="91" t="s">
        <v>1338</v>
      </c>
      <c r="C3411" s="91" t="s">
        <v>4685</v>
      </c>
      <c r="D3411" s="91" t="s">
        <v>21</v>
      </c>
      <c r="E3411" s="91" t="s">
        <v>19</v>
      </c>
      <c r="F3411">
        <v>96</v>
      </c>
      <c r="G3411">
        <v>2</v>
      </c>
      <c r="H3411" s="89">
        <v>46254</v>
      </c>
      <c r="I3411" s="89">
        <v>46255</v>
      </c>
      <c r="J3411" s="91" t="s">
        <v>1656</v>
      </c>
      <c r="K3411" s="91" t="s">
        <v>4697</v>
      </c>
      <c r="L3411">
        <v>2</v>
      </c>
      <c r="M3411" s="91" t="s">
        <v>4699</v>
      </c>
      <c r="N3411" s="91" t="s">
        <v>4472</v>
      </c>
    </row>
    <row r="3412" spans="1:14" x14ac:dyDescent="0.25">
      <c r="A3412" s="91" t="s">
        <v>1315</v>
      </c>
      <c r="B3412" s="91" t="s">
        <v>1329</v>
      </c>
      <c r="C3412" s="91" t="s">
        <v>4685</v>
      </c>
      <c r="D3412" s="91" t="s">
        <v>21</v>
      </c>
      <c r="E3412" s="91" t="s">
        <v>19</v>
      </c>
      <c r="F3412">
        <v>48</v>
      </c>
      <c r="G3412" t="s">
        <v>1419</v>
      </c>
      <c r="H3412" s="89">
        <v>46254</v>
      </c>
      <c r="I3412" s="89">
        <v>46255</v>
      </c>
      <c r="J3412" s="91" t="s">
        <v>1656</v>
      </c>
      <c r="K3412" s="91" t="s">
        <v>4700</v>
      </c>
      <c r="L3412">
        <v>1</v>
      </c>
      <c r="M3412" s="91" t="s">
        <v>4701</v>
      </c>
      <c r="N3412" s="91" t="s">
        <v>4472</v>
      </c>
    </row>
    <row r="3413" spans="1:14" x14ac:dyDescent="0.25">
      <c r="A3413" s="91" t="s">
        <v>1316</v>
      </c>
      <c r="B3413" s="91" t="s">
        <v>1330</v>
      </c>
      <c r="C3413" s="91" t="s">
        <v>4588</v>
      </c>
      <c r="D3413" s="91" t="s">
        <v>21</v>
      </c>
      <c r="E3413" s="91" t="s">
        <v>19</v>
      </c>
      <c r="F3413">
        <v>30</v>
      </c>
      <c r="G3413" t="s">
        <v>1419</v>
      </c>
      <c r="H3413" s="89">
        <v>46254</v>
      </c>
      <c r="I3413" s="89">
        <v>46255</v>
      </c>
      <c r="J3413" s="91" t="s">
        <v>1656</v>
      </c>
      <c r="K3413" s="91" t="s">
        <v>4702</v>
      </c>
      <c r="L3413">
        <v>1</v>
      </c>
      <c r="M3413" s="91" t="s">
        <v>4703</v>
      </c>
      <c r="N3413" s="91" t="s">
        <v>4472</v>
      </c>
    </row>
    <row r="3414" spans="1:14" x14ac:dyDescent="0.25">
      <c r="A3414" s="91" t="s">
        <v>1317</v>
      </c>
      <c r="B3414" s="91" t="s">
        <v>1331</v>
      </c>
      <c r="C3414" s="91" t="s">
        <v>4591</v>
      </c>
      <c r="D3414" s="91" t="s">
        <v>21</v>
      </c>
      <c r="E3414" s="91" t="s">
        <v>19</v>
      </c>
      <c r="F3414">
        <v>15</v>
      </c>
      <c r="G3414" t="s">
        <v>1419</v>
      </c>
      <c r="H3414" s="89">
        <v>46254</v>
      </c>
      <c r="I3414" s="89">
        <v>46255</v>
      </c>
      <c r="J3414" s="91" t="s">
        <v>1656</v>
      </c>
      <c r="K3414" s="91" t="s">
        <v>4704</v>
      </c>
      <c r="L3414">
        <v>1</v>
      </c>
      <c r="M3414" s="91" t="s">
        <v>4705</v>
      </c>
      <c r="N3414" s="91" t="s">
        <v>4472</v>
      </c>
    </row>
    <row r="3415" spans="1:14" x14ac:dyDescent="0.25">
      <c r="A3415" s="91" t="s">
        <v>1318</v>
      </c>
      <c r="B3415" s="91" t="s">
        <v>1332</v>
      </c>
      <c r="C3415" s="91" t="s">
        <v>4594</v>
      </c>
      <c r="D3415" s="91" t="s">
        <v>21</v>
      </c>
      <c r="E3415" s="91" t="s">
        <v>19</v>
      </c>
      <c r="F3415">
        <v>40</v>
      </c>
      <c r="G3415" t="s">
        <v>1419</v>
      </c>
      <c r="H3415" s="89">
        <v>46254</v>
      </c>
      <c r="I3415" s="89">
        <v>46255</v>
      </c>
      <c r="J3415" s="91" t="s">
        <v>1656</v>
      </c>
      <c r="K3415" s="91" t="s">
        <v>4706</v>
      </c>
      <c r="L3415">
        <v>1</v>
      </c>
      <c r="M3415" s="91" t="s">
        <v>4707</v>
      </c>
      <c r="N3415" s="91" t="s">
        <v>4472</v>
      </c>
    </row>
    <row r="3416" spans="1:14" x14ac:dyDescent="0.25">
      <c r="A3416" s="91" t="s">
        <v>1313</v>
      </c>
      <c r="B3416" s="91" t="s">
        <v>1327</v>
      </c>
      <c r="C3416" s="91" t="s">
        <v>4708</v>
      </c>
      <c r="D3416" s="91" t="s">
        <v>20</v>
      </c>
      <c r="E3416" s="91" t="s">
        <v>18</v>
      </c>
      <c r="F3416">
        <v>1056</v>
      </c>
      <c r="G3416">
        <v>22</v>
      </c>
      <c r="H3416" s="89">
        <v>46254</v>
      </c>
      <c r="I3416" s="89">
        <v>46258</v>
      </c>
      <c r="J3416" s="91" t="s">
        <v>4709</v>
      </c>
      <c r="K3416" s="91" t="s">
        <v>4710</v>
      </c>
      <c r="L3416">
        <v>1</v>
      </c>
      <c r="M3416" s="91" t="s">
        <v>4711</v>
      </c>
      <c r="N3416" s="91" t="s">
        <v>4472</v>
      </c>
    </row>
    <row r="3417" spans="1:14" x14ac:dyDescent="0.25">
      <c r="A3417" s="91" t="s">
        <v>1325</v>
      </c>
      <c r="B3417" s="91" t="s">
        <v>1339</v>
      </c>
      <c r="C3417" s="91" t="s">
        <v>4708</v>
      </c>
      <c r="D3417" s="91" t="s">
        <v>20</v>
      </c>
      <c r="E3417" s="91" t="s">
        <v>19</v>
      </c>
      <c r="F3417">
        <v>144</v>
      </c>
      <c r="G3417">
        <v>3</v>
      </c>
      <c r="H3417" s="89">
        <v>46254</v>
      </c>
      <c r="I3417" s="89">
        <v>46255</v>
      </c>
      <c r="J3417" s="91" t="s">
        <v>1656</v>
      </c>
      <c r="K3417" s="91" t="s">
        <v>4712</v>
      </c>
      <c r="L3417">
        <v>1</v>
      </c>
      <c r="M3417" s="91" t="s">
        <v>4713</v>
      </c>
      <c r="N3417" s="91" t="s">
        <v>4472</v>
      </c>
    </row>
    <row r="3418" spans="1:14" x14ac:dyDescent="0.25">
      <c r="A3418" s="91" t="s">
        <v>1313</v>
      </c>
      <c r="B3418" s="91" t="s">
        <v>1327</v>
      </c>
      <c r="C3418" s="91" t="s">
        <v>4708</v>
      </c>
      <c r="D3418" s="91" t="s">
        <v>20</v>
      </c>
      <c r="E3418" s="91" t="s">
        <v>19</v>
      </c>
      <c r="F3418">
        <v>48</v>
      </c>
      <c r="G3418">
        <v>1</v>
      </c>
      <c r="H3418" s="89">
        <v>46254</v>
      </c>
      <c r="I3418" s="89">
        <v>46255</v>
      </c>
      <c r="J3418" s="91" t="s">
        <v>1656</v>
      </c>
      <c r="K3418" s="91" t="s">
        <v>4714</v>
      </c>
      <c r="L3418">
        <v>1</v>
      </c>
      <c r="M3418" s="91" t="s">
        <v>4715</v>
      </c>
      <c r="N3418" s="91" t="s">
        <v>4472</v>
      </c>
    </row>
    <row r="3419" spans="1:14" x14ac:dyDescent="0.25">
      <c r="A3419" s="91" t="s">
        <v>1315</v>
      </c>
      <c r="B3419" s="91" t="s">
        <v>1329</v>
      </c>
      <c r="C3419" s="91" t="s">
        <v>4708</v>
      </c>
      <c r="D3419" s="91" t="s">
        <v>20</v>
      </c>
      <c r="E3419" s="91" t="s">
        <v>19</v>
      </c>
      <c r="F3419">
        <v>18</v>
      </c>
      <c r="G3419" t="s">
        <v>1419</v>
      </c>
      <c r="H3419" s="89">
        <v>46254</v>
      </c>
      <c r="I3419" s="89">
        <v>46255</v>
      </c>
      <c r="J3419" s="91" t="s">
        <v>1656</v>
      </c>
      <c r="K3419" s="91" t="s">
        <v>4716</v>
      </c>
      <c r="L3419">
        <v>1</v>
      </c>
      <c r="M3419" s="91" t="s">
        <v>4717</v>
      </c>
      <c r="N3419" s="91" t="s">
        <v>4472</v>
      </c>
    </row>
    <row r="3420" spans="1:14" x14ac:dyDescent="0.25">
      <c r="A3420" s="91" t="s">
        <v>1316</v>
      </c>
      <c r="B3420" s="91" t="s">
        <v>1330</v>
      </c>
      <c r="C3420" s="91" t="s">
        <v>4718</v>
      </c>
      <c r="D3420" s="91" t="s">
        <v>20</v>
      </c>
      <c r="E3420" s="91" t="s">
        <v>19</v>
      </c>
      <c r="F3420">
        <v>109</v>
      </c>
      <c r="G3420" t="s">
        <v>1419</v>
      </c>
      <c r="H3420" s="89">
        <v>46254</v>
      </c>
      <c r="I3420" s="89">
        <v>46255</v>
      </c>
      <c r="J3420" s="91" t="s">
        <v>1656</v>
      </c>
      <c r="K3420" s="91" t="s">
        <v>4719</v>
      </c>
      <c r="L3420">
        <v>1</v>
      </c>
      <c r="M3420" s="91" t="s">
        <v>4720</v>
      </c>
      <c r="N3420" s="91" t="s">
        <v>4472</v>
      </c>
    </row>
    <row r="3421" spans="1:14" x14ac:dyDescent="0.25">
      <c r="A3421" s="91" t="s">
        <v>1317</v>
      </c>
      <c r="B3421" s="91" t="s">
        <v>1331</v>
      </c>
      <c r="C3421" s="91" t="s">
        <v>4721</v>
      </c>
      <c r="D3421" s="91" t="s">
        <v>20</v>
      </c>
      <c r="E3421" s="91" t="s">
        <v>19</v>
      </c>
      <c r="F3421">
        <v>46</v>
      </c>
      <c r="G3421" t="s">
        <v>1419</v>
      </c>
      <c r="H3421" s="89">
        <v>46254</v>
      </c>
      <c r="I3421" s="89">
        <v>46255</v>
      </c>
      <c r="J3421" s="91" t="s">
        <v>1656</v>
      </c>
      <c r="K3421" s="91" t="s">
        <v>4722</v>
      </c>
      <c r="L3421">
        <v>1</v>
      </c>
      <c r="M3421" s="91" t="s">
        <v>4723</v>
      </c>
      <c r="N3421" s="91" t="s">
        <v>4472</v>
      </c>
    </row>
    <row r="3422" spans="1:14" x14ac:dyDescent="0.25">
      <c r="A3422" s="91" t="s">
        <v>1318</v>
      </c>
      <c r="B3422" s="91" t="s">
        <v>1332</v>
      </c>
      <c r="C3422" s="91" t="s">
        <v>4724</v>
      </c>
      <c r="D3422" s="91" t="s">
        <v>20</v>
      </c>
      <c r="E3422" s="91" t="s">
        <v>19</v>
      </c>
      <c r="F3422">
        <v>53</v>
      </c>
      <c r="G3422" t="s">
        <v>1419</v>
      </c>
      <c r="H3422" s="89">
        <v>46254</v>
      </c>
      <c r="I3422" s="89">
        <v>46255</v>
      </c>
      <c r="J3422" s="91" t="s">
        <v>1656</v>
      </c>
      <c r="K3422" s="91" t="s">
        <v>4725</v>
      </c>
      <c r="L3422">
        <v>1</v>
      </c>
      <c r="M3422" s="91" t="s">
        <v>4726</v>
      </c>
      <c r="N3422" s="91" t="s">
        <v>4472</v>
      </c>
    </row>
    <row r="3423" spans="1:14" x14ac:dyDescent="0.25">
      <c r="A3423" s="91" t="s">
        <v>1313</v>
      </c>
      <c r="B3423" s="91" t="s">
        <v>1327</v>
      </c>
      <c r="C3423" s="91" t="s">
        <v>4708</v>
      </c>
      <c r="D3423" s="91" t="s">
        <v>20</v>
      </c>
      <c r="E3423" s="91" t="s">
        <v>22</v>
      </c>
      <c r="F3423">
        <v>96</v>
      </c>
      <c r="G3423">
        <v>2</v>
      </c>
      <c r="H3423" s="89">
        <v>46254</v>
      </c>
      <c r="I3423" s="89">
        <v>46259</v>
      </c>
      <c r="J3423" s="91" t="s">
        <v>4727</v>
      </c>
      <c r="K3423" s="91" t="s">
        <v>4728</v>
      </c>
      <c r="L3423">
        <v>1</v>
      </c>
      <c r="M3423" s="91" t="s">
        <v>4729</v>
      </c>
      <c r="N3423" s="91" t="s">
        <v>4472</v>
      </c>
    </row>
    <row r="3424" spans="1:14" x14ac:dyDescent="0.25">
      <c r="A3424" s="91" t="s">
        <v>1313</v>
      </c>
      <c r="B3424" s="91" t="s">
        <v>1327</v>
      </c>
      <c r="C3424" s="91" t="s">
        <v>4730</v>
      </c>
      <c r="D3424" s="91" t="s">
        <v>15</v>
      </c>
      <c r="E3424" s="91" t="s">
        <v>22</v>
      </c>
      <c r="F3424">
        <v>672</v>
      </c>
      <c r="G3424">
        <v>14</v>
      </c>
      <c r="H3424" s="89">
        <v>46254</v>
      </c>
      <c r="I3424" s="89">
        <v>46259</v>
      </c>
      <c r="J3424" s="91" t="s">
        <v>4727</v>
      </c>
      <c r="K3424" s="91" t="s">
        <v>4731</v>
      </c>
      <c r="L3424">
        <v>1</v>
      </c>
      <c r="M3424" s="91" t="s">
        <v>4732</v>
      </c>
      <c r="N3424" s="91" t="s">
        <v>4472</v>
      </c>
    </row>
    <row r="3425" spans="1:14" x14ac:dyDescent="0.25">
      <c r="A3425" s="91" t="s">
        <v>1313</v>
      </c>
      <c r="B3425" s="91" t="s">
        <v>1327</v>
      </c>
      <c r="C3425" s="91" t="s">
        <v>4730</v>
      </c>
      <c r="D3425" s="91" t="s">
        <v>15</v>
      </c>
      <c r="E3425" s="91" t="s">
        <v>17</v>
      </c>
      <c r="F3425">
        <v>36</v>
      </c>
      <c r="G3425">
        <v>0.75</v>
      </c>
      <c r="H3425" s="89">
        <v>46254</v>
      </c>
      <c r="I3425" s="89">
        <v>46260</v>
      </c>
      <c r="J3425" s="91" t="s">
        <v>4733</v>
      </c>
      <c r="K3425" s="91" t="s">
        <v>4734</v>
      </c>
      <c r="L3425">
        <v>1</v>
      </c>
      <c r="M3425" s="91" t="s">
        <v>4735</v>
      </c>
      <c r="N3425" s="91" t="s">
        <v>4472</v>
      </c>
    </row>
    <row r="3426" spans="1:14" x14ac:dyDescent="0.25">
      <c r="A3426" s="91" t="s">
        <v>1319</v>
      </c>
      <c r="B3426" s="91" t="s">
        <v>1333</v>
      </c>
      <c r="C3426" s="91" t="s">
        <v>4730</v>
      </c>
      <c r="D3426" s="91" t="s">
        <v>15</v>
      </c>
      <c r="E3426" s="91" t="s">
        <v>17</v>
      </c>
      <c r="F3426">
        <v>54</v>
      </c>
      <c r="G3426">
        <v>1.125</v>
      </c>
      <c r="H3426" s="89">
        <v>46254</v>
      </c>
      <c r="I3426" s="89">
        <v>46260</v>
      </c>
      <c r="J3426" s="91" t="s">
        <v>4733</v>
      </c>
      <c r="K3426" s="91" t="s">
        <v>4736</v>
      </c>
      <c r="L3426">
        <v>1</v>
      </c>
      <c r="M3426" s="91" t="s">
        <v>4737</v>
      </c>
      <c r="N3426" s="91" t="s">
        <v>4472</v>
      </c>
    </row>
    <row r="3427" spans="1:14" x14ac:dyDescent="0.25">
      <c r="A3427" s="91" t="s">
        <v>1314</v>
      </c>
      <c r="B3427" s="91" t="s">
        <v>1328</v>
      </c>
      <c r="C3427" s="91" t="s">
        <v>4730</v>
      </c>
      <c r="D3427" s="91" t="s">
        <v>15</v>
      </c>
      <c r="E3427" s="91" t="s">
        <v>18</v>
      </c>
      <c r="F3427">
        <v>96</v>
      </c>
      <c r="G3427">
        <v>2</v>
      </c>
      <c r="H3427" s="89">
        <v>46254</v>
      </c>
      <c r="I3427" s="89">
        <v>46258</v>
      </c>
      <c r="J3427" s="91" t="s">
        <v>4709</v>
      </c>
      <c r="K3427" s="91" t="s">
        <v>4738</v>
      </c>
      <c r="L3427">
        <v>1</v>
      </c>
      <c r="M3427" s="91" t="s">
        <v>4739</v>
      </c>
      <c r="N3427" s="91" t="s">
        <v>4472</v>
      </c>
    </row>
    <row r="3428" spans="1:14" x14ac:dyDescent="0.25">
      <c r="A3428" s="91" t="s">
        <v>1314</v>
      </c>
      <c r="B3428" s="91" t="s">
        <v>1328</v>
      </c>
      <c r="C3428" s="91" t="s">
        <v>4730</v>
      </c>
      <c r="D3428" s="91" t="s">
        <v>15</v>
      </c>
      <c r="E3428" s="91" t="s">
        <v>16</v>
      </c>
      <c r="F3428">
        <v>240</v>
      </c>
      <c r="G3428">
        <v>5</v>
      </c>
      <c r="H3428" s="89">
        <v>46254</v>
      </c>
      <c r="I3428" s="89">
        <v>46258</v>
      </c>
      <c r="J3428" s="91" t="s">
        <v>4740</v>
      </c>
      <c r="K3428" s="91" t="s">
        <v>4741</v>
      </c>
      <c r="L3428">
        <v>1</v>
      </c>
      <c r="M3428" s="91" t="s">
        <v>4742</v>
      </c>
      <c r="N3428" s="91" t="s">
        <v>4472</v>
      </c>
    </row>
    <row r="3429" spans="1:14" x14ac:dyDescent="0.25">
      <c r="A3429" s="91" t="s">
        <v>1319</v>
      </c>
      <c r="B3429" s="91" t="s">
        <v>1333</v>
      </c>
      <c r="C3429" s="91" t="s">
        <v>4730</v>
      </c>
      <c r="D3429" s="91" t="s">
        <v>15</v>
      </c>
      <c r="E3429" s="91" t="s">
        <v>19</v>
      </c>
      <c r="F3429">
        <v>6</v>
      </c>
      <c r="G3429" t="s">
        <v>1419</v>
      </c>
      <c r="H3429" s="89">
        <v>46254</v>
      </c>
      <c r="I3429" s="89">
        <v>46255</v>
      </c>
      <c r="J3429" s="91" t="s">
        <v>1656</v>
      </c>
      <c r="K3429" s="91" t="s">
        <v>4743</v>
      </c>
      <c r="L3429">
        <v>1</v>
      </c>
      <c r="M3429" s="91" t="s">
        <v>4744</v>
      </c>
      <c r="N3429" s="91" t="s">
        <v>4472</v>
      </c>
    </row>
    <row r="3430" spans="1:14" x14ac:dyDescent="0.25">
      <c r="A3430" s="91" t="s">
        <v>1315</v>
      </c>
      <c r="B3430" s="91" t="s">
        <v>1329</v>
      </c>
      <c r="C3430" s="91" t="s">
        <v>4730</v>
      </c>
      <c r="D3430" s="91" t="s">
        <v>15</v>
      </c>
      <c r="E3430" s="91" t="s">
        <v>19</v>
      </c>
      <c r="F3430">
        <v>3</v>
      </c>
      <c r="G3430" t="s">
        <v>1419</v>
      </c>
      <c r="H3430" s="89">
        <v>46254</v>
      </c>
      <c r="I3430" s="89">
        <v>46255</v>
      </c>
      <c r="J3430" s="91" t="s">
        <v>1656</v>
      </c>
      <c r="K3430" s="91" t="s">
        <v>4745</v>
      </c>
      <c r="L3430">
        <v>1</v>
      </c>
      <c r="M3430" s="91" t="s">
        <v>4746</v>
      </c>
      <c r="N3430" s="91" t="s">
        <v>4472</v>
      </c>
    </row>
    <row r="3431" spans="1:14" x14ac:dyDescent="0.25">
      <c r="A3431" s="91" t="s">
        <v>1316</v>
      </c>
      <c r="B3431" s="91" t="s">
        <v>1330</v>
      </c>
      <c r="C3431" s="91" t="s">
        <v>4747</v>
      </c>
      <c r="D3431" s="91" t="s">
        <v>15</v>
      </c>
      <c r="E3431" s="91" t="s">
        <v>19</v>
      </c>
      <c r="F3431">
        <v>38</v>
      </c>
      <c r="G3431" t="s">
        <v>1419</v>
      </c>
      <c r="H3431" s="89">
        <v>46254</v>
      </c>
      <c r="I3431" s="89">
        <v>46255</v>
      </c>
      <c r="J3431" s="91" t="s">
        <v>1656</v>
      </c>
      <c r="K3431" s="91" t="s">
        <v>4748</v>
      </c>
      <c r="L3431">
        <v>1</v>
      </c>
      <c r="M3431" s="91" t="s">
        <v>4749</v>
      </c>
      <c r="N3431" s="91" t="s">
        <v>4472</v>
      </c>
    </row>
    <row r="3432" spans="1:14" x14ac:dyDescent="0.25">
      <c r="A3432" s="91" t="s">
        <v>1317</v>
      </c>
      <c r="B3432" s="91" t="s">
        <v>1331</v>
      </c>
      <c r="C3432" s="91" t="s">
        <v>4750</v>
      </c>
      <c r="D3432" s="91" t="s">
        <v>15</v>
      </c>
      <c r="E3432" s="91" t="s">
        <v>19</v>
      </c>
      <c r="F3432">
        <v>66</v>
      </c>
      <c r="G3432" t="s">
        <v>1419</v>
      </c>
      <c r="H3432" s="89">
        <v>46254</v>
      </c>
      <c r="I3432" s="89">
        <v>46255</v>
      </c>
      <c r="J3432" s="91" t="s">
        <v>1656</v>
      </c>
      <c r="K3432" s="91" t="s">
        <v>4751</v>
      </c>
      <c r="L3432">
        <v>1</v>
      </c>
      <c r="M3432" s="91" t="s">
        <v>4752</v>
      </c>
      <c r="N3432" s="91" t="s">
        <v>4472</v>
      </c>
    </row>
    <row r="3433" spans="1:14" x14ac:dyDescent="0.25">
      <c r="A3433" s="91" t="s">
        <v>1318</v>
      </c>
      <c r="B3433" s="91" t="s">
        <v>1332</v>
      </c>
      <c r="C3433" s="91" t="s">
        <v>4753</v>
      </c>
      <c r="D3433" s="91" t="s">
        <v>15</v>
      </c>
      <c r="E3433" s="91" t="s">
        <v>19</v>
      </c>
      <c r="F3433">
        <v>21</v>
      </c>
      <c r="G3433" t="s">
        <v>1419</v>
      </c>
      <c r="H3433" s="89">
        <v>46254</v>
      </c>
      <c r="I3433" s="89">
        <v>46255</v>
      </c>
      <c r="J3433" s="91" t="s">
        <v>1656</v>
      </c>
      <c r="K3433" s="91" t="s">
        <v>4754</v>
      </c>
      <c r="L3433">
        <v>1</v>
      </c>
      <c r="M3433" s="91" t="s">
        <v>4755</v>
      </c>
      <c r="N3433" s="91" t="s">
        <v>4472</v>
      </c>
    </row>
    <row r="3434" spans="1:14" x14ac:dyDescent="0.25">
      <c r="A3434" s="91" t="s">
        <v>1313</v>
      </c>
      <c r="B3434" s="91" t="s">
        <v>1327</v>
      </c>
      <c r="C3434" s="91" t="s">
        <v>4756</v>
      </c>
      <c r="D3434" s="91" t="s">
        <v>150</v>
      </c>
      <c r="E3434" s="91" t="s">
        <v>22</v>
      </c>
      <c r="F3434">
        <v>384</v>
      </c>
      <c r="G3434">
        <v>8</v>
      </c>
      <c r="H3434" s="89">
        <v>46255</v>
      </c>
      <c r="I3434" s="89">
        <v>46259</v>
      </c>
      <c r="J3434" s="91" t="s">
        <v>4727</v>
      </c>
      <c r="K3434" s="91" t="s">
        <v>4757</v>
      </c>
      <c r="L3434">
        <v>1</v>
      </c>
      <c r="M3434" s="91" t="s">
        <v>4758</v>
      </c>
      <c r="N3434" s="91" t="s">
        <v>4472</v>
      </c>
    </row>
    <row r="3435" spans="1:14" x14ac:dyDescent="0.25">
      <c r="A3435" s="91" t="s">
        <v>1313</v>
      </c>
      <c r="B3435" s="91" t="s">
        <v>1327</v>
      </c>
      <c r="C3435" s="91" t="s">
        <v>4756</v>
      </c>
      <c r="D3435" s="91" t="s">
        <v>150</v>
      </c>
      <c r="E3435" s="91" t="s">
        <v>17</v>
      </c>
      <c r="F3435">
        <v>768</v>
      </c>
      <c r="G3435">
        <v>16</v>
      </c>
      <c r="H3435" s="89">
        <v>46255</v>
      </c>
      <c r="I3435" s="89">
        <v>46260</v>
      </c>
      <c r="J3435" s="91" t="s">
        <v>4733</v>
      </c>
      <c r="K3435" s="91" t="s">
        <v>4759</v>
      </c>
      <c r="L3435">
        <v>1</v>
      </c>
      <c r="M3435" s="91" t="s">
        <v>4760</v>
      </c>
      <c r="N3435" s="91" t="s">
        <v>4472</v>
      </c>
    </row>
    <row r="3436" spans="1:14" x14ac:dyDescent="0.25">
      <c r="A3436" s="91" t="s">
        <v>1313</v>
      </c>
      <c r="B3436" s="91" t="s">
        <v>1327</v>
      </c>
      <c r="C3436" s="91" t="s">
        <v>4761</v>
      </c>
      <c r="D3436" s="91" t="s">
        <v>104</v>
      </c>
      <c r="E3436" s="91" t="s">
        <v>22</v>
      </c>
      <c r="F3436">
        <v>1152</v>
      </c>
      <c r="G3436">
        <v>24</v>
      </c>
      <c r="H3436" s="89">
        <v>46255</v>
      </c>
      <c r="I3436" s="89">
        <v>46260</v>
      </c>
      <c r="J3436" s="91" t="s">
        <v>4762</v>
      </c>
      <c r="K3436" s="91" t="s">
        <v>4763</v>
      </c>
      <c r="L3436">
        <v>1</v>
      </c>
      <c r="M3436" s="91" t="s">
        <v>4764</v>
      </c>
      <c r="N3436" s="91" t="s">
        <v>4472</v>
      </c>
    </row>
    <row r="3437" spans="1:14" x14ac:dyDescent="0.25">
      <c r="A3437" s="91" t="s">
        <v>1324</v>
      </c>
      <c r="B3437" s="91" t="s">
        <v>1338</v>
      </c>
      <c r="C3437" s="91" t="s">
        <v>4765</v>
      </c>
      <c r="D3437" s="91" t="s">
        <v>23</v>
      </c>
      <c r="E3437" s="91" t="s">
        <v>25</v>
      </c>
      <c r="F3437">
        <v>960</v>
      </c>
      <c r="G3437">
        <v>20</v>
      </c>
      <c r="H3437" s="89">
        <v>46255</v>
      </c>
      <c r="I3437" s="89">
        <v>46260</v>
      </c>
      <c r="J3437" s="91" t="s">
        <v>4675</v>
      </c>
      <c r="K3437" s="91" t="s">
        <v>4766</v>
      </c>
      <c r="L3437">
        <v>1</v>
      </c>
      <c r="M3437" s="91" t="s">
        <v>4767</v>
      </c>
      <c r="N3437" s="91" t="s">
        <v>4472</v>
      </c>
    </row>
    <row r="3438" spans="1:14" x14ac:dyDescent="0.25">
      <c r="A3438" s="91" t="s">
        <v>1320</v>
      </c>
      <c r="B3438" s="91" t="s">
        <v>1334</v>
      </c>
      <c r="C3438" s="91" t="s">
        <v>4768</v>
      </c>
      <c r="D3438" s="91" t="s">
        <v>88</v>
      </c>
      <c r="E3438" s="91" t="s">
        <v>14</v>
      </c>
      <c r="F3438">
        <v>960</v>
      </c>
      <c r="G3438">
        <v>20</v>
      </c>
      <c r="H3438" s="89">
        <v>46255</v>
      </c>
      <c r="I3438" s="89">
        <v>46259</v>
      </c>
      <c r="J3438" s="91" t="s">
        <v>4769</v>
      </c>
      <c r="K3438" s="91" t="s">
        <v>4770</v>
      </c>
      <c r="L3438">
        <v>1</v>
      </c>
      <c r="M3438" s="91" t="s">
        <v>4771</v>
      </c>
      <c r="N3438" s="91" t="s">
        <v>4472</v>
      </c>
    </row>
    <row r="3439" spans="1:14" x14ac:dyDescent="0.25">
      <c r="A3439" s="91" t="s">
        <v>1320</v>
      </c>
      <c r="B3439" s="91" t="s">
        <v>1334</v>
      </c>
      <c r="C3439" s="91" t="s">
        <v>4772</v>
      </c>
      <c r="D3439" s="91" t="s">
        <v>30</v>
      </c>
      <c r="E3439" s="91" t="s">
        <v>14</v>
      </c>
      <c r="F3439">
        <v>480</v>
      </c>
      <c r="G3439">
        <v>10</v>
      </c>
      <c r="H3439" s="89">
        <v>46255</v>
      </c>
      <c r="I3439" s="89">
        <v>46259</v>
      </c>
      <c r="J3439" s="91" t="s">
        <v>4671</v>
      </c>
      <c r="K3439" s="91" t="s">
        <v>4773</v>
      </c>
      <c r="L3439">
        <v>1</v>
      </c>
      <c r="M3439" s="91" t="s">
        <v>4774</v>
      </c>
      <c r="N3439" s="91" t="s">
        <v>4472</v>
      </c>
    </row>
    <row r="3440" spans="1:14" x14ac:dyDescent="0.25">
      <c r="A3440" s="91" t="s">
        <v>1326</v>
      </c>
      <c r="B3440" s="91" t="s">
        <v>1340</v>
      </c>
      <c r="C3440" s="91" t="s">
        <v>4775</v>
      </c>
      <c r="D3440" s="91" t="s">
        <v>32</v>
      </c>
      <c r="E3440" s="91" t="s">
        <v>14</v>
      </c>
      <c r="F3440">
        <v>1008</v>
      </c>
      <c r="G3440">
        <v>24</v>
      </c>
      <c r="H3440" s="89">
        <v>46255</v>
      </c>
      <c r="I3440" s="89">
        <v>46259</v>
      </c>
      <c r="J3440" s="91" t="s">
        <v>4776</v>
      </c>
      <c r="K3440" s="91" t="s">
        <v>4777</v>
      </c>
      <c r="L3440">
        <v>1</v>
      </c>
      <c r="M3440" s="91" t="s">
        <v>4778</v>
      </c>
      <c r="N3440" s="91" t="s">
        <v>4472</v>
      </c>
    </row>
    <row r="3441" spans="1:14" x14ac:dyDescent="0.25">
      <c r="A3441" s="91" t="s">
        <v>1320</v>
      </c>
      <c r="B3441" s="91" t="s">
        <v>1334</v>
      </c>
      <c r="C3441" s="91" t="s">
        <v>4779</v>
      </c>
      <c r="D3441" s="91" t="s">
        <v>24</v>
      </c>
      <c r="E3441" s="91" t="s">
        <v>14</v>
      </c>
      <c r="F3441">
        <v>960</v>
      </c>
      <c r="G3441">
        <v>20</v>
      </c>
      <c r="H3441" s="89">
        <v>46255</v>
      </c>
      <c r="I3441" s="89">
        <v>46261</v>
      </c>
      <c r="J3441" s="91" t="s">
        <v>4780</v>
      </c>
      <c r="K3441" s="91" t="s">
        <v>4781</v>
      </c>
      <c r="L3441">
        <v>1</v>
      </c>
      <c r="M3441" s="91" t="s">
        <v>4782</v>
      </c>
      <c r="N3441" s="91" t="s">
        <v>4472</v>
      </c>
    </row>
    <row r="3442" spans="1:14" x14ac:dyDescent="0.25">
      <c r="A3442" s="91" t="s">
        <v>1320</v>
      </c>
      <c r="B3442" s="91" t="s">
        <v>1334</v>
      </c>
      <c r="C3442" s="91" t="s">
        <v>4783</v>
      </c>
      <c r="D3442" s="91" t="s">
        <v>152</v>
      </c>
      <c r="E3442" s="91" t="s">
        <v>14</v>
      </c>
      <c r="F3442">
        <v>336</v>
      </c>
      <c r="G3442">
        <v>7</v>
      </c>
      <c r="H3442" s="89">
        <v>46255</v>
      </c>
      <c r="I3442" s="89">
        <v>46262</v>
      </c>
      <c r="J3442" s="91" t="s">
        <v>4784</v>
      </c>
      <c r="K3442" s="91" t="s">
        <v>4785</v>
      </c>
      <c r="L3442">
        <v>1</v>
      </c>
      <c r="M3442" s="91" t="s">
        <v>4786</v>
      </c>
      <c r="N3442" s="91" t="s">
        <v>4472</v>
      </c>
    </row>
    <row r="3443" spans="1:14" x14ac:dyDescent="0.25">
      <c r="A3443" s="91" t="s">
        <v>1320</v>
      </c>
      <c r="B3443" s="91" t="s">
        <v>1334</v>
      </c>
      <c r="C3443" s="91" t="s">
        <v>4787</v>
      </c>
      <c r="D3443" s="91" t="s">
        <v>13</v>
      </c>
      <c r="E3443" s="91" t="s">
        <v>14</v>
      </c>
      <c r="F3443">
        <v>624</v>
      </c>
      <c r="G3443">
        <v>13</v>
      </c>
      <c r="H3443" s="89">
        <v>46255</v>
      </c>
      <c r="I3443" s="89">
        <v>46262</v>
      </c>
      <c r="J3443" s="91" t="s">
        <v>4784</v>
      </c>
      <c r="K3443" s="91" t="s">
        <v>4788</v>
      </c>
      <c r="L3443">
        <v>1</v>
      </c>
      <c r="M3443" s="91" t="s">
        <v>4789</v>
      </c>
      <c r="N3443" s="91" t="s">
        <v>4472</v>
      </c>
    </row>
    <row r="3444" spans="1:14" x14ac:dyDescent="0.25">
      <c r="A3444" s="91" t="s">
        <v>1313</v>
      </c>
      <c r="B3444" s="91" t="s">
        <v>1327</v>
      </c>
      <c r="C3444" s="91" t="s">
        <v>4787</v>
      </c>
      <c r="D3444" s="91" t="s">
        <v>13</v>
      </c>
      <c r="E3444" s="91" t="s">
        <v>31</v>
      </c>
      <c r="F3444">
        <v>144</v>
      </c>
      <c r="G3444">
        <v>3</v>
      </c>
      <c r="H3444" s="89">
        <v>46255</v>
      </c>
      <c r="I3444" s="89">
        <v>46260</v>
      </c>
      <c r="J3444" s="91" t="s">
        <v>4790</v>
      </c>
      <c r="K3444" s="91" t="s">
        <v>4791</v>
      </c>
      <c r="L3444">
        <v>1</v>
      </c>
      <c r="M3444" s="91" t="s">
        <v>4792</v>
      </c>
      <c r="N3444" s="91" t="s">
        <v>4472</v>
      </c>
    </row>
    <row r="3445" spans="1:14" x14ac:dyDescent="0.25">
      <c r="A3445" s="91" t="s">
        <v>1313</v>
      </c>
      <c r="B3445" s="91" t="s">
        <v>1327</v>
      </c>
      <c r="C3445" s="91" t="s">
        <v>4783</v>
      </c>
      <c r="D3445" s="91" t="s">
        <v>152</v>
      </c>
      <c r="E3445" s="91" t="s">
        <v>31</v>
      </c>
      <c r="F3445">
        <v>192</v>
      </c>
      <c r="G3445">
        <v>4</v>
      </c>
      <c r="H3445" s="89">
        <v>46255</v>
      </c>
      <c r="I3445" s="89">
        <v>46260</v>
      </c>
      <c r="J3445" s="91" t="s">
        <v>4790</v>
      </c>
      <c r="K3445" s="91" t="s">
        <v>4793</v>
      </c>
      <c r="L3445">
        <v>1</v>
      </c>
      <c r="M3445" s="91" t="s">
        <v>4794</v>
      </c>
      <c r="N3445" s="91" t="s">
        <v>4472</v>
      </c>
    </row>
    <row r="3446" spans="1:14" x14ac:dyDescent="0.25">
      <c r="A3446" s="91" t="s">
        <v>1324</v>
      </c>
      <c r="B3446" s="91" t="s">
        <v>1338</v>
      </c>
      <c r="C3446" s="91" t="s">
        <v>4787</v>
      </c>
      <c r="D3446" s="91" t="s">
        <v>13</v>
      </c>
      <c r="E3446" s="91" t="s">
        <v>65</v>
      </c>
      <c r="F3446">
        <v>336</v>
      </c>
      <c r="G3446">
        <v>7</v>
      </c>
      <c r="H3446" s="89">
        <v>46255</v>
      </c>
      <c r="I3446" s="89">
        <v>46262</v>
      </c>
      <c r="J3446" s="91" t="s">
        <v>4795</v>
      </c>
      <c r="K3446" s="91" t="s">
        <v>4796</v>
      </c>
      <c r="L3446">
        <v>1</v>
      </c>
      <c r="M3446" s="91" t="s">
        <v>4797</v>
      </c>
      <c r="N3446" s="91" t="s">
        <v>4472</v>
      </c>
    </row>
    <row r="3447" spans="1:14" x14ac:dyDescent="0.25">
      <c r="A3447" s="91" t="s">
        <v>1324</v>
      </c>
      <c r="B3447" s="91" t="s">
        <v>1338</v>
      </c>
      <c r="C3447" s="91" t="s">
        <v>4783</v>
      </c>
      <c r="D3447" s="91" t="s">
        <v>152</v>
      </c>
      <c r="E3447" s="91" t="s">
        <v>65</v>
      </c>
      <c r="F3447">
        <v>336</v>
      </c>
      <c r="G3447">
        <v>7</v>
      </c>
      <c r="H3447" s="89">
        <v>46255</v>
      </c>
      <c r="I3447" s="89">
        <v>46262</v>
      </c>
      <c r="J3447" s="91" t="s">
        <v>4795</v>
      </c>
      <c r="K3447" s="91" t="s">
        <v>4798</v>
      </c>
      <c r="L3447">
        <v>1</v>
      </c>
      <c r="M3447" s="91" t="s">
        <v>4799</v>
      </c>
      <c r="N3447" s="91" t="s">
        <v>4472</v>
      </c>
    </row>
    <row r="3448" spans="1:14" x14ac:dyDescent="0.25">
      <c r="A3448" s="91" t="s">
        <v>1313</v>
      </c>
      <c r="B3448" s="91" t="s">
        <v>1327</v>
      </c>
      <c r="C3448" s="91" t="s">
        <v>4800</v>
      </c>
      <c r="D3448" s="91" t="s">
        <v>21</v>
      </c>
      <c r="E3448" s="91" t="s">
        <v>18</v>
      </c>
      <c r="F3448">
        <v>912</v>
      </c>
      <c r="G3448">
        <v>19</v>
      </c>
      <c r="H3448" s="89">
        <v>46255</v>
      </c>
      <c r="I3448" s="89">
        <v>46260</v>
      </c>
      <c r="J3448" s="91" t="s">
        <v>4694</v>
      </c>
      <c r="K3448" s="91" t="s">
        <v>4801</v>
      </c>
      <c r="L3448">
        <v>1</v>
      </c>
      <c r="M3448" s="91" t="s">
        <v>4802</v>
      </c>
      <c r="N3448" s="91" t="s">
        <v>4472</v>
      </c>
    </row>
    <row r="3449" spans="1:14" x14ac:dyDescent="0.25">
      <c r="A3449" s="91" t="s">
        <v>1314</v>
      </c>
      <c r="B3449" s="91" t="s">
        <v>1328</v>
      </c>
      <c r="C3449" s="91" t="s">
        <v>4800</v>
      </c>
      <c r="D3449" s="91" t="s">
        <v>21</v>
      </c>
      <c r="E3449" s="91" t="s">
        <v>18</v>
      </c>
      <c r="F3449">
        <v>96</v>
      </c>
      <c r="G3449">
        <v>2</v>
      </c>
      <c r="H3449" s="89">
        <v>46255</v>
      </c>
      <c r="I3449" s="89">
        <v>46260</v>
      </c>
      <c r="J3449" s="91" t="s">
        <v>4694</v>
      </c>
      <c r="K3449" s="91" t="s">
        <v>4803</v>
      </c>
      <c r="L3449">
        <v>1</v>
      </c>
      <c r="M3449" s="91" t="s">
        <v>4804</v>
      </c>
      <c r="N3449" s="91" t="s">
        <v>4472</v>
      </c>
    </row>
    <row r="3450" spans="1:14" x14ac:dyDescent="0.25">
      <c r="A3450" s="91" t="s">
        <v>1313</v>
      </c>
      <c r="B3450" s="91" t="s">
        <v>1327</v>
      </c>
      <c r="C3450" s="91" t="s">
        <v>4800</v>
      </c>
      <c r="D3450" s="91" t="s">
        <v>21</v>
      </c>
      <c r="E3450" s="91" t="s">
        <v>31</v>
      </c>
      <c r="F3450">
        <v>192</v>
      </c>
      <c r="G3450">
        <v>4</v>
      </c>
      <c r="H3450" s="89">
        <v>46255</v>
      </c>
      <c r="I3450" s="89">
        <v>46260</v>
      </c>
      <c r="J3450" s="91" t="s">
        <v>4790</v>
      </c>
      <c r="K3450" s="91" t="s">
        <v>4805</v>
      </c>
      <c r="L3450">
        <v>1</v>
      </c>
      <c r="M3450" s="91" t="s">
        <v>4806</v>
      </c>
      <c r="N3450" s="91" t="s">
        <v>4472</v>
      </c>
    </row>
    <row r="3451" spans="1:14" x14ac:dyDescent="0.25">
      <c r="A3451" s="91" t="s">
        <v>1315</v>
      </c>
      <c r="B3451" s="91" t="s">
        <v>1329</v>
      </c>
      <c r="C3451" s="91" t="s">
        <v>4800</v>
      </c>
      <c r="D3451" s="91" t="s">
        <v>21</v>
      </c>
      <c r="E3451" s="91" t="s">
        <v>19</v>
      </c>
      <c r="F3451">
        <v>42</v>
      </c>
      <c r="G3451" t="s">
        <v>1419</v>
      </c>
      <c r="H3451" s="89">
        <v>46255</v>
      </c>
      <c r="I3451" s="89">
        <v>46255</v>
      </c>
      <c r="J3451" s="91" t="s">
        <v>1656</v>
      </c>
      <c r="K3451" s="91" t="s">
        <v>4807</v>
      </c>
      <c r="L3451">
        <v>1</v>
      </c>
      <c r="M3451" s="91" t="s">
        <v>4808</v>
      </c>
      <c r="N3451" s="91" t="s">
        <v>4472</v>
      </c>
    </row>
    <row r="3452" spans="1:14" x14ac:dyDescent="0.25">
      <c r="A3452" s="91" t="s">
        <v>1316</v>
      </c>
      <c r="B3452" s="91" t="s">
        <v>1330</v>
      </c>
      <c r="C3452" s="91" t="s">
        <v>4809</v>
      </c>
      <c r="D3452" s="91" t="s">
        <v>21</v>
      </c>
      <c r="E3452" s="91" t="s">
        <v>19</v>
      </c>
      <c r="F3452">
        <v>23</v>
      </c>
      <c r="G3452" t="s">
        <v>1419</v>
      </c>
      <c r="H3452" s="89">
        <v>46255</v>
      </c>
      <c r="I3452" s="89">
        <v>46255</v>
      </c>
      <c r="J3452" s="91" t="s">
        <v>1656</v>
      </c>
      <c r="K3452" s="91" t="s">
        <v>4810</v>
      </c>
      <c r="L3452">
        <v>1</v>
      </c>
      <c r="M3452" s="91" t="s">
        <v>4811</v>
      </c>
      <c r="N3452" s="91" t="s">
        <v>4472</v>
      </c>
    </row>
    <row r="3453" spans="1:14" x14ac:dyDescent="0.25">
      <c r="A3453" s="91" t="s">
        <v>1317</v>
      </c>
      <c r="B3453" s="91" t="s">
        <v>1331</v>
      </c>
      <c r="C3453" s="91" t="s">
        <v>4812</v>
      </c>
      <c r="D3453" s="91" t="s">
        <v>21</v>
      </c>
      <c r="E3453" s="91" t="s">
        <v>19</v>
      </c>
      <c r="F3453">
        <v>10</v>
      </c>
      <c r="G3453" t="s">
        <v>1419</v>
      </c>
      <c r="H3453" s="89">
        <v>46255</v>
      </c>
      <c r="I3453" s="89">
        <v>46255</v>
      </c>
      <c r="J3453" s="91" t="s">
        <v>1656</v>
      </c>
      <c r="K3453" s="91" t="s">
        <v>4813</v>
      </c>
      <c r="L3453">
        <v>1</v>
      </c>
      <c r="M3453" s="91" t="s">
        <v>4814</v>
      </c>
      <c r="N3453" s="91" t="s">
        <v>4472</v>
      </c>
    </row>
    <row r="3454" spans="1:14" x14ac:dyDescent="0.25">
      <c r="A3454" s="91" t="s">
        <v>1318</v>
      </c>
      <c r="B3454" s="91" t="s">
        <v>1332</v>
      </c>
      <c r="C3454" s="91" t="s">
        <v>4815</v>
      </c>
      <c r="D3454" s="91" t="s">
        <v>21</v>
      </c>
      <c r="E3454" s="91" t="s">
        <v>19</v>
      </c>
      <c r="F3454">
        <v>31</v>
      </c>
      <c r="G3454" t="s">
        <v>1419</v>
      </c>
      <c r="H3454" s="89">
        <v>46255</v>
      </c>
      <c r="I3454" s="89">
        <v>46255</v>
      </c>
      <c r="J3454" s="91" t="s">
        <v>1656</v>
      </c>
      <c r="K3454" s="91" t="s">
        <v>4816</v>
      </c>
      <c r="L3454">
        <v>1</v>
      </c>
      <c r="M3454" s="91" t="s">
        <v>4817</v>
      </c>
      <c r="N3454" s="91" t="s">
        <v>4472</v>
      </c>
    </row>
    <row r="3455" spans="1:14" x14ac:dyDescent="0.25">
      <c r="A3455" s="91" t="s">
        <v>1313</v>
      </c>
      <c r="B3455" s="91" t="s">
        <v>1327</v>
      </c>
      <c r="C3455" s="91" t="s">
        <v>4818</v>
      </c>
      <c r="D3455" s="91" t="s">
        <v>15</v>
      </c>
      <c r="E3455" s="91" t="s">
        <v>17</v>
      </c>
      <c r="F3455">
        <v>6</v>
      </c>
      <c r="G3455">
        <v>0.125</v>
      </c>
      <c r="H3455" s="89">
        <v>46255</v>
      </c>
      <c r="I3455" s="89">
        <v>46260</v>
      </c>
      <c r="J3455" s="91" t="s">
        <v>4733</v>
      </c>
      <c r="K3455" s="91" t="s">
        <v>4819</v>
      </c>
      <c r="L3455">
        <v>1</v>
      </c>
      <c r="M3455" s="91" t="s">
        <v>4820</v>
      </c>
      <c r="N3455" s="91" t="s">
        <v>4472</v>
      </c>
    </row>
    <row r="3456" spans="1:14" x14ac:dyDescent="0.25">
      <c r="A3456" s="91" t="s">
        <v>1315</v>
      </c>
      <c r="B3456" s="91" t="s">
        <v>1329</v>
      </c>
      <c r="C3456" s="91" t="s">
        <v>4818</v>
      </c>
      <c r="D3456" s="91" t="s">
        <v>15</v>
      </c>
      <c r="E3456" s="91" t="s">
        <v>19</v>
      </c>
      <c r="F3456">
        <v>16</v>
      </c>
      <c r="G3456" t="s">
        <v>1419</v>
      </c>
      <c r="H3456" s="89">
        <v>46255</v>
      </c>
      <c r="I3456" s="89">
        <v>46255</v>
      </c>
      <c r="J3456" s="91" t="s">
        <v>1656</v>
      </c>
      <c r="K3456" s="91" t="s">
        <v>4821</v>
      </c>
      <c r="L3456">
        <v>1</v>
      </c>
      <c r="M3456" s="91" t="s">
        <v>4822</v>
      </c>
      <c r="N3456" s="91" t="s">
        <v>4472</v>
      </c>
    </row>
    <row r="3457" spans="1:14" x14ac:dyDescent="0.25">
      <c r="A3457" s="91" t="s">
        <v>1316</v>
      </c>
      <c r="B3457" s="91" t="s">
        <v>1330</v>
      </c>
      <c r="C3457" s="91" t="s">
        <v>4823</v>
      </c>
      <c r="D3457" s="91" t="s">
        <v>15</v>
      </c>
      <c r="E3457" s="91" t="s">
        <v>19</v>
      </c>
      <c r="F3457">
        <v>24</v>
      </c>
      <c r="G3457" t="s">
        <v>1419</v>
      </c>
      <c r="H3457" s="89">
        <v>46255</v>
      </c>
      <c r="I3457" s="89">
        <v>46255</v>
      </c>
      <c r="J3457" s="91" t="s">
        <v>1656</v>
      </c>
      <c r="K3457" s="91" t="s">
        <v>4824</v>
      </c>
      <c r="L3457">
        <v>1</v>
      </c>
      <c r="M3457" s="91" t="s">
        <v>4825</v>
      </c>
      <c r="N3457" s="91" t="s">
        <v>4472</v>
      </c>
    </row>
    <row r="3458" spans="1:14" x14ac:dyDescent="0.25">
      <c r="A3458" s="91" t="s">
        <v>1317</v>
      </c>
      <c r="B3458" s="91" t="s">
        <v>1331</v>
      </c>
      <c r="C3458" s="91" t="s">
        <v>4826</v>
      </c>
      <c r="D3458" s="91" t="s">
        <v>15</v>
      </c>
      <c r="E3458" s="91" t="s">
        <v>19</v>
      </c>
      <c r="F3458">
        <v>40</v>
      </c>
      <c r="G3458" t="s">
        <v>1419</v>
      </c>
      <c r="H3458" s="89">
        <v>46255</v>
      </c>
      <c r="I3458" s="89">
        <v>46255</v>
      </c>
      <c r="J3458" s="91" t="s">
        <v>1656</v>
      </c>
      <c r="K3458" s="91" t="s">
        <v>4827</v>
      </c>
      <c r="L3458">
        <v>1</v>
      </c>
      <c r="M3458" s="91" t="s">
        <v>4828</v>
      </c>
      <c r="N3458" s="91" t="s">
        <v>4472</v>
      </c>
    </row>
    <row r="3459" spans="1:14" x14ac:dyDescent="0.25">
      <c r="A3459" s="91" t="s">
        <v>1318</v>
      </c>
      <c r="B3459" s="91" t="s">
        <v>1332</v>
      </c>
      <c r="C3459" s="91" t="s">
        <v>4829</v>
      </c>
      <c r="D3459" s="91" t="s">
        <v>15</v>
      </c>
      <c r="E3459" s="91" t="s">
        <v>19</v>
      </c>
      <c r="F3459">
        <v>19</v>
      </c>
      <c r="G3459" t="s">
        <v>1419</v>
      </c>
      <c r="H3459" s="89">
        <v>46255</v>
      </c>
      <c r="I3459" s="89">
        <v>46255</v>
      </c>
      <c r="J3459" s="91" t="s">
        <v>1656</v>
      </c>
      <c r="K3459" s="91" t="s">
        <v>4830</v>
      </c>
      <c r="L3459">
        <v>1</v>
      </c>
      <c r="M3459" s="91" t="s">
        <v>4831</v>
      </c>
      <c r="N3459" s="91" t="s">
        <v>4472</v>
      </c>
    </row>
    <row r="3460" spans="1:14" x14ac:dyDescent="0.25">
      <c r="A3460" s="91" t="s">
        <v>1313</v>
      </c>
      <c r="B3460" s="91" t="s">
        <v>1327</v>
      </c>
      <c r="C3460" s="91" t="s">
        <v>4818</v>
      </c>
      <c r="D3460" s="91" t="s">
        <v>15</v>
      </c>
      <c r="E3460" s="91" t="s">
        <v>17</v>
      </c>
      <c r="F3460">
        <v>96</v>
      </c>
      <c r="G3460">
        <v>2</v>
      </c>
      <c r="H3460" s="89">
        <v>46255</v>
      </c>
      <c r="I3460" s="89">
        <v>46260</v>
      </c>
      <c r="J3460" s="91" t="s">
        <v>4733</v>
      </c>
      <c r="K3460" s="91" t="s">
        <v>4819</v>
      </c>
      <c r="L3460">
        <v>2</v>
      </c>
      <c r="M3460" s="91" t="s">
        <v>4832</v>
      </c>
      <c r="N3460" s="91" t="s">
        <v>4472</v>
      </c>
    </row>
    <row r="3461" spans="1:14" x14ac:dyDescent="0.25">
      <c r="A3461" s="91" t="s">
        <v>1313</v>
      </c>
      <c r="B3461" s="91" t="s">
        <v>1327</v>
      </c>
      <c r="C3461" s="91" t="s">
        <v>4818</v>
      </c>
      <c r="D3461" s="91" t="s">
        <v>15</v>
      </c>
      <c r="E3461" s="91" t="s">
        <v>16</v>
      </c>
      <c r="F3461">
        <v>816</v>
      </c>
      <c r="G3461">
        <v>17</v>
      </c>
      <c r="H3461" s="89">
        <v>46255</v>
      </c>
      <c r="I3461" s="89">
        <v>46261</v>
      </c>
      <c r="J3461" s="91" t="s">
        <v>4833</v>
      </c>
      <c r="K3461" s="91" t="s">
        <v>4834</v>
      </c>
      <c r="L3461">
        <v>1</v>
      </c>
      <c r="M3461" s="91" t="s">
        <v>4835</v>
      </c>
      <c r="N3461" s="91" t="s">
        <v>4472</v>
      </c>
    </row>
    <row r="3462" spans="1:14" x14ac:dyDescent="0.25">
      <c r="A3462" s="91" t="s">
        <v>1314</v>
      </c>
      <c r="B3462" s="91" t="s">
        <v>1328</v>
      </c>
      <c r="C3462" s="91" t="s">
        <v>4818</v>
      </c>
      <c r="D3462" s="91" t="s">
        <v>15</v>
      </c>
      <c r="E3462" s="91" t="s">
        <v>16</v>
      </c>
      <c r="F3462">
        <v>96</v>
      </c>
      <c r="G3462">
        <v>2</v>
      </c>
      <c r="H3462" s="89">
        <v>46255</v>
      </c>
      <c r="I3462" s="89">
        <v>46261</v>
      </c>
      <c r="J3462" s="91" t="s">
        <v>4836</v>
      </c>
      <c r="K3462" s="91" t="s">
        <v>4837</v>
      </c>
      <c r="L3462">
        <v>1</v>
      </c>
      <c r="M3462" s="91" t="s">
        <v>4838</v>
      </c>
      <c r="N3462" s="91" t="s">
        <v>4472</v>
      </c>
    </row>
    <row r="3463" spans="1:14" x14ac:dyDescent="0.25">
      <c r="A3463" s="91" t="s">
        <v>1320</v>
      </c>
      <c r="B3463" s="91" t="s">
        <v>1334</v>
      </c>
      <c r="C3463" s="91" t="s">
        <v>4839</v>
      </c>
      <c r="D3463" s="91" t="s">
        <v>28</v>
      </c>
      <c r="E3463" s="91" t="s">
        <v>14</v>
      </c>
      <c r="F3463">
        <v>960</v>
      </c>
      <c r="G3463">
        <v>20</v>
      </c>
      <c r="H3463" s="89">
        <v>46255</v>
      </c>
      <c r="I3463" s="89">
        <v>46261</v>
      </c>
      <c r="J3463" s="91" t="s">
        <v>4840</v>
      </c>
      <c r="K3463" s="91" t="s">
        <v>4841</v>
      </c>
      <c r="L3463">
        <v>1</v>
      </c>
      <c r="M3463" s="91" t="s">
        <v>4842</v>
      </c>
      <c r="N3463" s="91" t="s">
        <v>4472</v>
      </c>
    </row>
    <row r="3464" spans="1:14" x14ac:dyDescent="0.25">
      <c r="A3464" s="91" t="s">
        <v>1315</v>
      </c>
      <c r="B3464" s="91" t="s">
        <v>1329</v>
      </c>
      <c r="C3464" s="91" t="s">
        <v>4839</v>
      </c>
      <c r="D3464" s="91" t="s">
        <v>28</v>
      </c>
      <c r="E3464" s="91" t="s">
        <v>19</v>
      </c>
      <c r="F3464">
        <v>49</v>
      </c>
      <c r="G3464" t="s">
        <v>1419</v>
      </c>
      <c r="H3464" s="89">
        <v>46255</v>
      </c>
      <c r="I3464" s="89">
        <v>46255</v>
      </c>
      <c r="J3464" s="91" t="s">
        <v>1656</v>
      </c>
      <c r="K3464" s="91" t="s">
        <v>4843</v>
      </c>
      <c r="L3464">
        <v>1</v>
      </c>
      <c r="M3464" s="91" t="s">
        <v>4844</v>
      </c>
      <c r="N3464" s="91" t="s">
        <v>4472</v>
      </c>
    </row>
    <row r="3465" spans="1:14" x14ac:dyDescent="0.25">
      <c r="A3465" s="91" t="s">
        <v>1315</v>
      </c>
      <c r="B3465" s="91" t="s">
        <v>1329</v>
      </c>
      <c r="C3465" s="91" t="s">
        <v>4839</v>
      </c>
      <c r="D3465" s="91" t="s">
        <v>28</v>
      </c>
      <c r="E3465" s="91" t="s">
        <v>19</v>
      </c>
      <c r="F3465">
        <v>5</v>
      </c>
      <c r="G3465" t="s">
        <v>1419</v>
      </c>
      <c r="H3465" s="89">
        <v>46255</v>
      </c>
      <c r="I3465" s="89">
        <v>46255</v>
      </c>
      <c r="J3465" s="91" t="s">
        <v>1656</v>
      </c>
      <c r="K3465" s="91" t="s">
        <v>4843</v>
      </c>
      <c r="L3465">
        <v>2</v>
      </c>
      <c r="M3465" s="91" t="s">
        <v>4845</v>
      </c>
      <c r="N3465" s="91" t="s">
        <v>4472</v>
      </c>
    </row>
    <row r="3466" spans="1:14" x14ac:dyDescent="0.25">
      <c r="A3466" s="91" t="s">
        <v>1316</v>
      </c>
      <c r="B3466" s="91" t="s">
        <v>1330</v>
      </c>
      <c r="C3466" s="91" t="s">
        <v>4846</v>
      </c>
      <c r="D3466" s="91" t="s">
        <v>28</v>
      </c>
      <c r="E3466" s="91" t="s">
        <v>19</v>
      </c>
      <c r="F3466">
        <v>11</v>
      </c>
      <c r="G3466" t="s">
        <v>1419</v>
      </c>
      <c r="H3466" s="89">
        <v>46255</v>
      </c>
      <c r="I3466" s="89">
        <v>46255</v>
      </c>
      <c r="J3466" s="91" t="s">
        <v>1656</v>
      </c>
      <c r="K3466" s="91" t="s">
        <v>4847</v>
      </c>
      <c r="L3466">
        <v>1</v>
      </c>
      <c r="M3466" s="91" t="s">
        <v>4848</v>
      </c>
      <c r="N3466" s="91" t="s">
        <v>4472</v>
      </c>
    </row>
    <row r="3467" spans="1:14" x14ac:dyDescent="0.25">
      <c r="A3467" s="91" t="s">
        <v>1317</v>
      </c>
      <c r="B3467" s="91" t="s">
        <v>1331</v>
      </c>
      <c r="C3467" s="91" t="s">
        <v>4849</v>
      </c>
      <c r="D3467" s="91" t="s">
        <v>28</v>
      </c>
      <c r="E3467" s="91" t="s">
        <v>19</v>
      </c>
      <c r="F3467">
        <v>0</v>
      </c>
      <c r="G3467" t="s">
        <v>1419</v>
      </c>
      <c r="H3467" s="89">
        <v>46255</v>
      </c>
      <c r="I3467" s="89">
        <v>46255</v>
      </c>
      <c r="J3467" s="91" t="s">
        <v>1656</v>
      </c>
      <c r="K3467" s="91" t="s">
        <v>4850</v>
      </c>
      <c r="L3467">
        <v>1</v>
      </c>
      <c r="M3467" s="91" t="s">
        <v>4851</v>
      </c>
      <c r="N3467" s="91" t="s">
        <v>4472</v>
      </c>
    </row>
    <row r="3468" spans="1:14" x14ac:dyDescent="0.25">
      <c r="A3468" s="91" t="s">
        <v>1318</v>
      </c>
      <c r="B3468" s="91" t="s">
        <v>1332</v>
      </c>
      <c r="C3468" s="91" t="s">
        <v>4852</v>
      </c>
      <c r="D3468" s="91" t="s">
        <v>28</v>
      </c>
      <c r="E3468" s="91" t="s">
        <v>19</v>
      </c>
      <c r="F3468">
        <v>33</v>
      </c>
      <c r="G3468" t="s">
        <v>1419</v>
      </c>
      <c r="H3468" s="89">
        <v>46255</v>
      </c>
      <c r="I3468" s="89">
        <v>46255</v>
      </c>
      <c r="J3468" s="91" t="s">
        <v>1656</v>
      </c>
      <c r="K3468" s="91" t="s">
        <v>4853</v>
      </c>
      <c r="L3468">
        <v>1</v>
      </c>
      <c r="M3468" s="91" t="s">
        <v>4854</v>
      </c>
      <c r="N3468" s="91" t="s">
        <v>4472</v>
      </c>
    </row>
    <row r="3469" spans="1:14" x14ac:dyDescent="0.25">
      <c r="A3469" s="91" t="s">
        <v>1324</v>
      </c>
      <c r="B3469" s="91" t="s">
        <v>1338</v>
      </c>
      <c r="C3469" s="91" t="s">
        <v>4855</v>
      </c>
      <c r="D3469" s="91" t="s">
        <v>24</v>
      </c>
      <c r="E3469" s="91" t="s">
        <v>65</v>
      </c>
      <c r="F3469">
        <v>960</v>
      </c>
      <c r="G3469">
        <v>20</v>
      </c>
      <c r="H3469" s="89">
        <v>46256</v>
      </c>
      <c r="I3469" s="89">
        <v>46262</v>
      </c>
      <c r="J3469" s="91" t="s">
        <v>4795</v>
      </c>
      <c r="K3469" s="91" t="s">
        <v>4856</v>
      </c>
      <c r="L3469">
        <v>1</v>
      </c>
      <c r="M3469" s="91" t="s">
        <v>4857</v>
      </c>
      <c r="N3469" s="91" t="s">
        <v>4472</v>
      </c>
    </row>
    <row r="3470" spans="1:14" x14ac:dyDescent="0.25">
      <c r="A3470" s="91" t="s">
        <v>1324</v>
      </c>
      <c r="B3470" s="91" t="s">
        <v>1338</v>
      </c>
      <c r="C3470" s="91" t="s">
        <v>4858</v>
      </c>
      <c r="D3470" s="91" t="s">
        <v>88</v>
      </c>
      <c r="E3470" s="91" t="s">
        <v>25</v>
      </c>
      <c r="F3470">
        <v>960</v>
      </c>
      <c r="G3470">
        <v>20</v>
      </c>
      <c r="H3470" s="89">
        <v>46256</v>
      </c>
      <c r="I3470" s="89">
        <v>46262</v>
      </c>
      <c r="J3470" s="91" t="s">
        <v>4859</v>
      </c>
      <c r="K3470" s="91" t="s">
        <v>4860</v>
      </c>
      <c r="L3470">
        <v>1</v>
      </c>
      <c r="M3470" s="91" t="s">
        <v>4861</v>
      </c>
      <c r="N3470" s="91" t="s">
        <v>4472</v>
      </c>
    </row>
    <row r="3471" spans="1:14" x14ac:dyDescent="0.25">
      <c r="A3471" s="91" t="s">
        <v>1324</v>
      </c>
      <c r="B3471" s="91" t="s">
        <v>1338</v>
      </c>
      <c r="C3471" s="91" t="s">
        <v>4862</v>
      </c>
      <c r="D3471" s="91" t="s">
        <v>13</v>
      </c>
      <c r="E3471" s="91" t="s">
        <v>65</v>
      </c>
      <c r="F3471">
        <v>144</v>
      </c>
      <c r="G3471">
        <v>3</v>
      </c>
      <c r="H3471" s="89">
        <v>46256</v>
      </c>
      <c r="I3471" s="89">
        <v>46262</v>
      </c>
      <c r="J3471" s="91" t="s">
        <v>4795</v>
      </c>
      <c r="K3471" s="91" t="s">
        <v>4863</v>
      </c>
      <c r="L3471">
        <v>1</v>
      </c>
      <c r="M3471" s="91" t="s">
        <v>4864</v>
      </c>
      <c r="N3471" s="91" t="s">
        <v>4472</v>
      </c>
    </row>
    <row r="3472" spans="1:14" x14ac:dyDescent="0.25">
      <c r="A3472" s="91" t="s">
        <v>1313</v>
      </c>
      <c r="B3472" s="91" t="s">
        <v>1327</v>
      </c>
      <c r="C3472" s="91" t="s">
        <v>4865</v>
      </c>
      <c r="D3472" s="91" t="s">
        <v>20</v>
      </c>
      <c r="E3472" s="91" t="s">
        <v>22</v>
      </c>
      <c r="F3472">
        <v>1152</v>
      </c>
      <c r="G3472">
        <v>24</v>
      </c>
      <c r="H3472" s="89">
        <v>46256</v>
      </c>
      <c r="I3472" s="89">
        <v>46261</v>
      </c>
      <c r="J3472" s="91" t="s">
        <v>4866</v>
      </c>
      <c r="K3472" s="91" t="s">
        <v>4867</v>
      </c>
      <c r="L3472">
        <v>1</v>
      </c>
      <c r="M3472" s="91" t="s">
        <v>4868</v>
      </c>
      <c r="N3472" s="91" t="s">
        <v>4472</v>
      </c>
    </row>
    <row r="3473" spans="1:14" x14ac:dyDescent="0.25">
      <c r="A3473" s="91" t="s">
        <v>1313</v>
      </c>
      <c r="B3473" s="91" t="s">
        <v>1327</v>
      </c>
      <c r="C3473" s="91" t="s">
        <v>4865</v>
      </c>
      <c r="D3473" s="91" t="s">
        <v>20</v>
      </c>
      <c r="E3473" s="91" t="s">
        <v>19</v>
      </c>
      <c r="F3473">
        <v>96</v>
      </c>
      <c r="G3473">
        <v>2</v>
      </c>
      <c r="H3473" s="89">
        <v>46256</v>
      </c>
      <c r="I3473" s="89">
        <v>46258</v>
      </c>
      <c r="J3473" s="91" t="s">
        <v>1656</v>
      </c>
      <c r="K3473" s="91" t="s">
        <v>4869</v>
      </c>
      <c r="L3473">
        <v>1</v>
      </c>
      <c r="M3473" s="91" t="s">
        <v>4870</v>
      </c>
      <c r="N3473" s="91" t="s">
        <v>4472</v>
      </c>
    </row>
    <row r="3474" spans="1:14" x14ac:dyDescent="0.25">
      <c r="A3474" s="91" t="s">
        <v>1315</v>
      </c>
      <c r="B3474" s="91" t="s">
        <v>1329</v>
      </c>
      <c r="C3474" s="91" t="s">
        <v>4865</v>
      </c>
      <c r="D3474" s="91" t="s">
        <v>20</v>
      </c>
      <c r="E3474" s="91" t="s">
        <v>19</v>
      </c>
      <c r="F3474">
        <v>8</v>
      </c>
      <c r="G3474" t="s">
        <v>1419</v>
      </c>
      <c r="H3474" s="89">
        <v>46256</v>
      </c>
      <c r="I3474" s="89">
        <v>46258</v>
      </c>
      <c r="J3474" s="91" t="s">
        <v>1656</v>
      </c>
      <c r="K3474" s="91" t="s">
        <v>4871</v>
      </c>
      <c r="L3474">
        <v>1</v>
      </c>
      <c r="M3474" s="91" t="s">
        <v>4872</v>
      </c>
      <c r="N3474" s="91" t="s">
        <v>4472</v>
      </c>
    </row>
    <row r="3475" spans="1:14" x14ac:dyDescent="0.25">
      <c r="A3475" s="91" t="s">
        <v>1316</v>
      </c>
      <c r="B3475" s="91" t="s">
        <v>1330</v>
      </c>
      <c r="C3475" s="91" t="s">
        <v>4873</v>
      </c>
      <c r="D3475" s="91" t="s">
        <v>20</v>
      </c>
      <c r="E3475" s="91" t="s">
        <v>19</v>
      </c>
      <c r="F3475">
        <v>115</v>
      </c>
      <c r="G3475" t="s">
        <v>1419</v>
      </c>
      <c r="H3475" s="89">
        <v>46256</v>
      </c>
      <c r="I3475" s="89">
        <v>46258</v>
      </c>
      <c r="J3475" s="91" t="s">
        <v>1656</v>
      </c>
      <c r="K3475" s="91" t="s">
        <v>4874</v>
      </c>
      <c r="L3475">
        <v>1</v>
      </c>
      <c r="M3475" s="91" t="s">
        <v>4875</v>
      </c>
      <c r="N3475" s="91" t="s">
        <v>4472</v>
      </c>
    </row>
    <row r="3476" spans="1:14" x14ac:dyDescent="0.25">
      <c r="A3476" s="91" t="s">
        <v>1317</v>
      </c>
      <c r="B3476" s="91" t="s">
        <v>1331</v>
      </c>
      <c r="C3476" s="91" t="s">
        <v>4876</v>
      </c>
      <c r="D3476" s="91" t="s">
        <v>20</v>
      </c>
      <c r="E3476" s="91" t="s">
        <v>19</v>
      </c>
      <c r="F3476">
        <v>71</v>
      </c>
      <c r="G3476" t="s">
        <v>1419</v>
      </c>
      <c r="H3476" s="89">
        <v>46256</v>
      </c>
      <c r="I3476" s="89">
        <v>46258</v>
      </c>
      <c r="J3476" s="91" t="s">
        <v>1656</v>
      </c>
      <c r="K3476" s="91" t="s">
        <v>4877</v>
      </c>
      <c r="L3476">
        <v>1</v>
      </c>
      <c r="M3476" s="91" t="s">
        <v>4878</v>
      </c>
      <c r="N3476" s="91" t="s">
        <v>4472</v>
      </c>
    </row>
    <row r="3477" spans="1:14" x14ac:dyDescent="0.25">
      <c r="A3477" s="91" t="s">
        <v>1318</v>
      </c>
      <c r="B3477" s="91" t="s">
        <v>1332</v>
      </c>
      <c r="C3477" s="91" t="s">
        <v>4879</v>
      </c>
      <c r="D3477" s="91" t="s">
        <v>20</v>
      </c>
      <c r="E3477" s="91" t="s">
        <v>19</v>
      </c>
      <c r="F3477">
        <v>56</v>
      </c>
      <c r="G3477" t="s">
        <v>1419</v>
      </c>
      <c r="H3477" s="89">
        <v>46256</v>
      </c>
      <c r="I3477" s="89">
        <v>46258</v>
      </c>
      <c r="J3477" s="91" t="s">
        <v>1656</v>
      </c>
      <c r="K3477" s="91" t="s">
        <v>4880</v>
      </c>
      <c r="L3477">
        <v>1</v>
      </c>
      <c r="M3477" s="91" t="s">
        <v>4881</v>
      </c>
      <c r="N3477" s="91" t="s">
        <v>4472</v>
      </c>
    </row>
    <row r="3478" spans="1:14" x14ac:dyDescent="0.25">
      <c r="A3478" s="91" t="s">
        <v>1324</v>
      </c>
      <c r="B3478" s="91" t="s">
        <v>1338</v>
      </c>
      <c r="C3478" s="91" t="s">
        <v>4882</v>
      </c>
      <c r="D3478" s="91" t="s">
        <v>21</v>
      </c>
      <c r="E3478" s="91" t="s">
        <v>65</v>
      </c>
      <c r="F3478">
        <v>144</v>
      </c>
      <c r="G3478">
        <v>3</v>
      </c>
      <c r="H3478" s="89">
        <v>46256</v>
      </c>
      <c r="I3478" s="89">
        <v>46262</v>
      </c>
      <c r="J3478" s="91" t="s">
        <v>4795</v>
      </c>
      <c r="K3478" s="91" t="s">
        <v>4883</v>
      </c>
      <c r="L3478">
        <v>1</v>
      </c>
      <c r="M3478" s="91" t="s">
        <v>4884</v>
      </c>
      <c r="N3478" s="91" t="s">
        <v>4472</v>
      </c>
    </row>
    <row r="3479" spans="1:14" x14ac:dyDescent="0.25">
      <c r="A3479" s="91" t="s">
        <v>1313</v>
      </c>
      <c r="B3479" s="91" t="s">
        <v>1327</v>
      </c>
      <c r="C3479" s="91" t="s">
        <v>4882</v>
      </c>
      <c r="D3479" s="91" t="s">
        <v>21</v>
      </c>
      <c r="E3479" s="91" t="s">
        <v>31</v>
      </c>
      <c r="F3479">
        <v>576</v>
      </c>
      <c r="G3479">
        <v>12</v>
      </c>
      <c r="H3479" s="89">
        <v>46256</v>
      </c>
      <c r="I3479" s="89">
        <v>46260</v>
      </c>
      <c r="J3479" s="91" t="s">
        <v>4790</v>
      </c>
      <c r="K3479" s="91" t="s">
        <v>4885</v>
      </c>
      <c r="L3479">
        <v>1</v>
      </c>
      <c r="M3479" s="91" t="s">
        <v>4886</v>
      </c>
      <c r="N3479" s="91" t="s">
        <v>4472</v>
      </c>
    </row>
    <row r="3480" spans="1:14" x14ac:dyDescent="0.25">
      <c r="A3480" s="91" t="s">
        <v>1314</v>
      </c>
      <c r="B3480" s="91" t="s">
        <v>1328</v>
      </c>
      <c r="C3480" s="91" t="s">
        <v>4882</v>
      </c>
      <c r="D3480" s="91" t="s">
        <v>21</v>
      </c>
      <c r="E3480" s="91" t="s">
        <v>31</v>
      </c>
      <c r="F3480">
        <v>48</v>
      </c>
      <c r="G3480">
        <v>1</v>
      </c>
      <c r="H3480" s="89">
        <v>46256</v>
      </c>
      <c r="I3480" s="89">
        <v>46260</v>
      </c>
      <c r="J3480" s="91" t="s">
        <v>4887</v>
      </c>
      <c r="K3480" s="91" t="s">
        <v>4888</v>
      </c>
      <c r="L3480">
        <v>1</v>
      </c>
      <c r="M3480" s="91" t="s">
        <v>4889</v>
      </c>
      <c r="N3480" s="91" t="s">
        <v>4472</v>
      </c>
    </row>
    <row r="3481" spans="1:14" x14ac:dyDescent="0.25">
      <c r="A3481" s="91" t="s">
        <v>1313</v>
      </c>
      <c r="B3481" s="91" t="s">
        <v>1327</v>
      </c>
      <c r="C3481" s="91" t="s">
        <v>4882</v>
      </c>
      <c r="D3481" s="91" t="s">
        <v>21</v>
      </c>
      <c r="E3481" s="91" t="s">
        <v>17</v>
      </c>
      <c r="F3481">
        <v>336</v>
      </c>
      <c r="G3481">
        <v>7</v>
      </c>
      <c r="H3481" s="89">
        <v>46256</v>
      </c>
      <c r="I3481" s="89">
        <v>46261</v>
      </c>
      <c r="J3481" s="91" t="s">
        <v>4890</v>
      </c>
      <c r="K3481" s="91" t="s">
        <v>4891</v>
      </c>
      <c r="L3481">
        <v>1</v>
      </c>
      <c r="M3481" s="91" t="s">
        <v>4892</v>
      </c>
      <c r="N3481" s="91" t="s">
        <v>4472</v>
      </c>
    </row>
    <row r="3482" spans="1:14" x14ac:dyDescent="0.25">
      <c r="A3482" s="91" t="s">
        <v>1315</v>
      </c>
      <c r="B3482" s="91" t="s">
        <v>1329</v>
      </c>
      <c r="C3482" s="91" t="s">
        <v>4882</v>
      </c>
      <c r="D3482" s="91" t="s">
        <v>21</v>
      </c>
      <c r="E3482" s="91" t="s">
        <v>19</v>
      </c>
      <c r="F3482">
        <v>99</v>
      </c>
      <c r="G3482" t="s">
        <v>1419</v>
      </c>
      <c r="H3482" s="89">
        <v>46256</v>
      </c>
      <c r="I3482" s="89">
        <v>46258</v>
      </c>
      <c r="J3482" s="91" t="s">
        <v>1656</v>
      </c>
      <c r="K3482" s="91" t="s">
        <v>4893</v>
      </c>
      <c r="L3482">
        <v>1</v>
      </c>
      <c r="M3482" s="91" t="s">
        <v>4894</v>
      </c>
      <c r="N3482" s="91" t="s">
        <v>4472</v>
      </c>
    </row>
    <row r="3483" spans="1:14" x14ac:dyDescent="0.25">
      <c r="A3483" s="91" t="s">
        <v>1316</v>
      </c>
      <c r="B3483" s="91" t="s">
        <v>1330</v>
      </c>
      <c r="C3483" s="91" t="s">
        <v>4895</v>
      </c>
      <c r="D3483" s="91" t="s">
        <v>21</v>
      </c>
      <c r="E3483" s="91" t="s">
        <v>19</v>
      </c>
      <c r="F3483">
        <v>21</v>
      </c>
      <c r="G3483" t="s">
        <v>1419</v>
      </c>
      <c r="H3483" s="89">
        <v>46256</v>
      </c>
      <c r="I3483" s="89">
        <v>46255</v>
      </c>
      <c r="J3483" s="91" t="s">
        <v>1656</v>
      </c>
      <c r="K3483" s="91" t="s">
        <v>4896</v>
      </c>
      <c r="L3483">
        <v>1</v>
      </c>
      <c r="M3483" s="91" t="s">
        <v>4897</v>
      </c>
      <c r="N3483" s="91" t="s">
        <v>4472</v>
      </c>
    </row>
    <row r="3484" spans="1:14" x14ac:dyDescent="0.25">
      <c r="A3484" s="91" t="s">
        <v>1317</v>
      </c>
      <c r="B3484" s="91" t="s">
        <v>1331</v>
      </c>
      <c r="C3484" s="91" t="s">
        <v>4898</v>
      </c>
      <c r="D3484" s="91" t="s">
        <v>21</v>
      </c>
      <c r="E3484" s="91" t="s">
        <v>19</v>
      </c>
      <c r="F3484">
        <v>24</v>
      </c>
      <c r="G3484" t="s">
        <v>1419</v>
      </c>
      <c r="H3484" s="89">
        <v>46256</v>
      </c>
      <c r="I3484" s="89">
        <v>46255</v>
      </c>
      <c r="J3484" s="91" t="s">
        <v>1656</v>
      </c>
      <c r="K3484" s="91" t="s">
        <v>4899</v>
      </c>
      <c r="L3484">
        <v>1</v>
      </c>
      <c r="M3484" s="91" t="s">
        <v>4900</v>
      </c>
      <c r="N3484" s="91" t="s">
        <v>4472</v>
      </c>
    </row>
    <row r="3485" spans="1:14" x14ac:dyDescent="0.25">
      <c r="A3485" s="91" t="s">
        <v>1318</v>
      </c>
      <c r="B3485" s="91" t="s">
        <v>1332</v>
      </c>
      <c r="C3485" s="91" t="s">
        <v>4901</v>
      </c>
      <c r="D3485" s="91" t="s">
        <v>21</v>
      </c>
      <c r="E3485" s="91" t="s">
        <v>19</v>
      </c>
      <c r="F3485">
        <v>43</v>
      </c>
      <c r="G3485" t="s">
        <v>1419</v>
      </c>
      <c r="H3485" s="89">
        <v>46256</v>
      </c>
      <c r="I3485" s="89">
        <v>46255</v>
      </c>
      <c r="J3485" s="91" t="s">
        <v>1656</v>
      </c>
      <c r="K3485" s="91" t="s">
        <v>4902</v>
      </c>
      <c r="L3485">
        <v>1</v>
      </c>
      <c r="M3485" s="91" t="s">
        <v>4903</v>
      </c>
      <c r="N3485" s="91" t="s">
        <v>4472</v>
      </c>
    </row>
    <row r="3486" spans="1:14" x14ac:dyDescent="0.25">
      <c r="A3486" s="91" t="s">
        <v>1324</v>
      </c>
      <c r="B3486" s="91" t="s">
        <v>1338</v>
      </c>
      <c r="C3486" s="91" t="s">
        <v>4905</v>
      </c>
      <c r="D3486" s="91" t="s">
        <v>118</v>
      </c>
      <c r="E3486" s="91" t="s">
        <v>25</v>
      </c>
      <c r="F3486">
        <v>960</v>
      </c>
      <c r="G3486">
        <v>20</v>
      </c>
      <c r="H3486" s="89">
        <v>46258</v>
      </c>
      <c r="I3486" s="89">
        <v>46262</v>
      </c>
      <c r="J3486" s="91" t="s">
        <v>4859</v>
      </c>
      <c r="K3486" s="91" t="s">
        <v>4906</v>
      </c>
      <c r="L3486">
        <v>1</v>
      </c>
      <c r="M3486" s="91" t="s">
        <v>4907</v>
      </c>
      <c r="N3486" s="91" t="s">
        <v>4908</v>
      </c>
    </row>
    <row r="3487" spans="1:14" x14ac:dyDescent="0.25">
      <c r="A3487" s="91" t="s">
        <v>1313</v>
      </c>
      <c r="B3487" s="91" t="s">
        <v>1327</v>
      </c>
      <c r="C3487" s="91" t="s">
        <v>4909</v>
      </c>
      <c r="D3487" s="91" t="s">
        <v>21</v>
      </c>
      <c r="E3487" s="91" t="s">
        <v>17</v>
      </c>
      <c r="F3487">
        <v>750</v>
      </c>
      <c r="G3487">
        <v>15.625</v>
      </c>
      <c r="H3487" s="89">
        <v>46258</v>
      </c>
      <c r="I3487" s="89">
        <v>46261</v>
      </c>
      <c r="J3487" s="91" t="s">
        <v>4890</v>
      </c>
      <c r="K3487" s="91" t="s">
        <v>4910</v>
      </c>
      <c r="L3487">
        <v>1</v>
      </c>
      <c r="M3487" s="91" t="s">
        <v>4911</v>
      </c>
      <c r="N3487" s="91" t="s">
        <v>4908</v>
      </c>
    </row>
    <row r="3488" spans="1:14" x14ac:dyDescent="0.25">
      <c r="A3488" s="91" t="s">
        <v>1319</v>
      </c>
      <c r="B3488" s="91" t="s">
        <v>1333</v>
      </c>
      <c r="C3488" s="91" t="s">
        <v>4909</v>
      </c>
      <c r="D3488" s="91" t="s">
        <v>21</v>
      </c>
      <c r="E3488" s="91" t="s">
        <v>17</v>
      </c>
      <c r="F3488">
        <v>66</v>
      </c>
      <c r="G3488">
        <v>1.375</v>
      </c>
      <c r="H3488" s="89">
        <v>46258</v>
      </c>
      <c r="I3488" s="89">
        <v>46261</v>
      </c>
      <c r="J3488" s="91" t="s">
        <v>4890</v>
      </c>
      <c r="K3488" s="91" t="s">
        <v>4912</v>
      </c>
      <c r="L3488">
        <v>1</v>
      </c>
      <c r="M3488" s="91" t="s">
        <v>4913</v>
      </c>
      <c r="N3488" s="91" t="s">
        <v>4908</v>
      </c>
    </row>
    <row r="3489" spans="1:14" x14ac:dyDescent="0.25">
      <c r="A3489" s="91" t="s">
        <v>1319</v>
      </c>
      <c r="B3489" s="91" t="s">
        <v>1333</v>
      </c>
      <c r="C3489" s="91" t="s">
        <v>4909</v>
      </c>
      <c r="D3489" s="91" t="s">
        <v>21</v>
      </c>
      <c r="E3489" s="91" t="s">
        <v>17</v>
      </c>
      <c r="F3489">
        <v>96</v>
      </c>
      <c r="G3489">
        <v>2</v>
      </c>
      <c r="H3489" s="89">
        <v>46258</v>
      </c>
      <c r="I3489" s="89">
        <v>46262</v>
      </c>
      <c r="J3489" s="91" t="s">
        <v>4914</v>
      </c>
      <c r="K3489" s="91" t="s">
        <v>4915</v>
      </c>
      <c r="L3489">
        <v>1</v>
      </c>
      <c r="M3489" s="91" t="s">
        <v>4916</v>
      </c>
      <c r="N3489" s="91" t="s">
        <v>4908</v>
      </c>
    </row>
    <row r="3490" spans="1:14" x14ac:dyDescent="0.25">
      <c r="A3490" s="91" t="s">
        <v>1313</v>
      </c>
      <c r="B3490" s="91" t="s">
        <v>1327</v>
      </c>
      <c r="C3490" s="91" t="s">
        <v>4909</v>
      </c>
      <c r="D3490" s="91" t="s">
        <v>21</v>
      </c>
      <c r="E3490" s="91" t="s">
        <v>17</v>
      </c>
      <c r="F3490">
        <v>816</v>
      </c>
      <c r="G3490">
        <v>17</v>
      </c>
      <c r="H3490" s="89">
        <v>46258</v>
      </c>
      <c r="I3490" s="89">
        <v>46262</v>
      </c>
      <c r="J3490" s="91" t="s">
        <v>4914</v>
      </c>
      <c r="K3490" s="91" t="s">
        <v>4917</v>
      </c>
      <c r="L3490">
        <v>1</v>
      </c>
      <c r="M3490" s="91" t="s">
        <v>4918</v>
      </c>
      <c r="N3490" s="91" t="s">
        <v>4908</v>
      </c>
    </row>
    <row r="3491" spans="1:14" x14ac:dyDescent="0.25">
      <c r="A3491" s="91" t="s">
        <v>1315</v>
      </c>
      <c r="B3491" s="91" t="s">
        <v>1329</v>
      </c>
      <c r="C3491" s="91" t="s">
        <v>4909</v>
      </c>
      <c r="D3491" s="91" t="s">
        <v>21</v>
      </c>
      <c r="E3491" s="91" t="s">
        <v>19</v>
      </c>
      <c r="F3491">
        <v>101</v>
      </c>
      <c r="G3491" t="s">
        <v>1419</v>
      </c>
      <c r="H3491" s="89">
        <v>46258</v>
      </c>
      <c r="I3491" s="89">
        <v>46262</v>
      </c>
      <c r="J3491" s="91" t="s">
        <v>1656</v>
      </c>
      <c r="K3491" s="91" t="s">
        <v>4919</v>
      </c>
      <c r="L3491">
        <v>1</v>
      </c>
      <c r="M3491" s="91" t="s">
        <v>4920</v>
      </c>
      <c r="N3491" s="91" t="s">
        <v>4908</v>
      </c>
    </row>
    <row r="3492" spans="1:14" x14ac:dyDescent="0.25">
      <c r="A3492" s="91" t="s">
        <v>1316</v>
      </c>
      <c r="B3492" s="91" t="s">
        <v>1330</v>
      </c>
      <c r="C3492" s="91" t="s">
        <v>4921</v>
      </c>
      <c r="D3492" s="91" t="s">
        <v>21</v>
      </c>
      <c r="E3492" s="91" t="s">
        <v>19</v>
      </c>
      <c r="F3492">
        <v>27</v>
      </c>
      <c r="G3492" t="s">
        <v>1419</v>
      </c>
      <c r="H3492" s="89">
        <v>46258</v>
      </c>
      <c r="I3492" s="89">
        <v>46260</v>
      </c>
      <c r="J3492" s="91" t="s">
        <v>1656</v>
      </c>
      <c r="K3492" s="91" t="s">
        <v>4922</v>
      </c>
      <c r="L3492">
        <v>1</v>
      </c>
      <c r="M3492" s="91" t="s">
        <v>4923</v>
      </c>
      <c r="N3492" s="91" t="s">
        <v>4908</v>
      </c>
    </row>
    <row r="3493" spans="1:14" x14ac:dyDescent="0.25">
      <c r="A3493" s="91" t="s">
        <v>1317</v>
      </c>
      <c r="B3493" s="91" t="s">
        <v>1331</v>
      </c>
      <c r="C3493" s="91" t="s">
        <v>4924</v>
      </c>
      <c r="D3493" s="91" t="s">
        <v>21</v>
      </c>
      <c r="E3493" s="91" t="s">
        <v>19</v>
      </c>
      <c r="F3493">
        <v>22</v>
      </c>
      <c r="G3493" t="s">
        <v>1419</v>
      </c>
      <c r="H3493" s="89">
        <v>46258</v>
      </c>
      <c r="I3493" s="89">
        <v>46260</v>
      </c>
      <c r="J3493" s="91" t="s">
        <v>1656</v>
      </c>
      <c r="K3493" s="91" t="s">
        <v>4925</v>
      </c>
      <c r="L3493">
        <v>1</v>
      </c>
      <c r="M3493" s="91" t="s">
        <v>4926</v>
      </c>
      <c r="N3493" s="91" t="s">
        <v>4908</v>
      </c>
    </row>
    <row r="3494" spans="1:14" x14ac:dyDescent="0.25">
      <c r="A3494" s="91" t="s">
        <v>1318</v>
      </c>
      <c r="B3494" s="91" t="s">
        <v>1332</v>
      </c>
      <c r="C3494" s="91" t="s">
        <v>4927</v>
      </c>
      <c r="D3494" s="91" t="s">
        <v>21</v>
      </c>
      <c r="E3494" s="91" t="s">
        <v>19</v>
      </c>
      <c r="F3494">
        <v>67</v>
      </c>
      <c r="G3494" t="s">
        <v>1419</v>
      </c>
      <c r="H3494" s="89">
        <v>46258</v>
      </c>
      <c r="I3494" s="89">
        <v>46260</v>
      </c>
      <c r="J3494" s="91" t="s">
        <v>1656</v>
      </c>
      <c r="K3494" s="91" t="s">
        <v>4928</v>
      </c>
      <c r="L3494">
        <v>1</v>
      </c>
      <c r="M3494" s="91" t="s">
        <v>4929</v>
      </c>
      <c r="N3494" s="91" t="s">
        <v>4908</v>
      </c>
    </row>
    <row r="3495" spans="1:14" x14ac:dyDescent="0.25">
      <c r="A3495" s="91" t="s">
        <v>1313</v>
      </c>
      <c r="B3495" s="91" t="s">
        <v>1327</v>
      </c>
      <c r="C3495" s="91" t="s">
        <v>4930</v>
      </c>
      <c r="D3495" s="91" t="s">
        <v>15</v>
      </c>
      <c r="E3495" s="91" t="s">
        <v>18</v>
      </c>
      <c r="F3495">
        <v>912</v>
      </c>
      <c r="G3495">
        <v>19</v>
      </c>
      <c r="H3495" s="89">
        <v>46258</v>
      </c>
      <c r="I3495" s="89">
        <v>46262</v>
      </c>
      <c r="J3495" s="91" t="s">
        <v>4931</v>
      </c>
      <c r="K3495" s="91" t="s">
        <v>4932</v>
      </c>
      <c r="L3495">
        <v>1</v>
      </c>
      <c r="M3495" s="91" t="s">
        <v>4933</v>
      </c>
      <c r="N3495" s="91" t="s">
        <v>4908</v>
      </c>
    </row>
    <row r="3496" spans="1:14" x14ac:dyDescent="0.25">
      <c r="A3496" s="91" t="s">
        <v>1313</v>
      </c>
      <c r="B3496" s="91" t="s">
        <v>1327</v>
      </c>
      <c r="C3496" s="91" t="s">
        <v>4930</v>
      </c>
      <c r="D3496" s="91" t="s">
        <v>15</v>
      </c>
      <c r="E3496" s="91" t="s">
        <v>16</v>
      </c>
      <c r="F3496">
        <v>96</v>
      </c>
      <c r="G3496">
        <v>2</v>
      </c>
      <c r="H3496" s="89">
        <v>46258</v>
      </c>
      <c r="I3496" s="89">
        <v>46261</v>
      </c>
      <c r="J3496" s="91" t="s">
        <v>4833</v>
      </c>
      <c r="K3496" s="91" t="s">
        <v>4934</v>
      </c>
      <c r="L3496">
        <v>1</v>
      </c>
      <c r="M3496" s="91" t="s">
        <v>4935</v>
      </c>
      <c r="N3496" s="91" t="s">
        <v>4908</v>
      </c>
    </row>
    <row r="3497" spans="1:14" x14ac:dyDescent="0.25">
      <c r="A3497" s="91" t="s">
        <v>1314</v>
      </c>
      <c r="B3497" s="91" t="s">
        <v>1328</v>
      </c>
      <c r="C3497" s="91" t="s">
        <v>4930</v>
      </c>
      <c r="D3497" s="91" t="s">
        <v>15</v>
      </c>
      <c r="E3497" s="91" t="s">
        <v>16</v>
      </c>
      <c r="F3497">
        <v>144</v>
      </c>
      <c r="G3497">
        <v>3</v>
      </c>
      <c r="H3497" s="89">
        <v>46258</v>
      </c>
      <c r="I3497" s="89">
        <v>46261</v>
      </c>
      <c r="J3497" s="91" t="s">
        <v>4836</v>
      </c>
      <c r="K3497" s="91" t="s">
        <v>4936</v>
      </c>
      <c r="L3497">
        <v>1</v>
      </c>
      <c r="M3497" s="91" t="s">
        <v>4937</v>
      </c>
      <c r="N3497" s="91" t="s">
        <v>4908</v>
      </c>
    </row>
    <row r="3498" spans="1:14" x14ac:dyDescent="0.25">
      <c r="A3498" s="91" t="s">
        <v>1316</v>
      </c>
      <c r="B3498" s="91" t="s">
        <v>1330</v>
      </c>
      <c r="C3498" s="91" t="s">
        <v>4938</v>
      </c>
      <c r="D3498" s="91" t="s">
        <v>15</v>
      </c>
      <c r="E3498" s="91" t="s">
        <v>19</v>
      </c>
      <c r="F3498">
        <v>61</v>
      </c>
      <c r="G3498" t="s">
        <v>1419</v>
      </c>
      <c r="H3498" s="89">
        <v>46258</v>
      </c>
      <c r="I3498" s="89">
        <v>46260</v>
      </c>
      <c r="J3498" s="91" t="s">
        <v>1656</v>
      </c>
      <c r="K3498" s="91" t="s">
        <v>4939</v>
      </c>
      <c r="L3498">
        <v>1</v>
      </c>
      <c r="M3498" s="91" t="s">
        <v>4940</v>
      </c>
      <c r="N3498" s="91" t="s">
        <v>4908</v>
      </c>
    </row>
    <row r="3499" spans="1:14" x14ac:dyDescent="0.25">
      <c r="A3499" s="91" t="s">
        <v>1317</v>
      </c>
      <c r="B3499" s="91" t="s">
        <v>1331</v>
      </c>
      <c r="C3499" s="91" t="s">
        <v>4941</v>
      </c>
      <c r="D3499" s="91" t="s">
        <v>15</v>
      </c>
      <c r="E3499" s="91" t="s">
        <v>19</v>
      </c>
      <c r="F3499">
        <v>104</v>
      </c>
      <c r="G3499" t="s">
        <v>1419</v>
      </c>
      <c r="H3499" s="89">
        <v>46258</v>
      </c>
      <c r="I3499" s="89">
        <v>46260</v>
      </c>
      <c r="J3499" s="91" t="s">
        <v>1656</v>
      </c>
      <c r="K3499" s="91" t="s">
        <v>4942</v>
      </c>
      <c r="L3499">
        <v>1</v>
      </c>
      <c r="M3499" s="91" t="s">
        <v>4943</v>
      </c>
      <c r="N3499" s="91" t="s">
        <v>4908</v>
      </c>
    </row>
    <row r="3500" spans="1:14" x14ac:dyDescent="0.25">
      <c r="A3500" s="91" t="s">
        <v>1318</v>
      </c>
      <c r="B3500" s="91" t="s">
        <v>1332</v>
      </c>
      <c r="C3500" s="91" t="s">
        <v>4944</v>
      </c>
      <c r="D3500" s="91" t="s">
        <v>15</v>
      </c>
      <c r="E3500" s="91" t="s">
        <v>19</v>
      </c>
      <c r="F3500">
        <v>15</v>
      </c>
      <c r="G3500" t="s">
        <v>1419</v>
      </c>
      <c r="H3500" s="89">
        <v>46258</v>
      </c>
      <c r="I3500" s="89">
        <v>46260</v>
      </c>
      <c r="J3500" s="91" t="s">
        <v>1656</v>
      </c>
      <c r="K3500" s="91" t="s">
        <v>4945</v>
      </c>
      <c r="L3500">
        <v>1</v>
      </c>
      <c r="M3500" s="91" t="s">
        <v>4946</v>
      </c>
      <c r="N3500" s="91" t="s">
        <v>4908</v>
      </c>
    </row>
    <row r="3501" spans="1:14" x14ac:dyDescent="0.25">
      <c r="A3501" s="91" t="s">
        <v>1320</v>
      </c>
      <c r="B3501" s="91" t="s">
        <v>1334</v>
      </c>
      <c r="C3501" s="91" t="s">
        <v>4947</v>
      </c>
      <c r="D3501" s="91" t="s">
        <v>28</v>
      </c>
      <c r="E3501" s="91" t="s">
        <v>14</v>
      </c>
      <c r="F3501">
        <v>960</v>
      </c>
      <c r="G3501">
        <v>20</v>
      </c>
      <c r="H3501" s="89">
        <v>46258</v>
      </c>
      <c r="I3501" s="89">
        <v>46262</v>
      </c>
      <c r="J3501" s="91" t="s">
        <v>4948</v>
      </c>
      <c r="K3501" s="91" t="s">
        <v>4949</v>
      </c>
      <c r="L3501">
        <v>1</v>
      </c>
      <c r="M3501" s="91" t="s">
        <v>4950</v>
      </c>
      <c r="N3501" s="91" t="s">
        <v>4908</v>
      </c>
    </row>
    <row r="3502" spans="1:14" x14ac:dyDescent="0.25">
      <c r="A3502" s="91" t="s">
        <v>1319</v>
      </c>
      <c r="B3502" s="91" t="s">
        <v>1333</v>
      </c>
      <c r="C3502" s="91" t="s">
        <v>4947</v>
      </c>
      <c r="D3502" s="91" t="s">
        <v>28</v>
      </c>
      <c r="E3502" s="91" t="s">
        <v>17</v>
      </c>
      <c r="F3502">
        <v>66</v>
      </c>
      <c r="G3502">
        <v>1.375</v>
      </c>
      <c r="H3502" s="89">
        <v>46258</v>
      </c>
      <c r="I3502" s="89">
        <v>46263</v>
      </c>
      <c r="J3502" s="91" t="s">
        <v>4951</v>
      </c>
      <c r="K3502" s="91" t="s">
        <v>4952</v>
      </c>
      <c r="L3502">
        <v>1</v>
      </c>
      <c r="M3502" s="91" t="s">
        <v>4953</v>
      </c>
      <c r="N3502" s="91" t="s">
        <v>4908</v>
      </c>
    </row>
    <row r="3503" spans="1:14" x14ac:dyDescent="0.25">
      <c r="A3503" s="91" t="s">
        <v>1319</v>
      </c>
      <c r="B3503" s="91" t="s">
        <v>1333</v>
      </c>
      <c r="C3503" s="91" t="s">
        <v>4947</v>
      </c>
      <c r="D3503" s="91" t="s">
        <v>28</v>
      </c>
      <c r="E3503" s="91" t="s">
        <v>1333</v>
      </c>
      <c r="F3503">
        <v>30</v>
      </c>
      <c r="G3503" t="s">
        <v>1419</v>
      </c>
      <c r="H3503" s="89">
        <v>46258</v>
      </c>
      <c r="I3503" s="89">
        <v>46262</v>
      </c>
      <c r="J3503" s="91" t="s">
        <v>3549</v>
      </c>
      <c r="K3503" s="91" t="s">
        <v>4954</v>
      </c>
      <c r="L3503">
        <v>1</v>
      </c>
      <c r="M3503" s="91" t="s">
        <v>4955</v>
      </c>
      <c r="N3503" s="91" t="s">
        <v>4908</v>
      </c>
    </row>
    <row r="3504" spans="1:14" x14ac:dyDescent="0.25">
      <c r="A3504" s="91" t="s">
        <v>1313</v>
      </c>
      <c r="B3504" s="91" t="s">
        <v>1327</v>
      </c>
      <c r="C3504" s="91" t="s">
        <v>4947</v>
      </c>
      <c r="D3504" s="91" t="s">
        <v>28</v>
      </c>
      <c r="E3504" s="91" t="s">
        <v>17</v>
      </c>
      <c r="F3504">
        <v>240</v>
      </c>
      <c r="G3504">
        <v>5</v>
      </c>
      <c r="H3504" s="89">
        <v>46258</v>
      </c>
      <c r="I3504" s="89">
        <v>46262</v>
      </c>
      <c r="J3504" s="91" t="s">
        <v>4914</v>
      </c>
      <c r="K3504" s="91" t="s">
        <v>4956</v>
      </c>
      <c r="L3504">
        <v>1</v>
      </c>
      <c r="M3504" s="91" t="s">
        <v>4957</v>
      </c>
      <c r="N3504" s="91" t="s">
        <v>4908</v>
      </c>
    </row>
    <row r="3505" spans="1:14" x14ac:dyDescent="0.25">
      <c r="A3505" s="91" t="s">
        <v>1313</v>
      </c>
      <c r="B3505" s="91" t="s">
        <v>1327</v>
      </c>
      <c r="C3505" s="91" t="s">
        <v>4947</v>
      </c>
      <c r="D3505" s="91" t="s">
        <v>28</v>
      </c>
      <c r="E3505" s="91" t="s">
        <v>17</v>
      </c>
      <c r="F3505">
        <v>144</v>
      </c>
      <c r="G3505">
        <v>3</v>
      </c>
      <c r="H3505" s="89">
        <v>46258</v>
      </c>
      <c r="I3505" s="89">
        <v>46263</v>
      </c>
      <c r="J3505" s="91" t="s">
        <v>4951</v>
      </c>
      <c r="K3505" s="91" t="s">
        <v>4958</v>
      </c>
      <c r="L3505">
        <v>1</v>
      </c>
      <c r="M3505" s="91" t="s">
        <v>4959</v>
      </c>
      <c r="N3505" s="91" t="s">
        <v>4908</v>
      </c>
    </row>
    <row r="3506" spans="1:14" x14ac:dyDescent="0.25">
      <c r="A3506" s="91" t="s">
        <v>1315</v>
      </c>
      <c r="B3506" s="91" t="s">
        <v>1329</v>
      </c>
      <c r="C3506" s="91" t="s">
        <v>4947</v>
      </c>
      <c r="D3506" s="91" t="s">
        <v>28</v>
      </c>
      <c r="E3506" s="91" t="s">
        <v>19</v>
      </c>
      <c r="F3506">
        <v>60</v>
      </c>
      <c r="G3506" t="s">
        <v>1419</v>
      </c>
      <c r="H3506" s="89">
        <v>46258</v>
      </c>
      <c r="I3506" s="89">
        <v>46262</v>
      </c>
      <c r="J3506" s="91" t="s">
        <v>1656</v>
      </c>
      <c r="K3506" s="91" t="s">
        <v>4960</v>
      </c>
      <c r="L3506">
        <v>1</v>
      </c>
      <c r="M3506" s="91" t="s">
        <v>4961</v>
      </c>
      <c r="N3506" s="91" t="s">
        <v>4908</v>
      </c>
    </row>
    <row r="3507" spans="1:14" x14ac:dyDescent="0.25">
      <c r="A3507" s="91" t="s">
        <v>1316</v>
      </c>
      <c r="B3507" s="91" t="s">
        <v>1330</v>
      </c>
      <c r="C3507" s="91" t="s">
        <v>4962</v>
      </c>
      <c r="D3507" s="91" t="s">
        <v>28</v>
      </c>
      <c r="E3507" s="91" t="s">
        <v>19</v>
      </c>
      <c r="F3507">
        <v>19</v>
      </c>
      <c r="G3507" t="s">
        <v>1419</v>
      </c>
      <c r="H3507" s="89">
        <v>46258</v>
      </c>
      <c r="I3507" s="89">
        <v>46260</v>
      </c>
      <c r="J3507" s="91" t="s">
        <v>1656</v>
      </c>
      <c r="K3507" s="91" t="s">
        <v>4963</v>
      </c>
      <c r="L3507">
        <v>1</v>
      </c>
      <c r="M3507" s="91" t="s">
        <v>4964</v>
      </c>
      <c r="N3507" s="91" t="s">
        <v>4908</v>
      </c>
    </row>
    <row r="3508" spans="1:14" x14ac:dyDescent="0.25">
      <c r="A3508" s="91" t="s">
        <v>1317</v>
      </c>
      <c r="B3508" s="91" t="s">
        <v>1331</v>
      </c>
      <c r="C3508" s="91" t="s">
        <v>4965</v>
      </c>
      <c r="D3508" s="91" t="s">
        <v>28</v>
      </c>
      <c r="E3508" s="91" t="s">
        <v>19</v>
      </c>
      <c r="F3508">
        <v>0</v>
      </c>
      <c r="G3508" t="s">
        <v>1419</v>
      </c>
      <c r="H3508" s="89">
        <v>46258</v>
      </c>
      <c r="I3508" s="89">
        <v>46260</v>
      </c>
      <c r="J3508" s="91" t="s">
        <v>1656</v>
      </c>
      <c r="K3508" s="91" t="s">
        <v>4966</v>
      </c>
      <c r="L3508">
        <v>1</v>
      </c>
      <c r="M3508" s="91" t="s">
        <v>4967</v>
      </c>
      <c r="N3508" s="91" t="s">
        <v>4908</v>
      </c>
    </row>
    <row r="3509" spans="1:14" x14ac:dyDescent="0.25">
      <c r="A3509" s="91" t="s">
        <v>1318</v>
      </c>
      <c r="B3509" s="91" t="s">
        <v>1332</v>
      </c>
      <c r="C3509" s="91" t="s">
        <v>4968</v>
      </c>
      <c r="D3509" s="91" t="s">
        <v>28</v>
      </c>
      <c r="E3509" s="91" t="s">
        <v>19</v>
      </c>
      <c r="F3509">
        <v>34</v>
      </c>
      <c r="G3509" t="s">
        <v>1419</v>
      </c>
      <c r="H3509" s="89">
        <v>46258</v>
      </c>
      <c r="I3509" s="89">
        <v>46260</v>
      </c>
      <c r="J3509" s="91" t="s">
        <v>1656</v>
      </c>
      <c r="K3509" s="91" t="s">
        <v>4969</v>
      </c>
      <c r="L3509">
        <v>1</v>
      </c>
      <c r="M3509" s="91" t="s">
        <v>4970</v>
      </c>
      <c r="N3509" s="91" t="s">
        <v>4908</v>
      </c>
    </row>
    <row r="3510" spans="1:14" x14ac:dyDescent="0.25">
      <c r="A3510" s="91" t="s">
        <v>1313</v>
      </c>
      <c r="B3510" s="91" t="s">
        <v>1327</v>
      </c>
      <c r="C3510" s="91" t="s">
        <v>4971</v>
      </c>
      <c r="D3510" s="91" t="s">
        <v>13</v>
      </c>
      <c r="E3510" s="91" t="s">
        <v>17</v>
      </c>
      <c r="F3510">
        <v>336</v>
      </c>
      <c r="G3510">
        <v>7</v>
      </c>
      <c r="H3510" s="89">
        <v>46259</v>
      </c>
      <c r="I3510" s="89">
        <v>46263</v>
      </c>
      <c r="J3510" s="91" t="s">
        <v>4951</v>
      </c>
      <c r="K3510" s="91" t="s">
        <v>4972</v>
      </c>
      <c r="L3510">
        <v>1</v>
      </c>
      <c r="M3510" s="91" t="s">
        <v>4973</v>
      </c>
      <c r="N3510" s="91" t="s">
        <v>4908</v>
      </c>
    </row>
    <row r="3511" spans="1:14" x14ac:dyDescent="0.25">
      <c r="A3511" s="91" t="s">
        <v>1324</v>
      </c>
      <c r="B3511" s="91" t="s">
        <v>1338</v>
      </c>
      <c r="C3511" s="91" t="s">
        <v>4971</v>
      </c>
      <c r="D3511" s="91" t="s">
        <v>13</v>
      </c>
      <c r="E3511" s="91" t="s">
        <v>65</v>
      </c>
      <c r="F3511">
        <v>960</v>
      </c>
      <c r="G3511">
        <v>20</v>
      </c>
      <c r="H3511" s="89">
        <v>46259</v>
      </c>
      <c r="I3511" s="89">
        <v>46266</v>
      </c>
      <c r="J3511" s="91" t="s">
        <v>4974</v>
      </c>
      <c r="K3511" s="91" t="s">
        <v>4975</v>
      </c>
      <c r="L3511">
        <v>1</v>
      </c>
      <c r="M3511" s="91" t="s">
        <v>4976</v>
      </c>
      <c r="N3511" s="91" t="s">
        <v>4908</v>
      </c>
    </row>
    <row r="3512" spans="1:14" x14ac:dyDescent="0.25">
      <c r="A3512" s="91" t="s">
        <v>1324</v>
      </c>
      <c r="B3512" s="91" t="s">
        <v>1338</v>
      </c>
      <c r="C3512" s="91" t="s">
        <v>4971</v>
      </c>
      <c r="D3512" s="91" t="s">
        <v>13</v>
      </c>
      <c r="E3512" s="91" t="s">
        <v>65</v>
      </c>
      <c r="F3512">
        <v>336</v>
      </c>
      <c r="G3512">
        <v>7</v>
      </c>
      <c r="H3512" s="89">
        <v>46259</v>
      </c>
      <c r="I3512" s="89">
        <v>46266</v>
      </c>
      <c r="J3512" s="91" t="s">
        <v>4974</v>
      </c>
      <c r="K3512" s="91" t="s">
        <v>4977</v>
      </c>
      <c r="L3512">
        <v>1</v>
      </c>
      <c r="M3512" s="91" t="s">
        <v>4978</v>
      </c>
      <c r="N3512" s="91" t="s">
        <v>4908</v>
      </c>
    </row>
    <row r="3513" spans="1:14" x14ac:dyDescent="0.25">
      <c r="A3513" s="91" t="s">
        <v>1324</v>
      </c>
      <c r="B3513" s="91" t="s">
        <v>1338</v>
      </c>
      <c r="C3513" s="91" t="s">
        <v>4979</v>
      </c>
      <c r="D3513" s="91" t="s">
        <v>118</v>
      </c>
      <c r="E3513" s="91" t="s">
        <v>65</v>
      </c>
      <c r="F3513">
        <v>480</v>
      </c>
      <c r="G3513">
        <v>10</v>
      </c>
      <c r="H3513" s="89">
        <v>46259</v>
      </c>
      <c r="I3513" s="89">
        <v>46266</v>
      </c>
      <c r="J3513" s="91" t="s">
        <v>4974</v>
      </c>
      <c r="K3513" s="91" t="s">
        <v>4980</v>
      </c>
      <c r="L3513">
        <v>1</v>
      </c>
      <c r="M3513" s="91" t="s">
        <v>4981</v>
      </c>
      <c r="N3513" s="91" t="s">
        <v>4908</v>
      </c>
    </row>
    <row r="3514" spans="1:14" x14ac:dyDescent="0.25">
      <c r="A3514" s="91" t="s">
        <v>1320</v>
      </c>
      <c r="B3514" s="91" t="s">
        <v>1334</v>
      </c>
      <c r="C3514" s="91" t="s">
        <v>4982</v>
      </c>
      <c r="D3514" s="91" t="s">
        <v>23</v>
      </c>
      <c r="E3514" s="91" t="s">
        <v>14</v>
      </c>
      <c r="F3514">
        <v>960</v>
      </c>
      <c r="G3514">
        <v>20</v>
      </c>
      <c r="H3514" s="89">
        <v>46259</v>
      </c>
      <c r="I3514" s="89">
        <v>46263</v>
      </c>
      <c r="J3514" s="91" t="s">
        <v>4983</v>
      </c>
      <c r="K3514" s="91" t="s">
        <v>4984</v>
      </c>
      <c r="L3514">
        <v>1</v>
      </c>
      <c r="M3514" s="91" t="s">
        <v>4985</v>
      </c>
      <c r="N3514" s="91" t="s">
        <v>4908</v>
      </c>
    </row>
    <row r="3515" spans="1:14" x14ac:dyDescent="0.25">
      <c r="A3515" s="91" t="s">
        <v>1325</v>
      </c>
      <c r="B3515" s="91" t="s">
        <v>1339</v>
      </c>
      <c r="C3515" s="91" t="s">
        <v>4986</v>
      </c>
      <c r="D3515" s="91" t="s">
        <v>32</v>
      </c>
      <c r="E3515" s="91" t="s">
        <v>19</v>
      </c>
      <c r="F3515">
        <v>144</v>
      </c>
      <c r="G3515">
        <v>3</v>
      </c>
      <c r="H3515" s="89">
        <v>46259</v>
      </c>
      <c r="I3515" s="89">
        <v>46260</v>
      </c>
      <c r="J3515" s="91" t="s">
        <v>1656</v>
      </c>
      <c r="K3515" s="91" t="s">
        <v>4987</v>
      </c>
      <c r="L3515">
        <v>1</v>
      </c>
      <c r="M3515" s="91" t="s">
        <v>4988</v>
      </c>
      <c r="N3515" s="91" t="s">
        <v>4908</v>
      </c>
    </row>
    <row r="3516" spans="1:14" x14ac:dyDescent="0.25">
      <c r="A3516" s="91" t="s">
        <v>1321</v>
      </c>
      <c r="B3516" s="91" t="s">
        <v>1335</v>
      </c>
      <c r="C3516" s="91" t="s">
        <v>4986</v>
      </c>
      <c r="D3516" s="91" t="s">
        <v>32</v>
      </c>
      <c r="E3516" s="91" t="s">
        <v>65</v>
      </c>
      <c r="F3516">
        <v>144</v>
      </c>
      <c r="G3516">
        <v>3</v>
      </c>
      <c r="H3516" s="89">
        <v>46259</v>
      </c>
      <c r="I3516" s="89">
        <v>46266</v>
      </c>
      <c r="J3516" s="91" t="s">
        <v>4974</v>
      </c>
      <c r="K3516" s="91" t="s">
        <v>4989</v>
      </c>
      <c r="L3516">
        <v>1</v>
      </c>
      <c r="M3516" s="91" t="s">
        <v>4990</v>
      </c>
      <c r="N3516" s="91" t="s">
        <v>4908</v>
      </c>
    </row>
    <row r="3517" spans="1:14" x14ac:dyDescent="0.25">
      <c r="A3517" s="91" t="s">
        <v>1320</v>
      </c>
      <c r="B3517" s="91" t="s">
        <v>1334</v>
      </c>
      <c r="C3517" s="91" t="s">
        <v>4991</v>
      </c>
      <c r="D3517" s="91" t="s">
        <v>21</v>
      </c>
      <c r="E3517" s="91" t="s">
        <v>14</v>
      </c>
      <c r="F3517">
        <v>960</v>
      </c>
      <c r="G3517">
        <v>20</v>
      </c>
      <c r="H3517" s="89">
        <v>46259</v>
      </c>
      <c r="I3517" s="89">
        <v>46263</v>
      </c>
      <c r="J3517" s="91" t="s">
        <v>4992</v>
      </c>
      <c r="K3517" s="91" t="s">
        <v>4993</v>
      </c>
      <c r="L3517">
        <v>1</v>
      </c>
      <c r="M3517" s="91" t="s">
        <v>4994</v>
      </c>
      <c r="N3517" s="91" t="s">
        <v>4908</v>
      </c>
    </row>
    <row r="3518" spans="1:14" x14ac:dyDescent="0.25">
      <c r="A3518" s="91" t="s">
        <v>1313</v>
      </c>
      <c r="B3518" s="91" t="s">
        <v>1327</v>
      </c>
      <c r="C3518" s="91" t="s">
        <v>4991</v>
      </c>
      <c r="D3518" s="91" t="s">
        <v>21</v>
      </c>
      <c r="E3518" s="91" t="s">
        <v>17</v>
      </c>
      <c r="F3518">
        <v>606</v>
      </c>
      <c r="G3518">
        <v>12.625</v>
      </c>
      <c r="H3518" s="89">
        <v>46259</v>
      </c>
      <c r="I3518" s="89">
        <v>46263</v>
      </c>
      <c r="J3518" s="91" t="s">
        <v>4951</v>
      </c>
      <c r="K3518" s="91" t="s">
        <v>4995</v>
      </c>
      <c r="L3518">
        <v>1</v>
      </c>
      <c r="M3518" s="91" t="s">
        <v>4996</v>
      </c>
      <c r="N3518" s="91" t="s">
        <v>4908</v>
      </c>
    </row>
    <row r="3519" spans="1:14" x14ac:dyDescent="0.25">
      <c r="A3519" s="91" t="s">
        <v>1313</v>
      </c>
      <c r="B3519" s="91" t="s">
        <v>1327</v>
      </c>
      <c r="C3519" s="91" t="s">
        <v>4991</v>
      </c>
      <c r="D3519" s="91" t="s">
        <v>21</v>
      </c>
      <c r="E3519" s="91" t="s">
        <v>19</v>
      </c>
      <c r="F3519">
        <v>96</v>
      </c>
      <c r="G3519">
        <v>2</v>
      </c>
      <c r="H3519" s="89">
        <v>46259</v>
      </c>
      <c r="I3519" s="89">
        <v>46261</v>
      </c>
      <c r="J3519" s="91" t="s">
        <v>1656</v>
      </c>
      <c r="K3519" s="91" t="s">
        <v>4997</v>
      </c>
      <c r="L3519">
        <v>1</v>
      </c>
      <c r="M3519" s="91" t="s">
        <v>4998</v>
      </c>
      <c r="N3519" s="91" t="s">
        <v>4908</v>
      </c>
    </row>
    <row r="3520" spans="1:14" x14ac:dyDescent="0.25">
      <c r="A3520" s="91" t="s">
        <v>1315</v>
      </c>
      <c r="B3520" s="91" t="s">
        <v>1329</v>
      </c>
      <c r="C3520" s="91" t="s">
        <v>4991</v>
      </c>
      <c r="D3520" s="91" t="s">
        <v>21</v>
      </c>
      <c r="E3520" s="91" t="s">
        <v>19</v>
      </c>
      <c r="F3520">
        <v>83</v>
      </c>
      <c r="G3520" t="s">
        <v>1419</v>
      </c>
      <c r="H3520" s="89">
        <v>46259</v>
      </c>
      <c r="I3520" s="89">
        <v>46262</v>
      </c>
      <c r="J3520" s="91" t="s">
        <v>1656</v>
      </c>
      <c r="K3520" s="91" t="s">
        <v>4999</v>
      </c>
      <c r="L3520">
        <v>1</v>
      </c>
      <c r="M3520" s="91" t="s">
        <v>5000</v>
      </c>
      <c r="N3520" s="91" t="s">
        <v>4908</v>
      </c>
    </row>
    <row r="3521" spans="1:14" x14ac:dyDescent="0.25">
      <c r="A3521" s="91" t="s">
        <v>1316</v>
      </c>
      <c r="B3521" s="91" t="s">
        <v>1330</v>
      </c>
      <c r="C3521" s="91" t="s">
        <v>5001</v>
      </c>
      <c r="D3521" s="91" t="s">
        <v>21</v>
      </c>
      <c r="E3521" s="91" t="s">
        <v>19</v>
      </c>
      <c r="F3521">
        <v>35</v>
      </c>
      <c r="G3521" t="s">
        <v>1419</v>
      </c>
      <c r="H3521" s="89">
        <v>46259</v>
      </c>
      <c r="I3521" s="89">
        <v>46261</v>
      </c>
      <c r="J3521" s="91" t="s">
        <v>1656</v>
      </c>
      <c r="K3521" s="91" t="s">
        <v>5002</v>
      </c>
      <c r="L3521">
        <v>1</v>
      </c>
      <c r="M3521" s="91" t="s">
        <v>5003</v>
      </c>
      <c r="N3521" s="91" t="s">
        <v>4908</v>
      </c>
    </row>
    <row r="3522" spans="1:14" x14ac:dyDescent="0.25">
      <c r="A3522" s="91" t="s">
        <v>1317</v>
      </c>
      <c r="B3522" s="91" t="s">
        <v>1331</v>
      </c>
      <c r="C3522" s="91" t="s">
        <v>5004</v>
      </c>
      <c r="D3522" s="91" t="s">
        <v>21</v>
      </c>
      <c r="E3522" s="91" t="s">
        <v>19</v>
      </c>
      <c r="F3522">
        <v>14</v>
      </c>
      <c r="G3522" t="s">
        <v>1419</v>
      </c>
      <c r="H3522" s="89">
        <v>46259</v>
      </c>
      <c r="I3522" s="89">
        <v>46261</v>
      </c>
      <c r="J3522" s="91" t="s">
        <v>1656</v>
      </c>
      <c r="K3522" s="91" t="s">
        <v>5005</v>
      </c>
      <c r="L3522">
        <v>1</v>
      </c>
      <c r="M3522" s="91" t="s">
        <v>5006</v>
      </c>
      <c r="N3522" s="91" t="s">
        <v>4908</v>
      </c>
    </row>
    <row r="3523" spans="1:14" x14ac:dyDescent="0.25">
      <c r="A3523" s="91" t="s">
        <v>1318</v>
      </c>
      <c r="B3523" s="91" t="s">
        <v>1332</v>
      </c>
      <c r="C3523" s="91" t="s">
        <v>5007</v>
      </c>
      <c r="D3523" s="91" t="s">
        <v>21</v>
      </c>
      <c r="E3523" s="91" t="s">
        <v>19</v>
      </c>
      <c r="F3523">
        <v>76</v>
      </c>
      <c r="G3523" t="s">
        <v>1419</v>
      </c>
      <c r="H3523" s="89">
        <v>46259</v>
      </c>
      <c r="I3523" s="89">
        <v>46261</v>
      </c>
      <c r="J3523" s="91" t="s">
        <v>1656</v>
      </c>
      <c r="K3523" s="91" t="s">
        <v>5008</v>
      </c>
      <c r="L3523">
        <v>1</v>
      </c>
      <c r="M3523" s="91" t="s">
        <v>5009</v>
      </c>
      <c r="N3523" s="91" t="s">
        <v>4908</v>
      </c>
    </row>
    <row r="3524" spans="1:14" x14ac:dyDescent="0.25">
      <c r="A3524" s="91" t="s">
        <v>1313</v>
      </c>
      <c r="B3524" s="91" t="s">
        <v>1327</v>
      </c>
      <c r="C3524" s="91" t="s">
        <v>5010</v>
      </c>
      <c r="D3524" s="91" t="s">
        <v>15</v>
      </c>
      <c r="E3524" s="91" t="s">
        <v>18</v>
      </c>
      <c r="F3524">
        <v>192</v>
      </c>
      <c r="G3524">
        <v>4</v>
      </c>
      <c r="H3524" s="89">
        <v>46259</v>
      </c>
      <c r="I3524" s="89">
        <v>46262</v>
      </c>
      <c r="J3524" s="91" t="s">
        <v>4931</v>
      </c>
      <c r="K3524" s="91" t="s">
        <v>5011</v>
      </c>
      <c r="L3524">
        <v>1</v>
      </c>
      <c r="M3524" s="91" t="s">
        <v>5012</v>
      </c>
      <c r="N3524" s="91" t="s">
        <v>4908</v>
      </c>
    </row>
    <row r="3525" spans="1:14" x14ac:dyDescent="0.25">
      <c r="A3525" s="91" t="s">
        <v>1314</v>
      </c>
      <c r="B3525" s="91" t="s">
        <v>1328</v>
      </c>
      <c r="C3525" s="91" t="s">
        <v>5010</v>
      </c>
      <c r="D3525" s="91" t="s">
        <v>15</v>
      </c>
      <c r="E3525" s="91" t="s">
        <v>18</v>
      </c>
      <c r="F3525">
        <v>48</v>
      </c>
      <c r="G3525">
        <v>1</v>
      </c>
      <c r="H3525" s="89">
        <v>46259</v>
      </c>
      <c r="I3525" s="89">
        <v>46262</v>
      </c>
      <c r="J3525" s="91" t="s">
        <v>4931</v>
      </c>
      <c r="K3525" s="91" t="s">
        <v>5013</v>
      </c>
      <c r="L3525">
        <v>1</v>
      </c>
      <c r="M3525" s="91" t="s">
        <v>5014</v>
      </c>
      <c r="N3525" s="91" t="s">
        <v>4908</v>
      </c>
    </row>
    <row r="3526" spans="1:14" x14ac:dyDescent="0.25">
      <c r="A3526" s="91" t="s">
        <v>1313</v>
      </c>
      <c r="B3526" s="91" t="s">
        <v>1327</v>
      </c>
      <c r="C3526" s="91" t="s">
        <v>5010</v>
      </c>
      <c r="D3526" s="91" t="s">
        <v>15</v>
      </c>
      <c r="E3526" s="91" t="s">
        <v>22</v>
      </c>
      <c r="F3526">
        <v>48</v>
      </c>
      <c r="G3526">
        <v>1</v>
      </c>
      <c r="H3526" s="89">
        <v>46259</v>
      </c>
      <c r="I3526" s="89">
        <v>46263</v>
      </c>
      <c r="J3526" s="91" t="s">
        <v>5015</v>
      </c>
      <c r="K3526" s="91" t="s">
        <v>5016</v>
      </c>
      <c r="L3526">
        <v>1</v>
      </c>
      <c r="M3526" s="91" t="s">
        <v>5017</v>
      </c>
      <c r="N3526" s="91" t="s">
        <v>4908</v>
      </c>
    </row>
    <row r="3527" spans="1:14" x14ac:dyDescent="0.25">
      <c r="A3527" s="91" t="s">
        <v>1313</v>
      </c>
      <c r="B3527" s="91" t="s">
        <v>1327</v>
      </c>
      <c r="C3527" s="91" t="s">
        <v>5010</v>
      </c>
      <c r="D3527" s="91" t="s">
        <v>15</v>
      </c>
      <c r="E3527" s="91" t="s">
        <v>16</v>
      </c>
      <c r="F3527">
        <v>1152</v>
      </c>
      <c r="G3527">
        <v>24</v>
      </c>
      <c r="H3527" s="89">
        <v>46259</v>
      </c>
      <c r="I3527" s="89">
        <v>46262</v>
      </c>
      <c r="J3527" s="91" t="s">
        <v>5018</v>
      </c>
      <c r="K3527" s="91" t="s">
        <v>5019</v>
      </c>
      <c r="L3527">
        <v>1</v>
      </c>
      <c r="M3527" s="91" t="s">
        <v>5020</v>
      </c>
      <c r="N3527" s="91" t="s">
        <v>4908</v>
      </c>
    </row>
    <row r="3528" spans="1:14" x14ac:dyDescent="0.25">
      <c r="A3528" s="91" t="s">
        <v>1315</v>
      </c>
      <c r="B3528" s="91" t="s">
        <v>1329</v>
      </c>
      <c r="C3528" s="91" t="s">
        <v>5010</v>
      </c>
      <c r="D3528" s="91" t="s">
        <v>15</v>
      </c>
      <c r="E3528" s="91" t="s">
        <v>19</v>
      </c>
      <c r="F3528">
        <v>27</v>
      </c>
      <c r="G3528" t="s">
        <v>1419</v>
      </c>
      <c r="H3528" s="89">
        <v>46259</v>
      </c>
      <c r="I3528" s="89">
        <v>46262</v>
      </c>
      <c r="J3528" s="91" t="s">
        <v>1656</v>
      </c>
      <c r="K3528" s="91" t="s">
        <v>5021</v>
      </c>
      <c r="L3528">
        <v>1</v>
      </c>
      <c r="M3528" s="91" t="s">
        <v>5022</v>
      </c>
      <c r="N3528" s="91" t="s">
        <v>4908</v>
      </c>
    </row>
    <row r="3529" spans="1:14" x14ac:dyDescent="0.25">
      <c r="A3529" s="91" t="s">
        <v>1316</v>
      </c>
      <c r="B3529" s="91" t="s">
        <v>1330</v>
      </c>
      <c r="C3529" s="91" t="s">
        <v>5023</v>
      </c>
      <c r="D3529" s="91" t="s">
        <v>15</v>
      </c>
      <c r="E3529" s="91" t="s">
        <v>19</v>
      </c>
      <c r="F3529">
        <v>73</v>
      </c>
      <c r="G3529" t="s">
        <v>1419</v>
      </c>
      <c r="H3529" s="89">
        <v>46259</v>
      </c>
      <c r="I3529" s="89">
        <v>46261</v>
      </c>
      <c r="J3529" s="91" t="s">
        <v>1656</v>
      </c>
      <c r="K3529" s="91" t="s">
        <v>5024</v>
      </c>
      <c r="L3529">
        <v>1</v>
      </c>
      <c r="M3529" s="91" t="s">
        <v>5025</v>
      </c>
      <c r="N3529" s="91" t="s">
        <v>4908</v>
      </c>
    </row>
    <row r="3530" spans="1:14" x14ac:dyDescent="0.25">
      <c r="A3530" s="91" t="s">
        <v>1317</v>
      </c>
      <c r="B3530" s="91" t="s">
        <v>1331</v>
      </c>
      <c r="C3530" s="91" t="s">
        <v>5026</v>
      </c>
      <c r="D3530" s="91" t="s">
        <v>15</v>
      </c>
      <c r="E3530" s="91" t="s">
        <v>19</v>
      </c>
      <c r="F3530">
        <v>103</v>
      </c>
      <c r="G3530" t="s">
        <v>1419</v>
      </c>
      <c r="H3530" s="89">
        <v>46259</v>
      </c>
      <c r="I3530" s="89">
        <v>46261</v>
      </c>
      <c r="J3530" s="91" t="s">
        <v>1656</v>
      </c>
      <c r="K3530" s="91" t="s">
        <v>5027</v>
      </c>
      <c r="L3530">
        <v>1</v>
      </c>
      <c r="M3530" s="91" t="s">
        <v>5028</v>
      </c>
      <c r="N3530" s="91" t="s">
        <v>4908</v>
      </c>
    </row>
    <row r="3531" spans="1:14" x14ac:dyDescent="0.25">
      <c r="A3531" s="91" t="s">
        <v>1318</v>
      </c>
      <c r="B3531" s="91" t="s">
        <v>1332</v>
      </c>
      <c r="C3531" s="91" t="s">
        <v>5029</v>
      </c>
      <c r="D3531" s="91" t="s">
        <v>15</v>
      </c>
      <c r="E3531" s="91" t="s">
        <v>19</v>
      </c>
      <c r="F3531">
        <v>28</v>
      </c>
      <c r="G3531" t="s">
        <v>1419</v>
      </c>
      <c r="H3531" s="89">
        <v>46259</v>
      </c>
      <c r="I3531" s="89">
        <v>46261</v>
      </c>
      <c r="J3531" s="91" t="s">
        <v>1656</v>
      </c>
      <c r="K3531" s="91" t="s">
        <v>5030</v>
      </c>
      <c r="L3531">
        <v>1</v>
      </c>
      <c r="M3531" s="91" t="s">
        <v>5031</v>
      </c>
      <c r="N3531" s="91" t="s">
        <v>4908</v>
      </c>
    </row>
    <row r="3532" spans="1:14" x14ac:dyDescent="0.25">
      <c r="A3532" s="91" t="s">
        <v>1323</v>
      </c>
      <c r="B3532" s="91" t="s">
        <v>1337</v>
      </c>
      <c r="C3532" s="91" t="s">
        <v>5032</v>
      </c>
      <c r="D3532" s="91" t="s">
        <v>20</v>
      </c>
      <c r="E3532" s="91" t="s">
        <v>26</v>
      </c>
      <c r="F3532">
        <v>756</v>
      </c>
      <c r="G3532">
        <v>14</v>
      </c>
      <c r="H3532" s="89">
        <v>46259</v>
      </c>
      <c r="I3532" s="89">
        <v>46263</v>
      </c>
      <c r="J3532" s="91" t="s">
        <v>5033</v>
      </c>
      <c r="K3532" s="91" t="s">
        <v>5034</v>
      </c>
      <c r="L3532">
        <v>1</v>
      </c>
      <c r="M3532" s="91" t="s">
        <v>5035</v>
      </c>
      <c r="N3532" s="91" t="s">
        <v>4908</v>
      </c>
    </row>
    <row r="3533" spans="1:14" x14ac:dyDescent="0.25">
      <c r="A3533" s="91" t="s">
        <v>1322</v>
      </c>
      <c r="B3533" s="91" t="s">
        <v>1336</v>
      </c>
      <c r="C3533" s="91" t="s">
        <v>5032</v>
      </c>
      <c r="D3533" s="91" t="s">
        <v>20</v>
      </c>
      <c r="E3533" s="91" t="s">
        <v>26</v>
      </c>
      <c r="F3533">
        <v>324</v>
      </c>
      <c r="G3533">
        <v>6</v>
      </c>
      <c r="H3533" s="89">
        <v>46259</v>
      </c>
      <c r="I3533" s="89">
        <v>46263</v>
      </c>
      <c r="J3533" s="91" t="s">
        <v>5033</v>
      </c>
      <c r="K3533" s="91" t="s">
        <v>5036</v>
      </c>
      <c r="L3533">
        <v>1</v>
      </c>
      <c r="M3533" s="91" t="s">
        <v>5037</v>
      </c>
      <c r="N3533" s="91" t="s">
        <v>4908</v>
      </c>
    </row>
    <row r="3534" spans="1:14" x14ac:dyDescent="0.25">
      <c r="A3534" s="91" t="s">
        <v>1313</v>
      </c>
      <c r="B3534" s="91" t="s">
        <v>1327</v>
      </c>
      <c r="C3534" s="91" t="s">
        <v>5032</v>
      </c>
      <c r="D3534" s="91" t="s">
        <v>20</v>
      </c>
      <c r="E3534" s="91" t="s">
        <v>19</v>
      </c>
      <c r="F3534">
        <v>144</v>
      </c>
      <c r="G3534">
        <v>3</v>
      </c>
      <c r="H3534" s="89">
        <v>46259</v>
      </c>
      <c r="I3534" s="89">
        <v>46261</v>
      </c>
      <c r="J3534" s="91" t="s">
        <v>1656</v>
      </c>
      <c r="K3534" s="91" t="s">
        <v>5038</v>
      </c>
      <c r="L3534">
        <v>1</v>
      </c>
      <c r="M3534" s="91" t="s">
        <v>5039</v>
      </c>
      <c r="N3534" s="91" t="s">
        <v>4908</v>
      </c>
    </row>
    <row r="3535" spans="1:14" x14ac:dyDescent="0.25">
      <c r="A3535" s="91" t="s">
        <v>1315</v>
      </c>
      <c r="B3535" s="91" t="s">
        <v>1329</v>
      </c>
      <c r="C3535" s="91" t="s">
        <v>5032</v>
      </c>
      <c r="D3535" s="91" t="s">
        <v>20</v>
      </c>
      <c r="E3535" s="91" t="s">
        <v>19</v>
      </c>
      <c r="F3535">
        <v>29</v>
      </c>
      <c r="G3535" t="s">
        <v>1419</v>
      </c>
      <c r="H3535" s="89">
        <v>46259</v>
      </c>
      <c r="I3535" s="89">
        <v>46262</v>
      </c>
      <c r="J3535" s="91" t="s">
        <v>1656</v>
      </c>
      <c r="K3535" s="91" t="s">
        <v>5040</v>
      </c>
      <c r="L3535">
        <v>1</v>
      </c>
      <c r="M3535" s="91" t="s">
        <v>5041</v>
      </c>
      <c r="N3535" s="91" t="s">
        <v>4908</v>
      </c>
    </row>
    <row r="3536" spans="1:14" x14ac:dyDescent="0.25">
      <c r="A3536" s="91" t="s">
        <v>1316</v>
      </c>
      <c r="B3536" s="91" t="s">
        <v>1330</v>
      </c>
      <c r="C3536" s="91" t="s">
        <v>5042</v>
      </c>
      <c r="D3536" s="91" t="s">
        <v>20</v>
      </c>
      <c r="E3536" s="91" t="s">
        <v>19</v>
      </c>
      <c r="F3536">
        <v>44</v>
      </c>
      <c r="G3536" t="s">
        <v>1419</v>
      </c>
      <c r="H3536" s="89">
        <v>46259</v>
      </c>
      <c r="I3536" s="89">
        <v>46261</v>
      </c>
      <c r="J3536" s="91" t="s">
        <v>1656</v>
      </c>
      <c r="K3536" s="91" t="s">
        <v>5043</v>
      </c>
      <c r="L3536">
        <v>1</v>
      </c>
      <c r="M3536" s="91" t="s">
        <v>5044</v>
      </c>
      <c r="N3536" s="91" t="s">
        <v>4908</v>
      </c>
    </row>
    <row r="3537" spans="1:14" x14ac:dyDescent="0.25">
      <c r="A3537" s="91" t="s">
        <v>1317</v>
      </c>
      <c r="B3537" s="91" t="s">
        <v>1331</v>
      </c>
      <c r="C3537" s="91" t="s">
        <v>5045</v>
      </c>
      <c r="D3537" s="91" t="s">
        <v>20</v>
      </c>
      <c r="E3537" s="91" t="s">
        <v>19</v>
      </c>
      <c r="F3537">
        <v>9</v>
      </c>
      <c r="G3537" t="s">
        <v>1419</v>
      </c>
      <c r="H3537" s="89">
        <v>46259</v>
      </c>
      <c r="I3537" s="89">
        <v>46261</v>
      </c>
      <c r="J3537" s="91" t="s">
        <v>1656</v>
      </c>
      <c r="K3537" s="91" t="s">
        <v>5046</v>
      </c>
      <c r="L3537">
        <v>1</v>
      </c>
      <c r="M3537" s="91" t="s">
        <v>5047</v>
      </c>
      <c r="N3537" s="91" t="s">
        <v>4908</v>
      </c>
    </row>
    <row r="3538" spans="1:14" x14ac:dyDescent="0.25">
      <c r="A3538" s="91" t="s">
        <v>1318</v>
      </c>
      <c r="B3538" s="91" t="s">
        <v>1332</v>
      </c>
      <c r="C3538" s="91" t="s">
        <v>5048</v>
      </c>
      <c r="D3538" s="91" t="s">
        <v>20</v>
      </c>
      <c r="E3538" s="91" t="s">
        <v>19</v>
      </c>
      <c r="F3538">
        <v>43</v>
      </c>
      <c r="G3538" t="s">
        <v>1419</v>
      </c>
      <c r="H3538" s="89">
        <v>46259</v>
      </c>
      <c r="I3538" s="89">
        <v>46261</v>
      </c>
      <c r="J3538" s="91" t="s">
        <v>1656</v>
      </c>
      <c r="K3538" s="91" t="s">
        <v>5049</v>
      </c>
      <c r="L3538">
        <v>1</v>
      </c>
      <c r="M3538" s="91" t="s">
        <v>5050</v>
      </c>
      <c r="N3538" s="91" t="s">
        <v>4908</v>
      </c>
    </row>
    <row r="3539" spans="1:14" x14ac:dyDescent="0.25">
      <c r="A3539" s="91" t="s">
        <v>1313</v>
      </c>
      <c r="B3539" s="91" t="s">
        <v>1327</v>
      </c>
      <c r="C3539" s="91" t="s">
        <v>5051</v>
      </c>
      <c r="D3539" s="91" t="s">
        <v>104</v>
      </c>
      <c r="E3539" s="91" t="s">
        <v>22</v>
      </c>
      <c r="F3539">
        <v>1152</v>
      </c>
      <c r="G3539">
        <v>24</v>
      </c>
      <c r="H3539" s="89">
        <v>46260</v>
      </c>
      <c r="I3539" s="89">
        <v>46264</v>
      </c>
      <c r="J3539" s="91" t="s">
        <v>5052</v>
      </c>
      <c r="K3539" s="91" t="s">
        <v>5053</v>
      </c>
      <c r="L3539">
        <v>1</v>
      </c>
      <c r="M3539" s="91" t="s">
        <v>5054</v>
      </c>
      <c r="N3539" s="91" t="s">
        <v>4908</v>
      </c>
    </row>
    <row r="3540" spans="1:14" x14ac:dyDescent="0.25">
      <c r="A3540" s="91" t="s">
        <v>1320</v>
      </c>
      <c r="B3540" s="91" t="s">
        <v>1334</v>
      </c>
      <c r="C3540" s="91" t="s">
        <v>5055</v>
      </c>
      <c r="D3540" s="91" t="s">
        <v>23</v>
      </c>
      <c r="E3540" s="91" t="s">
        <v>14</v>
      </c>
      <c r="F3540">
        <v>960</v>
      </c>
      <c r="G3540">
        <v>20</v>
      </c>
      <c r="H3540" s="89">
        <v>46260</v>
      </c>
      <c r="I3540" s="89">
        <v>46265</v>
      </c>
      <c r="J3540" s="91" t="s">
        <v>5056</v>
      </c>
      <c r="K3540" s="91" t="s">
        <v>5057</v>
      </c>
      <c r="L3540">
        <v>1</v>
      </c>
      <c r="M3540" s="91" t="s">
        <v>5058</v>
      </c>
      <c r="N3540" s="91" t="s">
        <v>4908</v>
      </c>
    </row>
    <row r="3541" spans="1:14" x14ac:dyDescent="0.25">
      <c r="A3541" s="91" t="s">
        <v>1314</v>
      </c>
      <c r="B3541" s="91" t="s">
        <v>1328</v>
      </c>
      <c r="C3541" s="91" t="s">
        <v>5059</v>
      </c>
      <c r="D3541" s="91" t="s">
        <v>21</v>
      </c>
      <c r="E3541" s="91" t="s">
        <v>16</v>
      </c>
      <c r="F3541">
        <v>240</v>
      </c>
      <c r="G3541">
        <v>5</v>
      </c>
      <c r="H3541" s="89">
        <v>46260</v>
      </c>
      <c r="I3541" s="89">
        <v>46263</v>
      </c>
      <c r="J3541" s="91" t="s">
        <v>5060</v>
      </c>
      <c r="K3541" s="91" t="s">
        <v>5061</v>
      </c>
      <c r="L3541">
        <v>1</v>
      </c>
      <c r="M3541" s="91" t="s">
        <v>5062</v>
      </c>
      <c r="N3541" s="91" t="s">
        <v>4908</v>
      </c>
    </row>
    <row r="3542" spans="1:14" x14ac:dyDescent="0.25">
      <c r="A3542" s="91" t="s">
        <v>1313</v>
      </c>
      <c r="B3542" s="91" t="s">
        <v>1327</v>
      </c>
      <c r="C3542" s="91" t="s">
        <v>5059</v>
      </c>
      <c r="D3542" s="91" t="s">
        <v>21</v>
      </c>
      <c r="E3542" s="91" t="s">
        <v>16</v>
      </c>
      <c r="F3542">
        <v>912</v>
      </c>
      <c r="G3542">
        <v>19</v>
      </c>
      <c r="H3542" s="89">
        <v>46260</v>
      </c>
      <c r="I3542" s="89">
        <v>46263</v>
      </c>
      <c r="J3542" s="91" t="s">
        <v>5063</v>
      </c>
      <c r="K3542" s="91" t="s">
        <v>5064</v>
      </c>
      <c r="L3542">
        <v>1</v>
      </c>
      <c r="M3542" s="91" t="s">
        <v>5065</v>
      </c>
      <c r="N3542" s="91" t="s">
        <v>4908</v>
      </c>
    </row>
    <row r="3543" spans="1:14" x14ac:dyDescent="0.25">
      <c r="A3543" s="91" t="s">
        <v>1313</v>
      </c>
      <c r="B3543" s="91" t="s">
        <v>1327</v>
      </c>
      <c r="C3543" s="91" t="s">
        <v>5059</v>
      </c>
      <c r="D3543" s="91" t="s">
        <v>21</v>
      </c>
      <c r="E3543" s="91" t="s">
        <v>17</v>
      </c>
      <c r="F3543">
        <v>444</v>
      </c>
      <c r="G3543">
        <v>9.25</v>
      </c>
      <c r="H3543" s="89">
        <v>46260</v>
      </c>
      <c r="I3543" s="89">
        <v>46265</v>
      </c>
      <c r="J3543" s="91" t="s">
        <v>5066</v>
      </c>
      <c r="K3543" s="91" t="s">
        <v>5067</v>
      </c>
      <c r="L3543">
        <v>1</v>
      </c>
      <c r="M3543" s="91" t="s">
        <v>5068</v>
      </c>
      <c r="N3543" s="91" t="s">
        <v>4908</v>
      </c>
    </row>
    <row r="3544" spans="1:14" x14ac:dyDescent="0.25">
      <c r="A3544" s="91" t="s">
        <v>1319</v>
      </c>
      <c r="B3544" s="91" t="s">
        <v>1333</v>
      </c>
      <c r="C3544" s="91" t="s">
        <v>5059</v>
      </c>
      <c r="D3544" s="91" t="s">
        <v>21</v>
      </c>
      <c r="E3544" s="91" t="s">
        <v>17</v>
      </c>
      <c r="F3544">
        <v>84</v>
      </c>
      <c r="G3544">
        <v>1.75</v>
      </c>
      <c r="H3544" s="89">
        <v>46260</v>
      </c>
      <c r="I3544" s="89">
        <v>46265</v>
      </c>
      <c r="J3544" s="91" t="s">
        <v>5066</v>
      </c>
      <c r="K3544" s="91" t="s">
        <v>5069</v>
      </c>
      <c r="L3544">
        <v>1</v>
      </c>
      <c r="M3544" s="91" t="s">
        <v>5070</v>
      </c>
      <c r="N3544" s="91" t="s">
        <v>4908</v>
      </c>
    </row>
    <row r="3545" spans="1:14" x14ac:dyDescent="0.25">
      <c r="A3545" s="91" t="s">
        <v>1315</v>
      </c>
      <c r="B3545" s="91" t="s">
        <v>1329</v>
      </c>
      <c r="C3545" s="91" t="s">
        <v>5059</v>
      </c>
      <c r="D3545" s="91" t="s">
        <v>21</v>
      </c>
      <c r="E3545" s="91" t="s">
        <v>19</v>
      </c>
      <c r="F3545">
        <v>60</v>
      </c>
      <c r="G3545" t="s">
        <v>1419</v>
      </c>
      <c r="H3545" s="89">
        <v>46260</v>
      </c>
      <c r="I3545" s="89">
        <v>46262</v>
      </c>
      <c r="J3545" s="91" t="s">
        <v>1656</v>
      </c>
      <c r="K3545" s="91" t="s">
        <v>5071</v>
      </c>
      <c r="L3545">
        <v>1</v>
      </c>
      <c r="M3545" s="91" t="s">
        <v>5072</v>
      </c>
      <c r="N3545" s="91" t="s">
        <v>4908</v>
      </c>
    </row>
    <row r="3546" spans="1:14" x14ac:dyDescent="0.25">
      <c r="A3546" s="91" t="s">
        <v>1316</v>
      </c>
      <c r="B3546" s="91" t="s">
        <v>1330</v>
      </c>
      <c r="C3546" s="91" t="s">
        <v>5073</v>
      </c>
      <c r="D3546" s="91" t="s">
        <v>21</v>
      </c>
      <c r="E3546" s="91" t="s">
        <v>19</v>
      </c>
      <c r="F3546">
        <v>54</v>
      </c>
      <c r="G3546" t="s">
        <v>1419</v>
      </c>
      <c r="H3546" s="89">
        <v>46260</v>
      </c>
      <c r="I3546" s="89">
        <v>46262</v>
      </c>
      <c r="J3546" s="91" t="s">
        <v>1656</v>
      </c>
      <c r="K3546" s="91" t="s">
        <v>5074</v>
      </c>
      <c r="L3546">
        <v>1</v>
      </c>
      <c r="M3546" s="91" t="s">
        <v>5075</v>
      </c>
      <c r="N3546" s="91" t="s">
        <v>4908</v>
      </c>
    </row>
    <row r="3547" spans="1:14" x14ac:dyDescent="0.25">
      <c r="A3547" s="91" t="s">
        <v>1317</v>
      </c>
      <c r="B3547" s="91" t="s">
        <v>1331</v>
      </c>
      <c r="C3547" s="91" t="s">
        <v>5076</v>
      </c>
      <c r="D3547" s="91" t="s">
        <v>21</v>
      </c>
      <c r="E3547" s="91" t="s">
        <v>19</v>
      </c>
      <c r="F3547">
        <v>19</v>
      </c>
      <c r="G3547" t="s">
        <v>1419</v>
      </c>
      <c r="H3547" s="89">
        <v>46260</v>
      </c>
      <c r="I3547" s="89">
        <v>46262</v>
      </c>
      <c r="J3547" s="91" t="s">
        <v>1656</v>
      </c>
      <c r="K3547" s="91" t="s">
        <v>5077</v>
      </c>
      <c r="L3547">
        <v>1</v>
      </c>
      <c r="M3547" s="91" t="s">
        <v>5078</v>
      </c>
      <c r="N3547" s="91" t="s">
        <v>4908</v>
      </c>
    </row>
    <row r="3548" spans="1:14" x14ac:dyDescent="0.25">
      <c r="A3548" s="91" t="s">
        <v>1318</v>
      </c>
      <c r="B3548" s="91" t="s">
        <v>1332</v>
      </c>
      <c r="C3548" s="91" t="s">
        <v>5079</v>
      </c>
      <c r="D3548" s="91" t="s">
        <v>21</v>
      </c>
      <c r="E3548" s="91" t="s">
        <v>19</v>
      </c>
      <c r="F3548">
        <v>74</v>
      </c>
      <c r="G3548" t="s">
        <v>1419</v>
      </c>
      <c r="H3548" s="89">
        <v>46260</v>
      </c>
      <c r="I3548" s="89">
        <v>46262</v>
      </c>
      <c r="J3548" s="91" t="s">
        <v>1656</v>
      </c>
      <c r="K3548" s="91" t="s">
        <v>5080</v>
      </c>
      <c r="L3548">
        <v>1</v>
      </c>
      <c r="M3548" s="91" t="s">
        <v>5081</v>
      </c>
      <c r="N3548" s="91" t="s">
        <v>4908</v>
      </c>
    </row>
    <row r="3549" spans="1:14" x14ac:dyDescent="0.25">
      <c r="A3549" s="91" t="s">
        <v>1313</v>
      </c>
      <c r="B3549" s="91" t="s">
        <v>1327</v>
      </c>
      <c r="C3549" s="91" t="s">
        <v>5082</v>
      </c>
      <c r="D3549" s="91" t="s">
        <v>15</v>
      </c>
      <c r="E3549" s="91" t="s">
        <v>22</v>
      </c>
      <c r="F3549">
        <v>1104</v>
      </c>
      <c r="G3549">
        <v>23</v>
      </c>
      <c r="H3549" s="89">
        <v>46260</v>
      </c>
      <c r="I3549" s="89">
        <v>46263</v>
      </c>
      <c r="J3549" s="91" t="s">
        <v>5015</v>
      </c>
      <c r="K3549" s="91" t="s">
        <v>5083</v>
      </c>
      <c r="L3549">
        <v>1</v>
      </c>
      <c r="M3549" s="91" t="s">
        <v>5084</v>
      </c>
      <c r="N3549" s="91" t="s">
        <v>4908</v>
      </c>
    </row>
    <row r="3550" spans="1:14" x14ac:dyDescent="0.25">
      <c r="A3550" s="91" t="s">
        <v>1315</v>
      </c>
      <c r="B3550" s="91" t="s">
        <v>1329</v>
      </c>
      <c r="C3550" s="91" t="s">
        <v>5082</v>
      </c>
      <c r="D3550" s="91" t="s">
        <v>15</v>
      </c>
      <c r="E3550" s="91" t="s">
        <v>19</v>
      </c>
      <c r="F3550">
        <v>31</v>
      </c>
      <c r="G3550" t="s">
        <v>1419</v>
      </c>
      <c r="H3550" s="89">
        <v>46260</v>
      </c>
      <c r="I3550" s="89">
        <v>46262</v>
      </c>
      <c r="J3550" s="91" t="s">
        <v>1656</v>
      </c>
      <c r="K3550" s="91" t="s">
        <v>5085</v>
      </c>
      <c r="L3550">
        <v>1</v>
      </c>
      <c r="M3550" s="91" t="s">
        <v>5086</v>
      </c>
      <c r="N3550" s="91" t="s">
        <v>4908</v>
      </c>
    </row>
    <row r="3551" spans="1:14" x14ac:dyDescent="0.25">
      <c r="A3551" s="91" t="s">
        <v>1316</v>
      </c>
      <c r="B3551" s="91" t="s">
        <v>1330</v>
      </c>
      <c r="C3551" s="91" t="s">
        <v>5087</v>
      </c>
      <c r="D3551" s="91" t="s">
        <v>15</v>
      </c>
      <c r="E3551" s="91" t="s">
        <v>19</v>
      </c>
      <c r="F3551">
        <v>47</v>
      </c>
      <c r="G3551" t="s">
        <v>1419</v>
      </c>
      <c r="H3551" s="89">
        <v>46260</v>
      </c>
      <c r="I3551" s="89">
        <v>46262</v>
      </c>
      <c r="J3551" s="91" t="s">
        <v>1656</v>
      </c>
      <c r="K3551" s="91" t="s">
        <v>5088</v>
      </c>
      <c r="L3551">
        <v>1</v>
      </c>
      <c r="M3551" s="91" t="s">
        <v>5089</v>
      </c>
      <c r="N3551" s="91" t="s">
        <v>4908</v>
      </c>
    </row>
    <row r="3552" spans="1:14" x14ac:dyDescent="0.25">
      <c r="A3552" s="91" t="s">
        <v>1317</v>
      </c>
      <c r="B3552" s="91" t="s">
        <v>1331</v>
      </c>
      <c r="C3552" s="91" t="s">
        <v>5090</v>
      </c>
      <c r="D3552" s="91" t="s">
        <v>15</v>
      </c>
      <c r="E3552" s="91" t="s">
        <v>19</v>
      </c>
      <c r="F3552">
        <v>72</v>
      </c>
      <c r="G3552" t="s">
        <v>1419</v>
      </c>
      <c r="H3552" s="89">
        <v>46260</v>
      </c>
      <c r="I3552" s="89">
        <v>46262</v>
      </c>
      <c r="J3552" s="91" t="s">
        <v>1656</v>
      </c>
      <c r="K3552" s="91" t="s">
        <v>5091</v>
      </c>
      <c r="L3552">
        <v>1</v>
      </c>
      <c r="M3552" s="91" t="s">
        <v>5092</v>
      </c>
      <c r="N3552" s="91" t="s">
        <v>4908</v>
      </c>
    </row>
    <row r="3553" spans="1:14" x14ac:dyDescent="0.25">
      <c r="A3553" s="91" t="s">
        <v>1318</v>
      </c>
      <c r="B3553" s="91" t="s">
        <v>1332</v>
      </c>
      <c r="C3553" s="91" t="s">
        <v>5093</v>
      </c>
      <c r="D3553" s="91" t="s">
        <v>15</v>
      </c>
      <c r="E3553" s="91" t="s">
        <v>19</v>
      </c>
      <c r="F3553">
        <v>21</v>
      </c>
      <c r="G3553" t="s">
        <v>1419</v>
      </c>
      <c r="H3553" s="89">
        <v>46260</v>
      </c>
      <c r="I3553" s="89">
        <v>46262</v>
      </c>
      <c r="J3553" s="91" t="s">
        <v>1656</v>
      </c>
      <c r="K3553" s="91" t="s">
        <v>5094</v>
      </c>
      <c r="L3553">
        <v>1</v>
      </c>
      <c r="M3553" s="91" t="s">
        <v>5095</v>
      </c>
      <c r="N3553" s="91" t="s">
        <v>4908</v>
      </c>
    </row>
    <row r="3554" spans="1:14" x14ac:dyDescent="0.25">
      <c r="A3554" s="91" t="s">
        <v>1319</v>
      </c>
      <c r="B3554" s="91" t="s">
        <v>1333</v>
      </c>
      <c r="C3554" s="91" t="s">
        <v>5096</v>
      </c>
      <c r="D3554" s="91" t="s">
        <v>20</v>
      </c>
      <c r="E3554" s="91" t="s">
        <v>31</v>
      </c>
      <c r="F3554">
        <v>5</v>
      </c>
      <c r="G3554">
        <v>0.10416666666666669</v>
      </c>
      <c r="H3554" s="89">
        <v>46260</v>
      </c>
      <c r="I3554" s="89">
        <v>46264</v>
      </c>
      <c r="J3554" s="91" t="s">
        <v>5097</v>
      </c>
      <c r="K3554" s="91" t="s">
        <v>5098</v>
      </c>
      <c r="L3554">
        <v>1</v>
      </c>
      <c r="M3554" s="91" t="s">
        <v>5099</v>
      </c>
      <c r="N3554" s="91" t="s">
        <v>4908</v>
      </c>
    </row>
    <row r="3555" spans="1:14" x14ac:dyDescent="0.25">
      <c r="A3555" s="91" t="s">
        <v>1313</v>
      </c>
      <c r="B3555" s="91" t="s">
        <v>1327</v>
      </c>
      <c r="C3555" s="91" t="s">
        <v>5096</v>
      </c>
      <c r="D3555" s="91" t="s">
        <v>20</v>
      </c>
      <c r="E3555" s="91" t="s">
        <v>31</v>
      </c>
      <c r="F3555">
        <v>1147</v>
      </c>
      <c r="G3555">
        <v>23.895833333333332</v>
      </c>
      <c r="H3555" s="89">
        <v>46260</v>
      </c>
      <c r="I3555" s="89">
        <v>46264</v>
      </c>
      <c r="J3555" s="91" t="s">
        <v>5097</v>
      </c>
      <c r="K3555" s="91" t="s">
        <v>5100</v>
      </c>
      <c r="L3555">
        <v>1</v>
      </c>
      <c r="M3555" s="91" t="s">
        <v>5101</v>
      </c>
      <c r="N3555" s="91" t="s">
        <v>4908</v>
      </c>
    </row>
    <row r="3556" spans="1:14" x14ac:dyDescent="0.25">
      <c r="A3556" s="91" t="s">
        <v>1313</v>
      </c>
      <c r="B3556" s="91" t="s">
        <v>1327</v>
      </c>
      <c r="C3556" s="91" t="s">
        <v>5096</v>
      </c>
      <c r="D3556" s="91" t="s">
        <v>20</v>
      </c>
      <c r="E3556" s="91" t="s">
        <v>19</v>
      </c>
      <c r="F3556">
        <v>144</v>
      </c>
      <c r="G3556">
        <v>3</v>
      </c>
      <c r="H3556" s="89">
        <v>46260</v>
      </c>
      <c r="I3556" s="89">
        <v>46260</v>
      </c>
      <c r="J3556" s="91" t="s">
        <v>1656</v>
      </c>
      <c r="K3556" s="91" t="s">
        <v>5102</v>
      </c>
      <c r="L3556">
        <v>1</v>
      </c>
      <c r="M3556" s="91" t="s">
        <v>5103</v>
      </c>
      <c r="N3556" s="91" t="s">
        <v>4908</v>
      </c>
    </row>
    <row r="3557" spans="1:14" x14ac:dyDescent="0.25">
      <c r="A3557" s="91" t="s">
        <v>1325</v>
      </c>
      <c r="B3557" s="91" t="s">
        <v>1339</v>
      </c>
      <c r="C3557" s="91" t="s">
        <v>5096</v>
      </c>
      <c r="D3557" s="91" t="s">
        <v>20</v>
      </c>
      <c r="E3557" s="91" t="s">
        <v>19</v>
      </c>
      <c r="F3557">
        <v>144</v>
      </c>
      <c r="G3557">
        <v>3</v>
      </c>
      <c r="H3557" s="89">
        <v>46260</v>
      </c>
      <c r="I3557" s="89">
        <v>46260</v>
      </c>
      <c r="J3557" s="91" t="s">
        <v>1656</v>
      </c>
      <c r="K3557" s="91" t="s">
        <v>5104</v>
      </c>
      <c r="L3557">
        <v>1</v>
      </c>
      <c r="M3557" s="91" t="s">
        <v>5105</v>
      </c>
      <c r="N3557" s="91" t="s">
        <v>4908</v>
      </c>
    </row>
    <row r="3558" spans="1:14" x14ac:dyDescent="0.25">
      <c r="A3558" s="91" t="s">
        <v>1315</v>
      </c>
      <c r="B3558" s="91" t="s">
        <v>1329</v>
      </c>
      <c r="C3558" s="91" t="s">
        <v>5096</v>
      </c>
      <c r="D3558" s="91" t="s">
        <v>20</v>
      </c>
      <c r="E3558" s="91" t="s">
        <v>19</v>
      </c>
      <c r="F3558">
        <v>30</v>
      </c>
      <c r="G3558" t="s">
        <v>1419</v>
      </c>
      <c r="H3558" s="89">
        <v>46260</v>
      </c>
      <c r="I3558" s="89">
        <v>46262</v>
      </c>
      <c r="J3558" s="91" t="s">
        <v>1656</v>
      </c>
      <c r="K3558" s="91" t="s">
        <v>5106</v>
      </c>
      <c r="L3558">
        <v>1</v>
      </c>
      <c r="M3558" s="91" t="s">
        <v>5107</v>
      </c>
      <c r="N3558" s="91" t="s">
        <v>4908</v>
      </c>
    </row>
    <row r="3559" spans="1:14" x14ac:dyDescent="0.25">
      <c r="A3559" s="91" t="s">
        <v>1316</v>
      </c>
      <c r="B3559" s="91" t="s">
        <v>1330</v>
      </c>
      <c r="C3559" s="91" t="s">
        <v>5108</v>
      </c>
      <c r="D3559" s="91" t="s">
        <v>20</v>
      </c>
      <c r="E3559" s="91" t="s">
        <v>19</v>
      </c>
      <c r="F3559">
        <v>121</v>
      </c>
      <c r="G3559" t="s">
        <v>1419</v>
      </c>
      <c r="H3559" s="89">
        <v>46260</v>
      </c>
      <c r="I3559" s="89">
        <v>46262</v>
      </c>
      <c r="J3559" s="91" t="s">
        <v>1656</v>
      </c>
      <c r="K3559" s="91" t="s">
        <v>5109</v>
      </c>
      <c r="L3559">
        <v>1</v>
      </c>
      <c r="M3559" s="91" t="s">
        <v>5110</v>
      </c>
      <c r="N3559" s="91" t="s">
        <v>4908</v>
      </c>
    </row>
    <row r="3560" spans="1:14" x14ac:dyDescent="0.25">
      <c r="A3560" s="91" t="s">
        <v>1317</v>
      </c>
      <c r="B3560" s="91" t="s">
        <v>1331</v>
      </c>
      <c r="C3560" s="91" t="s">
        <v>5111</v>
      </c>
      <c r="D3560" s="91" t="s">
        <v>20</v>
      </c>
      <c r="E3560" s="91" t="s">
        <v>19</v>
      </c>
      <c r="F3560">
        <v>32</v>
      </c>
      <c r="G3560" t="s">
        <v>1419</v>
      </c>
      <c r="H3560" s="89">
        <v>46260</v>
      </c>
      <c r="I3560" s="89">
        <v>46262</v>
      </c>
      <c r="J3560" s="91" t="s">
        <v>1656</v>
      </c>
      <c r="K3560" s="91" t="s">
        <v>5112</v>
      </c>
      <c r="L3560">
        <v>1</v>
      </c>
      <c r="M3560" s="91" t="s">
        <v>5113</v>
      </c>
      <c r="N3560" s="91" t="s">
        <v>4908</v>
      </c>
    </row>
    <row r="3561" spans="1:14" x14ac:dyDescent="0.25">
      <c r="A3561" s="91" t="s">
        <v>1318</v>
      </c>
      <c r="B3561" s="91" t="s">
        <v>1332</v>
      </c>
      <c r="C3561" s="91" t="s">
        <v>5114</v>
      </c>
      <c r="D3561" s="91" t="s">
        <v>20</v>
      </c>
      <c r="E3561" s="91" t="s">
        <v>19</v>
      </c>
      <c r="F3561">
        <v>52</v>
      </c>
      <c r="G3561" t="s">
        <v>1419</v>
      </c>
      <c r="H3561" s="89">
        <v>46260</v>
      </c>
      <c r="I3561" s="89">
        <v>46262</v>
      </c>
      <c r="J3561" s="91" t="s">
        <v>1656</v>
      </c>
      <c r="K3561" s="91" t="s">
        <v>5115</v>
      </c>
      <c r="L3561">
        <v>1</v>
      </c>
      <c r="M3561" s="91" t="s">
        <v>5116</v>
      </c>
      <c r="N3561" s="91" t="s">
        <v>4908</v>
      </c>
    </row>
    <row r="3562" spans="1:14" x14ac:dyDescent="0.25">
      <c r="A3562" s="91" t="s">
        <v>1324</v>
      </c>
      <c r="B3562" s="91" t="s">
        <v>1338</v>
      </c>
      <c r="C3562" s="91" t="s">
        <v>5117</v>
      </c>
      <c r="D3562" s="91" t="s">
        <v>119</v>
      </c>
      <c r="E3562" s="91" t="s">
        <v>25</v>
      </c>
      <c r="F3562">
        <v>960</v>
      </c>
      <c r="G3562">
        <v>20</v>
      </c>
      <c r="H3562" s="89">
        <v>46261</v>
      </c>
      <c r="I3562" s="89">
        <v>46267</v>
      </c>
      <c r="J3562" s="91" t="s">
        <v>5118</v>
      </c>
      <c r="K3562" s="91" t="s">
        <v>5119</v>
      </c>
      <c r="L3562">
        <v>1</v>
      </c>
      <c r="M3562" s="91" t="s">
        <v>5120</v>
      </c>
      <c r="N3562" s="91" t="s">
        <v>4908</v>
      </c>
    </row>
    <row r="3563" spans="1:14" x14ac:dyDescent="0.25">
      <c r="A3563" s="91" t="s">
        <v>1324</v>
      </c>
      <c r="B3563" s="91" t="s">
        <v>1338</v>
      </c>
      <c r="C3563" s="91" t="s">
        <v>5121</v>
      </c>
      <c r="D3563" s="91" t="s">
        <v>88</v>
      </c>
      <c r="E3563" s="91" t="s">
        <v>25</v>
      </c>
      <c r="F3563">
        <v>960</v>
      </c>
      <c r="G3563">
        <v>20</v>
      </c>
      <c r="H3563" s="89">
        <v>46261</v>
      </c>
      <c r="I3563" s="89">
        <v>46267</v>
      </c>
      <c r="J3563" s="91" t="s">
        <v>5118</v>
      </c>
      <c r="K3563" s="91" t="s">
        <v>5122</v>
      </c>
      <c r="L3563">
        <v>1</v>
      </c>
      <c r="M3563" s="91" t="s">
        <v>5123</v>
      </c>
      <c r="N3563" s="91" t="s">
        <v>4908</v>
      </c>
    </row>
    <row r="3564" spans="1:14" x14ac:dyDescent="0.25">
      <c r="A3564" s="91" t="s">
        <v>1320</v>
      </c>
      <c r="B3564" s="91" t="s">
        <v>1334</v>
      </c>
      <c r="C3564" s="91" t="s">
        <v>5124</v>
      </c>
      <c r="D3564" s="91" t="s">
        <v>23</v>
      </c>
      <c r="E3564" s="91" t="s">
        <v>14</v>
      </c>
      <c r="F3564">
        <v>960</v>
      </c>
      <c r="G3564">
        <v>20</v>
      </c>
      <c r="H3564" s="89">
        <v>46261</v>
      </c>
      <c r="I3564" s="89">
        <v>46265</v>
      </c>
      <c r="J3564" s="91" t="s">
        <v>5125</v>
      </c>
      <c r="K3564" s="91" t="s">
        <v>5126</v>
      </c>
      <c r="L3564">
        <v>1</v>
      </c>
      <c r="M3564" s="91" t="s">
        <v>5127</v>
      </c>
      <c r="N3564" s="91" t="s">
        <v>4908</v>
      </c>
    </row>
    <row r="3565" spans="1:14" x14ac:dyDescent="0.25">
      <c r="A3565" s="91" t="s">
        <v>1320</v>
      </c>
      <c r="B3565" s="91" t="s">
        <v>1334</v>
      </c>
      <c r="C3565" s="91" t="s">
        <v>5128</v>
      </c>
      <c r="D3565" s="91" t="s">
        <v>30</v>
      </c>
      <c r="E3565" s="91" t="s">
        <v>14</v>
      </c>
      <c r="F3565">
        <v>576</v>
      </c>
      <c r="G3565">
        <v>12</v>
      </c>
      <c r="H3565" s="89">
        <v>46261</v>
      </c>
      <c r="I3565" s="89">
        <v>46266</v>
      </c>
      <c r="J3565" s="91" t="s">
        <v>5129</v>
      </c>
      <c r="K3565" s="91" t="s">
        <v>5130</v>
      </c>
      <c r="L3565">
        <v>1</v>
      </c>
      <c r="M3565" s="91" t="s">
        <v>5131</v>
      </c>
      <c r="N3565" s="91" t="s">
        <v>4908</v>
      </c>
    </row>
    <row r="3566" spans="1:14" x14ac:dyDescent="0.25">
      <c r="A3566" s="91" t="s">
        <v>1313</v>
      </c>
      <c r="B3566" s="91" t="s">
        <v>1327</v>
      </c>
      <c r="C3566" s="91" t="s">
        <v>5132</v>
      </c>
      <c r="D3566" s="91" t="s">
        <v>103</v>
      </c>
      <c r="E3566" s="91" t="s">
        <v>18</v>
      </c>
      <c r="F3566">
        <v>960</v>
      </c>
      <c r="G3566">
        <v>20</v>
      </c>
      <c r="H3566" s="89">
        <v>46261</v>
      </c>
      <c r="I3566" s="89">
        <v>46265</v>
      </c>
      <c r="J3566" s="91" t="s">
        <v>5133</v>
      </c>
      <c r="K3566" s="91" t="s">
        <v>5134</v>
      </c>
      <c r="L3566">
        <v>1</v>
      </c>
      <c r="M3566" s="91" t="s">
        <v>5135</v>
      </c>
      <c r="N3566" s="91" t="s">
        <v>4908</v>
      </c>
    </row>
    <row r="3567" spans="1:14" x14ac:dyDescent="0.25">
      <c r="A3567" s="91" t="s">
        <v>1313</v>
      </c>
      <c r="B3567" s="91" t="s">
        <v>1327</v>
      </c>
      <c r="C3567" s="91" t="s">
        <v>5136</v>
      </c>
      <c r="D3567" s="91" t="s">
        <v>28</v>
      </c>
      <c r="E3567" s="91" t="s">
        <v>18</v>
      </c>
      <c r="F3567">
        <v>1056</v>
      </c>
      <c r="G3567">
        <v>22</v>
      </c>
      <c r="H3567" s="89">
        <v>46261</v>
      </c>
      <c r="I3567" s="89">
        <v>46267</v>
      </c>
      <c r="J3567" s="91" t="s">
        <v>5137</v>
      </c>
      <c r="K3567" s="91" t="s">
        <v>5138</v>
      </c>
      <c r="L3567">
        <v>1</v>
      </c>
      <c r="M3567" s="91" t="s">
        <v>5139</v>
      </c>
      <c r="N3567" s="91" t="s">
        <v>4908</v>
      </c>
    </row>
    <row r="3568" spans="1:14" x14ac:dyDescent="0.25">
      <c r="A3568" s="91" t="s">
        <v>1315</v>
      </c>
      <c r="B3568" s="91" t="s">
        <v>1329</v>
      </c>
      <c r="C3568" s="91" t="s">
        <v>5136</v>
      </c>
      <c r="D3568" s="91" t="s">
        <v>28</v>
      </c>
      <c r="E3568" s="91" t="s">
        <v>19</v>
      </c>
      <c r="F3568">
        <v>21</v>
      </c>
      <c r="G3568" t="s">
        <v>1419</v>
      </c>
      <c r="H3568" s="89">
        <v>46261</v>
      </c>
      <c r="I3568" s="89">
        <v>46263</v>
      </c>
      <c r="J3568" s="91" t="s">
        <v>1656</v>
      </c>
      <c r="K3568" s="91" t="s">
        <v>5140</v>
      </c>
      <c r="L3568">
        <v>1</v>
      </c>
      <c r="M3568" s="91" t="s">
        <v>5141</v>
      </c>
      <c r="N3568" s="91" t="s">
        <v>4908</v>
      </c>
    </row>
    <row r="3569" spans="1:14" x14ac:dyDescent="0.25">
      <c r="A3569" s="91" t="s">
        <v>1316</v>
      </c>
      <c r="B3569" s="91" t="s">
        <v>1330</v>
      </c>
      <c r="C3569" s="91" t="s">
        <v>5142</v>
      </c>
      <c r="D3569" s="91" t="s">
        <v>28</v>
      </c>
      <c r="E3569" s="91" t="s">
        <v>19</v>
      </c>
      <c r="F3569">
        <v>11</v>
      </c>
      <c r="G3569" t="s">
        <v>1419</v>
      </c>
      <c r="H3569" s="89">
        <v>46261</v>
      </c>
      <c r="I3569" s="89">
        <v>46263</v>
      </c>
      <c r="J3569" s="91" t="s">
        <v>1656</v>
      </c>
      <c r="K3569" s="91" t="s">
        <v>5143</v>
      </c>
      <c r="L3569">
        <v>1</v>
      </c>
      <c r="M3569" s="91" t="s">
        <v>5144</v>
      </c>
      <c r="N3569" s="91" t="s">
        <v>4908</v>
      </c>
    </row>
    <row r="3570" spans="1:14" x14ac:dyDescent="0.25">
      <c r="A3570" s="91" t="s">
        <v>1317</v>
      </c>
      <c r="B3570" s="91" t="s">
        <v>1331</v>
      </c>
      <c r="C3570" s="91" t="s">
        <v>5145</v>
      </c>
      <c r="D3570" s="91" t="s">
        <v>28</v>
      </c>
      <c r="E3570" s="91" t="s">
        <v>19</v>
      </c>
      <c r="F3570">
        <v>12</v>
      </c>
      <c r="G3570" t="s">
        <v>1419</v>
      </c>
      <c r="H3570" s="89">
        <v>46261</v>
      </c>
      <c r="I3570" s="89">
        <v>46263</v>
      </c>
      <c r="J3570" s="91" t="s">
        <v>1656</v>
      </c>
      <c r="K3570" s="91" t="s">
        <v>5146</v>
      </c>
      <c r="L3570">
        <v>1</v>
      </c>
      <c r="M3570" s="91" t="s">
        <v>5147</v>
      </c>
      <c r="N3570" s="91" t="s">
        <v>4908</v>
      </c>
    </row>
    <row r="3571" spans="1:14" x14ac:dyDescent="0.25">
      <c r="A3571" s="91" t="s">
        <v>1318</v>
      </c>
      <c r="B3571" s="91" t="s">
        <v>1332</v>
      </c>
      <c r="C3571" s="91" t="s">
        <v>5148</v>
      </c>
      <c r="D3571" s="91" t="s">
        <v>28</v>
      </c>
      <c r="E3571" s="91" t="s">
        <v>19</v>
      </c>
      <c r="F3571">
        <v>33</v>
      </c>
      <c r="G3571" t="s">
        <v>1419</v>
      </c>
      <c r="H3571" s="89">
        <v>46261</v>
      </c>
      <c r="I3571" s="89">
        <v>46263</v>
      </c>
      <c r="J3571" s="91" t="s">
        <v>1656</v>
      </c>
      <c r="K3571" s="91" t="s">
        <v>5149</v>
      </c>
      <c r="L3571">
        <v>1</v>
      </c>
      <c r="M3571" s="91" t="s">
        <v>5150</v>
      </c>
      <c r="N3571" s="91" t="s">
        <v>4908</v>
      </c>
    </row>
    <row r="3572" spans="1:14" x14ac:dyDescent="0.25">
      <c r="A3572" s="91" t="s">
        <v>1313</v>
      </c>
      <c r="B3572" s="91" t="s">
        <v>1327</v>
      </c>
      <c r="C3572" s="91" t="s">
        <v>5151</v>
      </c>
      <c r="D3572" s="91" t="s">
        <v>15</v>
      </c>
      <c r="E3572" s="91" t="s">
        <v>17</v>
      </c>
      <c r="F3572">
        <v>768</v>
      </c>
      <c r="G3572">
        <v>16</v>
      </c>
      <c r="H3572" s="89">
        <v>46261</v>
      </c>
      <c r="I3572" s="89">
        <v>46265</v>
      </c>
      <c r="J3572" s="91" t="s">
        <v>5066</v>
      </c>
      <c r="K3572" s="91" t="s">
        <v>5152</v>
      </c>
      <c r="L3572">
        <v>1</v>
      </c>
      <c r="M3572" s="91" t="s">
        <v>5153</v>
      </c>
      <c r="N3572" s="91" t="s">
        <v>4908</v>
      </c>
    </row>
    <row r="3573" spans="1:14" x14ac:dyDescent="0.25">
      <c r="A3573" s="91" t="s">
        <v>1314</v>
      </c>
      <c r="B3573" s="91" t="s">
        <v>1328</v>
      </c>
      <c r="C3573" s="91" t="s">
        <v>5151</v>
      </c>
      <c r="D3573" s="91" t="s">
        <v>15</v>
      </c>
      <c r="E3573" s="91" t="s">
        <v>31</v>
      </c>
      <c r="F3573">
        <v>96</v>
      </c>
      <c r="G3573">
        <v>2</v>
      </c>
      <c r="H3573" s="89">
        <v>46261</v>
      </c>
      <c r="I3573" s="89">
        <v>46265</v>
      </c>
      <c r="J3573" s="91" t="s">
        <v>5154</v>
      </c>
      <c r="K3573" s="91" t="s">
        <v>5155</v>
      </c>
      <c r="L3573">
        <v>1</v>
      </c>
      <c r="M3573" s="91" t="s">
        <v>5156</v>
      </c>
      <c r="N3573" s="91" t="s">
        <v>4908</v>
      </c>
    </row>
    <row r="3574" spans="1:14" x14ac:dyDescent="0.25">
      <c r="A3574" s="91" t="s">
        <v>1314</v>
      </c>
      <c r="B3574" s="91" t="s">
        <v>1328</v>
      </c>
      <c r="C3574" s="91" t="s">
        <v>5151</v>
      </c>
      <c r="D3574" s="91" t="s">
        <v>15</v>
      </c>
      <c r="E3574" s="91" t="s">
        <v>18</v>
      </c>
      <c r="F3574">
        <v>96</v>
      </c>
      <c r="G3574">
        <v>2</v>
      </c>
      <c r="H3574" s="89">
        <v>46261</v>
      </c>
      <c r="I3574" s="89">
        <v>46265</v>
      </c>
      <c r="J3574" s="91" t="s">
        <v>5133</v>
      </c>
      <c r="K3574" s="91" t="s">
        <v>5157</v>
      </c>
      <c r="L3574">
        <v>1</v>
      </c>
      <c r="M3574" s="91" t="s">
        <v>5158</v>
      </c>
      <c r="N3574" s="91" t="s">
        <v>4908</v>
      </c>
    </row>
    <row r="3575" spans="1:14" x14ac:dyDescent="0.25">
      <c r="A3575" s="91" t="s">
        <v>1313</v>
      </c>
      <c r="B3575" s="91" t="s">
        <v>1327</v>
      </c>
      <c r="C3575" s="91" t="s">
        <v>5151</v>
      </c>
      <c r="D3575" s="91" t="s">
        <v>15</v>
      </c>
      <c r="E3575" s="91" t="s">
        <v>17</v>
      </c>
      <c r="F3575">
        <v>144</v>
      </c>
      <c r="G3575">
        <v>3</v>
      </c>
      <c r="H3575" s="89">
        <v>46261</v>
      </c>
      <c r="I3575" s="89">
        <v>46266</v>
      </c>
      <c r="J3575" s="91" t="s">
        <v>5159</v>
      </c>
      <c r="K3575" s="91" t="s">
        <v>5160</v>
      </c>
      <c r="L3575">
        <v>1</v>
      </c>
      <c r="M3575" s="91" t="s">
        <v>5161</v>
      </c>
      <c r="N3575" s="91" t="s">
        <v>4908</v>
      </c>
    </row>
    <row r="3576" spans="1:14" x14ac:dyDescent="0.25">
      <c r="A3576" s="91" t="s">
        <v>1319</v>
      </c>
      <c r="B3576" s="91" t="s">
        <v>1333</v>
      </c>
      <c r="C3576" s="91" t="s">
        <v>5151</v>
      </c>
      <c r="D3576" s="91" t="s">
        <v>15</v>
      </c>
      <c r="E3576" s="91" t="s">
        <v>31</v>
      </c>
      <c r="F3576">
        <v>5</v>
      </c>
      <c r="G3576">
        <v>0.10416666666666669</v>
      </c>
      <c r="H3576" s="89">
        <v>46261</v>
      </c>
      <c r="I3576" s="89">
        <v>46265</v>
      </c>
      <c r="J3576" s="91" t="s">
        <v>5162</v>
      </c>
      <c r="K3576" s="91" t="s">
        <v>5163</v>
      </c>
      <c r="L3576">
        <v>1</v>
      </c>
      <c r="M3576" s="91" t="s">
        <v>5164</v>
      </c>
      <c r="N3576" s="91" t="s">
        <v>4908</v>
      </c>
    </row>
    <row r="3577" spans="1:14" x14ac:dyDescent="0.25">
      <c r="A3577" s="91" t="s">
        <v>1313</v>
      </c>
      <c r="B3577" s="91" t="s">
        <v>1327</v>
      </c>
      <c r="C3577" s="91" t="s">
        <v>5151</v>
      </c>
      <c r="D3577" s="91" t="s">
        <v>15</v>
      </c>
      <c r="E3577" s="91" t="s">
        <v>31</v>
      </c>
      <c r="F3577">
        <v>91</v>
      </c>
      <c r="G3577">
        <v>1.8958333333333333</v>
      </c>
      <c r="H3577" s="89">
        <v>46261</v>
      </c>
      <c r="I3577" s="89">
        <v>46265</v>
      </c>
      <c r="J3577" s="91" t="s">
        <v>5162</v>
      </c>
      <c r="K3577" s="91" t="s">
        <v>5165</v>
      </c>
      <c r="L3577">
        <v>1</v>
      </c>
      <c r="M3577" s="91" t="s">
        <v>5166</v>
      </c>
      <c r="N3577" s="91" t="s">
        <v>4908</v>
      </c>
    </row>
    <row r="3578" spans="1:14" x14ac:dyDescent="0.25">
      <c r="A3578" s="91" t="s">
        <v>1315</v>
      </c>
      <c r="B3578" s="91" t="s">
        <v>1329</v>
      </c>
      <c r="C3578" s="91" t="s">
        <v>5151</v>
      </c>
      <c r="D3578" s="91" t="s">
        <v>15</v>
      </c>
      <c r="E3578" s="91" t="s">
        <v>19</v>
      </c>
      <c r="F3578">
        <v>20</v>
      </c>
      <c r="G3578" t="s">
        <v>1419</v>
      </c>
      <c r="H3578" s="89">
        <v>46261</v>
      </c>
      <c r="I3578" s="89">
        <v>46263</v>
      </c>
      <c r="J3578" s="91" t="s">
        <v>1656</v>
      </c>
      <c r="K3578" s="91" t="s">
        <v>5167</v>
      </c>
      <c r="L3578">
        <v>1</v>
      </c>
      <c r="M3578" s="91" t="s">
        <v>5168</v>
      </c>
      <c r="N3578" s="91" t="s">
        <v>4908</v>
      </c>
    </row>
    <row r="3579" spans="1:14" x14ac:dyDescent="0.25">
      <c r="A3579" s="91" t="s">
        <v>1316</v>
      </c>
      <c r="B3579" s="91" t="s">
        <v>1330</v>
      </c>
      <c r="C3579" s="91" t="s">
        <v>5169</v>
      </c>
      <c r="D3579" s="91" t="s">
        <v>15</v>
      </c>
      <c r="E3579" s="91" t="s">
        <v>19</v>
      </c>
      <c r="F3579">
        <v>43</v>
      </c>
      <c r="G3579" t="s">
        <v>1419</v>
      </c>
      <c r="H3579" s="89">
        <v>46261</v>
      </c>
      <c r="I3579" s="89">
        <v>46263</v>
      </c>
      <c r="J3579" s="91" t="s">
        <v>1656</v>
      </c>
      <c r="K3579" s="91" t="s">
        <v>5170</v>
      </c>
      <c r="L3579">
        <v>1</v>
      </c>
      <c r="M3579" s="91" t="s">
        <v>5171</v>
      </c>
      <c r="N3579" s="91" t="s">
        <v>4908</v>
      </c>
    </row>
    <row r="3580" spans="1:14" x14ac:dyDescent="0.25">
      <c r="A3580" s="91" t="s">
        <v>1317</v>
      </c>
      <c r="B3580" s="91" t="s">
        <v>1331</v>
      </c>
      <c r="C3580" s="91" t="s">
        <v>5172</v>
      </c>
      <c r="D3580" s="91" t="s">
        <v>15</v>
      </c>
      <c r="E3580" s="91" t="s">
        <v>19</v>
      </c>
      <c r="F3580">
        <v>53</v>
      </c>
      <c r="G3580" t="s">
        <v>1419</v>
      </c>
      <c r="H3580" s="89">
        <v>46261</v>
      </c>
      <c r="I3580" s="89">
        <v>46263</v>
      </c>
      <c r="J3580" s="91" t="s">
        <v>1656</v>
      </c>
      <c r="K3580" s="91" t="s">
        <v>5173</v>
      </c>
      <c r="L3580">
        <v>1</v>
      </c>
      <c r="M3580" s="91" t="s">
        <v>5174</v>
      </c>
      <c r="N3580" s="91" t="s">
        <v>4908</v>
      </c>
    </row>
    <row r="3581" spans="1:14" x14ac:dyDescent="0.25">
      <c r="A3581" s="91" t="s">
        <v>1318</v>
      </c>
      <c r="B3581" s="91" t="s">
        <v>1332</v>
      </c>
      <c r="C3581" s="91" t="s">
        <v>5175</v>
      </c>
      <c r="D3581" s="91" t="s">
        <v>15</v>
      </c>
      <c r="E3581" s="91" t="s">
        <v>19</v>
      </c>
      <c r="F3581">
        <v>17</v>
      </c>
      <c r="G3581" t="s">
        <v>1419</v>
      </c>
      <c r="H3581" s="89">
        <v>46261</v>
      </c>
      <c r="I3581" s="89">
        <v>46263</v>
      </c>
      <c r="J3581" s="91" t="s">
        <v>1656</v>
      </c>
      <c r="K3581" s="91" t="s">
        <v>5176</v>
      </c>
      <c r="L3581">
        <v>1</v>
      </c>
      <c r="M3581" s="91" t="s">
        <v>5177</v>
      </c>
      <c r="N3581" s="91" t="s">
        <v>4908</v>
      </c>
    </row>
    <row r="3582" spans="1:14" x14ac:dyDescent="0.25">
      <c r="A3582" s="91" t="s">
        <v>1313</v>
      </c>
      <c r="B3582" s="91" t="s">
        <v>1327</v>
      </c>
      <c r="C3582" s="91" t="s">
        <v>5178</v>
      </c>
      <c r="D3582" s="91" t="s">
        <v>20</v>
      </c>
      <c r="E3582" s="91" t="s">
        <v>31</v>
      </c>
      <c r="F3582">
        <v>960</v>
      </c>
      <c r="G3582">
        <v>20</v>
      </c>
      <c r="H3582" s="89">
        <v>46261</v>
      </c>
      <c r="I3582" s="89">
        <v>46265</v>
      </c>
      <c r="J3582" s="91" t="s">
        <v>5162</v>
      </c>
      <c r="K3582" s="91" t="s">
        <v>5179</v>
      </c>
      <c r="L3582">
        <v>1</v>
      </c>
      <c r="M3582" s="91" t="s">
        <v>5180</v>
      </c>
      <c r="N3582" s="91" t="s">
        <v>4908</v>
      </c>
    </row>
    <row r="3583" spans="1:14" x14ac:dyDescent="0.25">
      <c r="A3583" s="91" t="s">
        <v>1313</v>
      </c>
      <c r="B3583" s="91" t="s">
        <v>1327</v>
      </c>
      <c r="C3583" s="91" t="s">
        <v>5178</v>
      </c>
      <c r="D3583" s="91" t="s">
        <v>20</v>
      </c>
      <c r="E3583" s="91" t="s">
        <v>18</v>
      </c>
      <c r="F3583">
        <v>96</v>
      </c>
      <c r="G3583">
        <v>2</v>
      </c>
      <c r="H3583" s="89">
        <v>46261</v>
      </c>
      <c r="I3583" s="89">
        <v>46265</v>
      </c>
      <c r="J3583" s="91" t="s">
        <v>5133</v>
      </c>
      <c r="K3583" s="91" t="s">
        <v>5181</v>
      </c>
      <c r="L3583">
        <v>1</v>
      </c>
      <c r="M3583" s="91" t="s">
        <v>5182</v>
      </c>
      <c r="N3583" s="91" t="s">
        <v>4908</v>
      </c>
    </row>
    <row r="3584" spans="1:14" x14ac:dyDescent="0.25">
      <c r="A3584" s="91" t="s">
        <v>1313</v>
      </c>
      <c r="B3584" s="91" t="s">
        <v>1327</v>
      </c>
      <c r="C3584" s="91" t="s">
        <v>5178</v>
      </c>
      <c r="D3584" s="91" t="s">
        <v>20</v>
      </c>
      <c r="E3584" s="91" t="s">
        <v>19</v>
      </c>
      <c r="F3584">
        <v>48</v>
      </c>
      <c r="G3584">
        <v>1</v>
      </c>
      <c r="H3584" s="89">
        <v>46261</v>
      </c>
      <c r="I3584" s="89">
        <v>46263</v>
      </c>
      <c r="J3584" s="91" t="s">
        <v>1656</v>
      </c>
      <c r="K3584" s="91" t="s">
        <v>5183</v>
      </c>
      <c r="L3584">
        <v>1</v>
      </c>
      <c r="M3584" s="91" t="s">
        <v>5184</v>
      </c>
      <c r="N3584" s="91" t="s">
        <v>4908</v>
      </c>
    </row>
    <row r="3585" spans="1:14" x14ac:dyDescent="0.25">
      <c r="A3585" s="91" t="s">
        <v>1325</v>
      </c>
      <c r="B3585" s="91" t="s">
        <v>1339</v>
      </c>
      <c r="C3585" s="91" t="s">
        <v>5178</v>
      </c>
      <c r="D3585" s="91" t="s">
        <v>20</v>
      </c>
      <c r="E3585" s="91" t="s">
        <v>19</v>
      </c>
      <c r="F3585">
        <v>96</v>
      </c>
      <c r="G3585">
        <v>2</v>
      </c>
      <c r="H3585" s="89">
        <v>46261</v>
      </c>
      <c r="I3585" s="89">
        <v>46263</v>
      </c>
      <c r="J3585" s="91" t="s">
        <v>1656</v>
      </c>
      <c r="K3585" s="91" t="s">
        <v>5185</v>
      </c>
      <c r="L3585">
        <v>1</v>
      </c>
      <c r="M3585" s="91" t="s">
        <v>5186</v>
      </c>
      <c r="N3585" s="91" t="s">
        <v>4908</v>
      </c>
    </row>
    <row r="3586" spans="1:14" x14ac:dyDescent="0.25">
      <c r="A3586" s="91" t="s">
        <v>1316</v>
      </c>
      <c r="B3586" s="91" t="s">
        <v>1330</v>
      </c>
      <c r="C3586" s="91" t="s">
        <v>5187</v>
      </c>
      <c r="D3586" s="91" t="s">
        <v>20</v>
      </c>
      <c r="E3586" s="91" t="s">
        <v>19</v>
      </c>
      <c r="F3586">
        <v>84</v>
      </c>
      <c r="G3586" t="s">
        <v>1419</v>
      </c>
      <c r="H3586" s="89">
        <v>46261</v>
      </c>
      <c r="I3586" s="89">
        <v>46263</v>
      </c>
      <c r="J3586" s="91" t="s">
        <v>1656</v>
      </c>
      <c r="K3586" s="91" t="s">
        <v>5188</v>
      </c>
      <c r="L3586">
        <v>1</v>
      </c>
      <c r="M3586" s="91" t="s">
        <v>5189</v>
      </c>
      <c r="N3586" s="91" t="s">
        <v>4908</v>
      </c>
    </row>
    <row r="3587" spans="1:14" x14ac:dyDescent="0.25">
      <c r="A3587" s="91" t="s">
        <v>1317</v>
      </c>
      <c r="B3587" s="91" t="s">
        <v>1331</v>
      </c>
      <c r="C3587" s="91" t="s">
        <v>5190</v>
      </c>
      <c r="D3587" s="91" t="s">
        <v>20</v>
      </c>
      <c r="E3587" s="91" t="s">
        <v>19</v>
      </c>
      <c r="F3587">
        <v>20</v>
      </c>
      <c r="G3587" t="s">
        <v>1419</v>
      </c>
      <c r="H3587" s="89">
        <v>46261</v>
      </c>
      <c r="I3587" s="89">
        <v>46263</v>
      </c>
      <c r="J3587" s="91" t="s">
        <v>1656</v>
      </c>
      <c r="K3587" s="91" t="s">
        <v>5191</v>
      </c>
      <c r="L3587">
        <v>1</v>
      </c>
      <c r="M3587" s="91" t="s">
        <v>5192</v>
      </c>
      <c r="N3587" s="91" t="s">
        <v>4908</v>
      </c>
    </row>
    <row r="3588" spans="1:14" x14ac:dyDescent="0.25">
      <c r="A3588" s="91" t="s">
        <v>1318</v>
      </c>
      <c r="B3588" s="91" t="s">
        <v>1332</v>
      </c>
      <c r="C3588" s="91" t="s">
        <v>5193</v>
      </c>
      <c r="D3588" s="91" t="s">
        <v>20</v>
      </c>
      <c r="E3588" s="91" t="s">
        <v>19</v>
      </c>
      <c r="F3588">
        <v>33</v>
      </c>
      <c r="G3588" t="s">
        <v>1419</v>
      </c>
      <c r="H3588" s="89">
        <v>46261</v>
      </c>
      <c r="I3588" s="89">
        <v>46263</v>
      </c>
      <c r="J3588" s="91" t="s">
        <v>1656</v>
      </c>
      <c r="K3588" s="91" t="s">
        <v>5194</v>
      </c>
      <c r="L3588">
        <v>1</v>
      </c>
      <c r="M3588" s="91" t="s">
        <v>5195</v>
      </c>
      <c r="N3588" s="91" t="s">
        <v>4908</v>
      </c>
    </row>
    <row r="3589" spans="1:14" x14ac:dyDescent="0.25">
      <c r="A3589" s="91" t="s">
        <v>1324</v>
      </c>
      <c r="B3589" s="91" t="s">
        <v>1338</v>
      </c>
      <c r="C3589" s="91" t="s">
        <v>5196</v>
      </c>
      <c r="D3589" s="91" t="s">
        <v>88</v>
      </c>
      <c r="E3589" s="91" t="s">
        <v>65</v>
      </c>
      <c r="F3589">
        <v>960</v>
      </c>
      <c r="G3589">
        <v>20</v>
      </c>
      <c r="H3589" s="89">
        <v>46262</v>
      </c>
      <c r="I3589" s="89">
        <v>46269</v>
      </c>
      <c r="J3589" s="91" t="s">
        <v>5197</v>
      </c>
      <c r="K3589" s="91" t="s">
        <v>5198</v>
      </c>
      <c r="L3589">
        <v>1</v>
      </c>
      <c r="M3589" s="91" t="s">
        <v>5199</v>
      </c>
      <c r="N3589" s="91" t="s">
        <v>4908</v>
      </c>
    </row>
    <row r="3590" spans="1:14" x14ac:dyDescent="0.25">
      <c r="A3590" s="91" t="s">
        <v>1320</v>
      </c>
      <c r="B3590" s="91" t="s">
        <v>1334</v>
      </c>
      <c r="C3590" s="91" t="s">
        <v>5200</v>
      </c>
      <c r="D3590" s="91" t="s">
        <v>30</v>
      </c>
      <c r="E3590" s="91" t="s">
        <v>14</v>
      </c>
      <c r="F3590">
        <v>384</v>
      </c>
      <c r="G3590">
        <v>8</v>
      </c>
      <c r="H3590" s="89">
        <v>46262</v>
      </c>
      <c r="I3590" s="89">
        <v>46266</v>
      </c>
      <c r="J3590" s="91" t="s">
        <v>5129</v>
      </c>
      <c r="K3590" s="91" t="s">
        <v>5201</v>
      </c>
      <c r="L3590">
        <v>1</v>
      </c>
      <c r="M3590" s="91" t="s">
        <v>5202</v>
      </c>
      <c r="N3590" s="91" t="s">
        <v>4908</v>
      </c>
    </row>
    <row r="3591" spans="1:14" x14ac:dyDescent="0.25">
      <c r="A3591" s="91" t="s">
        <v>1320</v>
      </c>
      <c r="B3591" s="91" t="s">
        <v>1334</v>
      </c>
      <c r="C3591" s="91" t="s">
        <v>5203</v>
      </c>
      <c r="D3591" s="91" t="s">
        <v>23</v>
      </c>
      <c r="E3591" s="91" t="s">
        <v>14</v>
      </c>
      <c r="F3591">
        <v>960</v>
      </c>
      <c r="G3591">
        <v>20</v>
      </c>
      <c r="H3591" s="89">
        <v>46262</v>
      </c>
      <c r="I3591" s="89">
        <v>46266</v>
      </c>
      <c r="J3591" s="91" t="s">
        <v>5204</v>
      </c>
      <c r="K3591" s="91" t="s">
        <v>5205</v>
      </c>
      <c r="L3591">
        <v>1</v>
      </c>
      <c r="M3591" s="91" t="s">
        <v>5206</v>
      </c>
      <c r="N3591" s="91" t="s">
        <v>4908</v>
      </c>
    </row>
    <row r="3592" spans="1:14" x14ac:dyDescent="0.25">
      <c r="A3592" s="91" t="s">
        <v>1326</v>
      </c>
      <c r="B3592" s="91" t="s">
        <v>1340</v>
      </c>
      <c r="C3592" s="91" t="s">
        <v>5207</v>
      </c>
      <c r="D3592" s="91" t="s">
        <v>32</v>
      </c>
      <c r="E3592" s="91" t="s">
        <v>14</v>
      </c>
      <c r="F3592">
        <v>1008</v>
      </c>
      <c r="G3592">
        <v>24</v>
      </c>
      <c r="H3592" s="89">
        <v>46262</v>
      </c>
      <c r="I3592" s="89">
        <v>46266</v>
      </c>
      <c r="J3592" s="91" t="s">
        <v>5208</v>
      </c>
      <c r="K3592" s="91" t="s">
        <v>5209</v>
      </c>
      <c r="L3592">
        <v>1</v>
      </c>
      <c r="M3592" s="91" t="s">
        <v>5210</v>
      </c>
      <c r="N3592" s="91" t="s">
        <v>4908</v>
      </c>
    </row>
    <row r="3593" spans="1:14" x14ac:dyDescent="0.25">
      <c r="A3593" s="91" t="s">
        <v>1325</v>
      </c>
      <c r="B3593" s="91" t="s">
        <v>1339</v>
      </c>
      <c r="C3593" s="91" t="s">
        <v>5211</v>
      </c>
      <c r="D3593" s="91" t="s">
        <v>27</v>
      </c>
      <c r="E3593" s="91" t="s">
        <v>19</v>
      </c>
      <c r="F3593">
        <v>480</v>
      </c>
      <c r="G3593">
        <v>10</v>
      </c>
      <c r="H3593" s="89">
        <v>46262</v>
      </c>
      <c r="I3593" s="89">
        <v>46266</v>
      </c>
      <c r="J3593" s="91" t="s">
        <v>1656</v>
      </c>
      <c r="K3593" s="91" t="s">
        <v>5212</v>
      </c>
      <c r="L3593">
        <v>1</v>
      </c>
      <c r="M3593" s="91" t="s">
        <v>5213</v>
      </c>
      <c r="N3593" s="91" t="s">
        <v>4908</v>
      </c>
    </row>
    <row r="3594" spans="1:14" x14ac:dyDescent="0.25">
      <c r="A3594" s="91" t="s">
        <v>1313</v>
      </c>
      <c r="B3594" s="91" t="s">
        <v>1327</v>
      </c>
      <c r="C3594" s="91" t="s">
        <v>5214</v>
      </c>
      <c r="D3594" s="91" t="s">
        <v>104</v>
      </c>
      <c r="E3594" s="91" t="s">
        <v>22</v>
      </c>
      <c r="F3594">
        <v>1152</v>
      </c>
      <c r="G3594">
        <v>24</v>
      </c>
      <c r="H3594" s="89">
        <v>46262</v>
      </c>
      <c r="I3594" s="89">
        <v>46267</v>
      </c>
      <c r="J3594" s="91" t="s">
        <v>5215</v>
      </c>
      <c r="K3594" s="91" t="s">
        <v>5216</v>
      </c>
      <c r="L3594">
        <v>1</v>
      </c>
      <c r="M3594" s="91" t="s">
        <v>5217</v>
      </c>
      <c r="N3594" s="91" t="s">
        <v>4908</v>
      </c>
    </row>
    <row r="3595" spans="1:14" x14ac:dyDescent="0.25">
      <c r="A3595" s="91" t="s">
        <v>1314</v>
      </c>
      <c r="B3595" s="91" t="s">
        <v>1328</v>
      </c>
      <c r="C3595" s="91" t="s">
        <v>5218</v>
      </c>
      <c r="D3595" s="91" t="s">
        <v>21</v>
      </c>
      <c r="E3595" s="91" t="s">
        <v>18</v>
      </c>
      <c r="F3595">
        <v>96</v>
      </c>
      <c r="G3595">
        <v>2</v>
      </c>
      <c r="H3595" s="89">
        <v>46262</v>
      </c>
      <c r="I3595" s="89">
        <v>46267</v>
      </c>
      <c r="J3595" s="91" t="s">
        <v>5137</v>
      </c>
      <c r="K3595" s="91" t="s">
        <v>5219</v>
      </c>
      <c r="L3595">
        <v>1</v>
      </c>
      <c r="M3595" s="91" t="s">
        <v>5220</v>
      </c>
      <c r="N3595" s="91" t="s">
        <v>4908</v>
      </c>
    </row>
    <row r="3596" spans="1:14" x14ac:dyDescent="0.25">
      <c r="A3596" s="91" t="s">
        <v>1313</v>
      </c>
      <c r="B3596" s="91" t="s">
        <v>1327</v>
      </c>
      <c r="C3596" s="91" t="s">
        <v>5218</v>
      </c>
      <c r="D3596" s="91" t="s">
        <v>21</v>
      </c>
      <c r="E3596" s="91" t="s">
        <v>17</v>
      </c>
      <c r="F3596">
        <v>1104</v>
      </c>
      <c r="G3596">
        <v>23</v>
      </c>
      <c r="H3596" s="89">
        <v>46262</v>
      </c>
      <c r="I3596" s="89">
        <v>46267</v>
      </c>
      <c r="J3596" s="91" t="s">
        <v>5221</v>
      </c>
      <c r="K3596" s="91" t="s">
        <v>5222</v>
      </c>
      <c r="L3596">
        <v>1</v>
      </c>
      <c r="M3596" s="91" t="s">
        <v>5223</v>
      </c>
      <c r="N3596" s="91" t="s">
        <v>4908</v>
      </c>
    </row>
    <row r="3597" spans="1:14" x14ac:dyDescent="0.25">
      <c r="A3597" s="91" t="s">
        <v>1319</v>
      </c>
      <c r="B3597" s="91" t="s">
        <v>1333</v>
      </c>
      <c r="C3597" s="91" t="s">
        <v>5218</v>
      </c>
      <c r="D3597" s="91" t="s">
        <v>21</v>
      </c>
      <c r="E3597" s="91" t="s">
        <v>17</v>
      </c>
      <c r="F3597">
        <v>48</v>
      </c>
      <c r="G3597">
        <v>1</v>
      </c>
      <c r="H3597" s="89">
        <v>46262</v>
      </c>
      <c r="I3597" s="89">
        <v>46267</v>
      </c>
      <c r="J3597" s="91" t="s">
        <v>5221</v>
      </c>
      <c r="K3597" s="91" t="s">
        <v>5224</v>
      </c>
      <c r="L3597">
        <v>1</v>
      </c>
      <c r="M3597" s="91" t="s">
        <v>5225</v>
      </c>
      <c r="N3597" s="91" t="s">
        <v>4908</v>
      </c>
    </row>
    <row r="3598" spans="1:14" x14ac:dyDescent="0.25">
      <c r="A3598" s="91" t="s">
        <v>1315</v>
      </c>
      <c r="B3598" s="91" t="s">
        <v>1329</v>
      </c>
      <c r="C3598" s="91" t="s">
        <v>5218</v>
      </c>
      <c r="D3598" s="91" t="s">
        <v>21</v>
      </c>
      <c r="E3598" s="91" t="s">
        <v>19</v>
      </c>
      <c r="F3598">
        <v>88</v>
      </c>
      <c r="G3598" t="s">
        <v>1419</v>
      </c>
      <c r="H3598" s="89">
        <v>46262</v>
      </c>
      <c r="I3598" s="89">
        <v>46264</v>
      </c>
      <c r="J3598" s="91" t="s">
        <v>1656</v>
      </c>
      <c r="K3598" s="91" t="s">
        <v>5226</v>
      </c>
      <c r="L3598">
        <v>1</v>
      </c>
      <c r="M3598" s="91" t="s">
        <v>5227</v>
      </c>
      <c r="N3598" s="91" t="s">
        <v>4908</v>
      </c>
    </row>
    <row r="3599" spans="1:14" x14ac:dyDescent="0.25">
      <c r="A3599" s="91" t="s">
        <v>1316</v>
      </c>
      <c r="B3599" s="91" t="s">
        <v>1330</v>
      </c>
      <c r="C3599" s="91" t="s">
        <v>5228</v>
      </c>
      <c r="D3599" s="91" t="s">
        <v>21</v>
      </c>
      <c r="E3599" s="91" t="s">
        <v>19</v>
      </c>
      <c r="F3599">
        <v>44</v>
      </c>
      <c r="G3599" t="s">
        <v>1419</v>
      </c>
      <c r="H3599" s="89">
        <v>46262</v>
      </c>
      <c r="I3599" s="89">
        <v>46264</v>
      </c>
      <c r="J3599" s="91" t="s">
        <v>1656</v>
      </c>
      <c r="K3599" s="91" t="s">
        <v>5229</v>
      </c>
      <c r="L3599">
        <v>1</v>
      </c>
      <c r="M3599" s="91" t="s">
        <v>5230</v>
      </c>
      <c r="N3599" s="91" t="s">
        <v>4908</v>
      </c>
    </row>
    <row r="3600" spans="1:14" x14ac:dyDescent="0.25">
      <c r="A3600" s="91" t="s">
        <v>1317</v>
      </c>
      <c r="B3600" s="91" t="s">
        <v>1331</v>
      </c>
      <c r="C3600" s="91" t="s">
        <v>5231</v>
      </c>
      <c r="D3600" s="91" t="s">
        <v>21</v>
      </c>
      <c r="E3600" s="91" t="s">
        <v>19</v>
      </c>
      <c r="F3600">
        <v>13</v>
      </c>
      <c r="G3600" t="s">
        <v>1419</v>
      </c>
      <c r="H3600" s="89">
        <v>46262</v>
      </c>
      <c r="I3600" s="89">
        <v>46264</v>
      </c>
      <c r="J3600" s="91" t="s">
        <v>1656</v>
      </c>
      <c r="K3600" s="91" t="s">
        <v>5232</v>
      </c>
      <c r="L3600">
        <v>1</v>
      </c>
      <c r="M3600" s="91" t="s">
        <v>5233</v>
      </c>
      <c r="N3600" s="91" t="s">
        <v>4908</v>
      </c>
    </row>
    <row r="3601" spans="1:14" x14ac:dyDescent="0.25">
      <c r="A3601" s="91" t="s">
        <v>1318</v>
      </c>
      <c r="B3601" s="91" t="s">
        <v>1332</v>
      </c>
      <c r="C3601" s="91" t="s">
        <v>5234</v>
      </c>
      <c r="D3601" s="91" t="s">
        <v>21</v>
      </c>
      <c r="E3601" s="91" t="s">
        <v>19</v>
      </c>
      <c r="F3601">
        <v>55</v>
      </c>
      <c r="G3601" t="s">
        <v>1419</v>
      </c>
      <c r="H3601" s="89">
        <v>46262</v>
      </c>
      <c r="I3601" s="89">
        <v>46264</v>
      </c>
      <c r="J3601" s="91" t="s">
        <v>1656</v>
      </c>
      <c r="K3601" s="91" t="s">
        <v>5235</v>
      </c>
      <c r="L3601">
        <v>1</v>
      </c>
      <c r="M3601" s="91" t="s">
        <v>5236</v>
      </c>
      <c r="N3601" s="91" t="s">
        <v>4908</v>
      </c>
    </row>
    <row r="3602" spans="1:14" x14ac:dyDescent="0.25">
      <c r="A3602" s="91" t="s">
        <v>1314</v>
      </c>
      <c r="B3602" s="91" t="s">
        <v>1328</v>
      </c>
      <c r="C3602" s="91" t="s">
        <v>5237</v>
      </c>
      <c r="D3602" s="91" t="s">
        <v>15</v>
      </c>
      <c r="E3602" s="91" t="s">
        <v>16</v>
      </c>
      <c r="F3602">
        <v>288</v>
      </c>
      <c r="G3602">
        <v>6</v>
      </c>
      <c r="H3602" s="89">
        <v>46262</v>
      </c>
      <c r="I3602" s="89">
        <v>46268</v>
      </c>
      <c r="J3602" s="91" t="s">
        <v>5238</v>
      </c>
      <c r="K3602" s="91" t="s">
        <v>5239</v>
      </c>
      <c r="L3602">
        <v>1</v>
      </c>
      <c r="M3602" s="91" t="s">
        <v>5240</v>
      </c>
      <c r="N3602" s="91" t="s">
        <v>4908</v>
      </c>
    </row>
    <row r="3603" spans="1:14" x14ac:dyDescent="0.25">
      <c r="A3603" s="91" t="s">
        <v>1313</v>
      </c>
      <c r="B3603" s="91" t="s">
        <v>1327</v>
      </c>
      <c r="C3603" s="91" t="s">
        <v>5237</v>
      </c>
      <c r="D3603" s="91" t="s">
        <v>15</v>
      </c>
      <c r="E3603" s="91" t="s">
        <v>16</v>
      </c>
      <c r="F3603">
        <v>864</v>
      </c>
      <c r="G3603">
        <v>18</v>
      </c>
      <c r="H3603" s="89">
        <v>46262</v>
      </c>
      <c r="I3603" s="89">
        <v>46268</v>
      </c>
      <c r="J3603" s="91" t="s">
        <v>5241</v>
      </c>
      <c r="K3603" s="91" t="s">
        <v>5242</v>
      </c>
      <c r="L3603">
        <v>1</v>
      </c>
      <c r="M3603" s="91" t="s">
        <v>5243</v>
      </c>
      <c r="N3603" s="91" t="s">
        <v>4908</v>
      </c>
    </row>
    <row r="3604" spans="1:14" x14ac:dyDescent="0.25">
      <c r="A3604" s="91" t="s">
        <v>1315</v>
      </c>
      <c r="B3604" s="91" t="s">
        <v>1329</v>
      </c>
      <c r="C3604" s="91" t="s">
        <v>5237</v>
      </c>
      <c r="D3604" s="91" t="s">
        <v>15</v>
      </c>
      <c r="E3604" s="91" t="s">
        <v>19</v>
      </c>
      <c r="F3604">
        <v>8</v>
      </c>
      <c r="G3604" t="s">
        <v>1419</v>
      </c>
      <c r="H3604" s="89">
        <v>46262</v>
      </c>
      <c r="I3604" s="89">
        <v>46264</v>
      </c>
      <c r="J3604" s="91" t="s">
        <v>1656</v>
      </c>
      <c r="K3604" s="91" t="s">
        <v>5244</v>
      </c>
      <c r="L3604">
        <v>1</v>
      </c>
      <c r="M3604" s="91" t="s">
        <v>5245</v>
      </c>
      <c r="N3604" s="91" t="s">
        <v>4908</v>
      </c>
    </row>
    <row r="3605" spans="1:14" x14ac:dyDescent="0.25">
      <c r="A3605" s="91" t="s">
        <v>1316</v>
      </c>
      <c r="B3605" s="91" t="s">
        <v>1330</v>
      </c>
      <c r="C3605" s="91" t="s">
        <v>5246</v>
      </c>
      <c r="D3605" s="91" t="s">
        <v>15</v>
      </c>
      <c r="E3605" s="91" t="s">
        <v>19</v>
      </c>
      <c r="F3605">
        <v>51</v>
      </c>
      <c r="G3605" t="s">
        <v>1419</v>
      </c>
      <c r="H3605" s="89">
        <v>46262</v>
      </c>
      <c r="I3605" s="89">
        <v>46264</v>
      </c>
      <c r="J3605" s="91" t="s">
        <v>1656</v>
      </c>
      <c r="K3605" s="91" t="s">
        <v>5247</v>
      </c>
      <c r="L3605">
        <v>1</v>
      </c>
      <c r="M3605" s="91" t="s">
        <v>5248</v>
      </c>
      <c r="N3605" s="91" t="s">
        <v>4908</v>
      </c>
    </row>
    <row r="3606" spans="1:14" x14ac:dyDescent="0.25">
      <c r="A3606" s="91" t="s">
        <v>1317</v>
      </c>
      <c r="B3606" s="91" t="s">
        <v>1331</v>
      </c>
      <c r="C3606" s="91" t="s">
        <v>5249</v>
      </c>
      <c r="D3606" s="91" t="s">
        <v>15</v>
      </c>
      <c r="E3606" s="91" t="s">
        <v>19</v>
      </c>
      <c r="F3606">
        <v>84</v>
      </c>
      <c r="G3606" t="s">
        <v>1419</v>
      </c>
      <c r="H3606" s="89">
        <v>46262</v>
      </c>
      <c r="I3606" s="89">
        <v>46264</v>
      </c>
      <c r="J3606" s="91" t="s">
        <v>1656</v>
      </c>
      <c r="K3606" s="91" t="s">
        <v>5250</v>
      </c>
      <c r="L3606">
        <v>1</v>
      </c>
      <c r="M3606" s="91" t="s">
        <v>5251</v>
      </c>
      <c r="N3606" s="91" t="s">
        <v>4908</v>
      </c>
    </row>
    <row r="3607" spans="1:14" x14ac:dyDescent="0.25">
      <c r="A3607" s="91" t="s">
        <v>1318</v>
      </c>
      <c r="B3607" s="91" t="s">
        <v>1332</v>
      </c>
      <c r="C3607" s="91" t="s">
        <v>5252</v>
      </c>
      <c r="D3607" s="91" t="s">
        <v>15</v>
      </c>
      <c r="E3607" s="91" t="s">
        <v>19</v>
      </c>
      <c r="F3607">
        <v>18</v>
      </c>
      <c r="G3607" t="s">
        <v>1419</v>
      </c>
      <c r="H3607" s="89">
        <v>46262</v>
      </c>
      <c r="I3607" s="89">
        <v>46264</v>
      </c>
      <c r="J3607" s="91" t="s">
        <v>1656</v>
      </c>
      <c r="K3607" s="91" t="s">
        <v>5253</v>
      </c>
      <c r="L3607">
        <v>1</v>
      </c>
      <c r="M3607" s="91" t="s">
        <v>5254</v>
      </c>
      <c r="N3607" s="91" t="s">
        <v>4908</v>
      </c>
    </row>
    <row r="3608" spans="1:14" x14ac:dyDescent="0.25">
      <c r="A3608" s="91" t="s">
        <v>1313</v>
      </c>
      <c r="B3608" s="91" t="s">
        <v>1327</v>
      </c>
      <c r="C3608" s="91" t="s">
        <v>5255</v>
      </c>
      <c r="D3608" s="91" t="s">
        <v>20</v>
      </c>
      <c r="E3608" s="91" t="s">
        <v>17</v>
      </c>
      <c r="F3608">
        <v>144</v>
      </c>
      <c r="G3608">
        <v>3</v>
      </c>
      <c r="H3608" s="89">
        <v>46262</v>
      </c>
      <c r="I3608" s="89">
        <v>46266</v>
      </c>
      <c r="J3608" s="91" t="s">
        <v>5159</v>
      </c>
      <c r="K3608" s="91" t="s">
        <v>5256</v>
      </c>
      <c r="L3608">
        <v>1</v>
      </c>
      <c r="M3608" s="91" t="s">
        <v>5257</v>
      </c>
      <c r="N3608" s="91" t="s">
        <v>4908</v>
      </c>
    </row>
    <row r="3609" spans="1:14" x14ac:dyDescent="0.25">
      <c r="A3609" s="91" t="s">
        <v>1313</v>
      </c>
      <c r="B3609" s="91" t="s">
        <v>1327</v>
      </c>
      <c r="C3609" s="91" t="s">
        <v>5255</v>
      </c>
      <c r="D3609" s="91" t="s">
        <v>20</v>
      </c>
      <c r="E3609" s="91" t="s">
        <v>17</v>
      </c>
      <c r="F3609">
        <v>720</v>
      </c>
      <c r="G3609">
        <v>15</v>
      </c>
      <c r="H3609" s="89">
        <v>46262</v>
      </c>
      <c r="I3609" s="89">
        <v>46266</v>
      </c>
      <c r="J3609" s="91" t="s">
        <v>5258</v>
      </c>
      <c r="K3609" s="91" t="s">
        <v>5256</v>
      </c>
      <c r="L3609">
        <v>2</v>
      </c>
      <c r="M3609" s="91" t="s">
        <v>5259</v>
      </c>
      <c r="N3609" s="91" t="s">
        <v>4908</v>
      </c>
    </row>
    <row r="3610" spans="1:14" x14ac:dyDescent="0.25">
      <c r="A3610" s="91" t="s">
        <v>1313</v>
      </c>
      <c r="B3610" s="91" t="s">
        <v>1327</v>
      </c>
      <c r="C3610" s="91" t="s">
        <v>5255</v>
      </c>
      <c r="D3610" s="91" t="s">
        <v>20</v>
      </c>
      <c r="E3610" s="91" t="s">
        <v>19</v>
      </c>
      <c r="F3610">
        <v>48</v>
      </c>
      <c r="G3610">
        <v>1</v>
      </c>
      <c r="H3610" s="89">
        <v>46262</v>
      </c>
      <c r="I3610" s="89">
        <v>46266</v>
      </c>
      <c r="J3610" s="91" t="s">
        <v>1656</v>
      </c>
      <c r="K3610" s="91" t="s">
        <v>5260</v>
      </c>
      <c r="L3610">
        <v>1</v>
      </c>
      <c r="M3610" s="91" t="s">
        <v>5261</v>
      </c>
      <c r="N3610" s="91" t="s">
        <v>4908</v>
      </c>
    </row>
    <row r="3611" spans="1:14" x14ac:dyDescent="0.25">
      <c r="A3611" s="91" t="s">
        <v>1313</v>
      </c>
      <c r="B3611" s="91" t="s">
        <v>1327</v>
      </c>
      <c r="C3611" s="91" t="s">
        <v>5255</v>
      </c>
      <c r="D3611" s="91" t="s">
        <v>20</v>
      </c>
      <c r="E3611" s="91" t="s">
        <v>17</v>
      </c>
      <c r="F3611">
        <v>144</v>
      </c>
      <c r="G3611">
        <v>3</v>
      </c>
      <c r="H3611" s="89">
        <v>46262</v>
      </c>
      <c r="I3611" s="89">
        <v>46268</v>
      </c>
      <c r="J3611" s="91" t="s">
        <v>5262</v>
      </c>
      <c r="K3611" s="91" t="s">
        <v>5263</v>
      </c>
      <c r="L3611">
        <v>1</v>
      </c>
      <c r="M3611" s="91" t="s">
        <v>5264</v>
      </c>
      <c r="N3611" s="91" t="s">
        <v>4908</v>
      </c>
    </row>
    <row r="3612" spans="1:14" x14ac:dyDescent="0.25">
      <c r="A3612" s="91" t="s">
        <v>1313</v>
      </c>
      <c r="B3612" s="91" t="s">
        <v>1327</v>
      </c>
      <c r="C3612" s="91" t="s">
        <v>5255</v>
      </c>
      <c r="D3612" s="91" t="s">
        <v>20</v>
      </c>
      <c r="E3612" s="91" t="s">
        <v>19</v>
      </c>
      <c r="F3612">
        <v>144</v>
      </c>
      <c r="G3612">
        <v>3</v>
      </c>
      <c r="H3612" s="89">
        <v>46262</v>
      </c>
      <c r="I3612" s="89">
        <v>46264</v>
      </c>
      <c r="J3612" s="91" t="s">
        <v>1656</v>
      </c>
      <c r="K3612" s="91" t="s">
        <v>5265</v>
      </c>
      <c r="L3612">
        <v>1</v>
      </c>
      <c r="M3612" s="91" t="s">
        <v>5266</v>
      </c>
      <c r="N3612" s="91" t="s">
        <v>4908</v>
      </c>
    </row>
    <row r="3613" spans="1:14" x14ac:dyDescent="0.25">
      <c r="A3613" s="91" t="s">
        <v>1315</v>
      </c>
      <c r="B3613" s="91" t="s">
        <v>1329</v>
      </c>
      <c r="C3613" s="91" t="s">
        <v>5255</v>
      </c>
      <c r="D3613" s="91" t="s">
        <v>20</v>
      </c>
      <c r="E3613" s="91" t="s">
        <v>19</v>
      </c>
      <c r="F3613">
        <v>18</v>
      </c>
      <c r="G3613" t="s">
        <v>1419</v>
      </c>
      <c r="H3613" s="89">
        <v>46262</v>
      </c>
      <c r="I3613" s="89">
        <v>46264</v>
      </c>
      <c r="J3613" s="91" t="s">
        <v>1656</v>
      </c>
      <c r="K3613" s="91" t="s">
        <v>5267</v>
      </c>
      <c r="L3613">
        <v>1</v>
      </c>
      <c r="M3613" s="91" t="s">
        <v>5268</v>
      </c>
      <c r="N3613" s="91" t="s">
        <v>4908</v>
      </c>
    </row>
    <row r="3614" spans="1:14" x14ac:dyDescent="0.25">
      <c r="A3614" s="91" t="s">
        <v>1316</v>
      </c>
      <c r="B3614" s="91" t="s">
        <v>1330</v>
      </c>
      <c r="C3614" s="91" t="s">
        <v>5269</v>
      </c>
      <c r="D3614" s="91" t="s">
        <v>20</v>
      </c>
      <c r="E3614" s="91" t="s">
        <v>19</v>
      </c>
      <c r="F3614">
        <v>99</v>
      </c>
      <c r="G3614" t="s">
        <v>1419</v>
      </c>
      <c r="H3614" s="89">
        <v>46262</v>
      </c>
      <c r="I3614" s="89">
        <v>46264</v>
      </c>
      <c r="J3614" s="91" t="s">
        <v>1656</v>
      </c>
      <c r="K3614" s="91" t="s">
        <v>5270</v>
      </c>
      <c r="L3614">
        <v>1</v>
      </c>
      <c r="M3614" s="91" t="s">
        <v>5271</v>
      </c>
      <c r="N3614" s="91" t="s">
        <v>4908</v>
      </c>
    </row>
    <row r="3615" spans="1:14" x14ac:dyDescent="0.25">
      <c r="A3615" s="91" t="s">
        <v>1317</v>
      </c>
      <c r="B3615" s="91" t="s">
        <v>1331</v>
      </c>
      <c r="C3615" s="91" t="s">
        <v>5272</v>
      </c>
      <c r="D3615" s="91" t="s">
        <v>20</v>
      </c>
      <c r="E3615" s="91" t="s">
        <v>19</v>
      </c>
      <c r="F3615">
        <v>15</v>
      </c>
      <c r="G3615" t="s">
        <v>1419</v>
      </c>
      <c r="H3615" s="89">
        <v>46262</v>
      </c>
      <c r="I3615" s="89">
        <v>46264</v>
      </c>
      <c r="J3615" s="91" t="s">
        <v>1656</v>
      </c>
      <c r="K3615" s="91" t="s">
        <v>5273</v>
      </c>
      <c r="L3615">
        <v>1</v>
      </c>
      <c r="M3615" s="91" t="s">
        <v>5274</v>
      </c>
      <c r="N3615" s="91" t="s">
        <v>4908</v>
      </c>
    </row>
    <row r="3616" spans="1:14" x14ac:dyDescent="0.25">
      <c r="A3616" s="91" t="s">
        <v>1318</v>
      </c>
      <c r="B3616" s="91" t="s">
        <v>1332</v>
      </c>
      <c r="C3616" s="91" t="s">
        <v>5275</v>
      </c>
      <c r="D3616" s="91" t="s">
        <v>20</v>
      </c>
      <c r="E3616" s="91" t="s">
        <v>19</v>
      </c>
      <c r="F3616">
        <v>42</v>
      </c>
      <c r="G3616" t="s">
        <v>1419</v>
      </c>
      <c r="H3616" s="89">
        <v>46262</v>
      </c>
      <c r="I3616" s="89">
        <v>46264</v>
      </c>
      <c r="J3616" s="91" t="s">
        <v>1656</v>
      </c>
      <c r="K3616" s="91" t="s">
        <v>5276</v>
      </c>
      <c r="L3616">
        <v>1</v>
      </c>
      <c r="M3616" s="91" t="s">
        <v>5277</v>
      </c>
      <c r="N3616" s="91" t="s">
        <v>4908</v>
      </c>
    </row>
    <row r="3617" spans="1:14" x14ac:dyDescent="0.25">
      <c r="A3617" s="91" t="s">
        <v>1324</v>
      </c>
      <c r="B3617" s="91" t="s">
        <v>1338</v>
      </c>
      <c r="C3617" s="91" t="s">
        <v>5278</v>
      </c>
      <c r="D3617" s="91" t="s">
        <v>88</v>
      </c>
      <c r="E3617" s="91" t="s">
        <v>65</v>
      </c>
      <c r="F3617">
        <v>960</v>
      </c>
      <c r="G3617">
        <v>20</v>
      </c>
      <c r="H3617" s="89">
        <v>46263</v>
      </c>
      <c r="I3617" s="89">
        <v>46269</v>
      </c>
      <c r="J3617" s="91" t="s">
        <v>5197</v>
      </c>
      <c r="K3617" s="91" t="s">
        <v>5279</v>
      </c>
      <c r="L3617">
        <v>1</v>
      </c>
      <c r="M3617" s="91" t="s">
        <v>5280</v>
      </c>
      <c r="N3617" s="91" t="s">
        <v>4908</v>
      </c>
    </row>
    <row r="3618" spans="1:14" x14ac:dyDescent="0.25">
      <c r="A3618" s="91" t="s">
        <v>1324</v>
      </c>
      <c r="B3618" s="91" t="s">
        <v>1338</v>
      </c>
      <c r="C3618" s="91" t="s">
        <v>5281</v>
      </c>
      <c r="D3618" s="91" t="s">
        <v>13</v>
      </c>
      <c r="E3618" s="91" t="s">
        <v>25</v>
      </c>
      <c r="F3618">
        <v>960</v>
      </c>
      <c r="G3618">
        <v>20</v>
      </c>
      <c r="H3618" s="89">
        <v>46263</v>
      </c>
      <c r="I3618" s="89">
        <v>46269</v>
      </c>
      <c r="J3618" s="91" t="s">
        <v>5282</v>
      </c>
      <c r="K3618" s="91" t="s">
        <v>5283</v>
      </c>
      <c r="L3618">
        <v>1</v>
      </c>
      <c r="M3618" s="91" t="s">
        <v>5284</v>
      </c>
      <c r="N3618" s="91" t="s">
        <v>4908</v>
      </c>
    </row>
    <row r="3619" spans="1:14" x14ac:dyDescent="0.25">
      <c r="A3619" s="91" t="s">
        <v>1324</v>
      </c>
      <c r="B3619" s="91" t="s">
        <v>1338</v>
      </c>
      <c r="C3619" s="91" t="s">
        <v>5285</v>
      </c>
      <c r="D3619" s="91" t="s">
        <v>24</v>
      </c>
      <c r="E3619" s="91" t="s">
        <v>25</v>
      </c>
      <c r="F3619">
        <v>960</v>
      </c>
      <c r="G3619">
        <v>20</v>
      </c>
      <c r="H3619" s="89">
        <v>46263</v>
      </c>
      <c r="I3619" s="89">
        <v>46269</v>
      </c>
      <c r="J3619" s="91" t="s">
        <v>5282</v>
      </c>
      <c r="K3619" s="91" t="s">
        <v>5286</v>
      </c>
      <c r="L3619">
        <v>1</v>
      </c>
      <c r="M3619" s="91" t="s">
        <v>5287</v>
      </c>
      <c r="N3619" s="91" t="s">
        <v>4908</v>
      </c>
    </row>
    <row r="3620" spans="1:14" x14ac:dyDescent="0.25">
      <c r="A3620" s="91" t="s">
        <v>1320</v>
      </c>
      <c r="B3620" s="91" t="s">
        <v>1334</v>
      </c>
      <c r="C3620" s="91" t="s">
        <v>5288</v>
      </c>
      <c r="D3620" s="91" t="s">
        <v>21</v>
      </c>
      <c r="E3620" s="91" t="s">
        <v>14</v>
      </c>
      <c r="F3620">
        <v>960</v>
      </c>
      <c r="G3620">
        <v>20</v>
      </c>
      <c r="H3620" s="89">
        <v>46263</v>
      </c>
      <c r="I3620" s="89">
        <v>46268</v>
      </c>
      <c r="J3620" s="91" t="s">
        <v>5289</v>
      </c>
      <c r="K3620" s="91" t="s">
        <v>5290</v>
      </c>
      <c r="L3620">
        <v>1</v>
      </c>
      <c r="M3620" s="91" t="s">
        <v>5291</v>
      </c>
      <c r="N3620" s="91" t="s">
        <v>4908</v>
      </c>
    </row>
    <row r="3621" spans="1:14" x14ac:dyDescent="0.25">
      <c r="A3621" s="91" t="s">
        <v>1313</v>
      </c>
      <c r="B3621" s="91" t="s">
        <v>1327</v>
      </c>
      <c r="C3621" s="91" t="s">
        <v>5288</v>
      </c>
      <c r="D3621" s="91" t="s">
        <v>21</v>
      </c>
      <c r="E3621" s="91" t="s">
        <v>19</v>
      </c>
      <c r="F3621">
        <v>96</v>
      </c>
      <c r="G3621">
        <v>2</v>
      </c>
      <c r="H3621" s="89">
        <v>46263</v>
      </c>
      <c r="I3621" s="89">
        <v>46265</v>
      </c>
      <c r="J3621" s="91" t="s">
        <v>1656</v>
      </c>
      <c r="K3621" s="91" t="s">
        <v>5292</v>
      </c>
      <c r="L3621">
        <v>1</v>
      </c>
      <c r="M3621" s="91" t="s">
        <v>5293</v>
      </c>
      <c r="N3621" s="91" t="s">
        <v>4908</v>
      </c>
    </row>
    <row r="3622" spans="1:14" x14ac:dyDescent="0.25">
      <c r="A3622" s="91" t="s">
        <v>1315</v>
      </c>
      <c r="B3622" s="91" t="s">
        <v>1329</v>
      </c>
      <c r="C3622" s="91" t="s">
        <v>5288</v>
      </c>
      <c r="D3622" s="91" t="s">
        <v>21</v>
      </c>
      <c r="E3622" s="91" t="s">
        <v>19</v>
      </c>
      <c r="F3622">
        <v>37</v>
      </c>
      <c r="G3622" t="s">
        <v>1419</v>
      </c>
      <c r="H3622" s="89">
        <v>46263</v>
      </c>
      <c r="I3622" s="89">
        <v>46265</v>
      </c>
      <c r="J3622" s="91" t="s">
        <v>1656</v>
      </c>
      <c r="K3622" s="91" t="s">
        <v>5294</v>
      </c>
      <c r="L3622">
        <v>1</v>
      </c>
      <c r="M3622" s="91" t="s">
        <v>5295</v>
      </c>
      <c r="N3622" s="91" t="s">
        <v>4908</v>
      </c>
    </row>
    <row r="3623" spans="1:14" x14ac:dyDescent="0.25">
      <c r="A3623" s="91" t="s">
        <v>1315</v>
      </c>
      <c r="B3623" s="91" t="s">
        <v>1329</v>
      </c>
      <c r="C3623" s="91" t="s">
        <v>5288</v>
      </c>
      <c r="D3623" s="91" t="s">
        <v>21</v>
      </c>
      <c r="E3623" s="91" t="s">
        <v>19</v>
      </c>
      <c r="F3623">
        <v>304</v>
      </c>
      <c r="G3623" t="s">
        <v>1419</v>
      </c>
      <c r="H3623" s="89">
        <v>46263</v>
      </c>
      <c r="I3623" s="89">
        <v>46265</v>
      </c>
      <c r="J3623" s="91" t="s">
        <v>1656</v>
      </c>
      <c r="K3623" s="91" t="s">
        <v>5294</v>
      </c>
      <c r="L3623">
        <v>2</v>
      </c>
      <c r="M3623" s="91" t="s">
        <v>5296</v>
      </c>
      <c r="N3623" s="91" t="s">
        <v>4908</v>
      </c>
    </row>
    <row r="3624" spans="1:14" x14ac:dyDescent="0.25">
      <c r="A3624" s="91" t="s">
        <v>1316</v>
      </c>
      <c r="B3624" s="91" t="s">
        <v>1330</v>
      </c>
      <c r="C3624" s="91" t="s">
        <v>5297</v>
      </c>
      <c r="D3624" s="91" t="s">
        <v>21</v>
      </c>
      <c r="E3624" s="91" t="s">
        <v>19</v>
      </c>
      <c r="F3624">
        <v>27</v>
      </c>
      <c r="G3624" t="s">
        <v>1419</v>
      </c>
      <c r="H3624" s="89">
        <v>46263</v>
      </c>
      <c r="I3624" s="89">
        <v>46265</v>
      </c>
      <c r="J3624" s="91" t="s">
        <v>1656</v>
      </c>
      <c r="K3624" s="91" t="s">
        <v>5298</v>
      </c>
      <c r="L3624">
        <v>1</v>
      </c>
      <c r="M3624" s="91" t="s">
        <v>5299</v>
      </c>
      <c r="N3624" s="91" t="s">
        <v>4908</v>
      </c>
    </row>
    <row r="3625" spans="1:14" x14ac:dyDescent="0.25">
      <c r="A3625" s="91" t="s">
        <v>1317</v>
      </c>
      <c r="B3625" s="91" t="s">
        <v>1331</v>
      </c>
      <c r="C3625" s="91" t="s">
        <v>5300</v>
      </c>
      <c r="D3625" s="91" t="s">
        <v>21</v>
      </c>
      <c r="E3625" s="91" t="s">
        <v>19</v>
      </c>
      <c r="F3625">
        <v>18</v>
      </c>
      <c r="G3625" t="s">
        <v>1419</v>
      </c>
      <c r="H3625" s="89">
        <v>46263</v>
      </c>
      <c r="I3625" s="89">
        <v>46265</v>
      </c>
      <c r="J3625" s="91" t="s">
        <v>1656</v>
      </c>
      <c r="K3625" s="91" t="s">
        <v>5301</v>
      </c>
      <c r="L3625">
        <v>1</v>
      </c>
      <c r="M3625" s="91" t="s">
        <v>5302</v>
      </c>
      <c r="N3625" s="91" t="s">
        <v>4908</v>
      </c>
    </row>
    <row r="3626" spans="1:14" x14ac:dyDescent="0.25">
      <c r="A3626" s="91" t="s">
        <v>1318</v>
      </c>
      <c r="B3626" s="91" t="s">
        <v>1332</v>
      </c>
      <c r="C3626" s="91" t="s">
        <v>5303</v>
      </c>
      <c r="D3626" s="91" t="s">
        <v>21</v>
      </c>
      <c r="E3626" s="91" t="s">
        <v>19</v>
      </c>
      <c r="F3626">
        <v>52</v>
      </c>
      <c r="G3626" t="s">
        <v>1419</v>
      </c>
      <c r="H3626" s="89">
        <v>46263</v>
      </c>
      <c r="I3626" s="89">
        <v>46265</v>
      </c>
      <c r="J3626" s="91" t="s">
        <v>1656</v>
      </c>
      <c r="K3626" s="91" t="s">
        <v>5304</v>
      </c>
      <c r="L3626">
        <v>1</v>
      </c>
      <c r="M3626" s="91" t="s">
        <v>5305</v>
      </c>
      <c r="N3626" s="91" t="s">
        <v>4908</v>
      </c>
    </row>
    <row r="3627" spans="1:14" x14ac:dyDescent="0.25">
      <c r="A3627" s="91" t="s">
        <v>1313</v>
      </c>
      <c r="B3627" s="91" t="s">
        <v>1327</v>
      </c>
      <c r="C3627" s="91" t="s">
        <v>5306</v>
      </c>
      <c r="D3627" s="91" t="s">
        <v>28</v>
      </c>
      <c r="E3627" s="91" t="s">
        <v>17</v>
      </c>
      <c r="F3627">
        <v>954</v>
      </c>
      <c r="G3627">
        <v>19.875</v>
      </c>
      <c r="H3627" s="89">
        <v>46263</v>
      </c>
      <c r="I3627" s="89">
        <v>46268</v>
      </c>
      <c r="J3627" s="91" t="s">
        <v>5262</v>
      </c>
      <c r="K3627" s="91" t="s">
        <v>5307</v>
      </c>
      <c r="L3627">
        <v>1</v>
      </c>
      <c r="M3627" s="91" t="s">
        <v>5308</v>
      </c>
      <c r="N3627" s="91" t="s">
        <v>4908</v>
      </c>
    </row>
    <row r="3628" spans="1:14" x14ac:dyDescent="0.25">
      <c r="A3628" s="91" t="s">
        <v>1319</v>
      </c>
      <c r="B3628" s="91" t="s">
        <v>1333</v>
      </c>
      <c r="C3628" s="91" t="s">
        <v>5306</v>
      </c>
      <c r="D3628" s="91" t="s">
        <v>28</v>
      </c>
      <c r="E3628" s="91" t="s">
        <v>17</v>
      </c>
      <c r="F3628">
        <v>54</v>
      </c>
      <c r="G3628">
        <v>1.125</v>
      </c>
      <c r="H3628" s="89">
        <v>46263</v>
      </c>
      <c r="I3628" s="89">
        <v>46268</v>
      </c>
      <c r="J3628" s="91" t="s">
        <v>5262</v>
      </c>
      <c r="K3628" s="91" t="s">
        <v>5309</v>
      </c>
      <c r="L3628">
        <v>1</v>
      </c>
      <c r="M3628" s="91" t="s">
        <v>5310</v>
      </c>
      <c r="N3628" s="91" t="s">
        <v>4908</v>
      </c>
    </row>
    <row r="3629" spans="1:14" x14ac:dyDescent="0.25">
      <c r="A3629" s="91" t="s">
        <v>1313</v>
      </c>
      <c r="B3629" s="91" t="s">
        <v>1327</v>
      </c>
      <c r="C3629" s="91" t="s">
        <v>5306</v>
      </c>
      <c r="D3629" s="91" t="s">
        <v>28</v>
      </c>
      <c r="E3629" s="91" t="s">
        <v>19</v>
      </c>
      <c r="F3629">
        <v>192</v>
      </c>
      <c r="G3629">
        <v>4</v>
      </c>
      <c r="H3629" s="89">
        <v>46263</v>
      </c>
      <c r="I3629" s="89">
        <v>46265</v>
      </c>
      <c r="J3629" s="91" t="s">
        <v>1656</v>
      </c>
      <c r="K3629" s="91" t="s">
        <v>5311</v>
      </c>
      <c r="L3629">
        <v>1</v>
      </c>
      <c r="M3629" s="91" t="s">
        <v>5312</v>
      </c>
      <c r="N3629" s="91" t="s">
        <v>4908</v>
      </c>
    </row>
    <row r="3630" spans="1:14" x14ac:dyDescent="0.25">
      <c r="A3630" s="91" t="s">
        <v>1315</v>
      </c>
      <c r="B3630" s="91" t="s">
        <v>1329</v>
      </c>
      <c r="C3630" s="91" t="s">
        <v>5306</v>
      </c>
      <c r="D3630" s="91" t="s">
        <v>28</v>
      </c>
      <c r="E3630" s="91" t="s">
        <v>19</v>
      </c>
      <c r="F3630">
        <v>10</v>
      </c>
      <c r="G3630" t="s">
        <v>1419</v>
      </c>
      <c r="H3630" s="89">
        <v>46263</v>
      </c>
      <c r="I3630" s="89">
        <v>46265</v>
      </c>
      <c r="J3630" s="91" t="s">
        <v>1656</v>
      </c>
      <c r="K3630" s="91" t="s">
        <v>5313</v>
      </c>
      <c r="L3630">
        <v>1</v>
      </c>
      <c r="M3630" s="91" t="s">
        <v>5314</v>
      </c>
      <c r="N3630" s="91" t="s">
        <v>4908</v>
      </c>
    </row>
    <row r="3631" spans="1:14" x14ac:dyDescent="0.25">
      <c r="A3631" s="91" t="s">
        <v>1316</v>
      </c>
      <c r="B3631" s="91" t="s">
        <v>1330</v>
      </c>
      <c r="C3631" s="91" t="s">
        <v>5315</v>
      </c>
      <c r="D3631" s="91" t="s">
        <v>28</v>
      </c>
      <c r="E3631" s="91" t="s">
        <v>19</v>
      </c>
      <c r="F3631">
        <v>48</v>
      </c>
      <c r="G3631" t="s">
        <v>1419</v>
      </c>
      <c r="H3631" s="89">
        <v>46263</v>
      </c>
      <c r="I3631" s="89">
        <v>46265</v>
      </c>
      <c r="J3631" s="91" t="s">
        <v>1656</v>
      </c>
      <c r="K3631" s="91" t="s">
        <v>5316</v>
      </c>
      <c r="L3631">
        <v>1</v>
      </c>
      <c r="M3631" s="91" t="s">
        <v>5317</v>
      </c>
      <c r="N3631" s="91" t="s">
        <v>4908</v>
      </c>
    </row>
    <row r="3632" spans="1:14" x14ac:dyDescent="0.25">
      <c r="A3632" s="91" t="s">
        <v>1317</v>
      </c>
      <c r="B3632" s="91" t="s">
        <v>1331</v>
      </c>
      <c r="C3632" s="91" t="s">
        <v>5318</v>
      </c>
      <c r="D3632" s="91" t="s">
        <v>28</v>
      </c>
      <c r="E3632" s="91" t="s">
        <v>19</v>
      </c>
      <c r="F3632">
        <v>1</v>
      </c>
      <c r="G3632" t="s">
        <v>1419</v>
      </c>
      <c r="H3632" s="89">
        <v>46263</v>
      </c>
      <c r="I3632" s="89">
        <v>46265</v>
      </c>
      <c r="J3632" s="91" t="s">
        <v>1656</v>
      </c>
      <c r="K3632" s="91" t="s">
        <v>5319</v>
      </c>
      <c r="L3632">
        <v>1</v>
      </c>
      <c r="M3632" s="91" t="s">
        <v>5320</v>
      </c>
      <c r="N3632" s="91" t="s">
        <v>4908</v>
      </c>
    </row>
    <row r="3633" spans="1:14" x14ac:dyDescent="0.25">
      <c r="A3633" s="91" t="s">
        <v>1318</v>
      </c>
      <c r="B3633" s="91" t="s">
        <v>1332</v>
      </c>
      <c r="C3633" s="91" t="s">
        <v>5321</v>
      </c>
      <c r="D3633" s="91" t="s">
        <v>28</v>
      </c>
      <c r="E3633" s="91" t="s">
        <v>19</v>
      </c>
      <c r="F3633">
        <v>19</v>
      </c>
      <c r="G3633" t="s">
        <v>1419</v>
      </c>
      <c r="H3633" s="89">
        <v>46263</v>
      </c>
      <c r="I3633" s="89">
        <v>46265</v>
      </c>
      <c r="J3633" s="91" t="s">
        <v>1656</v>
      </c>
      <c r="K3633" s="91" t="s">
        <v>5322</v>
      </c>
      <c r="L3633">
        <v>1</v>
      </c>
      <c r="M3633" s="91" t="s">
        <v>5323</v>
      </c>
      <c r="N3633" s="91" t="s">
        <v>4908</v>
      </c>
    </row>
    <row r="3634" spans="1:14" x14ac:dyDescent="0.25">
      <c r="A3634" s="91" t="s">
        <v>1313</v>
      </c>
      <c r="B3634" s="91" t="s">
        <v>1327</v>
      </c>
      <c r="C3634" s="91" t="s">
        <v>5324</v>
      </c>
      <c r="D3634" s="91" t="s">
        <v>20</v>
      </c>
      <c r="E3634" s="91" t="s">
        <v>17</v>
      </c>
      <c r="F3634">
        <v>1068</v>
      </c>
      <c r="G3634">
        <v>22.25</v>
      </c>
      <c r="H3634" s="89">
        <v>46265</v>
      </c>
      <c r="I3634" s="89">
        <v>46269</v>
      </c>
      <c r="J3634" s="91" t="s">
        <v>5325</v>
      </c>
      <c r="K3634" s="91" t="s">
        <v>5326</v>
      </c>
      <c r="L3634">
        <v>1</v>
      </c>
      <c r="M3634" s="91" t="s">
        <v>5327</v>
      </c>
      <c r="N3634" s="91" t="s">
        <v>5328</v>
      </c>
    </row>
    <row r="3635" spans="1:14" x14ac:dyDescent="0.25">
      <c r="A3635" s="91" t="s">
        <v>1319</v>
      </c>
      <c r="B3635" s="91" t="s">
        <v>1333</v>
      </c>
      <c r="C3635" s="91" t="s">
        <v>5324</v>
      </c>
      <c r="D3635" s="91" t="s">
        <v>20</v>
      </c>
      <c r="E3635" s="91" t="s">
        <v>17</v>
      </c>
      <c r="F3635">
        <v>84</v>
      </c>
      <c r="G3635">
        <v>1.75</v>
      </c>
      <c r="H3635" s="89">
        <v>46265</v>
      </c>
      <c r="I3635" s="89">
        <v>46269</v>
      </c>
      <c r="J3635" s="91" t="s">
        <v>5325</v>
      </c>
      <c r="K3635" s="91" t="s">
        <v>5329</v>
      </c>
      <c r="L3635">
        <v>1</v>
      </c>
      <c r="M3635" s="91" t="s">
        <v>5330</v>
      </c>
      <c r="N3635" s="91" t="s">
        <v>5328</v>
      </c>
    </row>
    <row r="3636" spans="1:14" x14ac:dyDescent="0.25">
      <c r="A3636" s="91" t="s">
        <v>1313</v>
      </c>
      <c r="B3636" s="91" t="s">
        <v>1327</v>
      </c>
      <c r="C3636" s="91" t="s">
        <v>5324</v>
      </c>
      <c r="D3636" s="91" t="s">
        <v>20</v>
      </c>
      <c r="E3636" s="91" t="s">
        <v>22</v>
      </c>
      <c r="F3636">
        <v>48</v>
      </c>
      <c r="G3636">
        <v>1</v>
      </c>
      <c r="H3636" s="89">
        <v>46265</v>
      </c>
      <c r="I3636" s="89">
        <v>46271</v>
      </c>
      <c r="J3636" s="91" t="s">
        <v>5331</v>
      </c>
      <c r="K3636" s="91" t="s">
        <v>5332</v>
      </c>
      <c r="L3636">
        <v>1</v>
      </c>
      <c r="M3636" s="91" t="s">
        <v>5333</v>
      </c>
      <c r="N3636" s="91" t="s">
        <v>5328</v>
      </c>
    </row>
    <row r="3637" spans="1:14" x14ac:dyDescent="0.25">
      <c r="A3637" s="91" t="s">
        <v>1315</v>
      </c>
      <c r="B3637" s="91" t="s">
        <v>1329</v>
      </c>
      <c r="C3637" s="91" t="s">
        <v>5324</v>
      </c>
      <c r="D3637" s="91" t="s">
        <v>20</v>
      </c>
      <c r="E3637" s="91" t="s">
        <v>19</v>
      </c>
      <c r="F3637">
        <v>38</v>
      </c>
      <c r="G3637" t="s">
        <v>1419</v>
      </c>
      <c r="H3637" s="89">
        <v>46265</v>
      </c>
      <c r="I3637" s="89">
        <v>46267</v>
      </c>
      <c r="J3637" s="91" t="s">
        <v>1656</v>
      </c>
      <c r="K3637" s="91" t="s">
        <v>5334</v>
      </c>
      <c r="L3637">
        <v>1</v>
      </c>
      <c r="M3637" s="91" t="s">
        <v>5335</v>
      </c>
      <c r="N3637" s="91" t="s">
        <v>5328</v>
      </c>
    </row>
    <row r="3638" spans="1:14" x14ac:dyDescent="0.25">
      <c r="A3638" s="91" t="s">
        <v>1316</v>
      </c>
      <c r="B3638" s="91" t="s">
        <v>1330</v>
      </c>
      <c r="C3638" s="91" t="s">
        <v>5336</v>
      </c>
      <c r="D3638" s="91" t="s">
        <v>20</v>
      </c>
      <c r="E3638" s="91" t="s">
        <v>19</v>
      </c>
      <c r="F3638">
        <v>82</v>
      </c>
      <c r="G3638" t="s">
        <v>1419</v>
      </c>
      <c r="H3638" s="89">
        <v>46265</v>
      </c>
      <c r="I3638" s="89">
        <v>46267</v>
      </c>
      <c r="J3638" s="91" t="s">
        <v>1656</v>
      </c>
      <c r="K3638" s="91" t="s">
        <v>5337</v>
      </c>
      <c r="L3638">
        <v>1</v>
      </c>
      <c r="M3638" s="91" t="s">
        <v>5338</v>
      </c>
      <c r="N3638" s="91" t="s">
        <v>5328</v>
      </c>
    </row>
    <row r="3639" spans="1:14" x14ac:dyDescent="0.25">
      <c r="A3639" s="91" t="s">
        <v>1317</v>
      </c>
      <c r="B3639" s="91" t="s">
        <v>1331</v>
      </c>
      <c r="C3639" s="91" t="s">
        <v>5339</v>
      </c>
      <c r="D3639" s="91" t="s">
        <v>20</v>
      </c>
      <c r="E3639" s="91" t="s">
        <v>19</v>
      </c>
      <c r="F3639">
        <v>28</v>
      </c>
      <c r="G3639" t="s">
        <v>1419</v>
      </c>
      <c r="H3639" s="89">
        <v>46265</v>
      </c>
      <c r="I3639" s="89">
        <v>46267</v>
      </c>
      <c r="J3639" s="91" t="s">
        <v>1656</v>
      </c>
      <c r="K3639" s="91" t="s">
        <v>5340</v>
      </c>
      <c r="L3639">
        <v>1</v>
      </c>
      <c r="M3639" s="91" t="s">
        <v>5341</v>
      </c>
      <c r="N3639" s="91" t="s">
        <v>5328</v>
      </c>
    </row>
    <row r="3640" spans="1:14" x14ac:dyDescent="0.25">
      <c r="A3640" s="91" t="s">
        <v>1318</v>
      </c>
      <c r="B3640" s="91" t="s">
        <v>1332</v>
      </c>
      <c r="C3640" s="91" t="s">
        <v>5342</v>
      </c>
      <c r="D3640" s="91" t="s">
        <v>20</v>
      </c>
      <c r="E3640" s="91" t="s">
        <v>19</v>
      </c>
      <c r="F3640">
        <v>59</v>
      </c>
      <c r="G3640" t="s">
        <v>1419</v>
      </c>
      <c r="H3640" s="89">
        <v>46265</v>
      </c>
      <c r="I3640" s="89">
        <v>46267</v>
      </c>
      <c r="J3640" s="91" t="s">
        <v>1656</v>
      </c>
      <c r="K3640" s="91" t="s">
        <v>5343</v>
      </c>
      <c r="L3640">
        <v>1</v>
      </c>
      <c r="M3640" s="91" t="s">
        <v>5344</v>
      </c>
      <c r="N3640" s="91" t="s">
        <v>5328</v>
      </c>
    </row>
    <row r="3641" spans="1:14" x14ac:dyDescent="0.25">
      <c r="A3641" s="91" t="s">
        <v>1313</v>
      </c>
      <c r="B3641" s="91" t="s">
        <v>1327</v>
      </c>
      <c r="C3641" s="91" t="s">
        <v>5345</v>
      </c>
      <c r="D3641" s="91" t="s">
        <v>15</v>
      </c>
      <c r="E3641" s="91" t="s">
        <v>18</v>
      </c>
      <c r="F3641">
        <v>1056</v>
      </c>
      <c r="G3641">
        <v>22</v>
      </c>
      <c r="H3641" s="89">
        <v>46265</v>
      </c>
      <c r="I3641" s="89">
        <v>46269</v>
      </c>
      <c r="J3641" s="91" t="s">
        <v>5346</v>
      </c>
      <c r="K3641" s="91" t="s">
        <v>5347</v>
      </c>
      <c r="L3641">
        <v>1</v>
      </c>
      <c r="M3641" s="91" t="s">
        <v>5348</v>
      </c>
      <c r="N3641" s="91" t="s">
        <v>5328</v>
      </c>
    </row>
    <row r="3642" spans="1:14" x14ac:dyDescent="0.25">
      <c r="A3642" s="91" t="s">
        <v>1314</v>
      </c>
      <c r="B3642" s="91" t="s">
        <v>1328</v>
      </c>
      <c r="C3642" s="91" t="s">
        <v>5345</v>
      </c>
      <c r="D3642" s="91" t="s">
        <v>15</v>
      </c>
      <c r="E3642" s="91" t="s">
        <v>18</v>
      </c>
      <c r="F3642">
        <v>96</v>
      </c>
      <c r="G3642">
        <v>2</v>
      </c>
      <c r="H3642" s="89">
        <v>46265</v>
      </c>
      <c r="I3642" s="89">
        <v>46269</v>
      </c>
      <c r="J3642" s="91" t="s">
        <v>5346</v>
      </c>
      <c r="K3642" s="91" t="s">
        <v>5349</v>
      </c>
      <c r="L3642">
        <v>1</v>
      </c>
      <c r="M3642" s="91" t="s">
        <v>5350</v>
      </c>
      <c r="N3642" s="91" t="s">
        <v>5328</v>
      </c>
    </row>
    <row r="3643" spans="1:14" x14ac:dyDescent="0.25">
      <c r="A3643" s="91" t="s">
        <v>1315</v>
      </c>
      <c r="B3643" s="91" t="s">
        <v>1329</v>
      </c>
      <c r="C3643" s="91" t="s">
        <v>5345</v>
      </c>
      <c r="D3643" s="91" t="s">
        <v>15</v>
      </c>
      <c r="E3643" s="91" t="s">
        <v>19</v>
      </c>
      <c r="F3643">
        <v>17</v>
      </c>
      <c r="G3643" t="s">
        <v>1419</v>
      </c>
      <c r="H3643" s="89">
        <v>46265</v>
      </c>
      <c r="I3643" s="89">
        <v>46267</v>
      </c>
      <c r="J3643" s="91" t="s">
        <v>1656</v>
      </c>
      <c r="K3643" s="91" t="s">
        <v>5351</v>
      </c>
      <c r="L3643">
        <v>1</v>
      </c>
      <c r="M3643" s="91" t="s">
        <v>5352</v>
      </c>
      <c r="N3643" s="91" t="s">
        <v>5328</v>
      </c>
    </row>
    <row r="3644" spans="1:14" x14ac:dyDescent="0.25">
      <c r="A3644" s="91" t="s">
        <v>1316</v>
      </c>
      <c r="B3644" s="91" t="s">
        <v>1330</v>
      </c>
      <c r="C3644" s="91" t="s">
        <v>5353</v>
      </c>
      <c r="D3644" s="91" t="s">
        <v>15</v>
      </c>
      <c r="E3644" s="91" t="s">
        <v>19</v>
      </c>
      <c r="F3644">
        <v>48</v>
      </c>
      <c r="G3644" t="s">
        <v>1419</v>
      </c>
      <c r="H3644" s="89">
        <v>46265</v>
      </c>
      <c r="I3644" s="89">
        <v>46267</v>
      </c>
      <c r="J3644" s="91" t="s">
        <v>1656</v>
      </c>
      <c r="K3644" s="91" t="s">
        <v>5354</v>
      </c>
      <c r="L3644">
        <v>1</v>
      </c>
      <c r="M3644" s="91" t="s">
        <v>5355</v>
      </c>
      <c r="N3644" s="91" t="s">
        <v>5328</v>
      </c>
    </row>
    <row r="3645" spans="1:14" x14ac:dyDescent="0.25">
      <c r="A3645" s="91" t="s">
        <v>1317</v>
      </c>
      <c r="B3645" s="91" t="s">
        <v>1331</v>
      </c>
      <c r="C3645" s="91" t="s">
        <v>5356</v>
      </c>
      <c r="D3645" s="91" t="s">
        <v>15</v>
      </c>
      <c r="E3645" s="91" t="s">
        <v>19</v>
      </c>
      <c r="F3645">
        <v>73</v>
      </c>
      <c r="G3645" t="s">
        <v>1419</v>
      </c>
      <c r="H3645" s="89">
        <v>46265</v>
      </c>
      <c r="I3645" s="89">
        <v>46267</v>
      </c>
      <c r="J3645" s="91" t="s">
        <v>1656</v>
      </c>
      <c r="K3645" s="91" t="s">
        <v>5357</v>
      </c>
      <c r="L3645">
        <v>1</v>
      </c>
      <c r="M3645" s="91" t="s">
        <v>5358</v>
      </c>
      <c r="N3645" s="91" t="s">
        <v>5328</v>
      </c>
    </row>
    <row r="3646" spans="1:14" x14ac:dyDescent="0.25">
      <c r="A3646" s="91" t="s">
        <v>1318</v>
      </c>
      <c r="B3646" s="91" t="s">
        <v>1332</v>
      </c>
      <c r="C3646" s="91" t="s">
        <v>5359</v>
      </c>
      <c r="D3646" s="91" t="s">
        <v>15</v>
      </c>
      <c r="E3646" s="91" t="s">
        <v>19</v>
      </c>
      <c r="F3646">
        <v>19</v>
      </c>
      <c r="G3646" t="s">
        <v>1419</v>
      </c>
      <c r="H3646" s="89">
        <v>46265</v>
      </c>
      <c r="I3646" s="89">
        <v>46267</v>
      </c>
      <c r="J3646" s="91" t="s">
        <v>1656</v>
      </c>
      <c r="K3646" s="91" t="s">
        <v>5360</v>
      </c>
      <c r="L3646">
        <v>1</v>
      </c>
      <c r="M3646" s="91" t="s">
        <v>5361</v>
      </c>
      <c r="N3646" s="91" t="s">
        <v>5328</v>
      </c>
    </row>
    <row r="3647" spans="1:14" x14ac:dyDescent="0.25">
      <c r="A3647" s="91" t="s">
        <v>1320</v>
      </c>
      <c r="B3647" s="91" t="s">
        <v>1334</v>
      </c>
      <c r="C3647" s="91" t="s">
        <v>5362</v>
      </c>
      <c r="D3647" s="91" t="s">
        <v>21</v>
      </c>
      <c r="E3647" s="91" t="s">
        <v>14</v>
      </c>
      <c r="F3647">
        <v>960</v>
      </c>
      <c r="G3647">
        <v>20</v>
      </c>
      <c r="H3647" s="89">
        <v>46265</v>
      </c>
      <c r="I3647" s="89">
        <v>46268</v>
      </c>
      <c r="J3647" s="91" t="s">
        <v>5363</v>
      </c>
      <c r="K3647" s="91" t="s">
        <v>5364</v>
      </c>
      <c r="L3647">
        <v>1</v>
      </c>
      <c r="M3647" s="91" t="s">
        <v>5365</v>
      </c>
      <c r="N3647" s="91" t="s">
        <v>5328</v>
      </c>
    </row>
    <row r="3648" spans="1:14" x14ac:dyDescent="0.25">
      <c r="A3648" s="91" t="s">
        <v>1313</v>
      </c>
      <c r="B3648" s="91" t="s">
        <v>1327</v>
      </c>
      <c r="C3648" s="91" t="s">
        <v>5362</v>
      </c>
      <c r="D3648" s="91" t="s">
        <v>21</v>
      </c>
      <c r="E3648" s="91" t="s">
        <v>22</v>
      </c>
      <c r="F3648">
        <v>96</v>
      </c>
      <c r="G3648">
        <v>2</v>
      </c>
      <c r="H3648" s="89">
        <v>46265</v>
      </c>
      <c r="I3648" s="89">
        <v>46270</v>
      </c>
      <c r="J3648" s="91" t="s">
        <v>5366</v>
      </c>
      <c r="K3648" s="91" t="s">
        <v>5367</v>
      </c>
      <c r="L3648">
        <v>1</v>
      </c>
      <c r="M3648" s="91" t="s">
        <v>5368</v>
      </c>
      <c r="N3648" s="91" t="s">
        <v>5328</v>
      </c>
    </row>
    <row r="3649" spans="1:14" x14ac:dyDescent="0.25">
      <c r="A3649" s="91" t="s">
        <v>1315</v>
      </c>
      <c r="B3649" s="91" t="s">
        <v>1329</v>
      </c>
      <c r="C3649" s="91" t="s">
        <v>5362</v>
      </c>
      <c r="D3649" s="91" t="s">
        <v>21</v>
      </c>
      <c r="E3649" s="91" t="s">
        <v>19</v>
      </c>
      <c r="F3649">
        <v>88</v>
      </c>
      <c r="G3649" t="s">
        <v>1419</v>
      </c>
      <c r="H3649" s="89">
        <v>46265</v>
      </c>
      <c r="I3649" s="89">
        <v>46267</v>
      </c>
      <c r="J3649" s="91" t="s">
        <v>1656</v>
      </c>
      <c r="K3649" s="91" t="s">
        <v>5369</v>
      </c>
      <c r="L3649">
        <v>1</v>
      </c>
      <c r="M3649" s="91" t="s">
        <v>5370</v>
      </c>
      <c r="N3649" s="91" t="s">
        <v>5328</v>
      </c>
    </row>
    <row r="3650" spans="1:14" x14ac:dyDescent="0.25">
      <c r="A3650" s="91" t="s">
        <v>1316</v>
      </c>
      <c r="B3650" s="91" t="s">
        <v>1330</v>
      </c>
      <c r="C3650" s="91" t="s">
        <v>5371</v>
      </c>
      <c r="D3650" s="91" t="s">
        <v>21</v>
      </c>
      <c r="E3650" s="91" t="s">
        <v>19</v>
      </c>
      <c r="F3650">
        <v>12</v>
      </c>
      <c r="G3650" t="s">
        <v>1419</v>
      </c>
      <c r="H3650" s="89">
        <v>46265</v>
      </c>
      <c r="I3650" s="89">
        <v>46267</v>
      </c>
      <c r="J3650" s="91" t="s">
        <v>1656</v>
      </c>
      <c r="K3650" s="91" t="s">
        <v>5372</v>
      </c>
      <c r="L3650">
        <v>1</v>
      </c>
      <c r="M3650" s="91" t="s">
        <v>5373</v>
      </c>
      <c r="N3650" s="91" t="s">
        <v>5328</v>
      </c>
    </row>
    <row r="3651" spans="1:14" x14ac:dyDescent="0.25">
      <c r="A3651" s="91" t="s">
        <v>1317</v>
      </c>
      <c r="B3651" s="91" t="s">
        <v>1331</v>
      </c>
      <c r="C3651" s="91" t="s">
        <v>5374</v>
      </c>
      <c r="D3651" s="91" t="s">
        <v>21</v>
      </c>
      <c r="E3651" s="91" t="s">
        <v>19</v>
      </c>
      <c r="F3651">
        <v>46</v>
      </c>
      <c r="G3651" t="s">
        <v>1419</v>
      </c>
      <c r="H3651" s="89">
        <v>46265</v>
      </c>
      <c r="I3651" s="89">
        <v>46267</v>
      </c>
      <c r="J3651" s="91" t="s">
        <v>1656</v>
      </c>
      <c r="K3651" s="91" t="s">
        <v>5375</v>
      </c>
      <c r="L3651">
        <v>1</v>
      </c>
      <c r="M3651" s="91" t="s">
        <v>5376</v>
      </c>
      <c r="N3651" s="91" t="s">
        <v>5328</v>
      </c>
    </row>
    <row r="3652" spans="1:14" x14ac:dyDescent="0.25">
      <c r="A3652" s="91" t="s">
        <v>1318</v>
      </c>
      <c r="B3652" s="91" t="s">
        <v>1332</v>
      </c>
      <c r="C3652" s="91" t="s">
        <v>5377</v>
      </c>
      <c r="D3652" s="91" t="s">
        <v>21</v>
      </c>
      <c r="E3652" s="91" t="s">
        <v>19</v>
      </c>
      <c r="F3652">
        <v>80</v>
      </c>
      <c r="G3652" t="s">
        <v>1419</v>
      </c>
      <c r="H3652" s="89">
        <v>46265</v>
      </c>
      <c r="I3652" s="89">
        <v>46267</v>
      </c>
      <c r="J3652" s="91" t="s">
        <v>1656</v>
      </c>
      <c r="K3652" s="91" t="s">
        <v>5378</v>
      </c>
      <c r="L3652">
        <v>1</v>
      </c>
      <c r="M3652" s="91" t="s">
        <v>5379</v>
      </c>
      <c r="N3652" s="91" t="s">
        <v>5328</v>
      </c>
    </row>
    <row r="3653" spans="1:14" x14ac:dyDescent="0.25">
      <c r="A3653" s="91" t="s">
        <v>1320</v>
      </c>
      <c r="B3653" s="91" t="s">
        <v>1334</v>
      </c>
      <c r="C3653" s="91" t="s">
        <v>5380</v>
      </c>
      <c r="D3653" s="91" t="s">
        <v>13</v>
      </c>
      <c r="E3653" s="91" t="s">
        <v>14</v>
      </c>
      <c r="F3653">
        <v>960</v>
      </c>
      <c r="G3653">
        <v>20</v>
      </c>
      <c r="H3653" s="89">
        <v>46265</v>
      </c>
      <c r="I3653" s="89">
        <v>46269</v>
      </c>
      <c r="J3653" s="91" t="s">
        <v>5381</v>
      </c>
      <c r="K3653" s="91" t="s">
        <v>5382</v>
      </c>
      <c r="L3653">
        <v>1</v>
      </c>
      <c r="M3653" s="91" t="s">
        <v>5383</v>
      </c>
      <c r="N3653" s="91" t="s">
        <v>5328</v>
      </c>
    </row>
    <row r="3654" spans="1:14" x14ac:dyDescent="0.25">
      <c r="A3654" s="91" t="s">
        <v>1320</v>
      </c>
      <c r="B3654" s="91" t="s">
        <v>1334</v>
      </c>
      <c r="C3654" s="91" t="s">
        <v>5380</v>
      </c>
      <c r="D3654" s="91" t="s">
        <v>13</v>
      </c>
      <c r="E3654" s="91" t="s">
        <v>14</v>
      </c>
      <c r="F3654">
        <v>384</v>
      </c>
      <c r="G3654">
        <v>8</v>
      </c>
      <c r="H3654" s="89">
        <v>46265</v>
      </c>
      <c r="I3654" s="89">
        <v>46269</v>
      </c>
      <c r="J3654" s="91" t="s">
        <v>5384</v>
      </c>
      <c r="K3654" s="91" t="s">
        <v>5385</v>
      </c>
      <c r="L3654">
        <v>1</v>
      </c>
      <c r="M3654" s="91" t="s">
        <v>5386</v>
      </c>
      <c r="N3654" s="91" t="s">
        <v>5328</v>
      </c>
    </row>
    <row r="3655" spans="1:14" x14ac:dyDescent="0.25">
      <c r="A3655" s="91" t="s">
        <v>1320</v>
      </c>
      <c r="B3655" s="91" t="s">
        <v>1334</v>
      </c>
      <c r="C3655" s="91" t="s">
        <v>5387</v>
      </c>
      <c r="D3655" s="91" t="s">
        <v>13</v>
      </c>
      <c r="E3655" s="91" t="s">
        <v>14</v>
      </c>
      <c r="F3655">
        <v>576</v>
      </c>
      <c r="G3655">
        <v>12</v>
      </c>
      <c r="H3655" s="89">
        <v>46266</v>
      </c>
      <c r="I3655" s="89">
        <v>46269</v>
      </c>
      <c r="J3655" s="91" t="s">
        <v>5384</v>
      </c>
      <c r="K3655" s="91" t="s">
        <v>5388</v>
      </c>
      <c r="L3655">
        <v>1</v>
      </c>
      <c r="M3655" s="91" t="s">
        <v>5389</v>
      </c>
      <c r="N3655" s="91" t="s">
        <v>5328</v>
      </c>
    </row>
    <row r="3656" spans="1:14" x14ac:dyDescent="0.25">
      <c r="A3656" s="91" t="s">
        <v>1320</v>
      </c>
      <c r="B3656" s="91" t="s">
        <v>1334</v>
      </c>
      <c r="C3656" s="91" t="s">
        <v>5390</v>
      </c>
      <c r="D3656" s="91" t="s">
        <v>28</v>
      </c>
      <c r="E3656" s="91" t="s">
        <v>14</v>
      </c>
      <c r="F3656">
        <v>960</v>
      </c>
      <c r="G3656">
        <v>20</v>
      </c>
      <c r="H3656" s="89">
        <v>46266</v>
      </c>
      <c r="I3656" s="89">
        <v>46270</v>
      </c>
      <c r="J3656" s="91" t="s">
        <v>5391</v>
      </c>
      <c r="K3656" s="91" t="s">
        <v>5392</v>
      </c>
      <c r="L3656">
        <v>1</v>
      </c>
      <c r="M3656" s="91" t="s">
        <v>5393</v>
      </c>
      <c r="N3656" s="91" t="s">
        <v>5328</v>
      </c>
    </row>
    <row r="3657" spans="1:14" x14ac:dyDescent="0.25">
      <c r="A3657" s="91" t="s">
        <v>1313</v>
      </c>
      <c r="B3657" s="91" t="s">
        <v>1327</v>
      </c>
      <c r="C3657" s="91" t="s">
        <v>5390</v>
      </c>
      <c r="D3657" s="91" t="s">
        <v>28</v>
      </c>
      <c r="E3657" s="91" t="s">
        <v>17</v>
      </c>
      <c r="F3657">
        <v>288</v>
      </c>
      <c r="G3657">
        <v>6</v>
      </c>
      <c r="H3657" s="89">
        <v>46266</v>
      </c>
      <c r="I3657" s="89">
        <v>46270</v>
      </c>
      <c r="J3657" s="91" t="s">
        <v>5394</v>
      </c>
      <c r="K3657" s="91" t="s">
        <v>5395</v>
      </c>
      <c r="L3657">
        <v>1</v>
      </c>
      <c r="M3657" s="91" t="s">
        <v>5396</v>
      </c>
      <c r="N3657" s="91" t="s">
        <v>5328</v>
      </c>
    </row>
    <row r="3658" spans="1:14" x14ac:dyDescent="0.25">
      <c r="A3658" s="91" t="s">
        <v>1315</v>
      </c>
      <c r="B3658" s="91" t="s">
        <v>1329</v>
      </c>
      <c r="C3658" s="91" t="s">
        <v>5390</v>
      </c>
      <c r="D3658" s="91" t="s">
        <v>28</v>
      </c>
      <c r="E3658" s="91" t="s">
        <v>19</v>
      </c>
      <c r="F3658">
        <v>15</v>
      </c>
      <c r="G3658" t="s">
        <v>1419</v>
      </c>
      <c r="H3658" s="89">
        <v>46266</v>
      </c>
      <c r="I3658" s="89">
        <v>46268</v>
      </c>
      <c r="J3658" s="91" t="s">
        <v>1656</v>
      </c>
      <c r="K3658" s="91" t="s">
        <v>5397</v>
      </c>
      <c r="L3658">
        <v>1</v>
      </c>
      <c r="M3658" s="91" t="s">
        <v>5398</v>
      </c>
      <c r="N3658" s="91" t="s">
        <v>5328</v>
      </c>
    </row>
    <row r="3659" spans="1:14" x14ac:dyDescent="0.25">
      <c r="A3659" s="91" t="s">
        <v>1316</v>
      </c>
      <c r="B3659" s="91" t="s">
        <v>1330</v>
      </c>
      <c r="C3659" s="91" t="s">
        <v>5399</v>
      </c>
      <c r="D3659" s="91" t="s">
        <v>28</v>
      </c>
      <c r="E3659" s="91" t="s">
        <v>19</v>
      </c>
      <c r="F3659">
        <v>63</v>
      </c>
      <c r="G3659" t="s">
        <v>1419</v>
      </c>
      <c r="H3659" s="89">
        <v>46266</v>
      </c>
      <c r="I3659" s="89">
        <v>46268</v>
      </c>
      <c r="J3659" s="91" t="s">
        <v>1656</v>
      </c>
      <c r="K3659" s="91" t="s">
        <v>5400</v>
      </c>
      <c r="L3659">
        <v>1</v>
      </c>
      <c r="M3659" s="91" t="s">
        <v>5401</v>
      </c>
      <c r="N3659" s="91" t="s">
        <v>5328</v>
      </c>
    </row>
    <row r="3660" spans="1:14" x14ac:dyDescent="0.25">
      <c r="A3660" s="91" t="s">
        <v>1317</v>
      </c>
      <c r="B3660" s="91" t="s">
        <v>1331</v>
      </c>
      <c r="C3660" s="91" t="s">
        <v>5402</v>
      </c>
      <c r="D3660" s="91" t="s">
        <v>28</v>
      </c>
      <c r="E3660" s="91" t="s">
        <v>19</v>
      </c>
      <c r="F3660">
        <v>1</v>
      </c>
      <c r="G3660" t="s">
        <v>1419</v>
      </c>
      <c r="H3660" s="89">
        <v>46266</v>
      </c>
      <c r="I3660" s="89">
        <v>46268</v>
      </c>
      <c r="J3660" s="91" t="s">
        <v>1656</v>
      </c>
      <c r="K3660" s="91" t="s">
        <v>5403</v>
      </c>
      <c r="L3660">
        <v>1</v>
      </c>
      <c r="M3660" s="91" t="s">
        <v>5404</v>
      </c>
      <c r="N3660" s="91" t="s">
        <v>5328</v>
      </c>
    </row>
    <row r="3661" spans="1:14" x14ac:dyDescent="0.25">
      <c r="A3661" s="91" t="s">
        <v>1318</v>
      </c>
      <c r="B3661" s="91" t="s">
        <v>1332</v>
      </c>
      <c r="C3661" s="91" t="s">
        <v>5405</v>
      </c>
      <c r="D3661" s="91" t="s">
        <v>28</v>
      </c>
      <c r="E3661" s="91" t="s">
        <v>19</v>
      </c>
      <c r="F3661">
        <v>27</v>
      </c>
      <c r="G3661" t="s">
        <v>1419</v>
      </c>
      <c r="H3661" s="89">
        <v>46266</v>
      </c>
      <c r="I3661" s="89">
        <v>46268</v>
      </c>
      <c r="J3661" s="91" t="s">
        <v>1656</v>
      </c>
      <c r="K3661" s="91" t="s">
        <v>5406</v>
      </c>
      <c r="L3661">
        <v>1</v>
      </c>
      <c r="M3661" s="91" t="s">
        <v>5407</v>
      </c>
      <c r="N3661" s="91" t="s">
        <v>5328</v>
      </c>
    </row>
    <row r="3662" spans="1:14" x14ac:dyDescent="0.25">
      <c r="A3662" s="91" t="s">
        <v>1319</v>
      </c>
      <c r="B3662" s="91" t="s">
        <v>1333</v>
      </c>
      <c r="C3662" s="91" t="s">
        <v>5408</v>
      </c>
      <c r="D3662" s="91" t="s">
        <v>21</v>
      </c>
      <c r="E3662" s="91" t="s">
        <v>17</v>
      </c>
      <c r="F3662">
        <v>66</v>
      </c>
      <c r="G3662">
        <v>1.375</v>
      </c>
      <c r="H3662" s="89">
        <v>46266</v>
      </c>
      <c r="I3662" s="89">
        <v>46270</v>
      </c>
      <c r="J3662" s="91" t="s">
        <v>5394</v>
      </c>
      <c r="K3662" s="91" t="s">
        <v>5409</v>
      </c>
      <c r="L3662">
        <v>1</v>
      </c>
      <c r="M3662" s="91" t="s">
        <v>5410</v>
      </c>
      <c r="N3662" s="91" t="s">
        <v>5328</v>
      </c>
    </row>
    <row r="3663" spans="1:14" x14ac:dyDescent="0.25">
      <c r="A3663" s="91" t="s">
        <v>1313</v>
      </c>
      <c r="B3663" s="91" t="s">
        <v>1327</v>
      </c>
      <c r="C3663" s="91" t="s">
        <v>5408</v>
      </c>
      <c r="D3663" s="91" t="s">
        <v>21</v>
      </c>
      <c r="E3663" s="91" t="s">
        <v>17</v>
      </c>
      <c r="F3663">
        <v>798</v>
      </c>
      <c r="G3663">
        <v>16.625</v>
      </c>
      <c r="H3663" s="89">
        <v>46266</v>
      </c>
      <c r="I3663" s="89">
        <v>46270</v>
      </c>
      <c r="J3663" s="91" t="s">
        <v>5394</v>
      </c>
      <c r="K3663" s="91" t="s">
        <v>5411</v>
      </c>
      <c r="L3663">
        <v>1</v>
      </c>
      <c r="M3663" s="91" t="s">
        <v>5412</v>
      </c>
      <c r="N3663" s="91" t="s">
        <v>5328</v>
      </c>
    </row>
    <row r="3664" spans="1:14" x14ac:dyDescent="0.25">
      <c r="A3664" s="91" t="s">
        <v>1313</v>
      </c>
      <c r="B3664" s="91" t="s">
        <v>1327</v>
      </c>
      <c r="C3664" s="91" t="s">
        <v>5408</v>
      </c>
      <c r="D3664" s="91" t="s">
        <v>21</v>
      </c>
      <c r="E3664" s="91" t="s">
        <v>22</v>
      </c>
      <c r="F3664">
        <v>1008</v>
      </c>
      <c r="G3664">
        <v>21</v>
      </c>
      <c r="H3664" s="89">
        <v>46266</v>
      </c>
      <c r="I3664" s="89">
        <v>46270</v>
      </c>
      <c r="J3664" s="91" t="s">
        <v>5366</v>
      </c>
      <c r="K3664" s="91" t="s">
        <v>5413</v>
      </c>
      <c r="L3664">
        <v>1</v>
      </c>
      <c r="M3664" s="91" t="s">
        <v>5414</v>
      </c>
      <c r="N3664" s="91" t="s">
        <v>5328</v>
      </c>
    </row>
    <row r="3665" spans="1:14" x14ac:dyDescent="0.25">
      <c r="A3665" s="91" t="s">
        <v>1315</v>
      </c>
      <c r="B3665" s="91" t="s">
        <v>1329</v>
      </c>
      <c r="C3665" s="91" t="s">
        <v>5408</v>
      </c>
      <c r="D3665" s="91" t="s">
        <v>21</v>
      </c>
      <c r="E3665" s="91" t="s">
        <v>19</v>
      </c>
      <c r="F3665">
        <v>33</v>
      </c>
      <c r="G3665" t="s">
        <v>1419</v>
      </c>
      <c r="H3665" s="89">
        <v>46266</v>
      </c>
      <c r="I3665" s="89">
        <v>46268</v>
      </c>
      <c r="J3665" s="91" t="s">
        <v>1656</v>
      </c>
      <c r="K3665" s="91" t="s">
        <v>5415</v>
      </c>
      <c r="L3665">
        <v>1</v>
      </c>
      <c r="M3665" s="91" t="s">
        <v>5416</v>
      </c>
      <c r="N3665" s="91" t="s">
        <v>5328</v>
      </c>
    </row>
    <row r="3666" spans="1:14" x14ac:dyDescent="0.25">
      <c r="A3666" s="91" t="s">
        <v>1316</v>
      </c>
      <c r="B3666" s="91" t="s">
        <v>1330</v>
      </c>
      <c r="C3666" s="91" t="s">
        <v>5417</v>
      </c>
      <c r="D3666" s="91" t="s">
        <v>21</v>
      </c>
      <c r="E3666" s="91" t="s">
        <v>19</v>
      </c>
      <c r="F3666">
        <v>49</v>
      </c>
      <c r="G3666" t="s">
        <v>1419</v>
      </c>
      <c r="H3666" s="89">
        <v>46266</v>
      </c>
      <c r="I3666" s="89">
        <v>46268</v>
      </c>
      <c r="J3666" s="91" t="s">
        <v>1656</v>
      </c>
      <c r="K3666" s="91" t="s">
        <v>5418</v>
      </c>
      <c r="L3666">
        <v>1</v>
      </c>
      <c r="M3666" s="91" t="s">
        <v>5419</v>
      </c>
      <c r="N3666" s="91" t="s">
        <v>5328</v>
      </c>
    </row>
    <row r="3667" spans="1:14" x14ac:dyDescent="0.25">
      <c r="A3667" s="91" t="s">
        <v>1317</v>
      </c>
      <c r="B3667" s="91" t="s">
        <v>1331</v>
      </c>
      <c r="C3667" s="91" t="s">
        <v>5420</v>
      </c>
      <c r="D3667" s="91" t="s">
        <v>21</v>
      </c>
      <c r="E3667" s="91" t="s">
        <v>19</v>
      </c>
      <c r="F3667">
        <v>17</v>
      </c>
      <c r="G3667" t="s">
        <v>1419</v>
      </c>
      <c r="H3667" s="89">
        <v>46266</v>
      </c>
      <c r="I3667" s="89">
        <v>46268</v>
      </c>
      <c r="J3667" s="91" t="s">
        <v>1656</v>
      </c>
      <c r="K3667" s="91" t="s">
        <v>5421</v>
      </c>
      <c r="L3667">
        <v>1</v>
      </c>
      <c r="M3667" s="91" t="s">
        <v>5422</v>
      </c>
      <c r="N3667" s="91" t="s">
        <v>5328</v>
      </c>
    </row>
    <row r="3668" spans="1:14" x14ac:dyDescent="0.25">
      <c r="A3668" s="91" t="s">
        <v>1318</v>
      </c>
      <c r="B3668" s="91" t="s">
        <v>1332</v>
      </c>
      <c r="C3668" s="91" t="s">
        <v>5423</v>
      </c>
      <c r="D3668" s="91" t="s">
        <v>21</v>
      </c>
      <c r="E3668" s="91" t="s">
        <v>19</v>
      </c>
      <c r="F3668">
        <v>69</v>
      </c>
      <c r="G3668" t="s">
        <v>1419</v>
      </c>
      <c r="H3668" s="89">
        <v>46266</v>
      </c>
      <c r="I3668" s="89">
        <v>46268</v>
      </c>
      <c r="J3668" s="91" t="s">
        <v>1656</v>
      </c>
      <c r="K3668" s="91" t="s">
        <v>5424</v>
      </c>
      <c r="L3668">
        <v>1</v>
      </c>
      <c r="M3668" s="91" t="s">
        <v>5425</v>
      </c>
      <c r="N3668" s="91" t="s">
        <v>5328</v>
      </c>
    </row>
    <row r="3669" spans="1:14" x14ac:dyDescent="0.25">
      <c r="A3669" s="91" t="s">
        <v>1324</v>
      </c>
      <c r="B3669" s="91" t="s">
        <v>1338</v>
      </c>
      <c r="C3669" s="91" t="s">
        <v>5426</v>
      </c>
      <c r="D3669" s="91" t="s">
        <v>118</v>
      </c>
      <c r="E3669" s="91" t="s">
        <v>65</v>
      </c>
      <c r="F3669">
        <v>960</v>
      </c>
      <c r="G3669">
        <v>20</v>
      </c>
      <c r="H3669" s="89">
        <v>46266</v>
      </c>
      <c r="I3669" s="89">
        <v>46273</v>
      </c>
      <c r="J3669" s="91" t="s">
        <v>5427</v>
      </c>
      <c r="K3669" s="91" t="s">
        <v>5428</v>
      </c>
      <c r="L3669">
        <v>1</v>
      </c>
      <c r="M3669" s="91" t="s">
        <v>5429</v>
      </c>
      <c r="N3669" s="91" t="s">
        <v>5328</v>
      </c>
    </row>
    <row r="3670" spans="1:14" x14ac:dyDescent="0.25">
      <c r="A3670" s="91" t="s">
        <v>1324</v>
      </c>
      <c r="B3670" s="91" t="s">
        <v>1338</v>
      </c>
      <c r="C3670" s="91" t="s">
        <v>5430</v>
      </c>
      <c r="D3670" s="91" t="s">
        <v>29</v>
      </c>
      <c r="E3670" s="91" t="s">
        <v>65</v>
      </c>
      <c r="F3670">
        <v>816</v>
      </c>
      <c r="G3670">
        <v>17</v>
      </c>
      <c r="H3670" s="89">
        <v>46266</v>
      </c>
      <c r="I3670" s="89">
        <v>46273</v>
      </c>
      <c r="J3670" s="91" t="s">
        <v>5427</v>
      </c>
      <c r="K3670" s="91" t="s">
        <v>5431</v>
      </c>
      <c r="L3670">
        <v>1</v>
      </c>
      <c r="M3670" s="91" t="s">
        <v>5432</v>
      </c>
      <c r="N3670" s="91" t="s">
        <v>5328</v>
      </c>
    </row>
    <row r="3671" spans="1:14" x14ac:dyDescent="0.25">
      <c r="A3671" s="91" t="s">
        <v>1321</v>
      </c>
      <c r="B3671" s="91" t="s">
        <v>1335</v>
      </c>
      <c r="C3671" s="91" t="s">
        <v>5433</v>
      </c>
      <c r="D3671" s="91" t="s">
        <v>32</v>
      </c>
      <c r="E3671" s="91" t="s">
        <v>65</v>
      </c>
      <c r="F3671">
        <v>144</v>
      </c>
      <c r="G3671">
        <v>3</v>
      </c>
      <c r="H3671" s="89">
        <v>46266</v>
      </c>
      <c r="I3671" s="89">
        <v>46273</v>
      </c>
      <c r="J3671" s="91" t="s">
        <v>5427</v>
      </c>
      <c r="K3671" s="91" t="s">
        <v>5434</v>
      </c>
      <c r="L3671">
        <v>1</v>
      </c>
      <c r="M3671" s="91" t="s">
        <v>5435</v>
      </c>
      <c r="N3671" s="91" t="s">
        <v>5328</v>
      </c>
    </row>
    <row r="3672" spans="1:14" x14ac:dyDescent="0.25">
      <c r="A3672" s="91" t="s">
        <v>1321</v>
      </c>
      <c r="B3672" s="91" t="s">
        <v>1335</v>
      </c>
      <c r="C3672" s="91" t="s">
        <v>5433</v>
      </c>
      <c r="D3672" s="91" t="s">
        <v>32</v>
      </c>
      <c r="E3672" s="91" t="s">
        <v>25</v>
      </c>
      <c r="F3672">
        <v>96</v>
      </c>
      <c r="G3672">
        <v>2</v>
      </c>
      <c r="H3672" s="89">
        <v>46266</v>
      </c>
      <c r="I3672" s="89">
        <v>46273</v>
      </c>
      <c r="J3672" s="91" t="s">
        <v>5436</v>
      </c>
      <c r="K3672" s="91" t="s">
        <v>5437</v>
      </c>
      <c r="L3672">
        <v>1</v>
      </c>
      <c r="M3672" s="91" t="s">
        <v>5438</v>
      </c>
      <c r="N3672" s="91" t="s">
        <v>5328</v>
      </c>
    </row>
    <row r="3673" spans="1:14" x14ac:dyDescent="0.25">
      <c r="A3673" s="91" t="s">
        <v>1323</v>
      </c>
      <c r="B3673" s="91" t="s">
        <v>1337</v>
      </c>
      <c r="C3673" s="91" t="s">
        <v>5439</v>
      </c>
      <c r="D3673" s="91" t="s">
        <v>20</v>
      </c>
      <c r="E3673" s="91" t="s">
        <v>26</v>
      </c>
      <c r="F3673">
        <v>918</v>
      </c>
      <c r="G3673">
        <v>17</v>
      </c>
      <c r="H3673" s="89">
        <v>46266</v>
      </c>
      <c r="I3673" s="89">
        <v>46271</v>
      </c>
      <c r="J3673" s="91" t="s">
        <v>5440</v>
      </c>
      <c r="K3673" s="91" t="s">
        <v>5441</v>
      </c>
      <c r="L3673">
        <v>1</v>
      </c>
      <c r="M3673" s="91" t="s">
        <v>5442</v>
      </c>
      <c r="N3673" s="91" t="s">
        <v>5328</v>
      </c>
    </row>
    <row r="3674" spans="1:14" x14ac:dyDescent="0.25">
      <c r="A3674" s="91" t="s">
        <v>1322</v>
      </c>
      <c r="B3674" s="91" t="s">
        <v>1336</v>
      </c>
      <c r="C3674" s="91" t="s">
        <v>5439</v>
      </c>
      <c r="D3674" s="91" t="s">
        <v>20</v>
      </c>
      <c r="E3674" s="91" t="s">
        <v>26</v>
      </c>
      <c r="F3674">
        <v>162</v>
      </c>
      <c r="G3674">
        <v>3</v>
      </c>
      <c r="H3674" s="89">
        <v>46266</v>
      </c>
      <c r="I3674" s="89">
        <v>46271</v>
      </c>
      <c r="J3674" s="91" t="s">
        <v>5440</v>
      </c>
      <c r="K3674" s="91" t="s">
        <v>5443</v>
      </c>
      <c r="L3674">
        <v>1</v>
      </c>
      <c r="M3674" s="91" t="s">
        <v>5444</v>
      </c>
      <c r="N3674" s="91" t="s">
        <v>5328</v>
      </c>
    </row>
    <row r="3675" spans="1:14" x14ac:dyDescent="0.25">
      <c r="A3675" s="91" t="s">
        <v>1313</v>
      </c>
      <c r="B3675" s="91" t="s">
        <v>1327</v>
      </c>
      <c r="C3675" s="91" t="s">
        <v>5439</v>
      </c>
      <c r="D3675" s="91" t="s">
        <v>20</v>
      </c>
      <c r="E3675" s="91" t="s">
        <v>22</v>
      </c>
      <c r="F3675">
        <v>336</v>
      </c>
      <c r="G3675">
        <v>7</v>
      </c>
      <c r="H3675" s="89">
        <v>46266</v>
      </c>
      <c r="I3675" s="89">
        <v>46271</v>
      </c>
      <c r="J3675" s="91" t="s">
        <v>5331</v>
      </c>
      <c r="K3675" s="91" t="s">
        <v>5445</v>
      </c>
      <c r="L3675">
        <v>1</v>
      </c>
      <c r="M3675" s="91" t="s">
        <v>5446</v>
      </c>
      <c r="N3675" s="91" t="s">
        <v>5328</v>
      </c>
    </row>
    <row r="3676" spans="1:14" x14ac:dyDescent="0.25">
      <c r="A3676" s="91" t="s">
        <v>1315</v>
      </c>
      <c r="B3676" s="91" t="s">
        <v>1329</v>
      </c>
      <c r="C3676" s="91" t="s">
        <v>5439</v>
      </c>
      <c r="D3676" s="91" t="s">
        <v>20</v>
      </c>
      <c r="E3676" s="91" t="s">
        <v>19</v>
      </c>
      <c r="F3676">
        <v>38</v>
      </c>
      <c r="G3676" t="s">
        <v>1419</v>
      </c>
      <c r="H3676" s="89">
        <v>46266</v>
      </c>
      <c r="I3676" s="89">
        <v>46268</v>
      </c>
      <c r="J3676" s="91" t="s">
        <v>1656</v>
      </c>
      <c r="K3676" s="91" t="s">
        <v>5447</v>
      </c>
      <c r="L3676">
        <v>1</v>
      </c>
      <c r="M3676" s="91" t="s">
        <v>5448</v>
      </c>
      <c r="N3676" s="91" t="s">
        <v>5328</v>
      </c>
    </row>
    <row r="3677" spans="1:14" x14ac:dyDescent="0.25">
      <c r="A3677" s="91" t="s">
        <v>1325</v>
      </c>
      <c r="B3677" s="91" t="s">
        <v>1339</v>
      </c>
      <c r="C3677" s="91" t="s">
        <v>5439</v>
      </c>
      <c r="D3677" s="91" t="s">
        <v>20</v>
      </c>
      <c r="E3677" s="91" t="s">
        <v>19</v>
      </c>
      <c r="F3677">
        <v>96</v>
      </c>
      <c r="G3677">
        <v>2</v>
      </c>
      <c r="H3677" s="89">
        <v>46266</v>
      </c>
      <c r="I3677" s="89">
        <v>46271</v>
      </c>
      <c r="J3677" s="91" t="s">
        <v>1656</v>
      </c>
      <c r="K3677" s="91" t="s">
        <v>5449</v>
      </c>
      <c r="L3677">
        <v>1</v>
      </c>
      <c r="M3677" s="91" t="s">
        <v>5450</v>
      </c>
      <c r="N3677" s="91" t="s">
        <v>5328</v>
      </c>
    </row>
    <row r="3678" spans="1:14" x14ac:dyDescent="0.25">
      <c r="A3678" s="91" t="s">
        <v>5451</v>
      </c>
      <c r="B3678" s="91" t="s">
        <v>5452</v>
      </c>
      <c r="C3678" s="91" t="s">
        <v>5439</v>
      </c>
      <c r="D3678" s="91" t="s">
        <v>20</v>
      </c>
      <c r="E3678" s="91" t="s">
        <v>19</v>
      </c>
      <c r="F3678">
        <v>21</v>
      </c>
      <c r="G3678" t="s">
        <v>1419</v>
      </c>
      <c r="H3678" s="89">
        <v>46266</v>
      </c>
      <c r="I3678" s="89">
        <v>46271</v>
      </c>
      <c r="J3678" s="91" t="s">
        <v>1656</v>
      </c>
      <c r="K3678" s="91" t="s">
        <v>5453</v>
      </c>
      <c r="L3678">
        <v>1</v>
      </c>
      <c r="M3678" s="91" t="s">
        <v>5454</v>
      </c>
      <c r="N3678" s="91" t="s">
        <v>5328</v>
      </c>
    </row>
    <row r="3679" spans="1:14" x14ac:dyDescent="0.25">
      <c r="A3679" s="91" t="s">
        <v>1316</v>
      </c>
      <c r="B3679" s="91" t="s">
        <v>1330</v>
      </c>
      <c r="C3679" s="91" t="s">
        <v>5455</v>
      </c>
      <c r="D3679" s="91" t="s">
        <v>20</v>
      </c>
      <c r="E3679" s="91" t="s">
        <v>19</v>
      </c>
      <c r="F3679">
        <v>96</v>
      </c>
      <c r="G3679" t="s">
        <v>1419</v>
      </c>
      <c r="H3679" s="89">
        <v>46266</v>
      </c>
      <c r="I3679" s="89">
        <v>46268</v>
      </c>
      <c r="J3679" s="91" t="s">
        <v>1656</v>
      </c>
      <c r="K3679" s="91" t="s">
        <v>5456</v>
      </c>
      <c r="L3679">
        <v>1</v>
      </c>
      <c r="M3679" s="91" t="s">
        <v>5457</v>
      </c>
      <c r="N3679" s="91" t="s">
        <v>5328</v>
      </c>
    </row>
    <row r="3680" spans="1:14" x14ac:dyDescent="0.25">
      <c r="A3680" s="91" t="s">
        <v>1317</v>
      </c>
      <c r="B3680" s="91" t="s">
        <v>1331</v>
      </c>
      <c r="C3680" s="91" t="s">
        <v>5458</v>
      </c>
      <c r="D3680" s="91" t="s">
        <v>20</v>
      </c>
      <c r="E3680" s="91" t="s">
        <v>19</v>
      </c>
      <c r="F3680">
        <v>8</v>
      </c>
      <c r="G3680" t="s">
        <v>1419</v>
      </c>
      <c r="H3680" s="89">
        <v>46266</v>
      </c>
      <c r="I3680" s="89">
        <v>46268</v>
      </c>
      <c r="J3680" s="91" t="s">
        <v>1656</v>
      </c>
      <c r="K3680" s="91" t="s">
        <v>5459</v>
      </c>
      <c r="L3680">
        <v>1</v>
      </c>
      <c r="M3680" s="91" t="s">
        <v>5460</v>
      </c>
      <c r="N3680" s="91" t="s">
        <v>5328</v>
      </c>
    </row>
    <row r="3681" spans="1:14" x14ac:dyDescent="0.25">
      <c r="A3681" s="91" t="s">
        <v>1318</v>
      </c>
      <c r="B3681" s="91" t="s">
        <v>1332</v>
      </c>
      <c r="C3681" s="91" t="s">
        <v>5461</v>
      </c>
      <c r="D3681" s="91" t="s">
        <v>20</v>
      </c>
      <c r="E3681" s="91" t="s">
        <v>19</v>
      </c>
      <c r="F3681">
        <v>34</v>
      </c>
      <c r="G3681" t="s">
        <v>1419</v>
      </c>
      <c r="H3681" s="89">
        <v>46266</v>
      </c>
      <c r="I3681" s="89">
        <v>46268</v>
      </c>
      <c r="J3681" s="91" t="s">
        <v>1656</v>
      </c>
      <c r="K3681" s="91" t="s">
        <v>5462</v>
      </c>
      <c r="L3681">
        <v>1</v>
      </c>
      <c r="M3681" s="91" t="s">
        <v>5463</v>
      </c>
      <c r="N3681" s="91" t="s">
        <v>5328</v>
      </c>
    </row>
    <row r="3682" spans="1:14" x14ac:dyDescent="0.25">
      <c r="A3682" s="91" t="s">
        <v>1320</v>
      </c>
      <c r="B3682" s="91" t="s">
        <v>1334</v>
      </c>
      <c r="C3682" s="91" t="s">
        <v>5464</v>
      </c>
      <c r="D3682" s="91" t="s">
        <v>23</v>
      </c>
      <c r="E3682" s="91" t="s">
        <v>14</v>
      </c>
      <c r="F3682">
        <v>960</v>
      </c>
      <c r="G3682">
        <v>20</v>
      </c>
      <c r="H3682" s="89">
        <v>46266</v>
      </c>
      <c r="I3682" s="89">
        <v>46270</v>
      </c>
      <c r="J3682" s="91" t="s">
        <v>5465</v>
      </c>
      <c r="K3682" s="91" t="s">
        <v>5466</v>
      </c>
      <c r="L3682">
        <v>1</v>
      </c>
      <c r="M3682" s="91" t="s">
        <v>5467</v>
      </c>
      <c r="N3682" s="91" t="s">
        <v>5328</v>
      </c>
    </row>
    <row r="3683" spans="1:14" x14ac:dyDescent="0.25">
      <c r="A3683" s="91" t="s">
        <v>1324</v>
      </c>
      <c r="B3683" s="91" t="s">
        <v>1338</v>
      </c>
      <c r="C3683" s="91" t="s">
        <v>5468</v>
      </c>
      <c r="D3683" s="91" t="s">
        <v>119</v>
      </c>
      <c r="E3683" s="91" t="s">
        <v>25</v>
      </c>
      <c r="F3683">
        <v>864</v>
      </c>
      <c r="G3683">
        <v>18</v>
      </c>
      <c r="H3683" s="89">
        <v>46267</v>
      </c>
      <c r="I3683" s="89">
        <v>46273</v>
      </c>
      <c r="J3683" s="91" t="s">
        <v>5436</v>
      </c>
      <c r="K3683" s="91" t="s">
        <v>5469</v>
      </c>
      <c r="L3683">
        <v>1</v>
      </c>
      <c r="M3683" s="91" t="s">
        <v>5470</v>
      </c>
      <c r="N3683" s="91" t="s">
        <v>5328</v>
      </c>
    </row>
    <row r="3684" spans="1:14" x14ac:dyDescent="0.25">
      <c r="A3684" s="91" t="s">
        <v>1313</v>
      </c>
      <c r="B3684" s="91" t="s">
        <v>1327</v>
      </c>
      <c r="C3684" s="91" t="s">
        <v>5468</v>
      </c>
      <c r="D3684" s="91" t="s">
        <v>119</v>
      </c>
      <c r="E3684" s="91" t="s">
        <v>16</v>
      </c>
      <c r="F3684">
        <v>288</v>
      </c>
      <c r="G3684">
        <v>6</v>
      </c>
      <c r="H3684" s="89">
        <v>46267</v>
      </c>
      <c r="I3684" s="89">
        <v>46270</v>
      </c>
      <c r="J3684" s="91" t="s">
        <v>5471</v>
      </c>
      <c r="K3684" s="91" t="s">
        <v>5472</v>
      </c>
      <c r="L3684">
        <v>1</v>
      </c>
      <c r="M3684" s="91" t="s">
        <v>5473</v>
      </c>
      <c r="N3684" s="91" t="s">
        <v>5328</v>
      </c>
    </row>
    <row r="3685" spans="1:14" x14ac:dyDescent="0.25">
      <c r="A3685" s="91" t="s">
        <v>1324</v>
      </c>
      <c r="B3685" s="91" t="s">
        <v>1338</v>
      </c>
      <c r="C3685" s="91" t="s">
        <v>5474</v>
      </c>
      <c r="D3685" s="91" t="s">
        <v>88</v>
      </c>
      <c r="E3685" s="91" t="s">
        <v>25</v>
      </c>
      <c r="F3685">
        <v>960</v>
      </c>
      <c r="G3685">
        <v>20</v>
      </c>
      <c r="H3685" s="89">
        <v>46267</v>
      </c>
      <c r="I3685" s="89">
        <v>46273</v>
      </c>
      <c r="J3685" s="91" t="s">
        <v>5436</v>
      </c>
      <c r="K3685" s="91" t="s">
        <v>5475</v>
      </c>
      <c r="L3685">
        <v>1</v>
      </c>
      <c r="M3685" s="91" t="s">
        <v>5476</v>
      </c>
      <c r="N3685" s="91" t="s">
        <v>5328</v>
      </c>
    </row>
    <row r="3686" spans="1:14" x14ac:dyDescent="0.25">
      <c r="A3686" s="91" t="s">
        <v>1320</v>
      </c>
      <c r="B3686" s="91" t="s">
        <v>1334</v>
      </c>
      <c r="C3686" s="91" t="s">
        <v>5477</v>
      </c>
      <c r="D3686" s="91" t="s">
        <v>15</v>
      </c>
      <c r="E3686" s="91" t="s">
        <v>14</v>
      </c>
      <c r="F3686">
        <v>960</v>
      </c>
      <c r="G3686">
        <v>20</v>
      </c>
      <c r="H3686" s="89">
        <v>46267</v>
      </c>
      <c r="I3686" s="89">
        <v>46270</v>
      </c>
      <c r="J3686" s="91" t="s">
        <v>5478</v>
      </c>
      <c r="K3686" s="91" t="s">
        <v>5479</v>
      </c>
      <c r="L3686">
        <v>1</v>
      </c>
      <c r="M3686" s="91" t="s">
        <v>5480</v>
      </c>
      <c r="N3686" s="91" t="s">
        <v>5328</v>
      </c>
    </row>
    <row r="3687" spans="1:14" x14ac:dyDescent="0.25">
      <c r="A3687" s="91" t="s">
        <v>1313</v>
      </c>
      <c r="B3687" s="91" t="s">
        <v>1327</v>
      </c>
      <c r="C3687" s="91" t="s">
        <v>5481</v>
      </c>
      <c r="D3687" s="91" t="s">
        <v>4313</v>
      </c>
      <c r="E3687" s="91" t="s">
        <v>22</v>
      </c>
      <c r="F3687">
        <v>1152</v>
      </c>
      <c r="G3687">
        <v>24</v>
      </c>
      <c r="H3687" s="89">
        <v>46267</v>
      </c>
      <c r="I3687" s="89">
        <v>46273</v>
      </c>
      <c r="J3687" s="91" t="s">
        <v>5482</v>
      </c>
      <c r="K3687" s="91" t="s">
        <v>5483</v>
      </c>
      <c r="L3687">
        <v>1</v>
      </c>
      <c r="M3687" s="91" t="s">
        <v>5484</v>
      </c>
      <c r="N3687" s="91" t="s">
        <v>5328</v>
      </c>
    </row>
    <row r="3688" spans="1:14" x14ac:dyDescent="0.25">
      <c r="A3688" s="91" t="s">
        <v>1313</v>
      </c>
      <c r="B3688" s="91" t="s">
        <v>1327</v>
      </c>
      <c r="C3688" s="91" t="s">
        <v>5481</v>
      </c>
      <c r="D3688" s="91" t="s">
        <v>4313</v>
      </c>
      <c r="E3688" s="91" t="s">
        <v>16</v>
      </c>
      <c r="F3688">
        <v>336</v>
      </c>
      <c r="G3688">
        <v>7</v>
      </c>
      <c r="H3688" s="89">
        <v>46267</v>
      </c>
      <c r="I3688" s="89">
        <v>46271</v>
      </c>
      <c r="J3688" s="91" t="s">
        <v>5485</v>
      </c>
      <c r="K3688" s="91" t="s">
        <v>5486</v>
      </c>
      <c r="L3688">
        <v>1</v>
      </c>
      <c r="M3688" s="91" t="s">
        <v>5487</v>
      </c>
      <c r="N3688" s="91" t="s">
        <v>5328</v>
      </c>
    </row>
    <row r="3689" spans="1:14" x14ac:dyDescent="0.25">
      <c r="A3689" s="91" t="s">
        <v>1313</v>
      </c>
      <c r="B3689" s="91" t="s">
        <v>1327</v>
      </c>
      <c r="C3689" s="91" t="s">
        <v>5481</v>
      </c>
      <c r="D3689" s="91" t="s">
        <v>4313</v>
      </c>
      <c r="E3689" s="91" t="s">
        <v>22</v>
      </c>
      <c r="F3689">
        <v>144</v>
      </c>
      <c r="G3689">
        <v>3</v>
      </c>
      <c r="H3689" s="89">
        <v>46267</v>
      </c>
      <c r="I3689" s="89">
        <v>46271</v>
      </c>
      <c r="J3689" s="91" t="s">
        <v>5331</v>
      </c>
      <c r="K3689" s="91" t="s">
        <v>5488</v>
      </c>
      <c r="L3689">
        <v>1</v>
      </c>
      <c r="M3689" s="91" t="s">
        <v>5489</v>
      </c>
      <c r="N3689" s="91" t="s">
        <v>5328</v>
      </c>
    </row>
    <row r="3690" spans="1:14" x14ac:dyDescent="0.25">
      <c r="A3690" s="91" t="s">
        <v>1313</v>
      </c>
      <c r="B3690" s="91" t="s">
        <v>1327</v>
      </c>
      <c r="C3690" s="91" t="s">
        <v>5481</v>
      </c>
      <c r="D3690" s="91" t="s">
        <v>4313</v>
      </c>
      <c r="E3690" s="91" t="s">
        <v>16</v>
      </c>
      <c r="F3690">
        <v>864</v>
      </c>
      <c r="G3690">
        <v>18</v>
      </c>
      <c r="H3690" s="89">
        <v>46267</v>
      </c>
      <c r="I3690" s="89">
        <v>46270</v>
      </c>
      <c r="J3690" s="91" t="s">
        <v>5471</v>
      </c>
      <c r="K3690" s="91" t="s">
        <v>5490</v>
      </c>
      <c r="L3690">
        <v>1</v>
      </c>
      <c r="M3690" s="91" t="s">
        <v>5491</v>
      </c>
      <c r="N3690" s="91" t="s">
        <v>5328</v>
      </c>
    </row>
    <row r="3691" spans="1:14" x14ac:dyDescent="0.25">
      <c r="A3691" s="91" t="s">
        <v>1320</v>
      </c>
      <c r="B3691" s="91" t="s">
        <v>1334</v>
      </c>
      <c r="C3691" s="91" t="s">
        <v>5492</v>
      </c>
      <c r="D3691" s="91" t="s">
        <v>21</v>
      </c>
      <c r="E3691" s="91" t="s">
        <v>14</v>
      </c>
      <c r="F3691">
        <v>960</v>
      </c>
      <c r="G3691">
        <v>20</v>
      </c>
      <c r="H3691" s="89">
        <v>46267</v>
      </c>
      <c r="I3691" s="89">
        <v>46270</v>
      </c>
      <c r="J3691" s="91" t="s">
        <v>5493</v>
      </c>
      <c r="K3691" s="91" t="s">
        <v>5494</v>
      </c>
      <c r="L3691">
        <v>1</v>
      </c>
      <c r="M3691" s="91" t="s">
        <v>5495</v>
      </c>
      <c r="N3691" s="91" t="s">
        <v>5328</v>
      </c>
    </row>
    <row r="3692" spans="1:14" x14ac:dyDescent="0.25">
      <c r="A3692" s="91" t="s">
        <v>1313</v>
      </c>
      <c r="B3692" s="91" t="s">
        <v>1327</v>
      </c>
      <c r="C3692" s="91" t="s">
        <v>5492</v>
      </c>
      <c r="D3692" s="91" t="s">
        <v>21</v>
      </c>
      <c r="E3692" s="91" t="s">
        <v>22</v>
      </c>
      <c r="F3692">
        <v>48</v>
      </c>
      <c r="G3692">
        <v>1</v>
      </c>
      <c r="H3692" s="89">
        <v>46267</v>
      </c>
      <c r="I3692" s="89">
        <v>46270</v>
      </c>
      <c r="J3692" s="91" t="s">
        <v>5366</v>
      </c>
      <c r="K3692" s="91" t="s">
        <v>5496</v>
      </c>
      <c r="L3692">
        <v>1</v>
      </c>
      <c r="M3692" s="91" t="s">
        <v>5497</v>
      </c>
      <c r="N3692" s="91" t="s">
        <v>5328</v>
      </c>
    </row>
    <row r="3693" spans="1:14" x14ac:dyDescent="0.25">
      <c r="A3693" s="91" t="s">
        <v>1313</v>
      </c>
      <c r="B3693" s="91" t="s">
        <v>1327</v>
      </c>
      <c r="C3693" s="91" t="s">
        <v>5492</v>
      </c>
      <c r="D3693" s="91" t="s">
        <v>21</v>
      </c>
      <c r="E3693" s="91" t="s">
        <v>22</v>
      </c>
      <c r="F3693">
        <v>528</v>
      </c>
      <c r="G3693">
        <v>11</v>
      </c>
      <c r="H3693" s="89">
        <v>46267</v>
      </c>
      <c r="I3693" s="89">
        <v>46271</v>
      </c>
      <c r="J3693" s="91" t="s">
        <v>5498</v>
      </c>
      <c r="K3693" s="91" t="s">
        <v>5499</v>
      </c>
      <c r="L3693">
        <v>1</v>
      </c>
      <c r="M3693" s="91" t="s">
        <v>5500</v>
      </c>
      <c r="N3693" s="91" t="s">
        <v>5328</v>
      </c>
    </row>
    <row r="3694" spans="1:14" x14ac:dyDescent="0.25">
      <c r="A3694" s="91" t="s">
        <v>1315</v>
      </c>
      <c r="B3694" s="91" t="s">
        <v>1329</v>
      </c>
      <c r="C3694" s="91" t="s">
        <v>5492</v>
      </c>
      <c r="D3694" s="91" t="s">
        <v>21</v>
      </c>
      <c r="E3694" s="91" t="s">
        <v>19</v>
      </c>
      <c r="F3694">
        <v>45</v>
      </c>
      <c r="G3694" t="s">
        <v>1419</v>
      </c>
      <c r="H3694" s="89">
        <v>46267</v>
      </c>
      <c r="I3694" s="89">
        <v>46269</v>
      </c>
      <c r="J3694" s="91" t="s">
        <v>1656</v>
      </c>
      <c r="K3694" s="91" t="s">
        <v>5501</v>
      </c>
      <c r="L3694">
        <v>1</v>
      </c>
      <c r="M3694" s="91" t="s">
        <v>5502</v>
      </c>
      <c r="N3694" s="91" t="s">
        <v>5328</v>
      </c>
    </row>
    <row r="3695" spans="1:14" x14ac:dyDescent="0.25">
      <c r="A3695" s="91" t="s">
        <v>1315</v>
      </c>
      <c r="B3695" s="91" t="s">
        <v>1329</v>
      </c>
      <c r="C3695" s="91" t="s">
        <v>5492</v>
      </c>
      <c r="D3695" s="91" t="s">
        <v>21</v>
      </c>
      <c r="E3695" s="91" t="s">
        <v>19</v>
      </c>
      <c r="F3695">
        <v>58</v>
      </c>
      <c r="G3695" t="s">
        <v>1419</v>
      </c>
      <c r="H3695" s="89">
        <v>46267</v>
      </c>
      <c r="I3695" s="89">
        <v>46269</v>
      </c>
      <c r="J3695" s="91" t="s">
        <v>1656</v>
      </c>
      <c r="K3695" s="91" t="s">
        <v>5501</v>
      </c>
      <c r="L3695">
        <v>2</v>
      </c>
      <c r="M3695" s="91" t="s">
        <v>5503</v>
      </c>
      <c r="N3695" s="91" t="s">
        <v>5328</v>
      </c>
    </row>
    <row r="3696" spans="1:14" x14ac:dyDescent="0.25">
      <c r="A3696" s="91" t="s">
        <v>1316</v>
      </c>
      <c r="B3696" s="91" t="s">
        <v>1330</v>
      </c>
      <c r="C3696" s="91" t="s">
        <v>5504</v>
      </c>
      <c r="D3696" s="91" t="s">
        <v>21</v>
      </c>
      <c r="E3696" s="91" t="s">
        <v>19</v>
      </c>
      <c r="F3696">
        <v>37</v>
      </c>
      <c r="G3696" t="s">
        <v>1419</v>
      </c>
      <c r="H3696" s="89">
        <v>46267</v>
      </c>
      <c r="I3696" s="89">
        <v>46269</v>
      </c>
      <c r="J3696" s="91" t="s">
        <v>1656</v>
      </c>
      <c r="K3696" s="91" t="s">
        <v>5505</v>
      </c>
      <c r="L3696">
        <v>1</v>
      </c>
      <c r="M3696" s="91" t="s">
        <v>5506</v>
      </c>
      <c r="N3696" s="91" t="s">
        <v>5328</v>
      </c>
    </row>
    <row r="3697" spans="1:14" x14ac:dyDescent="0.25">
      <c r="A3697" s="91" t="s">
        <v>1317</v>
      </c>
      <c r="B3697" s="91" t="s">
        <v>1331</v>
      </c>
      <c r="C3697" s="91" t="s">
        <v>5507</v>
      </c>
      <c r="D3697" s="91" t="s">
        <v>21</v>
      </c>
      <c r="E3697" s="91" t="s">
        <v>19</v>
      </c>
      <c r="F3697">
        <v>25</v>
      </c>
      <c r="G3697" t="s">
        <v>1419</v>
      </c>
      <c r="H3697" s="89">
        <v>46267</v>
      </c>
      <c r="I3697" s="89">
        <v>46269</v>
      </c>
      <c r="J3697" s="91" t="s">
        <v>1656</v>
      </c>
      <c r="K3697" s="91" t="s">
        <v>5508</v>
      </c>
      <c r="L3697">
        <v>1</v>
      </c>
      <c r="M3697" s="91" t="s">
        <v>5509</v>
      </c>
      <c r="N3697" s="91" t="s">
        <v>5328</v>
      </c>
    </row>
    <row r="3698" spans="1:14" x14ac:dyDescent="0.25">
      <c r="A3698" s="91" t="s">
        <v>1318</v>
      </c>
      <c r="B3698" s="91" t="s">
        <v>1332</v>
      </c>
      <c r="C3698" s="91" t="s">
        <v>5510</v>
      </c>
      <c r="D3698" s="91" t="s">
        <v>21</v>
      </c>
      <c r="E3698" s="91" t="s">
        <v>19</v>
      </c>
      <c r="F3698">
        <v>82</v>
      </c>
      <c r="G3698" t="s">
        <v>1419</v>
      </c>
      <c r="H3698" s="89">
        <v>46267</v>
      </c>
      <c r="I3698" s="89">
        <v>46269</v>
      </c>
      <c r="J3698" s="91" t="s">
        <v>1656</v>
      </c>
      <c r="K3698" s="91" t="s">
        <v>5511</v>
      </c>
      <c r="L3698">
        <v>1</v>
      </c>
      <c r="M3698" s="91" t="s">
        <v>5512</v>
      </c>
      <c r="N3698" s="91" t="s">
        <v>5328</v>
      </c>
    </row>
    <row r="3699" spans="1:14" x14ac:dyDescent="0.25">
      <c r="A3699" s="91" t="s">
        <v>1320</v>
      </c>
      <c r="B3699" s="91" t="s">
        <v>1334</v>
      </c>
      <c r="C3699" s="91" t="s">
        <v>5513</v>
      </c>
      <c r="D3699" s="91" t="s">
        <v>23</v>
      </c>
      <c r="E3699" s="91" t="s">
        <v>14</v>
      </c>
      <c r="F3699">
        <v>960</v>
      </c>
      <c r="G3699">
        <v>20</v>
      </c>
      <c r="H3699" s="89">
        <v>46267</v>
      </c>
      <c r="I3699" s="89">
        <v>46272</v>
      </c>
      <c r="J3699" s="91" t="s">
        <v>5514</v>
      </c>
      <c r="K3699" s="91" t="s">
        <v>5515</v>
      </c>
      <c r="L3699">
        <v>1</v>
      </c>
      <c r="M3699" s="91" t="s">
        <v>5516</v>
      </c>
      <c r="N3699" s="91" t="s">
        <v>5328</v>
      </c>
    </row>
    <row r="3700" spans="1:14" x14ac:dyDescent="0.25">
      <c r="A3700" s="91" t="s">
        <v>1313</v>
      </c>
      <c r="B3700" s="91" t="s">
        <v>1327</v>
      </c>
      <c r="C3700" s="91" t="s">
        <v>5477</v>
      </c>
      <c r="D3700" s="91" t="s">
        <v>15</v>
      </c>
      <c r="E3700" s="91" t="s">
        <v>22</v>
      </c>
      <c r="F3700">
        <v>624</v>
      </c>
      <c r="G3700">
        <v>13</v>
      </c>
      <c r="H3700" s="89">
        <v>46267</v>
      </c>
      <c r="I3700" s="89">
        <v>46271</v>
      </c>
      <c r="J3700" s="91" t="s">
        <v>5331</v>
      </c>
      <c r="K3700" s="91" t="s">
        <v>5517</v>
      </c>
      <c r="L3700">
        <v>1</v>
      </c>
      <c r="M3700" s="91" t="s">
        <v>5518</v>
      </c>
      <c r="N3700" s="91" t="s">
        <v>5328</v>
      </c>
    </row>
    <row r="3701" spans="1:14" x14ac:dyDescent="0.25">
      <c r="A3701" s="91" t="s">
        <v>1315</v>
      </c>
      <c r="B3701" s="91" t="s">
        <v>1329</v>
      </c>
      <c r="C3701" s="91" t="s">
        <v>5477</v>
      </c>
      <c r="D3701" s="91" t="s">
        <v>15</v>
      </c>
      <c r="E3701" s="91" t="s">
        <v>19</v>
      </c>
      <c r="F3701">
        <v>38</v>
      </c>
      <c r="G3701" t="s">
        <v>1419</v>
      </c>
      <c r="H3701" s="89">
        <v>46267</v>
      </c>
      <c r="I3701" s="89">
        <v>46269</v>
      </c>
      <c r="J3701" s="91" t="s">
        <v>1656</v>
      </c>
      <c r="K3701" s="91" t="s">
        <v>5519</v>
      </c>
      <c r="L3701">
        <v>1</v>
      </c>
      <c r="M3701" s="91" t="s">
        <v>5520</v>
      </c>
      <c r="N3701" s="91" t="s">
        <v>5328</v>
      </c>
    </row>
    <row r="3702" spans="1:14" x14ac:dyDescent="0.25">
      <c r="A3702" s="91" t="s">
        <v>1316</v>
      </c>
      <c r="B3702" s="91" t="s">
        <v>1330</v>
      </c>
      <c r="C3702" s="91" t="s">
        <v>5521</v>
      </c>
      <c r="D3702" s="91" t="s">
        <v>15</v>
      </c>
      <c r="E3702" s="91" t="s">
        <v>19</v>
      </c>
      <c r="F3702">
        <v>65</v>
      </c>
      <c r="G3702" t="s">
        <v>1419</v>
      </c>
      <c r="H3702" s="89">
        <v>46267</v>
      </c>
      <c r="I3702" s="89">
        <v>46269</v>
      </c>
      <c r="J3702" s="91" t="s">
        <v>1656</v>
      </c>
      <c r="K3702" s="91" t="s">
        <v>5522</v>
      </c>
      <c r="L3702">
        <v>1</v>
      </c>
      <c r="M3702" s="91" t="s">
        <v>5523</v>
      </c>
      <c r="N3702" s="91" t="s">
        <v>5328</v>
      </c>
    </row>
    <row r="3703" spans="1:14" x14ac:dyDescent="0.25">
      <c r="A3703" s="91" t="s">
        <v>1317</v>
      </c>
      <c r="B3703" s="91" t="s">
        <v>1331</v>
      </c>
      <c r="C3703" s="91" t="s">
        <v>5524</v>
      </c>
      <c r="D3703" s="91" t="s">
        <v>15</v>
      </c>
      <c r="E3703" s="91" t="s">
        <v>19</v>
      </c>
      <c r="F3703">
        <v>80</v>
      </c>
      <c r="G3703" t="s">
        <v>1419</v>
      </c>
      <c r="H3703" s="89">
        <v>46267</v>
      </c>
      <c r="I3703" s="89">
        <v>46269</v>
      </c>
      <c r="J3703" s="91" t="s">
        <v>1656</v>
      </c>
      <c r="K3703" s="91" t="s">
        <v>5525</v>
      </c>
      <c r="L3703">
        <v>1</v>
      </c>
      <c r="M3703" s="91" t="s">
        <v>5526</v>
      </c>
      <c r="N3703" s="91" t="s">
        <v>5328</v>
      </c>
    </row>
    <row r="3704" spans="1:14" x14ac:dyDescent="0.25">
      <c r="A3704" s="91" t="s">
        <v>1318</v>
      </c>
      <c r="B3704" s="91" t="s">
        <v>1332</v>
      </c>
      <c r="C3704" s="91" t="s">
        <v>5527</v>
      </c>
      <c r="D3704" s="91" t="s">
        <v>15</v>
      </c>
      <c r="E3704" s="91" t="s">
        <v>19</v>
      </c>
      <c r="F3704">
        <v>33</v>
      </c>
      <c r="G3704" t="s">
        <v>1419</v>
      </c>
      <c r="H3704" s="89">
        <v>46267</v>
      </c>
      <c r="I3704" s="89">
        <v>46269</v>
      </c>
      <c r="J3704" s="91" t="s">
        <v>1656</v>
      </c>
      <c r="K3704" s="91" t="s">
        <v>5528</v>
      </c>
      <c r="L3704">
        <v>1</v>
      </c>
      <c r="M3704" s="91" t="s">
        <v>5529</v>
      </c>
      <c r="N3704" s="91" t="s">
        <v>5328</v>
      </c>
    </row>
    <row r="3705" spans="1:14" x14ac:dyDescent="0.25">
      <c r="A3705" s="91" t="s">
        <v>1313</v>
      </c>
      <c r="B3705" s="91" t="s">
        <v>1327</v>
      </c>
      <c r="C3705" s="91" t="s">
        <v>5530</v>
      </c>
      <c r="D3705" s="91" t="s">
        <v>20</v>
      </c>
      <c r="E3705" s="91" t="s">
        <v>18</v>
      </c>
      <c r="F3705">
        <v>1056</v>
      </c>
      <c r="G3705">
        <v>22</v>
      </c>
      <c r="H3705" s="89">
        <v>46267</v>
      </c>
      <c r="I3705" s="89">
        <v>46272</v>
      </c>
      <c r="J3705" s="91" t="s">
        <v>5531</v>
      </c>
      <c r="K3705" s="91" t="s">
        <v>5532</v>
      </c>
      <c r="L3705">
        <v>1</v>
      </c>
      <c r="M3705" s="91" t="s">
        <v>5533</v>
      </c>
      <c r="N3705" s="91" t="s">
        <v>5328</v>
      </c>
    </row>
    <row r="3706" spans="1:14" x14ac:dyDescent="0.25">
      <c r="A3706" s="91" t="s">
        <v>1313</v>
      </c>
      <c r="B3706" s="91" t="s">
        <v>1327</v>
      </c>
      <c r="C3706" s="91" t="s">
        <v>5530</v>
      </c>
      <c r="D3706" s="91" t="s">
        <v>20</v>
      </c>
      <c r="E3706" s="91" t="s">
        <v>19</v>
      </c>
      <c r="F3706">
        <v>144</v>
      </c>
      <c r="G3706">
        <v>3</v>
      </c>
      <c r="H3706" s="89">
        <v>46267</v>
      </c>
      <c r="I3706" s="89">
        <v>46269</v>
      </c>
      <c r="J3706" s="91" t="s">
        <v>1656</v>
      </c>
      <c r="K3706" s="91" t="s">
        <v>5534</v>
      </c>
      <c r="L3706">
        <v>1</v>
      </c>
      <c r="M3706" s="91" t="s">
        <v>5535</v>
      </c>
      <c r="N3706" s="91" t="s">
        <v>5328</v>
      </c>
    </row>
    <row r="3707" spans="1:14" x14ac:dyDescent="0.25">
      <c r="A3707" s="91" t="s">
        <v>1315</v>
      </c>
      <c r="B3707" s="91" t="s">
        <v>1329</v>
      </c>
      <c r="C3707" s="91" t="s">
        <v>5530</v>
      </c>
      <c r="D3707" s="91" t="s">
        <v>20</v>
      </c>
      <c r="E3707" s="91" t="s">
        <v>19</v>
      </c>
      <c r="F3707">
        <v>4</v>
      </c>
      <c r="G3707" t="s">
        <v>1419</v>
      </c>
      <c r="H3707" s="89">
        <v>46267</v>
      </c>
      <c r="I3707" s="89">
        <v>46269</v>
      </c>
      <c r="J3707" s="91" t="s">
        <v>1656</v>
      </c>
      <c r="K3707" s="91" t="s">
        <v>5536</v>
      </c>
      <c r="L3707">
        <v>1</v>
      </c>
      <c r="M3707" s="91" t="s">
        <v>5537</v>
      </c>
      <c r="N3707" s="91" t="s">
        <v>5328</v>
      </c>
    </row>
    <row r="3708" spans="1:14" x14ac:dyDescent="0.25">
      <c r="A3708" s="91" t="s">
        <v>1325</v>
      </c>
      <c r="B3708" s="91" t="s">
        <v>1339</v>
      </c>
      <c r="C3708" s="91" t="s">
        <v>5530</v>
      </c>
      <c r="D3708" s="91" t="s">
        <v>20</v>
      </c>
      <c r="E3708" s="91" t="s">
        <v>19</v>
      </c>
      <c r="F3708">
        <v>48</v>
      </c>
      <c r="G3708">
        <v>1</v>
      </c>
      <c r="H3708" s="89">
        <v>46267</v>
      </c>
      <c r="I3708" s="89">
        <v>46271</v>
      </c>
      <c r="J3708" s="91" t="s">
        <v>1656</v>
      </c>
      <c r="K3708" s="91" t="s">
        <v>5538</v>
      </c>
      <c r="L3708">
        <v>1</v>
      </c>
      <c r="M3708" s="91" t="s">
        <v>5539</v>
      </c>
      <c r="N3708" s="91" t="s">
        <v>5328</v>
      </c>
    </row>
    <row r="3709" spans="1:14" x14ac:dyDescent="0.25">
      <c r="A3709" s="91" t="s">
        <v>5451</v>
      </c>
      <c r="B3709" s="91" t="s">
        <v>5452</v>
      </c>
      <c r="C3709" s="91" t="s">
        <v>5530</v>
      </c>
      <c r="D3709" s="91" t="s">
        <v>20</v>
      </c>
      <c r="E3709" s="91" t="s">
        <v>19</v>
      </c>
      <c r="F3709">
        <v>8</v>
      </c>
      <c r="G3709" t="s">
        <v>1419</v>
      </c>
      <c r="H3709" s="89">
        <v>46267</v>
      </c>
      <c r="I3709" s="89">
        <v>46271</v>
      </c>
      <c r="J3709" s="91" t="s">
        <v>1656</v>
      </c>
      <c r="K3709" s="91" t="s">
        <v>5540</v>
      </c>
      <c r="L3709">
        <v>1</v>
      </c>
      <c r="M3709" s="91" t="s">
        <v>5541</v>
      </c>
      <c r="N3709" s="91" t="s">
        <v>5328</v>
      </c>
    </row>
    <row r="3710" spans="1:14" x14ac:dyDescent="0.25">
      <c r="A3710" s="91" t="s">
        <v>1316</v>
      </c>
      <c r="B3710" s="91" t="s">
        <v>1330</v>
      </c>
      <c r="C3710" s="91" t="s">
        <v>5542</v>
      </c>
      <c r="D3710" s="91" t="s">
        <v>20</v>
      </c>
      <c r="E3710" s="91" t="s">
        <v>19</v>
      </c>
      <c r="F3710">
        <v>123</v>
      </c>
      <c r="G3710" t="s">
        <v>1419</v>
      </c>
      <c r="H3710" s="89">
        <v>46267</v>
      </c>
      <c r="I3710" s="89">
        <v>46269</v>
      </c>
      <c r="J3710" s="91" t="s">
        <v>1656</v>
      </c>
      <c r="K3710" s="91" t="s">
        <v>5543</v>
      </c>
      <c r="L3710">
        <v>1</v>
      </c>
      <c r="M3710" s="91" t="s">
        <v>5544</v>
      </c>
      <c r="N3710" s="91" t="s">
        <v>5328</v>
      </c>
    </row>
    <row r="3711" spans="1:14" x14ac:dyDescent="0.25">
      <c r="A3711" s="91" t="s">
        <v>1317</v>
      </c>
      <c r="B3711" s="91" t="s">
        <v>1331</v>
      </c>
      <c r="C3711" s="91" t="s">
        <v>5545</v>
      </c>
      <c r="D3711" s="91" t="s">
        <v>20</v>
      </c>
      <c r="E3711" s="91" t="s">
        <v>19</v>
      </c>
      <c r="F3711">
        <v>28</v>
      </c>
      <c r="G3711" t="s">
        <v>1419</v>
      </c>
      <c r="H3711" s="89">
        <v>46267</v>
      </c>
      <c r="I3711" s="89">
        <v>46269</v>
      </c>
      <c r="J3711" s="91" t="s">
        <v>1656</v>
      </c>
      <c r="K3711" s="91" t="s">
        <v>5546</v>
      </c>
      <c r="L3711">
        <v>1</v>
      </c>
      <c r="M3711" s="91" t="s">
        <v>5547</v>
      </c>
      <c r="N3711" s="91" t="s">
        <v>5328</v>
      </c>
    </row>
    <row r="3712" spans="1:14" x14ac:dyDescent="0.25">
      <c r="A3712" s="91" t="s">
        <v>1318</v>
      </c>
      <c r="B3712" s="91" t="s">
        <v>1332</v>
      </c>
      <c r="C3712" s="91" t="s">
        <v>5548</v>
      </c>
      <c r="D3712" s="91" t="s">
        <v>20</v>
      </c>
      <c r="E3712" s="91" t="s">
        <v>19</v>
      </c>
      <c r="F3712">
        <v>60</v>
      </c>
      <c r="G3712" t="s">
        <v>1419</v>
      </c>
      <c r="H3712" s="89">
        <v>46267</v>
      </c>
      <c r="I3712" s="89">
        <v>46269</v>
      </c>
      <c r="J3712" s="91" t="s">
        <v>1656</v>
      </c>
      <c r="K3712" s="91" t="s">
        <v>5549</v>
      </c>
      <c r="L3712">
        <v>1</v>
      </c>
      <c r="M3712" s="91" t="s">
        <v>5550</v>
      </c>
      <c r="N3712" s="91" t="s">
        <v>5328</v>
      </c>
    </row>
    <row r="3713" spans="1:14" x14ac:dyDescent="0.25">
      <c r="A3713" s="91" t="s">
        <v>1313</v>
      </c>
      <c r="B3713" s="91" t="s">
        <v>1327</v>
      </c>
      <c r="C3713" s="91" t="s">
        <v>5551</v>
      </c>
      <c r="D3713" s="91" t="s">
        <v>24</v>
      </c>
      <c r="E3713" s="91" t="s">
        <v>17</v>
      </c>
      <c r="F3713">
        <v>1104</v>
      </c>
      <c r="G3713">
        <v>23</v>
      </c>
      <c r="H3713" s="89">
        <v>46268</v>
      </c>
      <c r="I3713" s="89">
        <v>46272</v>
      </c>
      <c r="J3713" s="91" t="s">
        <v>5552</v>
      </c>
      <c r="K3713" s="91" t="s">
        <v>5553</v>
      </c>
      <c r="L3713">
        <v>1</v>
      </c>
      <c r="M3713" s="91" t="s">
        <v>5554</v>
      </c>
      <c r="N3713" s="91" t="s">
        <v>5328</v>
      </c>
    </row>
    <row r="3714" spans="1:14" x14ac:dyDescent="0.25">
      <c r="A3714" s="91" t="s">
        <v>1319</v>
      </c>
      <c r="B3714" s="91" t="s">
        <v>1333</v>
      </c>
      <c r="C3714" s="91" t="s">
        <v>5551</v>
      </c>
      <c r="D3714" s="91" t="s">
        <v>24</v>
      </c>
      <c r="E3714" s="91" t="s">
        <v>17</v>
      </c>
      <c r="F3714">
        <v>48</v>
      </c>
      <c r="G3714">
        <v>1</v>
      </c>
      <c r="H3714" s="89">
        <v>46268</v>
      </c>
      <c r="I3714" s="89">
        <v>46272</v>
      </c>
      <c r="J3714" s="91" t="s">
        <v>5552</v>
      </c>
      <c r="K3714" s="91" t="s">
        <v>5555</v>
      </c>
      <c r="L3714">
        <v>1</v>
      </c>
      <c r="M3714" s="91" t="s">
        <v>5556</v>
      </c>
      <c r="N3714" s="91" t="s">
        <v>5328</v>
      </c>
    </row>
    <row r="3715" spans="1:14" x14ac:dyDescent="0.25">
      <c r="A3715" s="91" t="s">
        <v>1320</v>
      </c>
      <c r="B3715" s="91" t="s">
        <v>1334</v>
      </c>
      <c r="C3715" s="91" t="s">
        <v>5557</v>
      </c>
      <c r="D3715" s="91" t="s">
        <v>30</v>
      </c>
      <c r="E3715" s="91" t="s">
        <v>14</v>
      </c>
      <c r="F3715">
        <v>576</v>
      </c>
      <c r="G3715">
        <v>12</v>
      </c>
      <c r="H3715" s="89">
        <v>46268</v>
      </c>
      <c r="I3715" s="89">
        <v>46274</v>
      </c>
      <c r="J3715" s="91" t="s">
        <v>5558</v>
      </c>
      <c r="K3715" s="91" t="s">
        <v>5559</v>
      </c>
      <c r="L3715">
        <v>1</v>
      </c>
      <c r="M3715" s="91" t="s">
        <v>5560</v>
      </c>
      <c r="N3715" s="91" t="s">
        <v>5328</v>
      </c>
    </row>
    <row r="3716" spans="1:14" x14ac:dyDescent="0.25">
      <c r="A3716" s="91" t="s">
        <v>1313</v>
      </c>
      <c r="B3716" s="91" t="s">
        <v>1327</v>
      </c>
      <c r="C3716" s="91" t="s">
        <v>5561</v>
      </c>
      <c r="D3716" s="91" t="s">
        <v>103</v>
      </c>
      <c r="E3716" s="91" t="s">
        <v>18</v>
      </c>
      <c r="F3716">
        <v>1056</v>
      </c>
      <c r="G3716">
        <v>22</v>
      </c>
      <c r="H3716" s="89">
        <v>46268</v>
      </c>
      <c r="I3716" s="89">
        <v>46274</v>
      </c>
      <c r="J3716" s="91" t="s">
        <v>5562</v>
      </c>
      <c r="K3716" s="91" t="s">
        <v>5563</v>
      </c>
      <c r="L3716">
        <v>1</v>
      </c>
      <c r="M3716" s="91" t="s">
        <v>5564</v>
      </c>
      <c r="N3716" s="91" t="s">
        <v>5328</v>
      </c>
    </row>
    <row r="3717" spans="1:14" x14ac:dyDescent="0.25">
      <c r="A3717" s="91" t="s">
        <v>1314</v>
      </c>
      <c r="B3717" s="91" t="s">
        <v>1328</v>
      </c>
      <c r="C3717" s="91" t="s">
        <v>5565</v>
      </c>
      <c r="D3717" s="91" t="s">
        <v>15</v>
      </c>
      <c r="E3717" s="91" t="s">
        <v>18</v>
      </c>
      <c r="F3717">
        <v>96</v>
      </c>
      <c r="G3717">
        <v>2</v>
      </c>
      <c r="H3717" s="89">
        <v>46268</v>
      </c>
      <c r="I3717" s="89">
        <v>46272</v>
      </c>
      <c r="J3717" s="91" t="s">
        <v>5531</v>
      </c>
      <c r="K3717" s="91" t="s">
        <v>5566</v>
      </c>
      <c r="L3717">
        <v>1</v>
      </c>
      <c r="M3717" s="91" t="s">
        <v>5567</v>
      </c>
      <c r="N3717" s="91" t="s">
        <v>5328</v>
      </c>
    </row>
    <row r="3718" spans="1:14" x14ac:dyDescent="0.25">
      <c r="A3718" s="91" t="s">
        <v>1313</v>
      </c>
      <c r="B3718" s="91" t="s">
        <v>1327</v>
      </c>
      <c r="C3718" s="91" t="s">
        <v>5565</v>
      </c>
      <c r="D3718" s="91" t="s">
        <v>15</v>
      </c>
      <c r="E3718" s="91" t="s">
        <v>16</v>
      </c>
      <c r="F3718">
        <v>528</v>
      </c>
      <c r="G3718">
        <v>11</v>
      </c>
      <c r="H3718" s="89">
        <v>46268</v>
      </c>
      <c r="I3718" s="89">
        <v>46271</v>
      </c>
      <c r="J3718" s="91" t="s">
        <v>5485</v>
      </c>
      <c r="K3718" s="91" t="s">
        <v>5568</v>
      </c>
      <c r="L3718">
        <v>1</v>
      </c>
      <c r="M3718" s="91" t="s">
        <v>5569</v>
      </c>
      <c r="N3718" s="91" t="s">
        <v>5328</v>
      </c>
    </row>
    <row r="3719" spans="1:14" x14ac:dyDescent="0.25">
      <c r="A3719" s="91" t="s">
        <v>1314</v>
      </c>
      <c r="B3719" s="91" t="s">
        <v>1328</v>
      </c>
      <c r="C3719" s="91" t="s">
        <v>5565</v>
      </c>
      <c r="D3719" s="91" t="s">
        <v>15</v>
      </c>
      <c r="E3719" s="91" t="s">
        <v>16</v>
      </c>
      <c r="F3719">
        <v>288</v>
      </c>
      <c r="G3719">
        <v>6</v>
      </c>
      <c r="H3719" s="89">
        <v>46268</v>
      </c>
      <c r="I3719" s="89">
        <v>46271</v>
      </c>
      <c r="J3719" s="91" t="s">
        <v>5570</v>
      </c>
      <c r="K3719" s="91" t="s">
        <v>5571</v>
      </c>
      <c r="L3719">
        <v>1</v>
      </c>
      <c r="M3719" s="91" t="s">
        <v>5572</v>
      </c>
      <c r="N3719" s="91" t="s">
        <v>5328</v>
      </c>
    </row>
    <row r="3720" spans="1:14" x14ac:dyDescent="0.25">
      <c r="A3720" s="91" t="s">
        <v>1313</v>
      </c>
      <c r="B3720" s="91" t="s">
        <v>1327</v>
      </c>
      <c r="C3720" s="91" t="s">
        <v>5565</v>
      </c>
      <c r="D3720" s="91" t="s">
        <v>15</v>
      </c>
      <c r="E3720" s="91" t="s">
        <v>31</v>
      </c>
      <c r="F3720">
        <v>528</v>
      </c>
      <c r="G3720">
        <v>4</v>
      </c>
      <c r="H3720" s="89">
        <v>46268</v>
      </c>
      <c r="I3720" s="89">
        <v>46274</v>
      </c>
      <c r="J3720" s="91" t="s">
        <v>5573</v>
      </c>
      <c r="K3720" s="91" t="s">
        <v>5574</v>
      </c>
      <c r="L3720">
        <v>1</v>
      </c>
      <c r="M3720" s="91" t="s">
        <v>5575</v>
      </c>
      <c r="N3720" s="91" t="s">
        <v>5328</v>
      </c>
    </row>
    <row r="3721" spans="1:14" x14ac:dyDescent="0.25">
      <c r="A3721" s="91" t="s">
        <v>1315</v>
      </c>
      <c r="B3721" s="91" t="s">
        <v>1329</v>
      </c>
      <c r="C3721" s="91" t="s">
        <v>5565</v>
      </c>
      <c r="D3721" s="91" t="s">
        <v>15</v>
      </c>
      <c r="E3721" s="91" t="s">
        <v>19</v>
      </c>
      <c r="F3721">
        <v>46</v>
      </c>
      <c r="G3721" t="s">
        <v>1419</v>
      </c>
      <c r="H3721" s="89">
        <v>46268</v>
      </c>
      <c r="I3721" s="89">
        <v>46270</v>
      </c>
      <c r="J3721" s="91" t="s">
        <v>1656</v>
      </c>
      <c r="K3721" s="91" t="s">
        <v>5576</v>
      </c>
      <c r="L3721">
        <v>1</v>
      </c>
      <c r="M3721" s="91" t="s">
        <v>5577</v>
      </c>
      <c r="N3721" s="91" t="s">
        <v>5328</v>
      </c>
    </row>
    <row r="3722" spans="1:14" x14ac:dyDescent="0.25">
      <c r="A3722" s="91" t="s">
        <v>1316</v>
      </c>
      <c r="B3722" s="91" t="s">
        <v>1330</v>
      </c>
      <c r="C3722" s="91" t="s">
        <v>5578</v>
      </c>
      <c r="D3722" s="91" t="s">
        <v>15</v>
      </c>
      <c r="E3722" s="91" t="s">
        <v>19</v>
      </c>
      <c r="F3722">
        <v>44</v>
      </c>
      <c r="G3722" t="s">
        <v>1419</v>
      </c>
      <c r="H3722" s="89">
        <v>46268</v>
      </c>
      <c r="I3722" s="89">
        <v>46270</v>
      </c>
      <c r="J3722" s="91" t="s">
        <v>1656</v>
      </c>
      <c r="K3722" s="91" t="s">
        <v>5579</v>
      </c>
      <c r="L3722">
        <v>1</v>
      </c>
      <c r="M3722" s="91" t="s">
        <v>5580</v>
      </c>
      <c r="N3722" s="91" t="s">
        <v>5328</v>
      </c>
    </row>
    <row r="3723" spans="1:14" x14ac:dyDescent="0.25">
      <c r="A3723" s="91" t="s">
        <v>1317</v>
      </c>
      <c r="B3723" s="91" t="s">
        <v>1331</v>
      </c>
      <c r="C3723" s="91" t="s">
        <v>5581</v>
      </c>
      <c r="D3723" s="91" t="s">
        <v>15</v>
      </c>
      <c r="E3723" s="91" t="s">
        <v>19</v>
      </c>
      <c r="F3723">
        <v>75</v>
      </c>
      <c r="G3723" t="s">
        <v>1419</v>
      </c>
      <c r="H3723" s="89">
        <v>46268</v>
      </c>
      <c r="I3723" s="89">
        <v>46270</v>
      </c>
      <c r="J3723" s="91" t="s">
        <v>1656</v>
      </c>
      <c r="K3723" s="91" t="s">
        <v>5582</v>
      </c>
      <c r="L3723">
        <v>1</v>
      </c>
      <c r="M3723" s="91" t="s">
        <v>5583</v>
      </c>
      <c r="N3723" s="91" t="s">
        <v>5328</v>
      </c>
    </row>
    <row r="3724" spans="1:14" x14ac:dyDescent="0.25">
      <c r="A3724" s="91" t="s">
        <v>1318</v>
      </c>
      <c r="B3724" s="91" t="s">
        <v>1332</v>
      </c>
      <c r="C3724" s="91" t="s">
        <v>5584</v>
      </c>
      <c r="D3724" s="91" t="s">
        <v>15</v>
      </c>
      <c r="E3724" s="91" t="s">
        <v>19</v>
      </c>
      <c r="F3724">
        <v>21</v>
      </c>
      <c r="G3724" t="s">
        <v>1419</v>
      </c>
      <c r="H3724" s="89">
        <v>46268</v>
      </c>
      <c r="I3724" s="89">
        <v>46270</v>
      </c>
      <c r="J3724" s="91" t="s">
        <v>1656</v>
      </c>
      <c r="K3724" s="91" t="s">
        <v>5585</v>
      </c>
      <c r="L3724">
        <v>1</v>
      </c>
      <c r="M3724" s="91" t="s">
        <v>5586</v>
      </c>
      <c r="N3724" s="91" t="s">
        <v>5328</v>
      </c>
    </row>
    <row r="3725" spans="1:14" x14ac:dyDescent="0.25">
      <c r="A3725" s="91" t="s">
        <v>1313</v>
      </c>
      <c r="B3725" s="91" t="s">
        <v>1327</v>
      </c>
      <c r="C3725" s="91" t="s">
        <v>5587</v>
      </c>
      <c r="D3725" s="91" t="s">
        <v>20</v>
      </c>
      <c r="E3725" s="91" t="s">
        <v>17</v>
      </c>
      <c r="F3725">
        <v>1104</v>
      </c>
      <c r="G3725">
        <v>23</v>
      </c>
      <c r="H3725" s="89">
        <v>46268</v>
      </c>
      <c r="I3725" s="89">
        <v>46273</v>
      </c>
      <c r="J3725" s="91" t="s">
        <v>5588</v>
      </c>
      <c r="K3725" s="91" t="s">
        <v>5589</v>
      </c>
      <c r="L3725">
        <v>1</v>
      </c>
      <c r="M3725" s="91" t="s">
        <v>5590</v>
      </c>
      <c r="N3725" s="91" t="s">
        <v>5328</v>
      </c>
    </row>
    <row r="3726" spans="1:14" x14ac:dyDescent="0.25">
      <c r="A3726" s="91" t="s">
        <v>1319</v>
      </c>
      <c r="B3726" s="91" t="s">
        <v>1333</v>
      </c>
      <c r="C3726" s="91" t="s">
        <v>5587</v>
      </c>
      <c r="D3726" s="91" t="s">
        <v>20</v>
      </c>
      <c r="E3726" s="91" t="s">
        <v>17</v>
      </c>
      <c r="F3726">
        <v>48</v>
      </c>
      <c r="G3726">
        <v>1</v>
      </c>
      <c r="H3726" s="89">
        <v>46268</v>
      </c>
      <c r="I3726" s="89">
        <v>46273</v>
      </c>
      <c r="J3726" s="91" t="s">
        <v>5588</v>
      </c>
      <c r="K3726" s="91" t="s">
        <v>5591</v>
      </c>
      <c r="L3726">
        <v>1</v>
      </c>
      <c r="M3726" s="91" t="s">
        <v>5592</v>
      </c>
      <c r="N3726" s="91" t="s">
        <v>5328</v>
      </c>
    </row>
    <row r="3727" spans="1:14" x14ac:dyDescent="0.25">
      <c r="A3727" s="91" t="s">
        <v>1313</v>
      </c>
      <c r="B3727" s="91" t="s">
        <v>1327</v>
      </c>
      <c r="C3727" s="91" t="s">
        <v>5587</v>
      </c>
      <c r="D3727" s="91" t="s">
        <v>20</v>
      </c>
      <c r="E3727" s="91" t="s">
        <v>19</v>
      </c>
      <c r="F3727">
        <v>144</v>
      </c>
      <c r="G3727">
        <v>3</v>
      </c>
      <c r="H3727" s="89">
        <v>46268</v>
      </c>
      <c r="I3727" s="89">
        <v>46270</v>
      </c>
      <c r="J3727" s="91" t="s">
        <v>1656</v>
      </c>
      <c r="K3727" s="91" t="s">
        <v>5593</v>
      </c>
      <c r="L3727">
        <v>1</v>
      </c>
      <c r="M3727" s="91" t="s">
        <v>5594</v>
      </c>
      <c r="N3727" s="91" t="s">
        <v>5328</v>
      </c>
    </row>
    <row r="3728" spans="1:14" x14ac:dyDescent="0.25">
      <c r="A3728" s="91" t="s">
        <v>1315</v>
      </c>
      <c r="B3728" s="91" t="s">
        <v>1329</v>
      </c>
      <c r="C3728" s="91" t="s">
        <v>5587</v>
      </c>
      <c r="D3728" s="91" t="s">
        <v>20</v>
      </c>
      <c r="E3728" s="91" t="s">
        <v>19</v>
      </c>
      <c r="F3728">
        <v>30</v>
      </c>
      <c r="G3728" t="s">
        <v>1419</v>
      </c>
      <c r="H3728" s="89">
        <v>46268</v>
      </c>
      <c r="I3728" s="89">
        <v>46270</v>
      </c>
      <c r="J3728" s="91" t="s">
        <v>1656</v>
      </c>
      <c r="K3728" s="91" t="s">
        <v>5595</v>
      </c>
      <c r="L3728">
        <v>1</v>
      </c>
      <c r="M3728" s="91" t="s">
        <v>5596</v>
      </c>
      <c r="N3728" s="91" t="s">
        <v>5328</v>
      </c>
    </row>
    <row r="3729" spans="1:14" x14ac:dyDescent="0.25">
      <c r="A3729" s="91" t="s">
        <v>1316</v>
      </c>
      <c r="B3729" s="91" t="s">
        <v>1330</v>
      </c>
      <c r="C3729" s="91" t="s">
        <v>5597</v>
      </c>
      <c r="D3729" s="91" t="s">
        <v>20</v>
      </c>
      <c r="E3729" s="91" t="s">
        <v>19</v>
      </c>
      <c r="F3729">
        <v>52</v>
      </c>
      <c r="G3729" t="s">
        <v>1419</v>
      </c>
      <c r="H3729" s="89">
        <v>46268</v>
      </c>
      <c r="I3729" s="89">
        <v>46270</v>
      </c>
      <c r="J3729" s="91" t="s">
        <v>1656</v>
      </c>
      <c r="K3729" s="91" t="s">
        <v>5598</v>
      </c>
      <c r="L3729">
        <v>1</v>
      </c>
      <c r="M3729" s="91" t="s">
        <v>5599</v>
      </c>
      <c r="N3729" s="91" t="s">
        <v>5328</v>
      </c>
    </row>
    <row r="3730" spans="1:14" x14ac:dyDescent="0.25">
      <c r="A3730" s="91" t="s">
        <v>1317</v>
      </c>
      <c r="B3730" s="91" t="s">
        <v>1331</v>
      </c>
      <c r="C3730" s="91" t="s">
        <v>5600</v>
      </c>
      <c r="D3730" s="91" t="s">
        <v>20</v>
      </c>
      <c r="E3730" s="91" t="s">
        <v>19</v>
      </c>
      <c r="F3730">
        <v>13</v>
      </c>
      <c r="G3730" t="s">
        <v>1419</v>
      </c>
      <c r="H3730" s="89">
        <v>46268</v>
      </c>
      <c r="I3730" s="89">
        <v>46270</v>
      </c>
      <c r="J3730" s="91" t="s">
        <v>1656</v>
      </c>
      <c r="K3730" s="91" t="s">
        <v>5601</v>
      </c>
      <c r="L3730">
        <v>1</v>
      </c>
      <c r="M3730" s="91" t="s">
        <v>5602</v>
      </c>
      <c r="N3730" s="91" t="s">
        <v>5328</v>
      </c>
    </row>
    <row r="3731" spans="1:14" x14ac:dyDescent="0.25">
      <c r="A3731" s="91" t="s">
        <v>1318</v>
      </c>
      <c r="B3731" s="91" t="s">
        <v>1332</v>
      </c>
      <c r="C3731" s="91" t="s">
        <v>5603</v>
      </c>
      <c r="D3731" s="91" t="s">
        <v>20</v>
      </c>
      <c r="E3731" s="91" t="s">
        <v>19</v>
      </c>
      <c r="F3731">
        <v>47</v>
      </c>
      <c r="G3731" t="s">
        <v>1419</v>
      </c>
      <c r="H3731" s="89">
        <v>46268</v>
      </c>
      <c r="I3731" s="89">
        <v>46270</v>
      </c>
      <c r="J3731" s="91" t="s">
        <v>1656</v>
      </c>
      <c r="K3731" s="91" t="s">
        <v>5604</v>
      </c>
      <c r="L3731">
        <v>1</v>
      </c>
      <c r="M3731" s="91" t="s">
        <v>5605</v>
      </c>
      <c r="N3731" s="91" t="s">
        <v>5328</v>
      </c>
    </row>
    <row r="3732" spans="1:14" x14ac:dyDescent="0.25">
      <c r="A3732" s="91" t="s">
        <v>1313</v>
      </c>
      <c r="B3732" s="91" t="s">
        <v>1327</v>
      </c>
      <c r="C3732" s="91" t="s">
        <v>5606</v>
      </c>
      <c r="D3732" s="91" t="s">
        <v>21</v>
      </c>
      <c r="E3732" s="91" t="s">
        <v>16</v>
      </c>
      <c r="F3732">
        <v>864</v>
      </c>
      <c r="G3732">
        <v>18</v>
      </c>
      <c r="H3732" s="89">
        <v>46268</v>
      </c>
      <c r="I3732" s="89">
        <v>46273</v>
      </c>
      <c r="J3732" s="91" t="s">
        <v>5607</v>
      </c>
      <c r="K3732" s="91" t="s">
        <v>5608</v>
      </c>
      <c r="L3732">
        <v>1</v>
      </c>
      <c r="M3732" s="91" t="s">
        <v>5609</v>
      </c>
      <c r="N3732" s="91" t="s">
        <v>5328</v>
      </c>
    </row>
    <row r="3733" spans="1:14" x14ac:dyDescent="0.25">
      <c r="A3733" s="91" t="s">
        <v>1313</v>
      </c>
      <c r="B3733" s="91" t="s">
        <v>1327</v>
      </c>
      <c r="C3733" s="91" t="s">
        <v>5606</v>
      </c>
      <c r="D3733" s="91" t="s">
        <v>21</v>
      </c>
      <c r="E3733" s="91" t="s">
        <v>22</v>
      </c>
      <c r="F3733">
        <v>624</v>
      </c>
      <c r="G3733">
        <v>13</v>
      </c>
      <c r="H3733" s="89">
        <v>46268</v>
      </c>
      <c r="I3733" s="89">
        <v>46271</v>
      </c>
      <c r="J3733" s="91" t="s">
        <v>5498</v>
      </c>
      <c r="K3733" s="91" t="s">
        <v>5610</v>
      </c>
      <c r="L3733">
        <v>1</v>
      </c>
      <c r="M3733" s="91" t="s">
        <v>5611</v>
      </c>
      <c r="N3733" s="91" t="s">
        <v>5328</v>
      </c>
    </row>
    <row r="3734" spans="1:14" x14ac:dyDescent="0.25">
      <c r="A3734" s="91" t="s">
        <v>1315</v>
      </c>
      <c r="B3734" s="91" t="s">
        <v>1329</v>
      </c>
      <c r="C3734" s="91" t="s">
        <v>5606</v>
      </c>
      <c r="D3734" s="91" t="s">
        <v>21</v>
      </c>
      <c r="E3734" s="91" t="s">
        <v>19</v>
      </c>
      <c r="F3734">
        <v>43</v>
      </c>
      <c r="G3734" t="s">
        <v>1419</v>
      </c>
      <c r="H3734" s="89">
        <v>46268</v>
      </c>
      <c r="I3734" s="89">
        <v>46270</v>
      </c>
      <c r="J3734" s="91" t="s">
        <v>1656</v>
      </c>
      <c r="K3734" s="91" t="s">
        <v>5612</v>
      </c>
      <c r="L3734">
        <v>1</v>
      </c>
      <c r="M3734" s="91" t="s">
        <v>5613</v>
      </c>
      <c r="N3734" s="91" t="s">
        <v>5328</v>
      </c>
    </row>
    <row r="3735" spans="1:14" x14ac:dyDescent="0.25">
      <c r="A3735" s="91" t="s">
        <v>1316</v>
      </c>
      <c r="B3735" s="91" t="s">
        <v>1330</v>
      </c>
      <c r="C3735" s="91" t="s">
        <v>5614</v>
      </c>
      <c r="D3735" s="91" t="s">
        <v>21</v>
      </c>
      <c r="E3735" s="91" t="s">
        <v>19</v>
      </c>
      <c r="F3735">
        <v>61</v>
      </c>
      <c r="G3735" t="s">
        <v>1419</v>
      </c>
      <c r="H3735" s="89">
        <v>46268</v>
      </c>
      <c r="I3735" s="89">
        <v>46270</v>
      </c>
      <c r="J3735" s="91" t="s">
        <v>1656</v>
      </c>
      <c r="K3735" s="91" t="s">
        <v>5615</v>
      </c>
      <c r="L3735">
        <v>1</v>
      </c>
      <c r="M3735" s="91" t="s">
        <v>5616</v>
      </c>
      <c r="N3735" s="91" t="s">
        <v>5328</v>
      </c>
    </row>
    <row r="3736" spans="1:14" x14ac:dyDescent="0.25">
      <c r="A3736" s="91" t="s">
        <v>1317</v>
      </c>
      <c r="B3736" s="91" t="s">
        <v>1331</v>
      </c>
      <c r="C3736" s="91" t="s">
        <v>5617</v>
      </c>
      <c r="D3736" s="91" t="s">
        <v>21</v>
      </c>
      <c r="E3736" s="91" t="s">
        <v>19</v>
      </c>
      <c r="F3736">
        <v>14</v>
      </c>
      <c r="G3736" t="s">
        <v>1419</v>
      </c>
      <c r="H3736" s="89">
        <v>46268</v>
      </c>
      <c r="I3736" s="89">
        <v>46270</v>
      </c>
      <c r="J3736" s="91" t="s">
        <v>1656</v>
      </c>
      <c r="K3736" s="91" t="s">
        <v>5618</v>
      </c>
      <c r="L3736">
        <v>1</v>
      </c>
      <c r="M3736" s="91" t="s">
        <v>5619</v>
      </c>
      <c r="N3736" s="91" t="s">
        <v>5328</v>
      </c>
    </row>
    <row r="3737" spans="1:14" x14ac:dyDescent="0.25">
      <c r="A3737" s="91" t="s">
        <v>1318</v>
      </c>
      <c r="B3737" s="91" t="s">
        <v>1332</v>
      </c>
      <c r="C3737" s="91" t="s">
        <v>5620</v>
      </c>
      <c r="D3737" s="91" t="s">
        <v>21</v>
      </c>
      <c r="E3737" s="91" t="s">
        <v>19</v>
      </c>
      <c r="F3737">
        <v>58</v>
      </c>
      <c r="G3737" t="s">
        <v>1419</v>
      </c>
      <c r="H3737" s="89">
        <v>46268</v>
      </c>
      <c r="I3737" s="89">
        <v>46270</v>
      </c>
      <c r="J3737" s="91" t="s">
        <v>1656</v>
      </c>
      <c r="K3737" s="91" t="s">
        <v>5621</v>
      </c>
      <c r="L3737">
        <v>1</v>
      </c>
      <c r="M3737" s="91" t="s">
        <v>5622</v>
      </c>
      <c r="N3737" s="91" t="s">
        <v>5328</v>
      </c>
    </row>
    <row r="3738" spans="1:14" x14ac:dyDescent="0.25">
      <c r="A3738" s="91" t="s">
        <v>1320</v>
      </c>
      <c r="B3738" s="91" t="s">
        <v>1334</v>
      </c>
      <c r="C3738" s="91" t="s">
        <v>5623</v>
      </c>
      <c r="D3738" s="91" t="s">
        <v>23</v>
      </c>
      <c r="E3738" s="91" t="s">
        <v>14</v>
      </c>
      <c r="F3738">
        <v>960</v>
      </c>
      <c r="G3738">
        <v>20</v>
      </c>
      <c r="H3738" s="89">
        <v>46268</v>
      </c>
      <c r="I3738" s="89">
        <v>46272</v>
      </c>
      <c r="J3738" s="91" t="s">
        <v>5624</v>
      </c>
      <c r="K3738" s="91" t="s">
        <v>5625</v>
      </c>
      <c r="L3738">
        <v>1</v>
      </c>
      <c r="M3738" s="91" t="s">
        <v>5626</v>
      </c>
      <c r="N3738" s="91" t="s">
        <v>5328</v>
      </c>
    </row>
    <row r="3739" spans="1:14" x14ac:dyDescent="0.25">
      <c r="A3739" s="91" t="s">
        <v>1320</v>
      </c>
      <c r="B3739" s="91" t="s">
        <v>1334</v>
      </c>
      <c r="C3739" s="91" t="s">
        <v>5627</v>
      </c>
      <c r="D3739" s="91" t="s">
        <v>30</v>
      </c>
      <c r="E3739" s="91" t="s">
        <v>14</v>
      </c>
      <c r="F3739">
        <v>384</v>
      </c>
      <c r="G3739">
        <v>8</v>
      </c>
      <c r="H3739" s="89">
        <v>46269</v>
      </c>
      <c r="I3739" s="89">
        <v>46274</v>
      </c>
      <c r="J3739" s="91" t="s">
        <v>5558</v>
      </c>
      <c r="K3739" s="91" t="s">
        <v>5628</v>
      </c>
      <c r="L3739">
        <v>1</v>
      </c>
      <c r="M3739" s="91" t="s">
        <v>5629</v>
      </c>
      <c r="N3739" s="91" t="s">
        <v>5328</v>
      </c>
    </row>
    <row r="3740" spans="1:14" x14ac:dyDescent="0.25">
      <c r="A3740" s="91" t="s">
        <v>1320</v>
      </c>
      <c r="B3740" s="91" t="s">
        <v>1334</v>
      </c>
      <c r="C3740" s="91" t="s">
        <v>5630</v>
      </c>
      <c r="D3740" s="91" t="s">
        <v>13</v>
      </c>
      <c r="E3740" s="91" t="s">
        <v>14</v>
      </c>
      <c r="F3740">
        <v>192</v>
      </c>
      <c r="G3740">
        <v>4</v>
      </c>
      <c r="H3740" s="89">
        <v>46269</v>
      </c>
      <c r="I3740" s="89">
        <v>46275</v>
      </c>
      <c r="J3740" s="91" t="s">
        <v>5631</v>
      </c>
      <c r="K3740" s="91" t="s">
        <v>5632</v>
      </c>
      <c r="L3740">
        <v>1</v>
      </c>
      <c r="M3740" s="91" t="s">
        <v>5633</v>
      </c>
      <c r="N3740" s="91" t="s">
        <v>5328</v>
      </c>
    </row>
    <row r="3741" spans="1:14" x14ac:dyDescent="0.25">
      <c r="A3741" s="91" t="s">
        <v>1320</v>
      </c>
      <c r="B3741" s="91" t="s">
        <v>1334</v>
      </c>
      <c r="C3741" s="91" t="s">
        <v>5634</v>
      </c>
      <c r="D3741" s="91" t="s">
        <v>152</v>
      </c>
      <c r="E3741" s="91" t="s">
        <v>14</v>
      </c>
      <c r="F3741">
        <v>768</v>
      </c>
      <c r="G3741">
        <v>16</v>
      </c>
      <c r="H3741" s="89">
        <v>46269</v>
      </c>
      <c r="I3741" s="89">
        <v>46275</v>
      </c>
      <c r="J3741" s="91" t="s">
        <v>5631</v>
      </c>
      <c r="K3741" s="91" t="s">
        <v>5635</v>
      </c>
      <c r="L3741">
        <v>1</v>
      </c>
      <c r="M3741" s="91" t="s">
        <v>5636</v>
      </c>
      <c r="N3741" s="91" t="s">
        <v>5328</v>
      </c>
    </row>
    <row r="3742" spans="1:14" x14ac:dyDescent="0.25">
      <c r="A3742" s="91" t="s">
        <v>1313</v>
      </c>
      <c r="B3742" s="91" t="s">
        <v>1327</v>
      </c>
      <c r="C3742" s="91" t="s">
        <v>5637</v>
      </c>
      <c r="D3742" s="91" t="s">
        <v>15</v>
      </c>
      <c r="E3742" s="91" t="s">
        <v>17</v>
      </c>
      <c r="F3742">
        <v>336</v>
      </c>
      <c r="G3742">
        <v>7</v>
      </c>
      <c r="H3742" s="89">
        <v>46269</v>
      </c>
      <c r="I3742" s="89">
        <v>46275</v>
      </c>
      <c r="J3742" s="91" t="s">
        <v>5638</v>
      </c>
      <c r="K3742" s="91" t="s">
        <v>5639</v>
      </c>
      <c r="L3742">
        <v>1</v>
      </c>
      <c r="M3742" s="91" t="s">
        <v>5640</v>
      </c>
      <c r="N3742" s="91" t="s">
        <v>5328</v>
      </c>
    </row>
    <row r="3743" spans="1:14" x14ac:dyDescent="0.25">
      <c r="A3743" s="91" t="s">
        <v>1313</v>
      </c>
      <c r="B3743" s="91" t="s">
        <v>1327</v>
      </c>
      <c r="C3743" s="91" t="s">
        <v>5637</v>
      </c>
      <c r="D3743" s="91" t="s">
        <v>15</v>
      </c>
      <c r="E3743" s="91" t="s">
        <v>31</v>
      </c>
      <c r="F3743">
        <v>528</v>
      </c>
      <c r="G3743">
        <v>18</v>
      </c>
      <c r="H3743" s="89">
        <v>46269</v>
      </c>
      <c r="I3743" s="89">
        <v>46274</v>
      </c>
      <c r="J3743" s="91" t="s">
        <v>5573</v>
      </c>
      <c r="K3743" s="91" t="s">
        <v>5641</v>
      </c>
      <c r="L3743">
        <v>1</v>
      </c>
      <c r="M3743" s="91" t="s">
        <v>5642</v>
      </c>
      <c r="N3743" s="91" t="s">
        <v>5328</v>
      </c>
    </row>
    <row r="3744" spans="1:14" x14ac:dyDescent="0.25">
      <c r="A3744" s="91" t="s">
        <v>1313</v>
      </c>
      <c r="B3744" s="91" t="s">
        <v>1327</v>
      </c>
      <c r="C3744" s="91" t="s">
        <v>5637</v>
      </c>
      <c r="D3744" s="91" t="s">
        <v>15</v>
      </c>
      <c r="E3744" s="91" t="s">
        <v>16</v>
      </c>
      <c r="F3744">
        <v>240</v>
      </c>
      <c r="G3744">
        <v>5</v>
      </c>
      <c r="H3744" s="89">
        <v>46269</v>
      </c>
      <c r="I3744" s="89">
        <v>46275</v>
      </c>
      <c r="J3744" s="91" t="s">
        <v>5643</v>
      </c>
      <c r="K3744" s="91" t="s">
        <v>5644</v>
      </c>
      <c r="L3744">
        <v>1</v>
      </c>
      <c r="M3744" s="91" t="s">
        <v>5645</v>
      </c>
      <c r="N3744" s="91" t="s">
        <v>5328</v>
      </c>
    </row>
    <row r="3745" spans="1:14" x14ac:dyDescent="0.25">
      <c r="A3745" s="91" t="s">
        <v>1314</v>
      </c>
      <c r="B3745" s="91" t="s">
        <v>1328</v>
      </c>
      <c r="C3745" s="91" t="s">
        <v>5637</v>
      </c>
      <c r="D3745" s="91" t="s">
        <v>15</v>
      </c>
      <c r="E3745" s="91" t="s">
        <v>16</v>
      </c>
      <c r="F3745">
        <v>288</v>
      </c>
      <c r="G3745">
        <v>6</v>
      </c>
      <c r="H3745" s="89">
        <v>46269</v>
      </c>
      <c r="I3745" s="89">
        <v>46273</v>
      </c>
      <c r="J3745" s="91" t="s">
        <v>5646</v>
      </c>
      <c r="K3745" s="91" t="s">
        <v>5647</v>
      </c>
      <c r="L3745">
        <v>1</v>
      </c>
      <c r="M3745" s="91" t="s">
        <v>5648</v>
      </c>
      <c r="N3745" s="91" t="s">
        <v>5328</v>
      </c>
    </row>
    <row r="3746" spans="1:14" x14ac:dyDescent="0.25">
      <c r="A3746" s="91" t="s">
        <v>1315</v>
      </c>
      <c r="B3746" s="91" t="s">
        <v>1329</v>
      </c>
      <c r="C3746" s="91" t="s">
        <v>5649</v>
      </c>
      <c r="D3746" s="91" t="s">
        <v>15</v>
      </c>
      <c r="E3746" s="91" t="s">
        <v>19</v>
      </c>
      <c r="F3746">
        <v>24</v>
      </c>
      <c r="G3746" t="s">
        <v>1419</v>
      </c>
      <c r="H3746" s="89">
        <v>46269</v>
      </c>
      <c r="I3746" s="89">
        <v>46271</v>
      </c>
      <c r="J3746" s="91" t="s">
        <v>1656</v>
      </c>
      <c r="K3746" s="91" t="s">
        <v>5650</v>
      </c>
      <c r="L3746">
        <v>1</v>
      </c>
      <c r="M3746" s="91" t="s">
        <v>5651</v>
      </c>
      <c r="N3746" s="91" t="s">
        <v>5328</v>
      </c>
    </row>
    <row r="3747" spans="1:14" x14ac:dyDescent="0.25">
      <c r="A3747" s="91" t="s">
        <v>1316</v>
      </c>
      <c r="B3747" s="91" t="s">
        <v>1330</v>
      </c>
      <c r="C3747" s="91" t="s">
        <v>5649</v>
      </c>
      <c r="D3747" s="91" t="s">
        <v>15</v>
      </c>
      <c r="E3747" s="91" t="s">
        <v>19</v>
      </c>
      <c r="F3747">
        <v>48</v>
      </c>
      <c r="G3747" t="s">
        <v>1419</v>
      </c>
      <c r="H3747" s="89">
        <v>46269</v>
      </c>
      <c r="I3747" s="89">
        <v>46271</v>
      </c>
      <c r="J3747" s="91" t="s">
        <v>1656</v>
      </c>
      <c r="K3747" s="91" t="s">
        <v>5652</v>
      </c>
      <c r="L3747">
        <v>1</v>
      </c>
      <c r="M3747" s="91" t="s">
        <v>5653</v>
      </c>
      <c r="N3747" s="91" t="s">
        <v>5328</v>
      </c>
    </row>
    <row r="3748" spans="1:14" x14ac:dyDescent="0.25">
      <c r="A3748" s="91" t="s">
        <v>1317</v>
      </c>
      <c r="B3748" s="91" t="s">
        <v>1331</v>
      </c>
      <c r="C3748" s="91" t="s">
        <v>5654</v>
      </c>
      <c r="D3748" s="91" t="s">
        <v>15</v>
      </c>
      <c r="E3748" s="91" t="s">
        <v>19</v>
      </c>
      <c r="F3748">
        <v>62</v>
      </c>
      <c r="G3748" t="s">
        <v>1419</v>
      </c>
      <c r="H3748" s="89">
        <v>46269</v>
      </c>
      <c r="I3748" s="89">
        <v>46271</v>
      </c>
      <c r="J3748" s="91" t="s">
        <v>1656</v>
      </c>
      <c r="K3748" s="91" t="s">
        <v>5655</v>
      </c>
      <c r="L3748">
        <v>1</v>
      </c>
      <c r="M3748" s="91" t="s">
        <v>5656</v>
      </c>
      <c r="N3748" s="91" t="s">
        <v>5328</v>
      </c>
    </row>
    <row r="3749" spans="1:14" x14ac:dyDescent="0.25">
      <c r="A3749" s="91" t="s">
        <v>1318</v>
      </c>
      <c r="B3749" s="91" t="s">
        <v>1332</v>
      </c>
      <c r="C3749" s="91" t="s">
        <v>5657</v>
      </c>
      <c r="D3749" s="91" t="s">
        <v>15</v>
      </c>
      <c r="E3749" s="91" t="s">
        <v>19</v>
      </c>
      <c r="F3749">
        <v>18</v>
      </c>
      <c r="G3749" t="s">
        <v>1419</v>
      </c>
      <c r="H3749" s="89">
        <v>46269</v>
      </c>
      <c r="I3749" s="89">
        <v>46271</v>
      </c>
      <c r="J3749" s="91" t="s">
        <v>1656</v>
      </c>
      <c r="K3749" s="91" t="s">
        <v>5658</v>
      </c>
      <c r="L3749">
        <v>1</v>
      </c>
      <c r="M3749" s="91" t="s">
        <v>5659</v>
      </c>
      <c r="N3749" s="91" t="s">
        <v>5328</v>
      </c>
    </row>
    <row r="3750" spans="1:14" x14ac:dyDescent="0.25">
      <c r="A3750" s="91" t="s">
        <v>1313</v>
      </c>
      <c r="B3750" s="91" t="s">
        <v>1327</v>
      </c>
      <c r="C3750" s="91" t="s">
        <v>5660</v>
      </c>
      <c r="D3750" s="91" t="s">
        <v>20</v>
      </c>
      <c r="E3750" s="91" t="s">
        <v>17</v>
      </c>
      <c r="F3750">
        <v>1056</v>
      </c>
      <c r="G3750">
        <v>22</v>
      </c>
      <c r="H3750" s="89">
        <v>46269</v>
      </c>
      <c r="I3750" s="89">
        <v>46274</v>
      </c>
      <c r="J3750" s="91" t="s">
        <v>5661</v>
      </c>
      <c r="K3750" s="91" t="s">
        <v>5662</v>
      </c>
      <c r="L3750">
        <v>1</v>
      </c>
      <c r="M3750" s="91" t="s">
        <v>5663</v>
      </c>
      <c r="N3750" s="91" t="s">
        <v>5328</v>
      </c>
    </row>
    <row r="3751" spans="1:14" x14ac:dyDescent="0.25">
      <c r="A3751" s="91" t="s">
        <v>1313</v>
      </c>
      <c r="B3751" s="91" t="s">
        <v>1327</v>
      </c>
      <c r="C3751" s="91" t="s">
        <v>5660</v>
      </c>
      <c r="D3751" s="91" t="s">
        <v>20</v>
      </c>
      <c r="E3751" s="91" t="s">
        <v>17</v>
      </c>
      <c r="F3751">
        <v>42</v>
      </c>
      <c r="G3751">
        <v>0.875</v>
      </c>
      <c r="H3751" s="89">
        <v>46269</v>
      </c>
      <c r="I3751" s="89">
        <v>46275</v>
      </c>
      <c r="J3751" s="91" t="s">
        <v>5638</v>
      </c>
      <c r="K3751" s="91" t="s">
        <v>5664</v>
      </c>
      <c r="L3751">
        <v>1</v>
      </c>
      <c r="M3751" s="91" t="s">
        <v>5665</v>
      </c>
      <c r="N3751" s="91" t="s">
        <v>5328</v>
      </c>
    </row>
    <row r="3752" spans="1:14" x14ac:dyDescent="0.25">
      <c r="A3752" s="91" t="s">
        <v>1319</v>
      </c>
      <c r="B3752" s="91" t="s">
        <v>1333</v>
      </c>
      <c r="C3752" s="91" t="s">
        <v>5660</v>
      </c>
      <c r="D3752" s="91" t="s">
        <v>20</v>
      </c>
      <c r="E3752" s="91" t="s">
        <v>17</v>
      </c>
      <c r="F3752">
        <v>48</v>
      </c>
      <c r="G3752">
        <v>1</v>
      </c>
      <c r="H3752" s="89">
        <v>46269</v>
      </c>
      <c r="I3752" s="89">
        <v>46274</v>
      </c>
      <c r="J3752" s="91" t="s">
        <v>5661</v>
      </c>
      <c r="K3752" s="91" t="s">
        <v>5666</v>
      </c>
      <c r="L3752">
        <v>1</v>
      </c>
      <c r="M3752" s="91" t="s">
        <v>5667</v>
      </c>
      <c r="N3752" s="91" t="s">
        <v>5328</v>
      </c>
    </row>
    <row r="3753" spans="1:14" x14ac:dyDescent="0.25">
      <c r="A3753" s="91" t="s">
        <v>1319</v>
      </c>
      <c r="B3753" s="91" t="s">
        <v>1333</v>
      </c>
      <c r="C3753" s="91" t="s">
        <v>5660</v>
      </c>
      <c r="D3753" s="91" t="s">
        <v>20</v>
      </c>
      <c r="E3753" s="91" t="s">
        <v>17</v>
      </c>
      <c r="F3753">
        <v>6</v>
      </c>
      <c r="G3753">
        <v>0.125</v>
      </c>
      <c r="H3753" s="89">
        <v>46269</v>
      </c>
      <c r="I3753" s="89">
        <v>46275</v>
      </c>
      <c r="J3753" s="91" t="s">
        <v>5638</v>
      </c>
      <c r="K3753" s="91" t="s">
        <v>5668</v>
      </c>
      <c r="L3753">
        <v>1</v>
      </c>
      <c r="M3753" s="91" t="s">
        <v>5669</v>
      </c>
      <c r="N3753" s="91" t="s">
        <v>5328</v>
      </c>
    </row>
    <row r="3754" spans="1:14" x14ac:dyDescent="0.25">
      <c r="A3754" s="91" t="s">
        <v>1313</v>
      </c>
      <c r="B3754" s="91" t="s">
        <v>1327</v>
      </c>
      <c r="C3754" s="91" t="s">
        <v>5660</v>
      </c>
      <c r="D3754" s="91" t="s">
        <v>20</v>
      </c>
      <c r="E3754" s="91" t="s">
        <v>19</v>
      </c>
      <c r="F3754">
        <v>48</v>
      </c>
      <c r="G3754">
        <v>1</v>
      </c>
      <c r="H3754" s="89">
        <v>46269</v>
      </c>
      <c r="I3754" s="89">
        <v>46271</v>
      </c>
      <c r="J3754" s="91" t="s">
        <v>1656</v>
      </c>
      <c r="K3754" s="91" t="s">
        <v>5670</v>
      </c>
      <c r="L3754">
        <v>1</v>
      </c>
      <c r="M3754" s="91" t="s">
        <v>5671</v>
      </c>
      <c r="N3754" s="91" t="s">
        <v>5328</v>
      </c>
    </row>
    <row r="3755" spans="1:14" x14ac:dyDescent="0.25">
      <c r="A3755" s="91" t="s">
        <v>1315</v>
      </c>
      <c r="B3755" s="91" t="s">
        <v>1329</v>
      </c>
      <c r="C3755" s="91" t="s">
        <v>5660</v>
      </c>
      <c r="D3755" s="91" t="s">
        <v>20</v>
      </c>
      <c r="E3755" s="91" t="s">
        <v>19</v>
      </c>
      <c r="F3755">
        <v>38</v>
      </c>
      <c r="G3755" t="s">
        <v>1419</v>
      </c>
      <c r="H3755" s="89">
        <v>46269</v>
      </c>
      <c r="I3755" s="89">
        <v>46271</v>
      </c>
      <c r="J3755" s="91" t="s">
        <v>1656</v>
      </c>
      <c r="K3755" s="91" t="s">
        <v>5672</v>
      </c>
      <c r="L3755">
        <v>1</v>
      </c>
      <c r="M3755" s="91" t="s">
        <v>5673</v>
      </c>
      <c r="N3755" s="91" t="s">
        <v>5328</v>
      </c>
    </row>
    <row r="3756" spans="1:14" x14ac:dyDescent="0.25">
      <c r="A3756" s="91" t="s">
        <v>1316</v>
      </c>
      <c r="B3756" s="91" t="s">
        <v>1330</v>
      </c>
      <c r="C3756" s="91" t="s">
        <v>5674</v>
      </c>
      <c r="D3756" s="91" t="s">
        <v>20</v>
      </c>
      <c r="E3756" s="91" t="s">
        <v>19</v>
      </c>
      <c r="F3756">
        <v>24</v>
      </c>
      <c r="G3756" t="s">
        <v>1419</v>
      </c>
      <c r="H3756" s="89">
        <v>46269</v>
      </c>
      <c r="I3756" s="89">
        <v>46271</v>
      </c>
      <c r="J3756" s="91" t="s">
        <v>1656</v>
      </c>
      <c r="K3756" s="91" t="s">
        <v>5675</v>
      </c>
      <c r="L3756">
        <v>1</v>
      </c>
      <c r="M3756" s="91" t="s">
        <v>5676</v>
      </c>
      <c r="N3756" s="91" t="s">
        <v>5328</v>
      </c>
    </row>
    <row r="3757" spans="1:14" x14ac:dyDescent="0.25">
      <c r="A3757" s="91" t="s">
        <v>1317</v>
      </c>
      <c r="B3757" s="91" t="s">
        <v>1331</v>
      </c>
      <c r="C3757" s="91" t="s">
        <v>5677</v>
      </c>
      <c r="D3757" s="91" t="s">
        <v>20</v>
      </c>
      <c r="E3757" s="91" t="s">
        <v>19</v>
      </c>
      <c r="F3757">
        <v>8</v>
      </c>
      <c r="G3757" t="s">
        <v>1419</v>
      </c>
      <c r="H3757" s="89">
        <v>46269</v>
      </c>
      <c r="I3757" s="89">
        <v>46271</v>
      </c>
      <c r="J3757" s="91" t="s">
        <v>1656</v>
      </c>
      <c r="K3757" s="91" t="s">
        <v>5678</v>
      </c>
      <c r="L3757">
        <v>1</v>
      </c>
      <c r="M3757" s="91" t="s">
        <v>5679</v>
      </c>
      <c r="N3757" s="91" t="s">
        <v>5328</v>
      </c>
    </row>
    <row r="3758" spans="1:14" x14ac:dyDescent="0.25">
      <c r="A3758" s="91" t="s">
        <v>1318</v>
      </c>
      <c r="B3758" s="91" t="s">
        <v>1332</v>
      </c>
      <c r="C3758" s="91" t="s">
        <v>5680</v>
      </c>
      <c r="D3758" s="91" t="s">
        <v>20</v>
      </c>
      <c r="E3758" s="91" t="s">
        <v>19</v>
      </c>
      <c r="F3758">
        <v>42</v>
      </c>
      <c r="G3758" t="s">
        <v>1419</v>
      </c>
      <c r="H3758" s="89">
        <v>46269</v>
      </c>
      <c r="I3758" s="89">
        <v>46271</v>
      </c>
      <c r="J3758" s="91" t="s">
        <v>1656</v>
      </c>
      <c r="K3758" s="91" t="s">
        <v>5681</v>
      </c>
      <c r="L3758">
        <v>1</v>
      </c>
      <c r="M3758" s="91" t="s">
        <v>5682</v>
      </c>
      <c r="N3758" s="91" t="s">
        <v>5328</v>
      </c>
    </row>
    <row r="3759" spans="1:14" x14ac:dyDescent="0.25">
      <c r="A3759" s="91" t="s">
        <v>1313</v>
      </c>
      <c r="B3759" s="91" t="s">
        <v>1327</v>
      </c>
      <c r="C3759" s="91" t="s">
        <v>5683</v>
      </c>
      <c r="D3759" s="91" t="s">
        <v>28</v>
      </c>
      <c r="E3759" s="91" t="s">
        <v>22</v>
      </c>
      <c r="F3759">
        <v>1152</v>
      </c>
      <c r="G3759">
        <v>24</v>
      </c>
      <c r="H3759" s="89">
        <v>46269</v>
      </c>
      <c r="I3759" s="89">
        <v>46274</v>
      </c>
      <c r="J3759" s="91" t="s">
        <v>5684</v>
      </c>
      <c r="K3759" s="91" t="s">
        <v>5685</v>
      </c>
      <c r="L3759">
        <v>1</v>
      </c>
      <c r="M3759" s="91" t="s">
        <v>5686</v>
      </c>
      <c r="N3759" s="91" t="s">
        <v>5328</v>
      </c>
    </row>
    <row r="3760" spans="1:14" x14ac:dyDescent="0.25">
      <c r="A3760" s="91" t="s">
        <v>1315</v>
      </c>
      <c r="B3760" s="91" t="s">
        <v>1329</v>
      </c>
      <c r="C3760" s="91" t="s">
        <v>5687</v>
      </c>
      <c r="D3760" s="91" t="s">
        <v>28</v>
      </c>
      <c r="E3760" s="91" t="s">
        <v>19</v>
      </c>
      <c r="F3760">
        <v>66</v>
      </c>
      <c r="G3760" t="s">
        <v>1419</v>
      </c>
      <c r="H3760" s="89">
        <v>46269</v>
      </c>
      <c r="I3760" s="89">
        <v>46271</v>
      </c>
      <c r="J3760" s="91" t="s">
        <v>1656</v>
      </c>
      <c r="K3760" s="91" t="s">
        <v>5688</v>
      </c>
      <c r="L3760">
        <v>1</v>
      </c>
      <c r="M3760" s="91" t="s">
        <v>5689</v>
      </c>
      <c r="N3760" s="91" t="s">
        <v>5328</v>
      </c>
    </row>
    <row r="3761" spans="1:14" x14ac:dyDescent="0.25">
      <c r="A3761" s="91" t="s">
        <v>1316</v>
      </c>
      <c r="B3761" s="91" t="s">
        <v>1330</v>
      </c>
      <c r="C3761" s="91" t="s">
        <v>5687</v>
      </c>
      <c r="D3761" s="91" t="s">
        <v>28</v>
      </c>
      <c r="E3761" s="91" t="s">
        <v>19</v>
      </c>
      <c r="F3761">
        <v>29</v>
      </c>
      <c r="G3761" t="s">
        <v>1419</v>
      </c>
      <c r="H3761" s="89">
        <v>46269</v>
      </c>
      <c r="I3761" s="89">
        <v>46271</v>
      </c>
      <c r="J3761" s="91" t="s">
        <v>1656</v>
      </c>
      <c r="K3761" s="91" t="s">
        <v>5690</v>
      </c>
      <c r="L3761">
        <v>1</v>
      </c>
      <c r="M3761" s="91" t="s">
        <v>5691</v>
      </c>
      <c r="N3761" s="91" t="s">
        <v>5328</v>
      </c>
    </row>
    <row r="3762" spans="1:14" x14ac:dyDescent="0.25">
      <c r="A3762" s="91" t="s">
        <v>1317</v>
      </c>
      <c r="B3762" s="91" t="s">
        <v>1331</v>
      </c>
      <c r="C3762" s="91" t="s">
        <v>5692</v>
      </c>
      <c r="D3762" s="91" t="s">
        <v>28</v>
      </c>
      <c r="E3762" s="91" t="s">
        <v>19</v>
      </c>
      <c r="F3762">
        <v>8</v>
      </c>
      <c r="G3762" t="s">
        <v>1419</v>
      </c>
      <c r="H3762" s="89">
        <v>46269</v>
      </c>
      <c r="I3762" s="89">
        <v>46271</v>
      </c>
      <c r="J3762" s="91" t="s">
        <v>1656</v>
      </c>
      <c r="K3762" s="91" t="s">
        <v>5693</v>
      </c>
      <c r="L3762">
        <v>1</v>
      </c>
      <c r="M3762" s="91" t="s">
        <v>5694</v>
      </c>
      <c r="N3762" s="91" t="s">
        <v>5328</v>
      </c>
    </row>
    <row r="3763" spans="1:14" x14ac:dyDescent="0.25">
      <c r="A3763" s="91" t="s">
        <v>1318</v>
      </c>
      <c r="B3763" s="91" t="s">
        <v>1332</v>
      </c>
      <c r="C3763" s="91" t="s">
        <v>5695</v>
      </c>
      <c r="D3763" s="91" t="s">
        <v>28</v>
      </c>
      <c r="E3763" s="91" t="s">
        <v>19</v>
      </c>
      <c r="F3763">
        <v>46</v>
      </c>
      <c r="G3763" t="s">
        <v>1419</v>
      </c>
      <c r="H3763" s="89">
        <v>46269</v>
      </c>
      <c r="I3763" s="89">
        <v>46271</v>
      </c>
      <c r="J3763" s="91" t="s">
        <v>1656</v>
      </c>
      <c r="K3763" s="91" t="s">
        <v>5696</v>
      </c>
      <c r="L3763">
        <v>1</v>
      </c>
      <c r="M3763" s="91" t="s">
        <v>5697</v>
      </c>
      <c r="N3763" s="91" t="s">
        <v>5328</v>
      </c>
    </row>
    <row r="3764" spans="1:14" x14ac:dyDescent="0.25">
      <c r="A3764" s="91" t="s">
        <v>1321</v>
      </c>
      <c r="B3764" s="91" t="s">
        <v>1335</v>
      </c>
      <c r="C3764" s="91" t="s">
        <v>5698</v>
      </c>
      <c r="D3764" s="91" t="s">
        <v>27</v>
      </c>
      <c r="E3764" s="91" t="s">
        <v>65</v>
      </c>
      <c r="F3764">
        <v>144</v>
      </c>
      <c r="G3764">
        <v>3</v>
      </c>
      <c r="H3764" s="89">
        <v>46269</v>
      </c>
      <c r="I3764" s="89">
        <v>46277</v>
      </c>
      <c r="J3764" s="91" t="s">
        <v>5699</v>
      </c>
      <c r="K3764" s="91" t="s">
        <v>5700</v>
      </c>
      <c r="L3764">
        <v>1</v>
      </c>
      <c r="M3764" s="91" t="s">
        <v>5701</v>
      </c>
      <c r="N3764" s="91" t="s">
        <v>5328</v>
      </c>
    </row>
    <row r="3765" spans="1:14" x14ac:dyDescent="0.25">
      <c r="A3765" s="91" t="s">
        <v>1324</v>
      </c>
      <c r="B3765" s="91" t="s">
        <v>1338</v>
      </c>
      <c r="C3765" s="91" t="s">
        <v>5702</v>
      </c>
      <c r="D3765" s="91" t="s">
        <v>5703</v>
      </c>
      <c r="E3765" s="91" t="s">
        <v>65</v>
      </c>
      <c r="F3765">
        <v>960</v>
      </c>
      <c r="G3765">
        <v>20</v>
      </c>
      <c r="H3765" s="89">
        <v>46269</v>
      </c>
      <c r="I3765" s="89">
        <v>46277</v>
      </c>
      <c r="J3765" s="91" t="s">
        <v>5699</v>
      </c>
      <c r="K3765" s="91" t="s">
        <v>5704</v>
      </c>
      <c r="L3765">
        <v>1</v>
      </c>
      <c r="M3765" s="91" t="s">
        <v>5705</v>
      </c>
      <c r="N3765" s="91" t="s">
        <v>5328</v>
      </c>
    </row>
    <row r="3766" spans="1:14" x14ac:dyDescent="0.25">
      <c r="A3766" s="91" t="s">
        <v>1324</v>
      </c>
      <c r="B3766" s="91" t="s">
        <v>1338</v>
      </c>
      <c r="C3766" s="91" t="s">
        <v>5706</v>
      </c>
      <c r="D3766" s="91" t="s">
        <v>88</v>
      </c>
      <c r="E3766" s="91" t="s">
        <v>25</v>
      </c>
      <c r="F3766">
        <v>960</v>
      </c>
      <c r="G3766">
        <v>20</v>
      </c>
      <c r="H3766" s="89">
        <v>46269</v>
      </c>
      <c r="I3766" s="89">
        <v>46275</v>
      </c>
      <c r="J3766" s="91" t="s">
        <v>5707</v>
      </c>
      <c r="K3766" s="91" t="s">
        <v>5708</v>
      </c>
      <c r="L3766">
        <v>1</v>
      </c>
      <c r="M3766" s="91" t="s">
        <v>5709</v>
      </c>
      <c r="N3766" s="91" t="s">
        <v>5328</v>
      </c>
    </row>
    <row r="3767" spans="1:14" x14ac:dyDescent="0.25">
      <c r="A3767" s="91" t="s">
        <v>1320</v>
      </c>
      <c r="B3767" s="91" t="s">
        <v>1334</v>
      </c>
      <c r="C3767" s="91" t="s">
        <v>5710</v>
      </c>
      <c r="D3767" s="91" t="s">
        <v>23</v>
      </c>
      <c r="E3767" s="91" t="s">
        <v>14</v>
      </c>
      <c r="F3767">
        <v>960</v>
      </c>
      <c r="G3767">
        <v>20</v>
      </c>
      <c r="H3767" s="89">
        <v>46269</v>
      </c>
      <c r="I3767" s="89">
        <v>46274</v>
      </c>
      <c r="J3767" s="91" t="s">
        <v>5711</v>
      </c>
      <c r="K3767" s="91" t="s">
        <v>5712</v>
      </c>
      <c r="L3767">
        <v>1</v>
      </c>
      <c r="M3767" s="91" t="s">
        <v>5713</v>
      </c>
      <c r="N3767" s="91" t="s">
        <v>5328</v>
      </c>
    </row>
    <row r="3768" spans="1:14" x14ac:dyDescent="0.25">
      <c r="A3768" s="91" t="s">
        <v>1326</v>
      </c>
      <c r="B3768" s="91" t="s">
        <v>1340</v>
      </c>
      <c r="C3768" s="91" t="s">
        <v>5714</v>
      </c>
      <c r="D3768" s="91" t="s">
        <v>32</v>
      </c>
      <c r="E3768" s="91" t="s">
        <v>14</v>
      </c>
      <c r="F3768">
        <v>1008</v>
      </c>
      <c r="G3768">
        <v>24</v>
      </c>
      <c r="H3768" s="89">
        <v>46269</v>
      </c>
      <c r="I3768" s="89">
        <v>46273</v>
      </c>
      <c r="J3768" s="91" t="s">
        <v>5715</v>
      </c>
      <c r="K3768" s="91" t="s">
        <v>5716</v>
      </c>
      <c r="L3768">
        <v>1</v>
      </c>
      <c r="M3768" s="91" t="s">
        <v>5717</v>
      </c>
      <c r="N3768" s="91" t="s">
        <v>5328</v>
      </c>
    </row>
    <row r="3769" spans="1:14" x14ac:dyDescent="0.25">
      <c r="A3769" s="91" t="s">
        <v>1325</v>
      </c>
      <c r="B3769" s="91" t="s">
        <v>1339</v>
      </c>
      <c r="C3769" s="91" t="s">
        <v>5698</v>
      </c>
      <c r="D3769" s="91" t="s">
        <v>27</v>
      </c>
      <c r="E3769" s="91" t="s">
        <v>19</v>
      </c>
      <c r="F3769">
        <v>336</v>
      </c>
      <c r="G3769">
        <v>7</v>
      </c>
      <c r="H3769" s="89">
        <v>46269</v>
      </c>
      <c r="I3769" s="89">
        <v>46271</v>
      </c>
      <c r="J3769" s="91" t="s">
        <v>1656</v>
      </c>
      <c r="K3769" s="91" t="s">
        <v>5718</v>
      </c>
      <c r="L3769">
        <v>1</v>
      </c>
      <c r="M3769" s="91" t="s">
        <v>5719</v>
      </c>
      <c r="N3769" s="91" t="s">
        <v>5328</v>
      </c>
    </row>
    <row r="3770" spans="1:14" x14ac:dyDescent="0.25">
      <c r="A3770" s="91" t="s">
        <v>1313</v>
      </c>
      <c r="B3770" s="91" t="s">
        <v>1327</v>
      </c>
      <c r="C3770" s="91" t="s">
        <v>5720</v>
      </c>
      <c r="D3770" s="91" t="s">
        <v>144</v>
      </c>
      <c r="E3770" s="91" t="s">
        <v>16</v>
      </c>
      <c r="F3770">
        <v>336</v>
      </c>
      <c r="G3770">
        <v>23</v>
      </c>
      <c r="H3770" s="89">
        <v>46270</v>
      </c>
      <c r="I3770" s="89">
        <v>46275</v>
      </c>
      <c r="J3770" s="91" t="s">
        <v>5643</v>
      </c>
      <c r="K3770" s="91" t="s">
        <v>5721</v>
      </c>
      <c r="L3770">
        <v>1</v>
      </c>
      <c r="M3770" s="91" t="s">
        <v>5722</v>
      </c>
      <c r="N3770" s="91" t="s">
        <v>5328</v>
      </c>
    </row>
    <row r="3771" spans="1:14" x14ac:dyDescent="0.25">
      <c r="A3771" s="91" t="s">
        <v>1313</v>
      </c>
      <c r="B3771" s="91" t="s">
        <v>1327</v>
      </c>
      <c r="C3771" s="91" t="s">
        <v>5720</v>
      </c>
      <c r="D3771" s="91" t="s">
        <v>144</v>
      </c>
      <c r="E3771" s="91" t="s">
        <v>17</v>
      </c>
      <c r="F3771">
        <v>48</v>
      </c>
      <c r="G3771">
        <v>1</v>
      </c>
      <c r="H3771" s="89">
        <v>46270</v>
      </c>
      <c r="I3771" s="89">
        <v>46274</v>
      </c>
      <c r="J3771" s="91" t="s">
        <v>5661</v>
      </c>
      <c r="K3771" s="91" t="s">
        <v>5723</v>
      </c>
      <c r="L3771">
        <v>1</v>
      </c>
      <c r="M3771" s="91" t="s">
        <v>5724</v>
      </c>
      <c r="N3771" s="91" t="s">
        <v>5328</v>
      </c>
    </row>
    <row r="3772" spans="1:14" x14ac:dyDescent="0.25">
      <c r="A3772" s="91" t="s">
        <v>1313</v>
      </c>
      <c r="B3772" s="91" t="s">
        <v>1327</v>
      </c>
      <c r="C3772" s="91" t="s">
        <v>5720</v>
      </c>
      <c r="D3772" s="91" t="s">
        <v>144</v>
      </c>
      <c r="E3772" s="91" t="s">
        <v>17</v>
      </c>
      <c r="F3772">
        <v>720</v>
      </c>
      <c r="G3772">
        <v>15</v>
      </c>
      <c r="H3772" s="89">
        <v>46270</v>
      </c>
      <c r="I3772" s="89">
        <v>46275</v>
      </c>
      <c r="J3772" s="91" t="s">
        <v>5638</v>
      </c>
      <c r="K3772" s="91" t="s">
        <v>5725</v>
      </c>
      <c r="L3772">
        <v>1</v>
      </c>
      <c r="M3772" s="91" t="s">
        <v>5726</v>
      </c>
      <c r="N3772" s="91" t="s">
        <v>5328</v>
      </c>
    </row>
    <row r="3773" spans="1:14" x14ac:dyDescent="0.25">
      <c r="A3773" s="91" t="s">
        <v>1319</v>
      </c>
      <c r="B3773" s="91" t="s">
        <v>1333</v>
      </c>
      <c r="C3773" s="91" t="s">
        <v>5720</v>
      </c>
      <c r="D3773" s="91" t="s">
        <v>144</v>
      </c>
      <c r="E3773" s="91" t="s">
        <v>17</v>
      </c>
      <c r="F3773">
        <v>48</v>
      </c>
      <c r="G3773">
        <v>1</v>
      </c>
      <c r="H3773" s="89">
        <v>46270</v>
      </c>
      <c r="I3773" s="89">
        <v>46275</v>
      </c>
      <c r="J3773" s="91" t="s">
        <v>5638</v>
      </c>
      <c r="K3773" s="91" t="s">
        <v>5727</v>
      </c>
      <c r="L3773">
        <v>1</v>
      </c>
      <c r="M3773" s="91" t="s">
        <v>5728</v>
      </c>
      <c r="N3773" s="91" t="s">
        <v>5328</v>
      </c>
    </row>
    <row r="3774" spans="1:14" x14ac:dyDescent="0.25">
      <c r="A3774" s="91" t="s">
        <v>1320</v>
      </c>
      <c r="B3774" s="91" t="s">
        <v>1334</v>
      </c>
      <c r="C3774" s="91" t="s">
        <v>5729</v>
      </c>
      <c r="D3774" s="91" t="s">
        <v>23</v>
      </c>
      <c r="E3774" s="91" t="s">
        <v>14</v>
      </c>
      <c r="F3774">
        <v>720</v>
      </c>
      <c r="G3774">
        <v>5</v>
      </c>
      <c r="H3774" s="89">
        <v>46270</v>
      </c>
      <c r="I3774" s="89">
        <v>46275</v>
      </c>
      <c r="J3774" s="91" t="s">
        <v>5730</v>
      </c>
      <c r="K3774" s="91" t="s">
        <v>5731</v>
      </c>
      <c r="L3774">
        <v>1</v>
      </c>
      <c r="M3774" s="91" t="s">
        <v>5732</v>
      </c>
      <c r="N3774" s="91" t="s">
        <v>5328</v>
      </c>
    </row>
    <row r="3775" spans="1:14" x14ac:dyDescent="0.25">
      <c r="A3775" s="91" t="s">
        <v>1314</v>
      </c>
      <c r="B3775" s="91" t="s">
        <v>1328</v>
      </c>
      <c r="C3775" s="91" t="s">
        <v>5733</v>
      </c>
      <c r="D3775" s="91" t="s">
        <v>15</v>
      </c>
      <c r="E3775" s="91" t="s">
        <v>31</v>
      </c>
      <c r="F3775">
        <v>96</v>
      </c>
      <c r="G3775">
        <v>2</v>
      </c>
      <c r="H3775" s="89">
        <v>46270</v>
      </c>
      <c r="I3775" s="89">
        <v>46274</v>
      </c>
      <c r="J3775" s="91" t="s">
        <v>5734</v>
      </c>
      <c r="K3775" s="91" t="s">
        <v>5735</v>
      </c>
      <c r="L3775">
        <v>1</v>
      </c>
      <c r="M3775" s="91" t="s">
        <v>5736</v>
      </c>
      <c r="N3775" s="91" t="s">
        <v>5328</v>
      </c>
    </row>
    <row r="3776" spans="1:14" x14ac:dyDescent="0.25">
      <c r="A3776" s="91" t="s">
        <v>1314</v>
      </c>
      <c r="B3776" s="91" t="s">
        <v>1328</v>
      </c>
      <c r="C3776" s="91" t="s">
        <v>5733</v>
      </c>
      <c r="D3776" s="91" t="s">
        <v>15</v>
      </c>
      <c r="E3776" s="91" t="s">
        <v>18</v>
      </c>
      <c r="F3776">
        <v>96</v>
      </c>
      <c r="G3776">
        <v>2</v>
      </c>
      <c r="H3776" s="89">
        <v>46270</v>
      </c>
      <c r="I3776" s="89">
        <v>46274</v>
      </c>
      <c r="J3776" s="91" t="s">
        <v>5562</v>
      </c>
      <c r="K3776" s="91" t="s">
        <v>5737</v>
      </c>
      <c r="L3776">
        <v>1</v>
      </c>
      <c r="M3776" s="91" t="s">
        <v>5738</v>
      </c>
      <c r="N3776" s="91" t="s">
        <v>5328</v>
      </c>
    </row>
    <row r="3777" spans="1:14" x14ac:dyDescent="0.25">
      <c r="A3777" s="91" t="s">
        <v>1314</v>
      </c>
      <c r="B3777" s="91" t="s">
        <v>1328</v>
      </c>
      <c r="C3777" s="91" t="s">
        <v>5733</v>
      </c>
      <c r="D3777" s="91" t="s">
        <v>15</v>
      </c>
      <c r="E3777" s="91" t="s">
        <v>16</v>
      </c>
      <c r="F3777">
        <v>240</v>
      </c>
      <c r="G3777">
        <v>5</v>
      </c>
      <c r="H3777" s="89">
        <v>46270</v>
      </c>
      <c r="I3777" s="89">
        <v>46275</v>
      </c>
      <c r="J3777" s="91" t="s">
        <v>5739</v>
      </c>
      <c r="K3777" s="91" t="s">
        <v>5740</v>
      </c>
      <c r="L3777">
        <v>1</v>
      </c>
      <c r="M3777" s="91" t="s">
        <v>5741</v>
      </c>
      <c r="N3777" s="91" t="s">
        <v>5328</v>
      </c>
    </row>
    <row r="3778" spans="1:14" x14ac:dyDescent="0.25">
      <c r="A3778" s="91" t="s">
        <v>1313</v>
      </c>
      <c r="B3778" s="91" t="s">
        <v>1327</v>
      </c>
      <c r="C3778" s="91" t="s">
        <v>5733</v>
      </c>
      <c r="D3778" s="91" t="s">
        <v>15</v>
      </c>
      <c r="E3778" s="91" t="s">
        <v>16</v>
      </c>
      <c r="F3778">
        <v>288</v>
      </c>
      <c r="G3778">
        <v>6</v>
      </c>
      <c r="H3778" s="89">
        <v>46270</v>
      </c>
      <c r="I3778" s="89">
        <v>46275</v>
      </c>
      <c r="J3778" s="91" t="s">
        <v>5643</v>
      </c>
      <c r="K3778" s="91" t="s">
        <v>5742</v>
      </c>
      <c r="L3778">
        <v>1</v>
      </c>
      <c r="M3778" s="91" t="s">
        <v>5743</v>
      </c>
      <c r="N3778" s="91" t="s">
        <v>5328</v>
      </c>
    </row>
    <row r="3779" spans="1:14" x14ac:dyDescent="0.25">
      <c r="A3779" s="91" t="s">
        <v>1313</v>
      </c>
      <c r="B3779" s="91" t="s">
        <v>1327</v>
      </c>
      <c r="C3779" s="91" t="s">
        <v>5733</v>
      </c>
      <c r="D3779" s="91" t="s">
        <v>15</v>
      </c>
      <c r="E3779" s="91" t="s">
        <v>17</v>
      </c>
      <c r="F3779">
        <v>624</v>
      </c>
      <c r="G3779">
        <v>13</v>
      </c>
      <c r="H3779" s="89">
        <v>46270</v>
      </c>
      <c r="I3779" s="89">
        <v>46277</v>
      </c>
      <c r="J3779" s="91" t="s">
        <v>5744</v>
      </c>
      <c r="K3779" s="91" t="s">
        <v>5745</v>
      </c>
      <c r="L3779">
        <v>1</v>
      </c>
      <c r="M3779" s="91" t="s">
        <v>5746</v>
      </c>
      <c r="N3779" s="91" t="s">
        <v>5328</v>
      </c>
    </row>
    <row r="3780" spans="1:14" x14ac:dyDescent="0.25">
      <c r="A3780" s="91" t="s">
        <v>1315</v>
      </c>
      <c r="B3780" s="91" t="s">
        <v>1329</v>
      </c>
      <c r="C3780" s="91" t="s">
        <v>5733</v>
      </c>
      <c r="D3780" s="91" t="s">
        <v>15</v>
      </c>
      <c r="E3780" s="91" t="s">
        <v>19</v>
      </c>
      <c r="F3780">
        <v>19</v>
      </c>
      <c r="G3780" t="s">
        <v>1419</v>
      </c>
      <c r="H3780" s="89">
        <v>46270</v>
      </c>
      <c r="I3780" s="89">
        <v>46272</v>
      </c>
      <c r="J3780" s="91" t="s">
        <v>1656</v>
      </c>
      <c r="K3780" s="91" t="s">
        <v>5747</v>
      </c>
      <c r="L3780">
        <v>1</v>
      </c>
      <c r="M3780" s="91" t="s">
        <v>5748</v>
      </c>
      <c r="N3780" s="91" t="s">
        <v>5328</v>
      </c>
    </row>
    <row r="3781" spans="1:14" x14ac:dyDescent="0.25">
      <c r="A3781" s="91" t="s">
        <v>1316</v>
      </c>
      <c r="B3781" s="91" t="s">
        <v>1330</v>
      </c>
      <c r="C3781" s="91" t="s">
        <v>5749</v>
      </c>
      <c r="D3781" s="91" t="s">
        <v>15</v>
      </c>
      <c r="E3781" s="91" t="s">
        <v>19</v>
      </c>
      <c r="F3781">
        <v>48</v>
      </c>
      <c r="G3781" t="s">
        <v>1419</v>
      </c>
      <c r="H3781" s="89">
        <v>46270</v>
      </c>
      <c r="I3781" s="89">
        <v>46272</v>
      </c>
      <c r="J3781" s="91" t="s">
        <v>1656</v>
      </c>
      <c r="K3781" s="91" t="s">
        <v>5750</v>
      </c>
      <c r="L3781">
        <v>1</v>
      </c>
      <c r="M3781" s="91" t="s">
        <v>5751</v>
      </c>
      <c r="N3781" s="91" t="s">
        <v>5328</v>
      </c>
    </row>
    <row r="3782" spans="1:14" x14ac:dyDescent="0.25">
      <c r="A3782" s="91" t="s">
        <v>1317</v>
      </c>
      <c r="B3782" s="91" t="s">
        <v>1331</v>
      </c>
      <c r="C3782" s="91" t="s">
        <v>5752</v>
      </c>
      <c r="D3782" s="91" t="s">
        <v>15</v>
      </c>
      <c r="E3782" s="91" t="s">
        <v>19</v>
      </c>
      <c r="F3782">
        <v>66</v>
      </c>
      <c r="G3782" t="s">
        <v>1419</v>
      </c>
      <c r="H3782" s="89">
        <v>46270</v>
      </c>
      <c r="I3782" s="89">
        <v>46272</v>
      </c>
      <c r="J3782" s="91" t="s">
        <v>1656</v>
      </c>
      <c r="K3782" s="91" t="s">
        <v>5753</v>
      </c>
      <c r="L3782">
        <v>1</v>
      </c>
      <c r="M3782" s="91" t="s">
        <v>5754</v>
      </c>
      <c r="N3782" s="91" t="s">
        <v>5328</v>
      </c>
    </row>
    <row r="3783" spans="1:14" x14ac:dyDescent="0.25">
      <c r="A3783" s="91" t="s">
        <v>1318</v>
      </c>
      <c r="B3783" s="91" t="s">
        <v>1332</v>
      </c>
      <c r="C3783" s="91" t="s">
        <v>5755</v>
      </c>
      <c r="D3783" s="91" t="s">
        <v>15</v>
      </c>
      <c r="E3783" s="91" t="s">
        <v>19</v>
      </c>
      <c r="F3783">
        <v>33</v>
      </c>
      <c r="G3783" t="s">
        <v>1419</v>
      </c>
      <c r="H3783" s="89">
        <v>46270</v>
      </c>
      <c r="I3783" s="89">
        <v>46272</v>
      </c>
      <c r="J3783" s="91" t="s">
        <v>1656</v>
      </c>
      <c r="K3783" s="91" t="s">
        <v>5756</v>
      </c>
      <c r="L3783">
        <v>1</v>
      </c>
      <c r="M3783" s="91" t="s">
        <v>5757</v>
      </c>
      <c r="N3783" s="91" t="s">
        <v>5328</v>
      </c>
    </row>
    <row r="3784" spans="1:14" x14ac:dyDescent="0.25">
      <c r="A3784" s="91" t="s">
        <v>1324</v>
      </c>
      <c r="B3784" s="91" t="s">
        <v>1338</v>
      </c>
      <c r="C3784" s="91" t="s">
        <v>5758</v>
      </c>
      <c r="D3784" s="91" t="s">
        <v>152</v>
      </c>
      <c r="E3784" s="91" t="s">
        <v>25</v>
      </c>
      <c r="F3784">
        <v>960</v>
      </c>
      <c r="G3784">
        <v>20</v>
      </c>
      <c r="H3784" s="89">
        <v>46270</v>
      </c>
      <c r="I3784" s="89">
        <v>46275</v>
      </c>
      <c r="J3784" s="91" t="s">
        <v>5707</v>
      </c>
      <c r="K3784" s="91" t="s">
        <v>5759</v>
      </c>
      <c r="L3784">
        <v>1</v>
      </c>
      <c r="M3784" s="91" t="s">
        <v>5760</v>
      </c>
      <c r="N3784" s="91" t="s">
        <v>5328</v>
      </c>
    </row>
    <row r="3785" spans="1:14" x14ac:dyDescent="0.25">
      <c r="A3785" s="91" t="s">
        <v>1324</v>
      </c>
      <c r="B3785" s="91" t="s">
        <v>1338</v>
      </c>
      <c r="C3785" s="91" t="s">
        <v>5761</v>
      </c>
      <c r="D3785" s="91" t="s">
        <v>28</v>
      </c>
      <c r="E3785" s="91" t="s">
        <v>65</v>
      </c>
      <c r="F3785">
        <v>816</v>
      </c>
      <c r="G3785">
        <v>17</v>
      </c>
      <c r="H3785" s="89">
        <v>46270</v>
      </c>
      <c r="I3785" s="89">
        <v>46277</v>
      </c>
      <c r="J3785" s="91" t="s">
        <v>5699</v>
      </c>
      <c r="K3785" s="91" t="s">
        <v>5762</v>
      </c>
      <c r="L3785">
        <v>1</v>
      </c>
      <c r="M3785" s="91" t="s">
        <v>5763</v>
      </c>
      <c r="N3785" s="91" t="s">
        <v>5328</v>
      </c>
    </row>
    <row r="3786" spans="1:14" x14ac:dyDescent="0.25">
      <c r="A3786" s="91" t="s">
        <v>1313</v>
      </c>
      <c r="B3786" s="91" t="s">
        <v>1327</v>
      </c>
      <c r="C3786" s="91" t="s">
        <v>5761</v>
      </c>
      <c r="D3786" s="91" t="s">
        <v>28</v>
      </c>
      <c r="E3786" s="91" t="s">
        <v>17</v>
      </c>
      <c r="F3786">
        <v>240</v>
      </c>
      <c r="G3786">
        <v>5</v>
      </c>
      <c r="H3786" s="89">
        <v>46270</v>
      </c>
      <c r="I3786" s="89">
        <v>46277</v>
      </c>
      <c r="J3786" s="91" t="s">
        <v>5744</v>
      </c>
      <c r="K3786" s="91" t="s">
        <v>5764</v>
      </c>
      <c r="L3786">
        <v>1</v>
      </c>
      <c r="M3786" s="91" t="s">
        <v>5765</v>
      </c>
      <c r="N3786" s="91" t="s">
        <v>5328</v>
      </c>
    </row>
    <row r="3787" spans="1:14" x14ac:dyDescent="0.25">
      <c r="A3787" s="91" t="s">
        <v>1315</v>
      </c>
      <c r="B3787" s="91" t="s">
        <v>1329</v>
      </c>
      <c r="C3787" s="91" t="s">
        <v>5766</v>
      </c>
      <c r="D3787" s="91" t="s">
        <v>28</v>
      </c>
      <c r="E3787" s="91" t="s">
        <v>19</v>
      </c>
      <c r="F3787">
        <v>66</v>
      </c>
      <c r="G3787" t="s">
        <v>1419</v>
      </c>
      <c r="H3787" s="89">
        <v>46270</v>
      </c>
      <c r="I3787" s="89">
        <v>46272</v>
      </c>
      <c r="J3787" s="91" t="s">
        <v>1656</v>
      </c>
      <c r="K3787" s="91" t="s">
        <v>5767</v>
      </c>
      <c r="L3787">
        <v>1</v>
      </c>
      <c r="M3787" s="91" t="s">
        <v>5768</v>
      </c>
      <c r="N3787" s="91" t="s">
        <v>5328</v>
      </c>
    </row>
    <row r="3788" spans="1:14" x14ac:dyDescent="0.25">
      <c r="A3788" s="91" t="s">
        <v>1316</v>
      </c>
      <c r="B3788" s="91" t="s">
        <v>1330</v>
      </c>
      <c r="C3788" s="91" t="s">
        <v>5766</v>
      </c>
      <c r="D3788" s="91" t="s">
        <v>28</v>
      </c>
      <c r="E3788" s="91" t="s">
        <v>19</v>
      </c>
      <c r="F3788">
        <v>16</v>
      </c>
      <c r="G3788" t="s">
        <v>1419</v>
      </c>
      <c r="H3788" s="89">
        <v>46270</v>
      </c>
      <c r="I3788" s="89">
        <v>46272</v>
      </c>
      <c r="J3788" s="91" t="s">
        <v>1656</v>
      </c>
      <c r="K3788" s="91" t="s">
        <v>5769</v>
      </c>
      <c r="L3788">
        <v>1</v>
      </c>
      <c r="M3788" s="91" t="s">
        <v>5770</v>
      </c>
      <c r="N3788" s="91" t="s">
        <v>5328</v>
      </c>
    </row>
    <row r="3789" spans="1:14" x14ac:dyDescent="0.25">
      <c r="A3789" s="91" t="s">
        <v>1317</v>
      </c>
      <c r="B3789" s="91" t="s">
        <v>1331</v>
      </c>
      <c r="C3789" s="91" t="s">
        <v>5771</v>
      </c>
      <c r="D3789" s="91" t="s">
        <v>28</v>
      </c>
      <c r="E3789" s="91" t="s">
        <v>19</v>
      </c>
      <c r="F3789">
        <v>11</v>
      </c>
      <c r="G3789" t="s">
        <v>1419</v>
      </c>
      <c r="H3789" s="89">
        <v>46270</v>
      </c>
      <c r="I3789" s="89">
        <v>46272</v>
      </c>
      <c r="J3789" s="91" t="s">
        <v>1656</v>
      </c>
      <c r="K3789" s="91" t="s">
        <v>5772</v>
      </c>
      <c r="L3789">
        <v>1</v>
      </c>
      <c r="M3789" s="91" t="s">
        <v>5773</v>
      </c>
      <c r="N3789" s="91" t="s">
        <v>5328</v>
      </c>
    </row>
    <row r="3790" spans="1:14" x14ac:dyDescent="0.25">
      <c r="A3790" s="91" t="s">
        <v>1318</v>
      </c>
      <c r="B3790" s="91" t="s">
        <v>1332</v>
      </c>
      <c r="C3790" s="91" t="s">
        <v>5774</v>
      </c>
      <c r="D3790" s="91" t="s">
        <v>28</v>
      </c>
      <c r="E3790" s="91" t="s">
        <v>19</v>
      </c>
      <c r="F3790">
        <v>57</v>
      </c>
      <c r="G3790" t="s">
        <v>1419</v>
      </c>
      <c r="H3790" s="89">
        <v>46270</v>
      </c>
      <c r="I3790" s="89">
        <v>46272</v>
      </c>
      <c r="J3790" s="91" t="s">
        <v>1656</v>
      </c>
      <c r="K3790" s="91" t="s">
        <v>5775</v>
      </c>
      <c r="L3790">
        <v>1</v>
      </c>
      <c r="M3790" s="91" t="s">
        <v>5776</v>
      </c>
      <c r="N3790" s="91" t="s">
        <v>5328</v>
      </c>
    </row>
    <row r="3791" spans="1:14" x14ac:dyDescent="0.25">
      <c r="A3791" s="91" t="s">
        <v>1320</v>
      </c>
      <c r="B3791" s="91" t="s">
        <v>1334</v>
      </c>
      <c r="C3791" s="91" t="s">
        <v>5777</v>
      </c>
      <c r="D3791" s="91" t="s">
        <v>13</v>
      </c>
      <c r="E3791" s="91" t="s">
        <v>14</v>
      </c>
      <c r="F3791">
        <v>960</v>
      </c>
      <c r="G3791">
        <v>20</v>
      </c>
      <c r="H3791" s="89">
        <v>46272</v>
      </c>
      <c r="I3791" s="89">
        <v>46276</v>
      </c>
      <c r="J3791" s="91" t="s">
        <v>5778</v>
      </c>
      <c r="K3791" s="91" t="s">
        <v>5779</v>
      </c>
      <c r="L3791">
        <v>1</v>
      </c>
      <c r="M3791" s="91" t="s">
        <v>5780</v>
      </c>
      <c r="N3791" s="91" t="s">
        <v>5781</v>
      </c>
    </row>
    <row r="3792" spans="1:14" x14ac:dyDescent="0.25">
      <c r="A3792" s="91" t="s">
        <v>1320</v>
      </c>
      <c r="B3792" s="91" t="s">
        <v>1334</v>
      </c>
      <c r="C3792" s="91" t="s">
        <v>5777</v>
      </c>
      <c r="D3792" s="91" t="s">
        <v>13</v>
      </c>
      <c r="E3792" s="91" t="s">
        <v>14</v>
      </c>
      <c r="F3792">
        <v>384</v>
      </c>
      <c r="G3792">
        <v>8</v>
      </c>
      <c r="H3792" s="89">
        <v>46272</v>
      </c>
      <c r="I3792" s="89">
        <v>46276</v>
      </c>
      <c r="J3792" s="91" t="s">
        <v>5782</v>
      </c>
      <c r="K3792" s="91" t="s">
        <v>5783</v>
      </c>
      <c r="L3792">
        <v>1</v>
      </c>
      <c r="M3792" s="91" t="s">
        <v>5784</v>
      </c>
      <c r="N3792" s="91" t="s">
        <v>5781</v>
      </c>
    </row>
    <row r="3793" spans="1:14" x14ac:dyDescent="0.25">
      <c r="A3793" s="91" t="s">
        <v>1320</v>
      </c>
      <c r="B3793" s="91" t="s">
        <v>1334</v>
      </c>
      <c r="C3793" s="91" t="s">
        <v>5785</v>
      </c>
      <c r="D3793" s="91" t="s">
        <v>15</v>
      </c>
      <c r="E3793" s="91" t="s">
        <v>14</v>
      </c>
      <c r="F3793">
        <v>240</v>
      </c>
      <c r="G3793">
        <v>5</v>
      </c>
      <c r="H3793" s="89">
        <v>46272</v>
      </c>
      <c r="I3793" s="89">
        <v>46275</v>
      </c>
      <c r="J3793" s="91" t="s">
        <v>5730</v>
      </c>
      <c r="K3793" s="91" t="s">
        <v>5786</v>
      </c>
      <c r="L3793">
        <v>1</v>
      </c>
      <c r="M3793" s="91" t="s">
        <v>5787</v>
      </c>
      <c r="N3793" s="91" t="s">
        <v>5781</v>
      </c>
    </row>
    <row r="3794" spans="1:14" x14ac:dyDescent="0.25">
      <c r="A3794" s="91" t="s">
        <v>1314</v>
      </c>
      <c r="B3794" s="91" t="s">
        <v>1328</v>
      </c>
      <c r="C3794" s="91" t="s">
        <v>5785</v>
      </c>
      <c r="D3794" s="91" t="s">
        <v>15</v>
      </c>
      <c r="E3794" s="91" t="s">
        <v>16</v>
      </c>
      <c r="F3794">
        <v>48</v>
      </c>
      <c r="G3794">
        <v>1</v>
      </c>
      <c r="H3794" s="89">
        <v>46272</v>
      </c>
      <c r="I3794" s="89">
        <v>46275</v>
      </c>
      <c r="J3794" s="91" t="s">
        <v>5739</v>
      </c>
      <c r="K3794" s="91" t="s">
        <v>5788</v>
      </c>
      <c r="L3794">
        <v>1</v>
      </c>
      <c r="M3794" s="91" t="s">
        <v>5789</v>
      </c>
      <c r="N3794" s="91" t="s">
        <v>5781</v>
      </c>
    </row>
    <row r="3795" spans="1:14" x14ac:dyDescent="0.25">
      <c r="A3795" s="91" t="s">
        <v>1319</v>
      </c>
      <c r="B3795" s="91" t="s">
        <v>1333</v>
      </c>
      <c r="C3795" s="91" t="s">
        <v>5785</v>
      </c>
      <c r="D3795" s="91" t="s">
        <v>15</v>
      </c>
      <c r="E3795" s="91" t="s">
        <v>17</v>
      </c>
      <c r="F3795">
        <v>66</v>
      </c>
      <c r="G3795">
        <v>1.75</v>
      </c>
      <c r="H3795" s="89">
        <v>46272</v>
      </c>
      <c r="I3795" s="89">
        <v>46277</v>
      </c>
      <c r="J3795" s="91" t="s">
        <v>5744</v>
      </c>
      <c r="K3795" s="91" t="s">
        <v>5790</v>
      </c>
      <c r="L3795">
        <v>1</v>
      </c>
      <c r="M3795" s="91" t="s">
        <v>5791</v>
      </c>
      <c r="N3795" s="91" t="s">
        <v>5781</v>
      </c>
    </row>
    <row r="3796" spans="1:14" x14ac:dyDescent="0.25">
      <c r="A3796" s="91" t="s">
        <v>1313</v>
      </c>
      <c r="B3796" s="91" t="s">
        <v>1327</v>
      </c>
      <c r="C3796" s="91" t="s">
        <v>5785</v>
      </c>
      <c r="D3796" s="91" t="s">
        <v>15</v>
      </c>
      <c r="E3796" s="91" t="s">
        <v>17</v>
      </c>
      <c r="F3796">
        <v>222</v>
      </c>
      <c r="G3796">
        <v>4</v>
      </c>
      <c r="H3796" s="89">
        <v>46272</v>
      </c>
      <c r="I3796" s="89">
        <v>46277</v>
      </c>
      <c r="J3796" s="91" t="s">
        <v>5744</v>
      </c>
      <c r="K3796" s="91" t="s">
        <v>5792</v>
      </c>
      <c r="L3796">
        <v>1</v>
      </c>
      <c r="M3796" s="91" t="s">
        <v>5793</v>
      </c>
      <c r="N3796" s="91" t="s">
        <v>5781</v>
      </c>
    </row>
    <row r="3797" spans="1:14" x14ac:dyDescent="0.25">
      <c r="A3797" s="91" t="s">
        <v>1313</v>
      </c>
      <c r="B3797" s="91" t="s">
        <v>1327</v>
      </c>
      <c r="C3797" s="91" t="s">
        <v>5785</v>
      </c>
      <c r="D3797" s="91" t="s">
        <v>15</v>
      </c>
      <c r="E3797" s="91" t="s">
        <v>18</v>
      </c>
      <c r="F3797">
        <v>480</v>
      </c>
      <c r="G3797">
        <v>10</v>
      </c>
      <c r="H3797" s="89">
        <v>46272</v>
      </c>
      <c r="I3797" s="89">
        <v>46276</v>
      </c>
      <c r="J3797" s="91" t="s">
        <v>5794</v>
      </c>
      <c r="K3797" s="91" t="s">
        <v>5795</v>
      </c>
      <c r="L3797">
        <v>1</v>
      </c>
      <c r="M3797" s="91" t="s">
        <v>5796</v>
      </c>
      <c r="N3797" s="91" t="s">
        <v>5781</v>
      </c>
    </row>
    <row r="3798" spans="1:14" x14ac:dyDescent="0.25">
      <c r="A3798" s="91" t="s">
        <v>1314</v>
      </c>
      <c r="B3798" s="91" t="s">
        <v>1328</v>
      </c>
      <c r="C3798" s="91" t="s">
        <v>5785</v>
      </c>
      <c r="D3798" s="91" t="s">
        <v>15</v>
      </c>
      <c r="E3798" s="91" t="s">
        <v>18</v>
      </c>
      <c r="F3798">
        <v>96</v>
      </c>
      <c r="G3798">
        <v>2</v>
      </c>
      <c r="H3798" s="89">
        <v>46272</v>
      </c>
      <c r="I3798" s="89">
        <v>46276</v>
      </c>
      <c r="J3798" s="91" t="s">
        <v>5794</v>
      </c>
      <c r="K3798" s="91" t="s">
        <v>5797</v>
      </c>
      <c r="L3798">
        <v>1</v>
      </c>
      <c r="M3798" s="91" t="s">
        <v>5798</v>
      </c>
      <c r="N3798" s="91" t="s">
        <v>5781</v>
      </c>
    </row>
    <row r="3799" spans="1:14" x14ac:dyDescent="0.25">
      <c r="A3799" s="91" t="s">
        <v>1313</v>
      </c>
      <c r="B3799" s="91" t="s">
        <v>1327</v>
      </c>
      <c r="C3799" s="91" t="s">
        <v>5785</v>
      </c>
      <c r="D3799" s="91" t="s">
        <v>15</v>
      </c>
      <c r="E3799" s="91" t="s">
        <v>16</v>
      </c>
      <c r="F3799">
        <v>96</v>
      </c>
      <c r="G3799">
        <v>2</v>
      </c>
      <c r="H3799" s="89">
        <v>46272</v>
      </c>
      <c r="I3799" s="89">
        <v>46277</v>
      </c>
      <c r="J3799" s="91" t="s">
        <v>5799</v>
      </c>
      <c r="K3799" s="91" t="s">
        <v>5800</v>
      </c>
      <c r="L3799">
        <v>1</v>
      </c>
      <c r="M3799" s="91" t="s">
        <v>5801</v>
      </c>
      <c r="N3799" s="91" t="s">
        <v>5781</v>
      </c>
    </row>
    <row r="3800" spans="1:14" x14ac:dyDescent="0.25">
      <c r="A3800" s="91" t="s">
        <v>1315</v>
      </c>
      <c r="B3800" s="91" t="s">
        <v>1329</v>
      </c>
      <c r="C3800" s="91" t="s">
        <v>5785</v>
      </c>
      <c r="D3800" s="91" t="s">
        <v>15</v>
      </c>
      <c r="E3800" s="91" t="s">
        <v>19</v>
      </c>
      <c r="F3800">
        <v>10</v>
      </c>
      <c r="G3800" t="s">
        <v>1419</v>
      </c>
      <c r="H3800" s="89">
        <v>46272</v>
      </c>
      <c r="I3800" s="89">
        <v>46276</v>
      </c>
      <c r="J3800" s="91" t="s">
        <v>1656</v>
      </c>
      <c r="K3800" s="91" t="s">
        <v>5802</v>
      </c>
      <c r="L3800">
        <v>1</v>
      </c>
      <c r="M3800" s="91" t="s">
        <v>5803</v>
      </c>
      <c r="N3800" s="91" t="s">
        <v>5781</v>
      </c>
    </row>
    <row r="3801" spans="1:14" x14ac:dyDescent="0.25">
      <c r="A3801" s="91" t="s">
        <v>1316</v>
      </c>
      <c r="B3801" s="91" t="s">
        <v>1330</v>
      </c>
      <c r="C3801" s="91" t="s">
        <v>5804</v>
      </c>
      <c r="D3801" s="91" t="s">
        <v>15</v>
      </c>
      <c r="E3801" s="91" t="s">
        <v>19</v>
      </c>
      <c r="F3801">
        <v>48</v>
      </c>
      <c r="G3801" t="s">
        <v>1419</v>
      </c>
      <c r="H3801" s="89">
        <v>46272</v>
      </c>
      <c r="I3801" s="89">
        <v>46276</v>
      </c>
      <c r="J3801" s="91" t="s">
        <v>1656</v>
      </c>
      <c r="K3801" s="91" t="s">
        <v>5805</v>
      </c>
      <c r="L3801">
        <v>1</v>
      </c>
      <c r="M3801" s="91" t="s">
        <v>5806</v>
      </c>
      <c r="N3801" s="91" t="s">
        <v>5781</v>
      </c>
    </row>
    <row r="3802" spans="1:14" x14ac:dyDescent="0.25">
      <c r="A3802" s="91" t="s">
        <v>1317</v>
      </c>
      <c r="B3802" s="91" t="s">
        <v>1331</v>
      </c>
      <c r="C3802" s="91" t="s">
        <v>5807</v>
      </c>
      <c r="D3802" s="91" t="s">
        <v>15</v>
      </c>
      <c r="E3802" s="91" t="s">
        <v>19</v>
      </c>
      <c r="F3802">
        <v>63</v>
      </c>
      <c r="G3802" t="s">
        <v>1419</v>
      </c>
      <c r="H3802" s="89">
        <v>46272</v>
      </c>
      <c r="I3802" s="89">
        <v>46276</v>
      </c>
      <c r="J3802" s="91" t="s">
        <v>1656</v>
      </c>
      <c r="K3802" s="91" t="s">
        <v>5808</v>
      </c>
      <c r="L3802">
        <v>1</v>
      </c>
      <c r="M3802" s="91" t="s">
        <v>5809</v>
      </c>
      <c r="N3802" s="91" t="s">
        <v>5781</v>
      </c>
    </row>
    <row r="3803" spans="1:14" x14ac:dyDescent="0.25">
      <c r="A3803" s="91" t="s">
        <v>1318</v>
      </c>
      <c r="B3803" s="91" t="s">
        <v>1332</v>
      </c>
      <c r="C3803" s="91" t="s">
        <v>5810</v>
      </c>
      <c r="D3803" s="91" t="s">
        <v>15</v>
      </c>
      <c r="E3803" s="91" t="s">
        <v>19</v>
      </c>
      <c r="F3803">
        <v>20</v>
      </c>
      <c r="G3803" t="s">
        <v>1419</v>
      </c>
      <c r="H3803" s="89">
        <v>46272</v>
      </c>
      <c r="I3803" s="89">
        <v>46276</v>
      </c>
      <c r="J3803" s="91" t="s">
        <v>1656</v>
      </c>
      <c r="K3803" s="91" t="s">
        <v>5811</v>
      </c>
      <c r="L3803">
        <v>1</v>
      </c>
      <c r="M3803" s="91" t="s">
        <v>5812</v>
      </c>
      <c r="N3803" s="91" t="s">
        <v>5781</v>
      </c>
    </row>
    <row r="3804" spans="1:14" x14ac:dyDescent="0.25">
      <c r="A3804" s="91" t="s">
        <v>1319</v>
      </c>
      <c r="B3804" s="91" t="s">
        <v>1333</v>
      </c>
      <c r="C3804" s="91" t="s">
        <v>5813</v>
      </c>
      <c r="D3804" s="91" t="s">
        <v>20</v>
      </c>
      <c r="E3804" s="91" t="s">
        <v>17</v>
      </c>
      <c r="F3804">
        <v>84</v>
      </c>
      <c r="G3804">
        <v>1.75</v>
      </c>
      <c r="H3804" s="89">
        <v>46272</v>
      </c>
      <c r="I3804" s="89">
        <v>46276</v>
      </c>
      <c r="J3804" s="91" t="s">
        <v>5814</v>
      </c>
      <c r="K3804" s="91" t="s">
        <v>5815</v>
      </c>
      <c r="L3804">
        <v>1</v>
      </c>
      <c r="M3804" s="91" t="s">
        <v>5816</v>
      </c>
      <c r="N3804" s="91" t="s">
        <v>5781</v>
      </c>
    </row>
    <row r="3805" spans="1:14" x14ac:dyDescent="0.25">
      <c r="A3805" s="91" t="s">
        <v>1313</v>
      </c>
      <c r="B3805" s="91" t="s">
        <v>1327</v>
      </c>
      <c r="C3805" s="91" t="s">
        <v>5813</v>
      </c>
      <c r="D3805" s="91" t="s">
        <v>20</v>
      </c>
      <c r="E3805" s="91" t="s">
        <v>17</v>
      </c>
      <c r="F3805">
        <v>1068</v>
      </c>
      <c r="G3805">
        <v>22.25</v>
      </c>
      <c r="H3805" s="89">
        <v>46272</v>
      </c>
      <c r="I3805" s="89">
        <v>46276</v>
      </c>
      <c r="J3805" s="91" t="s">
        <v>5814</v>
      </c>
      <c r="K3805" s="91" t="s">
        <v>5817</v>
      </c>
      <c r="L3805">
        <v>1</v>
      </c>
      <c r="M3805" s="91" t="s">
        <v>5818</v>
      </c>
      <c r="N3805" s="91" t="s">
        <v>5781</v>
      </c>
    </row>
    <row r="3806" spans="1:14" x14ac:dyDescent="0.25">
      <c r="A3806" s="91" t="s">
        <v>1313</v>
      </c>
      <c r="B3806" s="91" t="s">
        <v>1327</v>
      </c>
      <c r="C3806" s="91" t="s">
        <v>5813</v>
      </c>
      <c r="D3806" s="91" t="s">
        <v>20</v>
      </c>
      <c r="E3806" s="91" t="s">
        <v>16</v>
      </c>
      <c r="F3806">
        <v>96</v>
      </c>
      <c r="G3806">
        <v>2</v>
      </c>
      <c r="H3806" s="89">
        <v>46272</v>
      </c>
      <c r="I3806" s="89">
        <v>46277</v>
      </c>
      <c r="J3806" s="91" t="s">
        <v>5799</v>
      </c>
      <c r="K3806" s="91" t="s">
        <v>5819</v>
      </c>
      <c r="L3806">
        <v>1</v>
      </c>
      <c r="M3806" s="91" t="s">
        <v>5820</v>
      </c>
      <c r="N3806" s="91" t="s">
        <v>5781</v>
      </c>
    </row>
    <row r="3807" spans="1:14" x14ac:dyDescent="0.25">
      <c r="A3807" s="91" t="s">
        <v>1315</v>
      </c>
      <c r="B3807" s="91" t="s">
        <v>1329</v>
      </c>
      <c r="C3807" s="91" t="s">
        <v>5813</v>
      </c>
      <c r="D3807" s="91" t="s">
        <v>20</v>
      </c>
      <c r="E3807" s="91" t="s">
        <v>19</v>
      </c>
      <c r="F3807">
        <v>84</v>
      </c>
      <c r="G3807" t="s">
        <v>1419</v>
      </c>
      <c r="H3807" s="89">
        <v>46272</v>
      </c>
      <c r="I3807" s="89">
        <v>46276</v>
      </c>
      <c r="J3807" s="91" t="s">
        <v>1656</v>
      </c>
      <c r="K3807" s="91" t="s">
        <v>5821</v>
      </c>
      <c r="L3807">
        <v>1</v>
      </c>
      <c r="M3807" s="91" t="s">
        <v>5822</v>
      </c>
      <c r="N3807" s="91" t="s">
        <v>5781</v>
      </c>
    </row>
    <row r="3808" spans="1:14" x14ac:dyDescent="0.25">
      <c r="A3808" s="91" t="s">
        <v>1316</v>
      </c>
      <c r="B3808" s="91" t="s">
        <v>1330</v>
      </c>
      <c r="C3808" s="91" t="s">
        <v>5823</v>
      </c>
      <c r="D3808" s="91" t="s">
        <v>20</v>
      </c>
      <c r="E3808" s="91" t="s">
        <v>19</v>
      </c>
      <c r="F3808">
        <v>88</v>
      </c>
      <c r="G3808" t="s">
        <v>1419</v>
      </c>
      <c r="H3808" s="89">
        <v>46272</v>
      </c>
      <c r="I3808" s="89">
        <v>46276</v>
      </c>
      <c r="J3808" s="91" t="s">
        <v>1656</v>
      </c>
      <c r="K3808" s="91" t="s">
        <v>5824</v>
      </c>
      <c r="L3808">
        <v>1</v>
      </c>
      <c r="M3808" s="91" t="s">
        <v>5825</v>
      </c>
      <c r="N3808" s="91" t="s">
        <v>5781</v>
      </c>
    </row>
    <row r="3809" spans="1:14" x14ac:dyDescent="0.25">
      <c r="A3809" s="91" t="s">
        <v>1317</v>
      </c>
      <c r="B3809" s="91" t="s">
        <v>1331</v>
      </c>
      <c r="C3809" s="91" t="s">
        <v>5826</v>
      </c>
      <c r="D3809" s="91" t="s">
        <v>20</v>
      </c>
      <c r="E3809" s="91" t="s">
        <v>19</v>
      </c>
      <c r="F3809">
        <v>29</v>
      </c>
      <c r="G3809" t="s">
        <v>1419</v>
      </c>
      <c r="H3809" s="89">
        <v>46272</v>
      </c>
      <c r="I3809" s="89">
        <v>46276</v>
      </c>
      <c r="J3809" s="91" t="s">
        <v>1656</v>
      </c>
      <c r="K3809" s="91" t="s">
        <v>5827</v>
      </c>
      <c r="L3809">
        <v>1</v>
      </c>
      <c r="M3809" s="91" t="s">
        <v>5828</v>
      </c>
      <c r="N3809" s="91" t="s">
        <v>5781</v>
      </c>
    </row>
    <row r="3810" spans="1:14" x14ac:dyDescent="0.25">
      <c r="A3810" s="91" t="s">
        <v>1318</v>
      </c>
      <c r="B3810" s="91" t="s">
        <v>1332</v>
      </c>
      <c r="C3810" s="91" t="s">
        <v>5829</v>
      </c>
      <c r="D3810" s="91" t="s">
        <v>20</v>
      </c>
      <c r="E3810" s="91" t="s">
        <v>19</v>
      </c>
      <c r="F3810">
        <v>48</v>
      </c>
      <c r="G3810" t="s">
        <v>1419</v>
      </c>
      <c r="H3810" s="89">
        <v>46272</v>
      </c>
      <c r="I3810" s="89">
        <v>46276</v>
      </c>
      <c r="J3810" s="91" t="s">
        <v>1656</v>
      </c>
      <c r="K3810" s="91" t="s">
        <v>5830</v>
      </c>
      <c r="L3810">
        <v>1</v>
      </c>
      <c r="M3810" s="91" t="s">
        <v>5831</v>
      </c>
      <c r="N3810" s="91" t="s">
        <v>5781</v>
      </c>
    </row>
    <row r="3811" spans="1:14" x14ac:dyDescent="0.25">
      <c r="A3811" s="91" t="s">
        <v>1313</v>
      </c>
      <c r="B3811" s="91" t="s">
        <v>1327</v>
      </c>
      <c r="C3811" s="91" t="s">
        <v>5832</v>
      </c>
      <c r="D3811" s="91" t="s">
        <v>21</v>
      </c>
      <c r="E3811" s="91" t="s">
        <v>18</v>
      </c>
      <c r="F3811">
        <v>432</v>
      </c>
      <c r="G3811">
        <v>9</v>
      </c>
      <c r="H3811" s="89">
        <v>46272</v>
      </c>
      <c r="I3811" s="89">
        <v>46276</v>
      </c>
      <c r="J3811" s="91" t="s">
        <v>5794</v>
      </c>
      <c r="K3811" s="91" t="s">
        <v>5833</v>
      </c>
      <c r="L3811">
        <v>1</v>
      </c>
      <c r="M3811" s="91" t="s">
        <v>5834</v>
      </c>
      <c r="N3811" s="91" t="s">
        <v>5781</v>
      </c>
    </row>
    <row r="3812" spans="1:14" x14ac:dyDescent="0.25">
      <c r="A3812" s="91" t="s">
        <v>1320</v>
      </c>
      <c r="B3812" s="91" t="s">
        <v>1334</v>
      </c>
      <c r="C3812" s="91" t="s">
        <v>5832</v>
      </c>
      <c r="D3812" s="91" t="s">
        <v>21</v>
      </c>
      <c r="E3812" s="91" t="s">
        <v>14</v>
      </c>
      <c r="F3812">
        <v>960</v>
      </c>
      <c r="G3812">
        <v>20</v>
      </c>
      <c r="H3812" s="89">
        <v>46272</v>
      </c>
      <c r="I3812" s="89">
        <v>46277</v>
      </c>
      <c r="J3812" s="91" t="s">
        <v>5835</v>
      </c>
      <c r="K3812" s="91" t="s">
        <v>5836</v>
      </c>
      <c r="L3812">
        <v>1</v>
      </c>
      <c r="M3812" s="91" t="s">
        <v>5837</v>
      </c>
      <c r="N3812" s="91" t="s">
        <v>5781</v>
      </c>
    </row>
    <row r="3813" spans="1:14" x14ac:dyDescent="0.25">
      <c r="A3813" s="91" t="s">
        <v>1315</v>
      </c>
      <c r="B3813" s="91" t="s">
        <v>1329</v>
      </c>
      <c r="C3813" s="91" t="s">
        <v>5832</v>
      </c>
      <c r="D3813" s="91" t="s">
        <v>21</v>
      </c>
      <c r="E3813" s="91" t="s">
        <v>19</v>
      </c>
      <c r="F3813">
        <v>29</v>
      </c>
      <c r="G3813" t="s">
        <v>1419</v>
      </c>
      <c r="H3813" s="89">
        <v>46272</v>
      </c>
      <c r="I3813" s="89">
        <v>46276</v>
      </c>
      <c r="J3813" s="91" t="s">
        <v>1656</v>
      </c>
      <c r="K3813" s="91" t="s">
        <v>5838</v>
      </c>
      <c r="L3813">
        <v>1</v>
      </c>
      <c r="M3813" s="91" t="s">
        <v>5839</v>
      </c>
      <c r="N3813" s="91" t="s">
        <v>5781</v>
      </c>
    </row>
    <row r="3814" spans="1:14" x14ac:dyDescent="0.25">
      <c r="A3814" s="91" t="s">
        <v>1315</v>
      </c>
      <c r="B3814" s="91" t="s">
        <v>1329</v>
      </c>
      <c r="C3814" s="91" t="s">
        <v>5832</v>
      </c>
      <c r="D3814" s="91" t="s">
        <v>21</v>
      </c>
      <c r="E3814" s="91" t="s">
        <v>19</v>
      </c>
      <c r="F3814">
        <v>45</v>
      </c>
      <c r="G3814" t="s">
        <v>1419</v>
      </c>
      <c r="H3814" s="89">
        <v>46272</v>
      </c>
      <c r="I3814" s="89">
        <v>46276</v>
      </c>
      <c r="J3814" s="91" t="s">
        <v>1656</v>
      </c>
      <c r="K3814" s="91" t="s">
        <v>5838</v>
      </c>
      <c r="L3814">
        <v>2</v>
      </c>
      <c r="M3814" s="91" t="s">
        <v>5840</v>
      </c>
      <c r="N3814" s="91" t="s">
        <v>5781</v>
      </c>
    </row>
    <row r="3815" spans="1:14" x14ac:dyDescent="0.25">
      <c r="A3815" s="91" t="s">
        <v>1316</v>
      </c>
      <c r="B3815" s="91" t="s">
        <v>1330</v>
      </c>
      <c r="C3815" s="91" t="s">
        <v>5841</v>
      </c>
      <c r="D3815" s="91" t="s">
        <v>21</v>
      </c>
      <c r="E3815" s="91" t="s">
        <v>19</v>
      </c>
      <c r="F3815">
        <v>12</v>
      </c>
      <c r="G3815" t="s">
        <v>1419</v>
      </c>
      <c r="H3815" s="89">
        <v>46272</v>
      </c>
      <c r="I3815" s="89">
        <v>46276</v>
      </c>
      <c r="J3815" s="91" t="s">
        <v>1656</v>
      </c>
      <c r="K3815" s="91" t="s">
        <v>5842</v>
      </c>
      <c r="L3815">
        <v>1</v>
      </c>
      <c r="M3815" s="91" t="s">
        <v>5843</v>
      </c>
      <c r="N3815" s="91" t="s">
        <v>5781</v>
      </c>
    </row>
    <row r="3816" spans="1:14" x14ac:dyDescent="0.25">
      <c r="A3816" s="91" t="s">
        <v>1316</v>
      </c>
      <c r="B3816" s="91" t="s">
        <v>1330</v>
      </c>
      <c r="C3816" s="91" t="s">
        <v>5841</v>
      </c>
      <c r="D3816" s="91" t="s">
        <v>21</v>
      </c>
      <c r="E3816" s="91" t="s">
        <v>19</v>
      </c>
      <c r="F3816">
        <v>15</v>
      </c>
      <c r="G3816" t="s">
        <v>1419</v>
      </c>
      <c r="H3816" s="89">
        <v>46272</v>
      </c>
      <c r="I3816" s="89">
        <v>46276</v>
      </c>
      <c r="J3816" s="91" t="s">
        <v>1656</v>
      </c>
      <c r="K3816" s="91" t="s">
        <v>5842</v>
      </c>
      <c r="L3816">
        <v>2</v>
      </c>
      <c r="M3816" s="91" t="s">
        <v>5844</v>
      </c>
      <c r="N3816" s="91" t="s">
        <v>5781</v>
      </c>
    </row>
    <row r="3817" spans="1:14" x14ac:dyDescent="0.25">
      <c r="A3817" s="91" t="s">
        <v>1317</v>
      </c>
      <c r="B3817" s="91" t="s">
        <v>1331</v>
      </c>
      <c r="C3817" s="91" t="s">
        <v>5845</v>
      </c>
      <c r="D3817" s="91" t="s">
        <v>21</v>
      </c>
      <c r="E3817" s="91" t="s">
        <v>19</v>
      </c>
      <c r="F3817">
        <v>4</v>
      </c>
      <c r="G3817" t="s">
        <v>1419</v>
      </c>
      <c r="H3817" s="89">
        <v>46272</v>
      </c>
      <c r="I3817" s="89">
        <v>46276</v>
      </c>
      <c r="J3817" s="91" t="s">
        <v>1656</v>
      </c>
      <c r="K3817" s="91" t="s">
        <v>5846</v>
      </c>
      <c r="L3817">
        <v>1</v>
      </c>
      <c r="M3817" s="91" t="s">
        <v>5847</v>
      </c>
      <c r="N3817" s="91" t="s">
        <v>5781</v>
      </c>
    </row>
    <row r="3818" spans="1:14" x14ac:dyDescent="0.25">
      <c r="A3818" s="91" t="s">
        <v>1317</v>
      </c>
      <c r="B3818" s="91" t="s">
        <v>1331</v>
      </c>
      <c r="C3818" s="91" t="s">
        <v>5845</v>
      </c>
      <c r="D3818" s="91" t="s">
        <v>21</v>
      </c>
      <c r="E3818" s="91" t="s">
        <v>19</v>
      </c>
      <c r="F3818">
        <v>26</v>
      </c>
      <c r="G3818" t="s">
        <v>1419</v>
      </c>
      <c r="H3818" s="89">
        <v>46272</v>
      </c>
      <c r="I3818" s="89">
        <v>46276</v>
      </c>
      <c r="J3818" s="91" t="s">
        <v>1656</v>
      </c>
      <c r="K3818" s="91" t="s">
        <v>5846</v>
      </c>
      <c r="L3818">
        <v>2</v>
      </c>
      <c r="M3818" s="91" t="s">
        <v>5848</v>
      </c>
      <c r="N3818" s="91" t="s">
        <v>5781</v>
      </c>
    </row>
    <row r="3819" spans="1:14" x14ac:dyDescent="0.25">
      <c r="A3819" s="91" t="s">
        <v>1318</v>
      </c>
      <c r="B3819" s="91" t="s">
        <v>1332</v>
      </c>
      <c r="C3819" s="91" t="s">
        <v>5849</v>
      </c>
      <c r="D3819" s="91" t="s">
        <v>21</v>
      </c>
      <c r="E3819" s="91" t="s">
        <v>19</v>
      </c>
      <c r="F3819">
        <v>92</v>
      </c>
      <c r="G3819" t="s">
        <v>1419</v>
      </c>
      <c r="H3819" s="89">
        <v>46272</v>
      </c>
      <c r="I3819" s="89">
        <v>46276</v>
      </c>
      <c r="J3819" s="91" t="s">
        <v>1656</v>
      </c>
      <c r="K3819" s="91" t="s">
        <v>5850</v>
      </c>
      <c r="L3819">
        <v>1</v>
      </c>
      <c r="M3819" s="91" t="s">
        <v>5851</v>
      </c>
      <c r="N3819" s="91" t="s">
        <v>5781</v>
      </c>
    </row>
    <row r="3820" spans="1:14" x14ac:dyDescent="0.25">
      <c r="A3820" s="91" t="s">
        <v>1320</v>
      </c>
      <c r="B3820" s="91" t="s">
        <v>1334</v>
      </c>
      <c r="C3820" s="91" t="s">
        <v>5852</v>
      </c>
      <c r="D3820" s="91" t="s">
        <v>13</v>
      </c>
      <c r="E3820" s="91" t="s">
        <v>14</v>
      </c>
      <c r="F3820">
        <v>576</v>
      </c>
      <c r="G3820">
        <v>20</v>
      </c>
      <c r="H3820" s="89">
        <v>46273</v>
      </c>
      <c r="I3820" s="89">
        <v>46276</v>
      </c>
      <c r="J3820" s="91" t="s">
        <v>5782</v>
      </c>
      <c r="K3820" s="91" t="s">
        <v>5853</v>
      </c>
      <c r="L3820">
        <v>1</v>
      </c>
      <c r="M3820" s="91" t="s">
        <v>5854</v>
      </c>
      <c r="N3820" s="91" t="s">
        <v>5781</v>
      </c>
    </row>
    <row r="3821" spans="1:14" x14ac:dyDescent="0.25">
      <c r="A3821" s="91" t="s">
        <v>1313</v>
      </c>
      <c r="B3821" s="91" t="s">
        <v>1327</v>
      </c>
      <c r="C3821" s="91" t="s">
        <v>5852</v>
      </c>
      <c r="D3821" s="91" t="s">
        <v>13</v>
      </c>
      <c r="E3821" s="91" t="s">
        <v>22</v>
      </c>
      <c r="F3821">
        <v>624</v>
      </c>
      <c r="G3821">
        <v>13</v>
      </c>
      <c r="H3821" s="89">
        <v>46273</v>
      </c>
      <c r="I3821" s="89">
        <v>46278</v>
      </c>
      <c r="J3821" s="91" t="s">
        <v>5855</v>
      </c>
      <c r="K3821" s="91" t="s">
        <v>5856</v>
      </c>
      <c r="L3821">
        <v>1</v>
      </c>
      <c r="M3821" s="91" t="s">
        <v>5857</v>
      </c>
      <c r="N3821" s="91" t="s">
        <v>5781</v>
      </c>
    </row>
    <row r="3822" spans="1:14" x14ac:dyDescent="0.25">
      <c r="A3822" s="91" t="s">
        <v>1320</v>
      </c>
      <c r="B3822" s="91" t="s">
        <v>1334</v>
      </c>
      <c r="C3822" s="91" t="s">
        <v>5858</v>
      </c>
      <c r="D3822" s="91" t="s">
        <v>23</v>
      </c>
      <c r="E3822" s="91" t="s">
        <v>14</v>
      </c>
      <c r="F3822">
        <v>960</v>
      </c>
      <c r="G3822">
        <v>20</v>
      </c>
      <c r="H3822" s="89">
        <v>46273</v>
      </c>
      <c r="I3822" s="89">
        <v>46277</v>
      </c>
      <c r="J3822" s="91" t="s">
        <v>5859</v>
      </c>
      <c r="K3822" s="91" t="s">
        <v>5860</v>
      </c>
      <c r="L3822">
        <v>1</v>
      </c>
      <c r="M3822" s="91" t="s">
        <v>5861</v>
      </c>
      <c r="N3822" s="91" t="s">
        <v>5781</v>
      </c>
    </row>
    <row r="3823" spans="1:14" x14ac:dyDescent="0.25">
      <c r="A3823" s="91" t="s">
        <v>1320</v>
      </c>
      <c r="B3823" s="91" t="s">
        <v>1334</v>
      </c>
      <c r="C3823" s="91" t="s">
        <v>5862</v>
      </c>
      <c r="D3823" s="91" t="s">
        <v>24</v>
      </c>
      <c r="E3823" s="91" t="s">
        <v>14</v>
      </c>
      <c r="F3823">
        <v>960</v>
      </c>
      <c r="G3823">
        <v>20</v>
      </c>
      <c r="H3823" s="89">
        <v>46273</v>
      </c>
      <c r="I3823" s="89">
        <v>46279</v>
      </c>
      <c r="J3823" s="91" t="s">
        <v>5863</v>
      </c>
      <c r="K3823" s="91" t="s">
        <v>5864</v>
      </c>
      <c r="L3823">
        <v>1</v>
      </c>
      <c r="M3823" s="91" t="s">
        <v>5865</v>
      </c>
      <c r="N3823" s="91" t="s">
        <v>5781</v>
      </c>
    </row>
    <row r="3824" spans="1:14" x14ac:dyDescent="0.25">
      <c r="A3824" s="91" t="s">
        <v>1324</v>
      </c>
      <c r="B3824" s="91" t="s">
        <v>1338</v>
      </c>
      <c r="C3824" s="91" t="s">
        <v>5862</v>
      </c>
      <c r="D3824" s="91" t="s">
        <v>24</v>
      </c>
      <c r="E3824" s="91" t="s">
        <v>25</v>
      </c>
      <c r="F3824">
        <v>480</v>
      </c>
      <c r="G3824">
        <v>10</v>
      </c>
      <c r="H3824" s="89">
        <v>46273</v>
      </c>
      <c r="I3824" s="89">
        <v>46281</v>
      </c>
      <c r="J3824" s="91" t="s">
        <v>5866</v>
      </c>
      <c r="K3824" s="91" t="s">
        <v>5867</v>
      </c>
      <c r="L3824">
        <v>1</v>
      </c>
      <c r="M3824" s="91" t="s">
        <v>5868</v>
      </c>
      <c r="N3824" s="91" t="s">
        <v>5781</v>
      </c>
    </row>
    <row r="3825" spans="1:14" x14ac:dyDescent="0.25">
      <c r="A3825" s="91" t="s">
        <v>1323</v>
      </c>
      <c r="B3825" s="91" t="s">
        <v>1337</v>
      </c>
      <c r="C3825" s="91" t="s">
        <v>5869</v>
      </c>
      <c r="D3825" s="91" t="s">
        <v>20</v>
      </c>
      <c r="E3825" s="91" t="s">
        <v>26</v>
      </c>
      <c r="F3825">
        <v>810</v>
      </c>
      <c r="G3825">
        <v>15</v>
      </c>
      <c r="H3825" s="89">
        <v>46273</v>
      </c>
      <c r="I3825" s="89">
        <v>46278</v>
      </c>
      <c r="J3825" s="91" t="s">
        <v>5870</v>
      </c>
      <c r="K3825" s="91" t="s">
        <v>5871</v>
      </c>
      <c r="L3825">
        <v>1</v>
      </c>
      <c r="M3825" s="91" t="s">
        <v>5872</v>
      </c>
      <c r="N3825" s="91" t="s">
        <v>5781</v>
      </c>
    </row>
    <row r="3826" spans="1:14" x14ac:dyDescent="0.25">
      <c r="A3826" s="91" t="s">
        <v>1322</v>
      </c>
      <c r="B3826" s="91" t="s">
        <v>1336</v>
      </c>
      <c r="C3826" s="91" t="s">
        <v>5869</v>
      </c>
      <c r="D3826" s="91" t="s">
        <v>20</v>
      </c>
      <c r="E3826" s="91" t="s">
        <v>26</v>
      </c>
      <c r="F3826">
        <v>270</v>
      </c>
      <c r="G3826">
        <v>5</v>
      </c>
      <c r="H3826" s="89">
        <v>46273</v>
      </c>
      <c r="I3826" s="89">
        <v>46278</v>
      </c>
      <c r="J3826" s="91" t="s">
        <v>5870</v>
      </c>
      <c r="K3826" s="91" t="s">
        <v>5873</v>
      </c>
      <c r="L3826">
        <v>1</v>
      </c>
      <c r="M3826" s="91" t="s">
        <v>5874</v>
      </c>
      <c r="N3826" s="91" t="s">
        <v>5781</v>
      </c>
    </row>
    <row r="3827" spans="1:14" x14ac:dyDescent="0.25">
      <c r="A3827" s="91" t="s">
        <v>1313</v>
      </c>
      <c r="B3827" s="91" t="s">
        <v>1327</v>
      </c>
      <c r="C3827" s="91" t="s">
        <v>5869</v>
      </c>
      <c r="D3827" s="91" t="s">
        <v>20</v>
      </c>
      <c r="E3827" s="91" t="s">
        <v>16</v>
      </c>
      <c r="F3827">
        <v>240</v>
      </c>
      <c r="G3827">
        <v>5</v>
      </c>
      <c r="H3827" s="89">
        <v>46273</v>
      </c>
      <c r="I3827" s="89">
        <v>46277</v>
      </c>
      <c r="J3827" s="91" t="s">
        <v>3549</v>
      </c>
      <c r="K3827" s="91" t="s">
        <v>5875</v>
      </c>
      <c r="L3827">
        <v>1</v>
      </c>
      <c r="M3827" s="91" t="s">
        <v>5876</v>
      </c>
      <c r="N3827" s="91" t="s">
        <v>5781</v>
      </c>
    </row>
    <row r="3828" spans="1:14" x14ac:dyDescent="0.25">
      <c r="A3828" s="91" t="s">
        <v>1315</v>
      </c>
      <c r="B3828" s="91" t="s">
        <v>1329</v>
      </c>
      <c r="C3828" s="91" t="s">
        <v>5869</v>
      </c>
      <c r="D3828" s="91" t="s">
        <v>20</v>
      </c>
      <c r="E3828" s="91" t="s">
        <v>19</v>
      </c>
      <c r="F3828">
        <v>53</v>
      </c>
      <c r="G3828" t="s">
        <v>1419</v>
      </c>
      <c r="H3828" s="89">
        <v>46273</v>
      </c>
      <c r="I3828" s="89">
        <v>46275</v>
      </c>
      <c r="J3828" s="91" t="s">
        <v>3549</v>
      </c>
      <c r="K3828" s="91" t="s">
        <v>5877</v>
      </c>
      <c r="L3828">
        <v>1</v>
      </c>
      <c r="M3828" s="91" t="s">
        <v>5878</v>
      </c>
      <c r="N3828" s="91" t="s">
        <v>5781</v>
      </c>
    </row>
    <row r="3829" spans="1:14" x14ac:dyDescent="0.25">
      <c r="A3829" s="91" t="s">
        <v>1316</v>
      </c>
      <c r="B3829" s="91" t="s">
        <v>1330</v>
      </c>
      <c r="C3829" s="91" t="s">
        <v>5879</v>
      </c>
      <c r="D3829" s="91" t="s">
        <v>20</v>
      </c>
      <c r="E3829" s="91" t="s">
        <v>19</v>
      </c>
      <c r="F3829">
        <v>68</v>
      </c>
      <c r="G3829" t="s">
        <v>1419</v>
      </c>
      <c r="H3829" s="89">
        <v>46273</v>
      </c>
      <c r="I3829" s="89">
        <v>46275</v>
      </c>
      <c r="J3829" s="91" t="s">
        <v>3549</v>
      </c>
      <c r="K3829" s="91" t="s">
        <v>5880</v>
      </c>
      <c r="L3829">
        <v>1</v>
      </c>
      <c r="M3829" s="91" t="s">
        <v>5881</v>
      </c>
      <c r="N3829" s="91" t="s">
        <v>5781</v>
      </c>
    </row>
    <row r="3830" spans="1:14" x14ac:dyDescent="0.25">
      <c r="A3830" s="91" t="s">
        <v>1317</v>
      </c>
      <c r="B3830" s="91" t="s">
        <v>1331</v>
      </c>
      <c r="C3830" s="91" t="s">
        <v>5882</v>
      </c>
      <c r="D3830" s="91" t="s">
        <v>20</v>
      </c>
      <c r="E3830" s="91" t="s">
        <v>19</v>
      </c>
      <c r="F3830">
        <v>9</v>
      </c>
      <c r="G3830" t="s">
        <v>1419</v>
      </c>
      <c r="H3830" s="89">
        <v>46273</v>
      </c>
      <c r="I3830" s="89">
        <v>46275</v>
      </c>
      <c r="J3830" s="91" t="s">
        <v>3549</v>
      </c>
      <c r="K3830" s="91" t="s">
        <v>5883</v>
      </c>
      <c r="L3830">
        <v>1</v>
      </c>
      <c r="M3830" s="91" t="s">
        <v>5884</v>
      </c>
      <c r="N3830" s="91" t="s">
        <v>5781</v>
      </c>
    </row>
    <row r="3831" spans="1:14" x14ac:dyDescent="0.25">
      <c r="A3831" s="91" t="s">
        <v>1318</v>
      </c>
      <c r="B3831" s="91" t="s">
        <v>1332</v>
      </c>
      <c r="C3831" s="91" t="s">
        <v>5885</v>
      </c>
      <c r="D3831" s="91" t="s">
        <v>20</v>
      </c>
      <c r="E3831" s="91" t="s">
        <v>19</v>
      </c>
      <c r="F3831">
        <v>38</v>
      </c>
      <c r="G3831" t="s">
        <v>1419</v>
      </c>
      <c r="H3831" s="89">
        <v>46273</v>
      </c>
      <c r="I3831" s="89">
        <v>46275</v>
      </c>
      <c r="J3831" s="91" t="s">
        <v>3549</v>
      </c>
      <c r="K3831" s="91" t="s">
        <v>5886</v>
      </c>
      <c r="L3831">
        <v>1</v>
      </c>
      <c r="M3831" s="91" t="s">
        <v>5887</v>
      </c>
      <c r="N3831" s="91" t="s">
        <v>5781</v>
      </c>
    </row>
    <row r="3832" spans="1:14" x14ac:dyDescent="0.25">
      <c r="A3832" s="91" t="s">
        <v>1325</v>
      </c>
      <c r="B3832" s="91" t="s">
        <v>1339</v>
      </c>
      <c r="C3832" s="91" t="s">
        <v>5888</v>
      </c>
      <c r="D3832" s="91" t="s">
        <v>27</v>
      </c>
      <c r="E3832" s="91" t="s">
        <v>19</v>
      </c>
      <c r="F3832">
        <v>144</v>
      </c>
      <c r="G3832">
        <v>3</v>
      </c>
      <c r="H3832" s="89">
        <v>46273</v>
      </c>
      <c r="I3832" s="89">
        <v>46280</v>
      </c>
      <c r="J3832" s="91" t="s">
        <v>1656</v>
      </c>
      <c r="K3832" s="91" t="s">
        <v>5889</v>
      </c>
      <c r="L3832">
        <v>1</v>
      </c>
      <c r="M3832" s="91" t="s">
        <v>5890</v>
      </c>
      <c r="N3832" s="91" t="s">
        <v>5781</v>
      </c>
    </row>
    <row r="3833" spans="1:14" x14ac:dyDescent="0.25">
      <c r="A3833" s="91" t="s">
        <v>1325</v>
      </c>
      <c r="B3833" s="91" t="s">
        <v>1339</v>
      </c>
      <c r="C3833" s="91" t="s">
        <v>5888</v>
      </c>
      <c r="D3833" s="91" t="s">
        <v>27</v>
      </c>
      <c r="E3833" s="91" t="s">
        <v>19</v>
      </c>
      <c r="F3833">
        <v>336</v>
      </c>
      <c r="G3833">
        <v>7</v>
      </c>
      <c r="H3833" s="89">
        <v>46273</v>
      </c>
      <c r="I3833" s="89">
        <v>46278</v>
      </c>
      <c r="J3833" s="91" t="s">
        <v>1656</v>
      </c>
      <c r="K3833" s="91" t="s">
        <v>5891</v>
      </c>
      <c r="L3833">
        <v>1</v>
      </c>
      <c r="M3833" s="91" t="s">
        <v>5892</v>
      </c>
      <c r="N3833" s="91" t="s">
        <v>5781</v>
      </c>
    </row>
    <row r="3834" spans="1:14" x14ac:dyDescent="0.25">
      <c r="A3834" s="91" t="s">
        <v>1313</v>
      </c>
      <c r="B3834" s="91" t="s">
        <v>1327</v>
      </c>
      <c r="C3834" s="91" t="s">
        <v>5893</v>
      </c>
      <c r="D3834" s="91" t="s">
        <v>21</v>
      </c>
      <c r="E3834" s="91" t="s">
        <v>18</v>
      </c>
      <c r="F3834">
        <v>144</v>
      </c>
      <c r="G3834">
        <v>3</v>
      </c>
      <c r="H3834" s="89">
        <v>46273</v>
      </c>
      <c r="I3834" s="89">
        <v>46276</v>
      </c>
      <c r="J3834" s="91" t="s">
        <v>5794</v>
      </c>
      <c r="K3834" s="91" t="s">
        <v>5894</v>
      </c>
      <c r="L3834">
        <v>1</v>
      </c>
      <c r="M3834" s="91" t="s">
        <v>5895</v>
      </c>
      <c r="N3834" s="91" t="s">
        <v>5781</v>
      </c>
    </row>
    <row r="3835" spans="1:14" x14ac:dyDescent="0.25">
      <c r="A3835" s="91" t="s">
        <v>1313</v>
      </c>
      <c r="B3835" s="91" t="s">
        <v>1327</v>
      </c>
      <c r="C3835" s="91" t="s">
        <v>5893</v>
      </c>
      <c r="D3835" s="91" t="s">
        <v>21</v>
      </c>
      <c r="E3835" s="91" t="s">
        <v>31</v>
      </c>
      <c r="F3835">
        <v>480</v>
      </c>
      <c r="G3835">
        <v>10</v>
      </c>
      <c r="H3835" s="89">
        <v>46273</v>
      </c>
      <c r="I3835" s="89">
        <v>46279</v>
      </c>
      <c r="J3835" s="91" t="s">
        <v>3549</v>
      </c>
      <c r="K3835" s="91" t="s">
        <v>5896</v>
      </c>
      <c r="L3835">
        <v>1</v>
      </c>
      <c r="M3835" s="91" t="s">
        <v>5897</v>
      </c>
      <c r="N3835" s="91" t="s">
        <v>5781</v>
      </c>
    </row>
    <row r="3836" spans="1:14" x14ac:dyDescent="0.25">
      <c r="A3836" s="91" t="s">
        <v>1313</v>
      </c>
      <c r="B3836" s="91" t="s">
        <v>1327</v>
      </c>
      <c r="C3836" s="91" t="s">
        <v>5893</v>
      </c>
      <c r="D3836" s="91" t="s">
        <v>21</v>
      </c>
      <c r="E3836" s="91" t="s">
        <v>16</v>
      </c>
      <c r="F3836">
        <v>288</v>
      </c>
      <c r="G3836">
        <v>6</v>
      </c>
      <c r="H3836" s="89">
        <v>46273</v>
      </c>
      <c r="I3836" s="89">
        <v>46279</v>
      </c>
      <c r="J3836" s="91" t="s">
        <v>5898</v>
      </c>
      <c r="K3836" s="91" t="s">
        <v>5899</v>
      </c>
      <c r="L3836">
        <v>1</v>
      </c>
      <c r="M3836" s="91" t="s">
        <v>5900</v>
      </c>
      <c r="N3836" s="91" t="s">
        <v>5781</v>
      </c>
    </row>
    <row r="3837" spans="1:14" x14ac:dyDescent="0.25">
      <c r="A3837" s="91" t="s">
        <v>1313</v>
      </c>
      <c r="B3837" s="91" t="s">
        <v>1327</v>
      </c>
      <c r="C3837" s="91" t="s">
        <v>5893</v>
      </c>
      <c r="D3837" s="91" t="s">
        <v>21</v>
      </c>
      <c r="E3837" s="91" t="s">
        <v>22</v>
      </c>
      <c r="F3837">
        <v>528</v>
      </c>
      <c r="G3837">
        <v>11</v>
      </c>
      <c r="H3837" s="89">
        <v>46273</v>
      </c>
      <c r="I3837" s="89">
        <v>46277</v>
      </c>
      <c r="J3837" s="91" t="s">
        <v>5901</v>
      </c>
      <c r="K3837" s="91" t="s">
        <v>5902</v>
      </c>
      <c r="L3837">
        <v>1</v>
      </c>
      <c r="M3837" s="91" t="s">
        <v>5903</v>
      </c>
      <c r="N3837" s="91" t="s">
        <v>5781</v>
      </c>
    </row>
    <row r="3838" spans="1:14" x14ac:dyDescent="0.25">
      <c r="A3838" s="91" t="s">
        <v>1313</v>
      </c>
      <c r="B3838" s="91" t="s">
        <v>1327</v>
      </c>
      <c r="C3838" s="91" t="s">
        <v>5893</v>
      </c>
      <c r="D3838" s="91" t="s">
        <v>21</v>
      </c>
      <c r="E3838" s="91" t="s">
        <v>16</v>
      </c>
      <c r="F3838">
        <v>48</v>
      </c>
      <c r="G3838">
        <v>1</v>
      </c>
      <c r="H3838" s="89">
        <v>46273</v>
      </c>
      <c r="I3838" s="89">
        <v>46279</v>
      </c>
      <c r="J3838" s="91" t="s">
        <v>5898</v>
      </c>
      <c r="K3838" s="91" t="s">
        <v>5899</v>
      </c>
      <c r="L3838">
        <v>2</v>
      </c>
      <c r="M3838" s="91" t="s">
        <v>5904</v>
      </c>
      <c r="N3838" s="91" t="s">
        <v>5781</v>
      </c>
    </row>
    <row r="3839" spans="1:14" x14ac:dyDescent="0.25">
      <c r="A3839" s="91" t="s">
        <v>1315</v>
      </c>
      <c r="B3839" s="91" t="s">
        <v>1329</v>
      </c>
      <c r="C3839" s="91" t="s">
        <v>5893</v>
      </c>
      <c r="D3839" s="91" t="s">
        <v>21</v>
      </c>
      <c r="E3839" s="91" t="s">
        <v>19</v>
      </c>
      <c r="F3839">
        <v>83</v>
      </c>
      <c r="G3839" t="s">
        <v>1419</v>
      </c>
      <c r="H3839" s="89">
        <v>46273</v>
      </c>
      <c r="I3839" s="89">
        <v>46275</v>
      </c>
      <c r="J3839" s="91" t="s">
        <v>3549</v>
      </c>
      <c r="K3839" s="91" t="s">
        <v>5905</v>
      </c>
      <c r="L3839">
        <v>1</v>
      </c>
      <c r="M3839" s="91" t="s">
        <v>5906</v>
      </c>
      <c r="N3839" s="91" t="s">
        <v>5781</v>
      </c>
    </row>
    <row r="3840" spans="1:14" x14ac:dyDescent="0.25">
      <c r="A3840" s="91" t="s">
        <v>1316</v>
      </c>
      <c r="B3840" s="91" t="s">
        <v>1330</v>
      </c>
      <c r="C3840" s="91" t="s">
        <v>5907</v>
      </c>
      <c r="D3840" s="91" t="s">
        <v>21</v>
      </c>
      <c r="E3840" s="91" t="s">
        <v>19</v>
      </c>
      <c r="F3840">
        <v>46</v>
      </c>
      <c r="G3840" t="s">
        <v>1419</v>
      </c>
      <c r="H3840" s="89">
        <v>46273</v>
      </c>
      <c r="I3840" s="89">
        <v>46275</v>
      </c>
      <c r="J3840" s="91" t="s">
        <v>3549</v>
      </c>
      <c r="K3840" s="91" t="s">
        <v>5908</v>
      </c>
      <c r="L3840">
        <v>1</v>
      </c>
      <c r="M3840" s="91" t="s">
        <v>5909</v>
      </c>
      <c r="N3840" s="91" t="s">
        <v>5781</v>
      </c>
    </row>
    <row r="3841" spans="1:14" x14ac:dyDescent="0.25">
      <c r="A3841" s="91" t="s">
        <v>1317</v>
      </c>
      <c r="B3841" s="91" t="s">
        <v>1331</v>
      </c>
      <c r="C3841" s="91" t="s">
        <v>5910</v>
      </c>
      <c r="D3841" s="91" t="s">
        <v>21</v>
      </c>
      <c r="E3841" s="91" t="s">
        <v>19</v>
      </c>
      <c r="F3841">
        <v>34</v>
      </c>
      <c r="G3841" t="s">
        <v>1419</v>
      </c>
      <c r="H3841" s="89">
        <v>46273</v>
      </c>
      <c r="I3841" s="89">
        <v>46275</v>
      </c>
      <c r="J3841" s="91" t="s">
        <v>3549</v>
      </c>
      <c r="K3841" s="91" t="s">
        <v>5911</v>
      </c>
      <c r="L3841">
        <v>1</v>
      </c>
      <c r="M3841" s="91" t="s">
        <v>5912</v>
      </c>
      <c r="N3841" s="91" t="s">
        <v>5781</v>
      </c>
    </row>
    <row r="3842" spans="1:14" x14ac:dyDescent="0.25">
      <c r="A3842" s="91" t="s">
        <v>1318</v>
      </c>
      <c r="B3842" s="91" t="s">
        <v>1332</v>
      </c>
      <c r="C3842" s="91" t="s">
        <v>5913</v>
      </c>
      <c r="D3842" s="91" t="s">
        <v>21</v>
      </c>
      <c r="E3842" s="91" t="s">
        <v>19</v>
      </c>
      <c r="F3842">
        <v>56</v>
      </c>
      <c r="G3842" t="s">
        <v>1419</v>
      </c>
      <c r="H3842" s="89">
        <v>46273</v>
      </c>
      <c r="I3842" s="89">
        <v>46275</v>
      </c>
      <c r="J3842" s="91" t="s">
        <v>3549</v>
      </c>
      <c r="K3842" s="91" t="s">
        <v>5914</v>
      </c>
      <c r="L3842">
        <v>1</v>
      </c>
      <c r="M3842" s="91" t="s">
        <v>5915</v>
      </c>
      <c r="N3842" s="91" t="s">
        <v>5781</v>
      </c>
    </row>
    <row r="3843" spans="1:14" x14ac:dyDescent="0.25">
      <c r="A3843" s="91" t="s">
        <v>1313</v>
      </c>
      <c r="B3843" s="91" t="s">
        <v>1327</v>
      </c>
      <c r="C3843" s="91" t="s">
        <v>5916</v>
      </c>
      <c r="D3843" s="91" t="s">
        <v>15</v>
      </c>
      <c r="E3843" s="91" t="s">
        <v>16</v>
      </c>
      <c r="F3843">
        <v>432</v>
      </c>
      <c r="G3843">
        <v>9</v>
      </c>
      <c r="H3843" s="89">
        <v>46273</v>
      </c>
      <c r="I3843" s="89">
        <v>46277</v>
      </c>
      <c r="J3843" s="91" t="s">
        <v>5799</v>
      </c>
      <c r="K3843" s="91" t="s">
        <v>5917</v>
      </c>
      <c r="L3843">
        <v>1</v>
      </c>
      <c r="M3843" s="91" t="s">
        <v>5918</v>
      </c>
      <c r="N3843" s="91" t="s">
        <v>5781</v>
      </c>
    </row>
    <row r="3844" spans="1:14" x14ac:dyDescent="0.25">
      <c r="A3844" s="91" t="s">
        <v>1314</v>
      </c>
      <c r="B3844" s="91" t="s">
        <v>1328</v>
      </c>
      <c r="C3844" s="91" t="s">
        <v>5916</v>
      </c>
      <c r="D3844" s="91" t="s">
        <v>15</v>
      </c>
      <c r="E3844" s="91" t="s">
        <v>16</v>
      </c>
      <c r="F3844">
        <v>288</v>
      </c>
      <c r="G3844">
        <v>6</v>
      </c>
      <c r="H3844" s="89">
        <v>46273</v>
      </c>
      <c r="I3844" s="89">
        <v>46277</v>
      </c>
      <c r="J3844" s="91" t="s">
        <v>5919</v>
      </c>
      <c r="K3844" s="91" t="s">
        <v>5920</v>
      </c>
      <c r="L3844">
        <v>1</v>
      </c>
      <c r="M3844" s="91" t="s">
        <v>5921</v>
      </c>
      <c r="N3844" s="91" t="s">
        <v>5781</v>
      </c>
    </row>
    <row r="3845" spans="1:14" x14ac:dyDescent="0.25">
      <c r="A3845" s="91" t="s">
        <v>1313</v>
      </c>
      <c r="B3845" s="91" t="s">
        <v>1327</v>
      </c>
      <c r="C3845" s="91" t="s">
        <v>5916</v>
      </c>
      <c r="D3845" s="91" t="s">
        <v>15</v>
      </c>
      <c r="E3845" s="91" t="s">
        <v>22</v>
      </c>
      <c r="F3845">
        <v>624</v>
      </c>
      <c r="G3845">
        <v>13</v>
      </c>
      <c r="H3845" s="89">
        <v>46273</v>
      </c>
      <c r="I3845" s="89">
        <v>46277</v>
      </c>
      <c r="J3845" s="91" t="s">
        <v>5901</v>
      </c>
      <c r="K3845" s="91" t="s">
        <v>5922</v>
      </c>
      <c r="L3845">
        <v>1</v>
      </c>
      <c r="M3845" s="91" t="s">
        <v>5923</v>
      </c>
      <c r="N3845" s="91" t="s">
        <v>5781</v>
      </c>
    </row>
    <row r="3846" spans="1:14" x14ac:dyDescent="0.25">
      <c r="A3846" s="91" t="s">
        <v>1315</v>
      </c>
      <c r="B3846" s="91" t="s">
        <v>1329</v>
      </c>
      <c r="C3846" s="91" t="s">
        <v>5916</v>
      </c>
      <c r="D3846" s="91" t="s">
        <v>15</v>
      </c>
      <c r="E3846" s="91" t="s">
        <v>19</v>
      </c>
      <c r="F3846">
        <v>1</v>
      </c>
      <c r="G3846" t="s">
        <v>1419</v>
      </c>
      <c r="H3846" s="89">
        <v>46273</v>
      </c>
      <c r="I3846" s="89">
        <v>46275</v>
      </c>
      <c r="J3846" s="91" t="s">
        <v>3549</v>
      </c>
      <c r="K3846" s="91" t="s">
        <v>5924</v>
      </c>
      <c r="L3846">
        <v>1</v>
      </c>
      <c r="M3846" s="91" t="s">
        <v>5925</v>
      </c>
      <c r="N3846" s="91" t="s">
        <v>5781</v>
      </c>
    </row>
    <row r="3847" spans="1:14" x14ac:dyDescent="0.25">
      <c r="A3847" s="91" t="s">
        <v>1316</v>
      </c>
      <c r="B3847" s="91" t="s">
        <v>1330</v>
      </c>
      <c r="C3847" s="91" t="s">
        <v>5926</v>
      </c>
      <c r="D3847" s="91" t="s">
        <v>15</v>
      </c>
      <c r="E3847" s="91" t="s">
        <v>19</v>
      </c>
      <c r="F3847">
        <v>47</v>
      </c>
      <c r="G3847" t="s">
        <v>1419</v>
      </c>
      <c r="H3847" s="89">
        <v>46273</v>
      </c>
      <c r="I3847" s="89">
        <v>46275</v>
      </c>
      <c r="J3847" s="91" t="s">
        <v>3549</v>
      </c>
      <c r="K3847" s="91" t="s">
        <v>5927</v>
      </c>
      <c r="L3847">
        <v>1</v>
      </c>
      <c r="M3847" s="91" t="s">
        <v>5928</v>
      </c>
      <c r="N3847" s="91" t="s">
        <v>5781</v>
      </c>
    </row>
    <row r="3848" spans="1:14" x14ac:dyDescent="0.25">
      <c r="A3848" s="91" t="s">
        <v>1317</v>
      </c>
      <c r="B3848" s="91" t="s">
        <v>1331</v>
      </c>
      <c r="C3848" s="91" t="s">
        <v>5929</v>
      </c>
      <c r="D3848" s="91" t="s">
        <v>15</v>
      </c>
      <c r="E3848" s="91" t="s">
        <v>19</v>
      </c>
      <c r="F3848">
        <v>63</v>
      </c>
      <c r="G3848" t="s">
        <v>1419</v>
      </c>
      <c r="H3848" s="89">
        <v>46273</v>
      </c>
      <c r="I3848" s="89">
        <v>46275</v>
      </c>
      <c r="J3848" s="91" t="s">
        <v>3549</v>
      </c>
      <c r="K3848" s="91" t="s">
        <v>5930</v>
      </c>
      <c r="L3848">
        <v>1</v>
      </c>
      <c r="M3848" s="91" t="s">
        <v>5931</v>
      </c>
      <c r="N3848" s="91" t="s">
        <v>5781</v>
      </c>
    </row>
    <row r="3849" spans="1:14" x14ac:dyDescent="0.25">
      <c r="A3849" s="91" t="s">
        <v>1318</v>
      </c>
      <c r="B3849" s="91" t="s">
        <v>1332</v>
      </c>
      <c r="C3849" s="91" t="s">
        <v>5932</v>
      </c>
      <c r="D3849" s="91" t="s">
        <v>15</v>
      </c>
      <c r="E3849" s="91" t="s">
        <v>19</v>
      </c>
      <c r="F3849">
        <v>26</v>
      </c>
      <c r="G3849" t="s">
        <v>1419</v>
      </c>
      <c r="H3849" s="89">
        <v>46273</v>
      </c>
      <c r="I3849" s="89">
        <v>46275</v>
      </c>
      <c r="J3849" s="91" t="s">
        <v>3549</v>
      </c>
      <c r="K3849" s="91" t="s">
        <v>5933</v>
      </c>
      <c r="L3849">
        <v>1</v>
      </c>
      <c r="M3849" s="91" t="s">
        <v>5934</v>
      </c>
      <c r="N3849" s="91" t="s">
        <v>5781</v>
      </c>
    </row>
    <row r="3850" spans="1:14" x14ac:dyDescent="0.25">
      <c r="A3850" s="91" t="s">
        <v>1313</v>
      </c>
      <c r="B3850" s="91" t="s">
        <v>1327</v>
      </c>
      <c r="C3850" s="91" t="s">
        <v>5935</v>
      </c>
      <c r="D3850" s="91" t="s">
        <v>13</v>
      </c>
      <c r="E3850" s="91" t="s">
        <v>22</v>
      </c>
      <c r="F3850">
        <v>528</v>
      </c>
      <c r="G3850">
        <v>11</v>
      </c>
      <c r="H3850" s="89">
        <v>46274</v>
      </c>
      <c r="I3850" s="89">
        <v>46278</v>
      </c>
      <c r="J3850" s="91" t="s">
        <v>5855</v>
      </c>
      <c r="K3850" s="91" t="s">
        <v>5936</v>
      </c>
      <c r="L3850">
        <v>1</v>
      </c>
      <c r="M3850" s="91" t="s">
        <v>5937</v>
      </c>
      <c r="N3850" s="91" t="s">
        <v>5781</v>
      </c>
    </row>
    <row r="3851" spans="1:14" x14ac:dyDescent="0.25">
      <c r="A3851" s="91" t="s">
        <v>1320</v>
      </c>
      <c r="B3851" s="91" t="s">
        <v>1334</v>
      </c>
      <c r="C3851" s="91" t="s">
        <v>5938</v>
      </c>
      <c r="D3851" s="91" t="s">
        <v>23</v>
      </c>
      <c r="E3851" s="91" t="s">
        <v>14</v>
      </c>
      <c r="F3851">
        <v>960</v>
      </c>
      <c r="G3851">
        <v>20</v>
      </c>
      <c r="H3851" s="89">
        <v>46274</v>
      </c>
      <c r="I3851" s="89">
        <v>46281</v>
      </c>
      <c r="J3851" s="91" t="s">
        <v>3549</v>
      </c>
      <c r="K3851" s="91" t="s">
        <v>5939</v>
      </c>
      <c r="L3851">
        <v>1</v>
      </c>
      <c r="M3851" s="91" t="s">
        <v>5940</v>
      </c>
      <c r="N3851" s="91" t="s">
        <v>5781</v>
      </c>
    </row>
    <row r="3852" spans="1:14" x14ac:dyDescent="0.25">
      <c r="A3852" s="91" t="s">
        <v>1324</v>
      </c>
      <c r="B3852" s="91" t="s">
        <v>1338</v>
      </c>
      <c r="C3852" s="91" t="s">
        <v>5941</v>
      </c>
      <c r="D3852" s="91" t="s">
        <v>24</v>
      </c>
      <c r="E3852" s="91" t="s">
        <v>25</v>
      </c>
      <c r="F3852">
        <v>288</v>
      </c>
      <c r="G3852">
        <v>6</v>
      </c>
      <c r="H3852" s="89">
        <v>46274</v>
      </c>
      <c r="I3852" s="89">
        <v>46281</v>
      </c>
      <c r="J3852" s="91" t="s">
        <v>5866</v>
      </c>
      <c r="K3852" s="91" t="s">
        <v>5942</v>
      </c>
      <c r="L3852">
        <v>1</v>
      </c>
      <c r="M3852" s="91" t="s">
        <v>5943</v>
      </c>
      <c r="N3852" s="91" t="s">
        <v>5781</v>
      </c>
    </row>
    <row r="3853" spans="1:14" x14ac:dyDescent="0.25">
      <c r="A3853" s="91" t="s">
        <v>1324</v>
      </c>
      <c r="B3853" s="91" t="s">
        <v>1338</v>
      </c>
      <c r="C3853" s="91" t="s">
        <v>5941</v>
      </c>
      <c r="D3853" s="91" t="s">
        <v>24</v>
      </c>
      <c r="E3853" s="91" t="s">
        <v>25</v>
      </c>
      <c r="F3853">
        <v>192</v>
      </c>
      <c r="G3853">
        <v>4</v>
      </c>
      <c r="H3853" s="89">
        <v>46274</v>
      </c>
      <c r="I3853" s="89">
        <v>46279</v>
      </c>
      <c r="J3853" s="91" t="s">
        <v>5944</v>
      </c>
      <c r="K3853" s="91" t="s">
        <v>5945</v>
      </c>
      <c r="L3853">
        <v>1</v>
      </c>
      <c r="M3853" s="91" t="s">
        <v>5946</v>
      </c>
      <c r="N3853" s="91" t="s">
        <v>5781</v>
      </c>
    </row>
    <row r="3854" spans="1:14" x14ac:dyDescent="0.25">
      <c r="A3854" s="91" t="s">
        <v>1324</v>
      </c>
      <c r="B3854" s="91" t="s">
        <v>1338</v>
      </c>
      <c r="C3854" s="91" t="s">
        <v>5941</v>
      </c>
      <c r="D3854" s="91" t="s">
        <v>24</v>
      </c>
      <c r="E3854" s="91" t="s">
        <v>25</v>
      </c>
      <c r="F3854">
        <v>960</v>
      </c>
      <c r="G3854">
        <v>20</v>
      </c>
      <c r="H3854" s="89">
        <v>46274</v>
      </c>
      <c r="I3854" s="89">
        <v>46279</v>
      </c>
      <c r="J3854" s="91" t="s">
        <v>5944</v>
      </c>
      <c r="K3854" s="91" t="s">
        <v>5945</v>
      </c>
      <c r="L3854">
        <v>2</v>
      </c>
      <c r="M3854" s="91" t="s">
        <v>5947</v>
      </c>
      <c r="N3854" s="91" t="s">
        <v>5781</v>
      </c>
    </row>
    <row r="3855" spans="1:14" x14ac:dyDescent="0.25">
      <c r="A3855" s="91" t="s">
        <v>1313</v>
      </c>
      <c r="B3855" s="91" t="s">
        <v>1327</v>
      </c>
      <c r="C3855" s="91" t="s">
        <v>5916</v>
      </c>
      <c r="D3855" s="91" t="s">
        <v>15</v>
      </c>
      <c r="E3855" s="91" t="s">
        <v>16</v>
      </c>
      <c r="F3855">
        <v>336</v>
      </c>
      <c r="G3855">
        <v>7</v>
      </c>
      <c r="H3855" s="89">
        <v>46273</v>
      </c>
      <c r="I3855" s="89">
        <v>46279</v>
      </c>
      <c r="J3855" s="91" t="s">
        <v>5898</v>
      </c>
      <c r="K3855" s="91" t="s">
        <v>5948</v>
      </c>
      <c r="L3855">
        <v>1</v>
      </c>
      <c r="M3855" s="91" t="s">
        <v>5949</v>
      </c>
      <c r="N3855" s="91" t="s">
        <v>5781</v>
      </c>
    </row>
    <row r="3856" spans="1:14" x14ac:dyDescent="0.25">
      <c r="A3856" s="91" t="s">
        <v>1314</v>
      </c>
      <c r="B3856" s="91" t="s">
        <v>1328</v>
      </c>
      <c r="C3856" s="91" t="s">
        <v>5950</v>
      </c>
      <c r="D3856" s="91" t="s">
        <v>15</v>
      </c>
      <c r="E3856" s="91" t="s">
        <v>18</v>
      </c>
      <c r="F3856">
        <v>96</v>
      </c>
      <c r="G3856">
        <v>2</v>
      </c>
      <c r="H3856" s="89">
        <v>46274</v>
      </c>
      <c r="I3856" s="89">
        <v>46279</v>
      </c>
      <c r="J3856" s="91" t="s">
        <v>5951</v>
      </c>
      <c r="K3856" s="91" t="s">
        <v>5952</v>
      </c>
      <c r="L3856">
        <v>1</v>
      </c>
      <c r="M3856" s="91" t="s">
        <v>5953</v>
      </c>
      <c r="N3856" s="91" t="s">
        <v>5781</v>
      </c>
    </row>
    <row r="3857" spans="1:14" x14ac:dyDescent="0.25">
      <c r="A3857" s="91" t="s">
        <v>1313</v>
      </c>
      <c r="B3857" s="91" t="s">
        <v>1327</v>
      </c>
      <c r="C3857" s="91" t="s">
        <v>5950</v>
      </c>
      <c r="D3857" s="91" t="s">
        <v>15</v>
      </c>
      <c r="E3857" s="91" t="s">
        <v>22</v>
      </c>
      <c r="F3857">
        <v>768</v>
      </c>
      <c r="G3857">
        <v>16</v>
      </c>
      <c r="H3857" s="89">
        <v>46274</v>
      </c>
      <c r="I3857" s="89">
        <v>46279</v>
      </c>
      <c r="J3857" s="91" t="s">
        <v>5954</v>
      </c>
      <c r="K3857" s="91" t="s">
        <v>5955</v>
      </c>
      <c r="L3857">
        <v>1</v>
      </c>
      <c r="M3857" s="91" t="s">
        <v>5956</v>
      </c>
      <c r="N3857" s="91" t="s">
        <v>5781</v>
      </c>
    </row>
    <row r="3858" spans="1:14" x14ac:dyDescent="0.25">
      <c r="A3858" s="91" t="s">
        <v>1314</v>
      </c>
      <c r="B3858" s="91" t="s">
        <v>1328</v>
      </c>
      <c r="C3858" s="91" t="s">
        <v>5950</v>
      </c>
      <c r="D3858" s="91" t="s">
        <v>15</v>
      </c>
      <c r="E3858" s="91" t="s">
        <v>16</v>
      </c>
      <c r="F3858">
        <v>144</v>
      </c>
      <c r="G3858">
        <v>3</v>
      </c>
      <c r="H3858" s="89">
        <v>46274</v>
      </c>
      <c r="I3858" s="89">
        <v>46279</v>
      </c>
      <c r="J3858" s="91" t="s">
        <v>5957</v>
      </c>
      <c r="K3858" s="91" t="s">
        <v>5958</v>
      </c>
      <c r="L3858">
        <v>1</v>
      </c>
      <c r="M3858" s="91" t="s">
        <v>5959</v>
      </c>
      <c r="N3858" s="91" t="s">
        <v>5781</v>
      </c>
    </row>
    <row r="3859" spans="1:14" x14ac:dyDescent="0.25">
      <c r="A3859" s="91" t="s">
        <v>1315</v>
      </c>
      <c r="B3859" s="91" t="s">
        <v>1329</v>
      </c>
      <c r="C3859" s="91" t="s">
        <v>5950</v>
      </c>
      <c r="D3859" s="91" t="s">
        <v>15</v>
      </c>
      <c r="E3859" s="91" t="s">
        <v>19</v>
      </c>
      <c r="F3859">
        <v>0</v>
      </c>
      <c r="G3859" t="s">
        <v>1419</v>
      </c>
      <c r="H3859" s="89">
        <v>46274</v>
      </c>
      <c r="I3859" s="89">
        <v>46276</v>
      </c>
      <c r="J3859" s="91" t="s">
        <v>1656</v>
      </c>
      <c r="K3859" s="91" t="s">
        <v>5960</v>
      </c>
      <c r="L3859">
        <v>1</v>
      </c>
      <c r="M3859" s="91" t="s">
        <v>5961</v>
      </c>
      <c r="N3859" s="91" t="s">
        <v>5781</v>
      </c>
    </row>
    <row r="3860" spans="1:14" x14ac:dyDescent="0.25">
      <c r="A3860" s="91" t="s">
        <v>1316</v>
      </c>
      <c r="B3860" s="91" t="s">
        <v>1330</v>
      </c>
      <c r="C3860" s="91" t="s">
        <v>5962</v>
      </c>
      <c r="D3860" s="91" t="s">
        <v>15</v>
      </c>
      <c r="E3860" s="91" t="s">
        <v>19</v>
      </c>
      <c r="F3860">
        <v>53</v>
      </c>
      <c r="G3860" t="s">
        <v>1419</v>
      </c>
      <c r="H3860" s="89">
        <v>46274</v>
      </c>
      <c r="I3860" s="89">
        <v>46276</v>
      </c>
      <c r="J3860" s="91" t="s">
        <v>1656</v>
      </c>
      <c r="K3860" s="91" t="s">
        <v>5963</v>
      </c>
      <c r="L3860">
        <v>1</v>
      </c>
      <c r="M3860" s="91" t="s">
        <v>5964</v>
      </c>
      <c r="N3860" s="91" t="s">
        <v>5781</v>
      </c>
    </row>
    <row r="3861" spans="1:14" x14ac:dyDescent="0.25">
      <c r="A3861" s="91" t="s">
        <v>1317</v>
      </c>
      <c r="B3861" s="91" t="s">
        <v>1331</v>
      </c>
      <c r="C3861" s="91" t="s">
        <v>5965</v>
      </c>
      <c r="D3861" s="91" t="s">
        <v>15</v>
      </c>
      <c r="E3861" s="91" t="s">
        <v>19</v>
      </c>
      <c r="F3861">
        <v>54</v>
      </c>
      <c r="G3861" t="s">
        <v>1419</v>
      </c>
      <c r="H3861" s="89">
        <v>46274</v>
      </c>
      <c r="I3861" s="89">
        <v>46276</v>
      </c>
      <c r="J3861" s="91" t="s">
        <v>1656</v>
      </c>
      <c r="K3861" s="91" t="s">
        <v>5966</v>
      </c>
      <c r="L3861">
        <v>1</v>
      </c>
      <c r="M3861" s="91" t="s">
        <v>5967</v>
      </c>
      <c r="N3861" s="91" t="s">
        <v>5781</v>
      </c>
    </row>
    <row r="3862" spans="1:14" x14ac:dyDescent="0.25">
      <c r="A3862" s="91" t="s">
        <v>1318</v>
      </c>
      <c r="B3862" s="91" t="s">
        <v>1332</v>
      </c>
      <c r="C3862" s="91" t="s">
        <v>5968</v>
      </c>
      <c r="D3862" s="91" t="s">
        <v>15</v>
      </c>
      <c r="E3862" s="91" t="s">
        <v>19</v>
      </c>
      <c r="F3862">
        <v>20</v>
      </c>
      <c r="G3862" t="s">
        <v>1419</v>
      </c>
      <c r="H3862" s="89">
        <v>46274</v>
      </c>
      <c r="I3862" s="89">
        <v>46276</v>
      </c>
      <c r="J3862" s="91" t="s">
        <v>1656</v>
      </c>
      <c r="K3862" s="91" t="s">
        <v>5969</v>
      </c>
      <c r="L3862">
        <v>1</v>
      </c>
      <c r="M3862" s="91" t="s">
        <v>5970</v>
      </c>
      <c r="N3862" s="91" t="s">
        <v>5781</v>
      </c>
    </row>
    <row r="3863" spans="1:14" x14ac:dyDescent="0.25">
      <c r="A3863" s="91" t="s">
        <v>1313</v>
      </c>
      <c r="B3863" s="91" t="s">
        <v>1327</v>
      </c>
      <c r="C3863" s="91" t="s">
        <v>5971</v>
      </c>
      <c r="D3863" s="91" t="s">
        <v>28</v>
      </c>
      <c r="E3863" s="91" t="s">
        <v>22</v>
      </c>
      <c r="F3863">
        <v>336</v>
      </c>
      <c r="G3863">
        <v>7</v>
      </c>
      <c r="H3863" s="89">
        <v>46274</v>
      </c>
      <c r="I3863" s="89">
        <v>46279</v>
      </c>
      <c r="J3863" s="91" t="s">
        <v>5954</v>
      </c>
      <c r="K3863" s="91" t="s">
        <v>5972</v>
      </c>
      <c r="L3863">
        <v>1</v>
      </c>
      <c r="M3863" s="91" t="s">
        <v>5973</v>
      </c>
      <c r="N3863" s="91" t="s">
        <v>5781</v>
      </c>
    </row>
    <row r="3864" spans="1:14" x14ac:dyDescent="0.25">
      <c r="A3864" s="91" t="s">
        <v>1313</v>
      </c>
      <c r="B3864" s="91" t="s">
        <v>1327</v>
      </c>
      <c r="C3864" s="91" t="s">
        <v>5971</v>
      </c>
      <c r="D3864" s="91" t="s">
        <v>28</v>
      </c>
      <c r="E3864" s="91" t="s">
        <v>16</v>
      </c>
      <c r="F3864">
        <v>864</v>
      </c>
      <c r="G3864">
        <v>18</v>
      </c>
      <c r="H3864" s="89">
        <v>46274</v>
      </c>
      <c r="I3864" s="89">
        <v>46279</v>
      </c>
      <c r="J3864" s="91" t="s">
        <v>5974</v>
      </c>
      <c r="K3864" s="91" t="s">
        <v>5975</v>
      </c>
      <c r="L3864">
        <v>1</v>
      </c>
      <c r="M3864" s="91" t="s">
        <v>5976</v>
      </c>
      <c r="N3864" s="91" t="s">
        <v>5781</v>
      </c>
    </row>
    <row r="3865" spans="1:14" x14ac:dyDescent="0.25">
      <c r="A3865" s="91" t="s">
        <v>1315</v>
      </c>
      <c r="B3865" s="91" t="s">
        <v>1329</v>
      </c>
      <c r="C3865" s="91" t="s">
        <v>5971</v>
      </c>
      <c r="D3865" s="91" t="s">
        <v>28</v>
      </c>
      <c r="E3865" s="91" t="s">
        <v>19</v>
      </c>
      <c r="F3865">
        <v>21</v>
      </c>
      <c r="G3865" t="s">
        <v>1419</v>
      </c>
      <c r="H3865" s="89">
        <v>46274</v>
      </c>
      <c r="I3865" s="89">
        <v>46276</v>
      </c>
      <c r="J3865" s="91" t="s">
        <v>1656</v>
      </c>
      <c r="K3865" s="91" t="s">
        <v>5977</v>
      </c>
      <c r="L3865">
        <v>1</v>
      </c>
      <c r="M3865" s="91" t="s">
        <v>5978</v>
      </c>
      <c r="N3865" s="91" t="s">
        <v>5781</v>
      </c>
    </row>
    <row r="3866" spans="1:14" x14ac:dyDescent="0.25">
      <c r="A3866" s="91" t="s">
        <v>1316</v>
      </c>
      <c r="B3866" s="91" t="s">
        <v>1330</v>
      </c>
      <c r="C3866" s="91" t="s">
        <v>5979</v>
      </c>
      <c r="D3866" s="91" t="s">
        <v>28</v>
      </c>
      <c r="E3866" s="91" t="s">
        <v>19</v>
      </c>
      <c r="F3866">
        <v>22</v>
      </c>
      <c r="G3866" t="s">
        <v>1419</v>
      </c>
      <c r="H3866" s="89">
        <v>46274</v>
      </c>
      <c r="I3866" s="89">
        <v>46276</v>
      </c>
      <c r="J3866" s="91" t="s">
        <v>1656</v>
      </c>
      <c r="K3866" s="91" t="s">
        <v>5980</v>
      </c>
      <c r="L3866">
        <v>1</v>
      </c>
      <c r="M3866" s="91" t="s">
        <v>5981</v>
      </c>
      <c r="N3866" s="91" t="s">
        <v>5781</v>
      </c>
    </row>
    <row r="3867" spans="1:14" x14ac:dyDescent="0.25">
      <c r="A3867" s="91" t="s">
        <v>1317</v>
      </c>
      <c r="B3867" s="91" t="s">
        <v>1331</v>
      </c>
      <c r="C3867" s="91" t="s">
        <v>5982</v>
      </c>
      <c r="D3867" s="91" t="s">
        <v>28</v>
      </c>
      <c r="E3867" s="91" t="s">
        <v>19</v>
      </c>
      <c r="F3867">
        <v>20</v>
      </c>
      <c r="G3867" t="s">
        <v>1419</v>
      </c>
      <c r="H3867" s="89">
        <v>46274</v>
      </c>
      <c r="I3867" s="89">
        <v>46276</v>
      </c>
      <c r="J3867" s="91" t="s">
        <v>1656</v>
      </c>
      <c r="K3867" s="91" t="s">
        <v>5983</v>
      </c>
      <c r="L3867">
        <v>1</v>
      </c>
      <c r="M3867" s="91" t="s">
        <v>5984</v>
      </c>
      <c r="N3867" s="91" t="s">
        <v>5781</v>
      </c>
    </row>
    <row r="3868" spans="1:14" x14ac:dyDescent="0.25">
      <c r="A3868" s="91" t="s">
        <v>1318</v>
      </c>
      <c r="B3868" s="91" t="s">
        <v>1332</v>
      </c>
      <c r="C3868" s="91" t="s">
        <v>5985</v>
      </c>
      <c r="D3868" s="91" t="s">
        <v>28</v>
      </c>
      <c r="E3868" s="91" t="s">
        <v>19</v>
      </c>
      <c r="F3868">
        <v>45</v>
      </c>
      <c r="G3868" t="s">
        <v>1419</v>
      </c>
      <c r="H3868" s="89">
        <v>46274</v>
      </c>
      <c r="I3868" s="89">
        <v>46276</v>
      </c>
      <c r="J3868" s="91" t="s">
        <v>1656</v>
      </c>
      <c r="K3868" s="91" t="s">
        <v>5986</v>
      </c>
      <c r="L3868">
        <v>1</v>
      </c>
      <c r="M3868" s="91" t="s">
        <v>5987</v>
      </c>
      <c r="N3868" s="91" t="s">
        <v>5781</v>
      </c>
    </row>
    <row r="3869" spans="1:14" x14ac:dyDescent="0.25">
      <c r="A3869" s="91" t="s">
        <v>1313</v>
      </c>
      <c r="B3869" s="91" t="s">
        <v>1327</v>
      </c>
      <c r="C3869" s="91" t="s">
        <v>5988</v>
      </c>
      <c r="D3869" s="91" t="s">
        <v>20</v>
      </c>
      <c r="E3869" s="91" t="s">
        <v>17</v>
      </c>
      <c r="F3869">
        <v>1104</v>
      </c>
      <c r="G3869">
        <v>23</v>
      </c>
      <c r="H3869" s="89">
        <v>46274</v>
      </c>
      <c r="I3869" s="89">
        <v>46279</v>
      </c>
      <c r="J3869" s="91" t="s">
        <v>5989</v>
      </c>
      <c r="K3869" s="91" t="s">
        <v>5990</v>
      </c>
      <c r="L3869">
        <v>1</v>
      </c>
      <c r="M3869" s="91" t="s">
        <v>5991</v>
      </c>
      <c r="N3869" s="91" t="s">
        <v>5781</v>
      </c>
    </row>
    <row r="3870" spans="1:14" x14ac:dyDescent="0.25">
      <c r="A3870" s="91" t="s">
        <v>1319</v>
      </c>
      <c r="B3870" s="91" t="s">
        <v>1333</v>
      </c>
      <c r="C3870" s="91" t="s">
        <v>5988</v>
      </c>
      <c r="D3870" s="91" t="s">
        <v>20</v>
      </c>
      <c r="E3870" s="91" t="s">
        <v>17</v>
      </c>
      <c r="F3870">
        <v>48</v>
      </c>
      <c r="G3870">
        <v>1</v>
      </c>
      <c r="H3870" s="89">
        <v>46274</v>
      </c>
      <c r="I3870" s="89">
        <v>46279</v>
      </c>
      <c r="J3870" s="91" t="s">
        <v>5989</v>
      </c>
      <c r="K3870" s="91" t="s">
        <v>5992</v>
      </c>
      <c r="L3870">
        <v>1</v>
      </c>
      <c r="M3870" s="91" t="s">
        <v>5993</v>
      </c>
      <c r="N3870" s="91" t="s">
        <v>5781</v>
      </c>
    </row>
    <row r="3871" spans="1:14" x14ac:dyDescent="0.25">
      <c r="A3871" s="91" t="s">
        <v>1325</v>
      </c>
      <c r="B3871" s="91" t="s">
        <v>1339</v>
      </c>
      <c r="C3871" s="91" t="s">
        <v>5988</v>
      </c>
      <c r="D3871" s="91" t="s">
        <v>20</v>
      </c>
      <c r="E3871" s="91" t="s">
        <v>19</v>
      </c>
      <c r="F3871">
        <v>83</v>
      </c>
      <c r="G3871">
        <v>1.6875</v>
      </c>
      <c r="H3871" s="89">
        <v>46274</v>
      </c>
      <c r="I3871" s="89">
        <v>46276</v>
      </c>
      <c r="J3871" s="91" t="s">
        <v>3549</v>
      </c>
      <c r="K3871" s="91" t="s">
        <v>5994</v>
      </c>
      <c r="L3871">
        <v>1</v>
      </c>
      <c r="M3871" s="91" t="s">
        <v>5995</v>
      </c>
      <c r="N3871" s="91" t="s">
        <v>5781</v>
      </c>
    </row>
    <row r="3872" spans="1:14" x14ac:dyDescent="0.25">
      <c r="A3872" s="91" t="s">
        <v>5451</v>
      </c>
      <c r="B3872" s="91" t="s">
        <v>5452</v>
      </c>
      <c r="C3872" s="91" t="s">
        <v>5988</v>
      </c>
      <c r="D3872" s="91" t="s">
        <v>20</v>
      </c>
      <c r="E3872" s="91" t="s">
        <v>19</v>
      </c>
      <c r="F3872">
        <v>23</v>
      </c>
      <c r="G3872" t="s">
        <v>1419</v>
      </c>
      <c r="H3872" s="89">
        <v>46274</v>
      </c>
      <c r="I3872" s="89">
        <v>46276</v>
      </c>
      <c r="J3872" s="91" t="s">
        <v>3549</v>
      </c>
      <c r="K3872" s="91" t="s">
        <v>5996</v>
      </c>
      <c r="L3872">
        <v>1</v>
      </c>
      <c r="M3872" s="91" t="s">
        <v>5997</v>
      </c>
      <c r="N3872" s="91" t="s">
        <v>5781</v>
      </c>
    </row>
    <row r="3873" spans="1:14" x14ac:dyDescent="0.25">
      <c r="A3873" s="91" t="s">
        <v>1315</v>
      </c>
      <c r="B3873" s="91" t="s">
        <v>1329</v>
      </c>
      <c r="C3873" s="91" t="s">
        <v>5988</v>
      </c>
      <c r="D3873" s="91" t="s">
        <v>20</v>
      </c>
      <c r="E3873" s="91" t="s">
        <v>19</v>
      </c>
      <c r="F3873">
        <v>81</v>
      </c>
      <c r="G3873" t="s">
        <v>1419</v>
      </c>
      <c r="H3873" s="89">
        <v>46274</v>
      </c>
      <c r="I3873" s="89">
        <v>46276</v>
      </c>
      <c r="J3873" s="91" t="s">
        <v>1656</v>
      </c>
      <c r="K3873" s="91" t="s">
        <v>5998</v>
      </c>
      <c r="L3873">
        <v>1</v>
      </c>
      <c r="M3873" s="91" t="s">
        <v>5999</v>
      </c>
      <c r="N3873" s="91" t="s">
        <v>5781</v>
      </c>
    </row>
    <row r="3874" spans="1:14" x14ac:dyDescent="0.25">
      <c r="A3874" s="91" t="s">
        <v>1316</v>
      </c>
      <c r="B3874" s="91" t="s">
        <v>1330</v>
      </c>
      <c r="C3874" s="91" t="s">
        <v>6000</v>
      </c>
      <c r="D3874" s="91" t="s">
        <v>20</v>
      </c>
      <c r="E3874" s="91" t="s">
        <v>19</v>
      </c>
      <c r="F3874">
        <v>53</v>
      </c>
      <c r="G3874" t="s">
        <v>1419</v>
      </c>
      <c r="H3874" s="89">
        <v>46274</v>
      </c>
      <c r="I3874" s="89">
        <v>46276</v>
      </c>
      <c r="J3874" s="91" t="s">
        <v>1656</v>
      </c>
      <c r="K3874" s="91" t="s">
        <v>6001</v>
      </c>
      <c r="L3874">
        <v>1</v>
      </c>
      <c r="M3874" s="91" t="s">
        <v>6002</v>
      </c>
      <c r="N3874" s="91" t="s">
        <v>5781</v>
      </c>
    </row>
    <row r="3875" spans="1:14" x14ac:dyDescent="0.25">
      <c r="A3875" s="91" t="s">
        <v>1317</v>
      </c>
      <c r="B3875" s="91" t="s">
        <v>1331</v>
      </c>
      <c r="C3875" s="91" t="s">
        <v>6003</v>
      </c>
      <c r="D3875" s="91" t="s">
        <v>20</v>
      </c>
      <c r="E3875" s="91" t="s">
        <v>19</v>
      </c>
      <c r="F3875">
        <v>14</v>
      </c>
      <c r="G3875" t="s">
        <v>1419</v>
      </c>
      <c r="H3875" s="89">
        <v>46274</v>
      </c>
      <c r="I3875" s="89">
        <v>46276</v>
      </c>
      <c r="J3875" s="91" t="s">
        <v>1656</v>
      </c>
      <c r="K3875" s="91" t="s">
        <v>6004</v>
      </c>
      <c r="L3875">
        <v>1</v>
      </c>
      <c r="M3875" s="91" t="s">
        <v>6005</v>
      </c>
      <c r="N3875" s="91" t="s">
        <v>5781</v>
      </c>
    </row>
    <row r="3876" spans="1:14" x14ac:dyDescent="0.25">
      <c r="A3876" s="91" t="s">
        <v>1318</v>
      </c>
      <c r="B3876" s="91" t="s">
        <v>1332</v>
      </c>
      <c r="C3876" s="91" t="s">
        <v>6006</v>
      </c>
      <c r="D3876" s="91" t="s">
        <v>20</v>
      </c>
      <c r="E3876" s="91" t="s">
        <v>19</v>
      </c>
      <c r="F3876">
        <v>48</v>
      </c>
      <c r="G3876" t="s">
        <v>1419</v>
      </c>
      <c r="H3876" s="89">
        <v>46274</v>
      </c>
      <c r="I3876" s="89">
        <v>46276</v>
      </c>
      <c r="J3876" s="91" t="s">
        <v>1656</v>
      </c>
      <c r="K3876" s="91" t="s">
        <v>6007</v>
      </c>
      <c r="L3876">
        <v>1</v>
      </c>
      <c r="M3876" s="91" t="s">
        <v>6008</v>
      </c>
      <c r="N3876" s="91" t="s">
        <v>5781</v>
      </c>
    </row>
    <row r="3877" spans="1:14" x14ac:dyDescent="0.25">
      <c r="A3877" s="91" t="s">
        <v>1320</v>
      </c>
      <c r="B3877" s="91" t="s">
        <v>1334</v>
      </c>
      <c r="C3877" s="91" t="s">
        <v>6009</v>
      </c>
      <c r="D3877" s="91" t="s">
        <v>23</v>
      </c>
      <c r="E3877" s="91" t="s">
        <v>14</v>
      </c>
      <c r="F3877">
        <v>528</v>
      </c>
      <c r="G3877">
        <v>11</v>
      </c>
      <c r="H3877" s="89">
        <v>46275</v>
      </c>
      <c r="I3877" s="89">
        <v>46280</v>
      </c>
      <c r="J3877" s="91" t="s">
        <v>6010</v>
      </c>
      <c r="K3877" s="91" t="s">
        <v>6011</v>
      </c>
      <c r="L3877">
        <v>1</v>
      </c>
      <c r="M3877" s="91" t="s">
        <v>6012</v>
      </c>
      <c r="N3877" s="91" t="s">
        <v>5781</v>
      </c>
    </row>
    <row r="3878" spans="1:14" x14ac:dyDescent="0.25">
      <c r="A3878" s="91" t="s">
        <v>1320</v>
      </c>
      <c r="B3878" s="91" t="s">
        <v>1334</v>
      </c>
      <c r="C3878" s="91" t="s">
        <v>6013</v>
      </c>
      <c r="D3878" s="91" t="s">
        <v>24</v>
      </c>
      <c r="E3878" s="91" t="s">
        <v>14</v>
      </c>
      <c r="F3878">
        <v>960</v>
      </c>
      <c r="G3878">
        <v>20</v>
      </c>
      <c r="H3878" s="89">
        <v>46275</v>
      </c>
      <c r="I3878" s="89">
        <v>46280</v>
      </c>
      <c r="J3878" s="91" t="s">
        <v>6014</v>
      </c>
      <c r="K3878" s="91" t="s">
        <v>6015</v>
      </c>
      <c r="L3878">
        <v>1</v>
      </c>
      <c r="M3878" s="91" t="s">
        <v>6016</v>
      </c>
      <c r="N3878" s="91" t="s">
        <v>5781</v>
      </c>
    </row>
    <row r="3879" spans="1:14" x14ac:dyDescent="0.25">
      <c r="A3879" s="91" t="s">
        <v>1313</v>
      </c>
      <c r="B3879" s="91" t="s">
        <v>1327</v>
      </c>
      <c r="C3879" s="91" t="s">
        <v>6017</v>
      </c>
      <c r="D3879" s="91" t="s">
        <v>29</v>
      </c>
      <c r="E3879" s="91" t="s">
        <v>18</v>
      </c>
      <c r="F3879">
        <v>1056</v>
      </c>
      <c r="G3879">
        <v>22</v>
      </c>
      <c r="H3879" s="89">
        <v>46275</v>
      </c>
      <c r="I3879" s="89">
        <v>46279</v>
      </c>
      <c r="J3879" s="91" t="s">
        <v>5951</v>
      </c>
      <c r="K3879" s="91" t="s">
        <v>6018</v>
      </c>
      <c r="L3879">
        <v>1</v>
      </c>
      <c r="M3879" s="91" t="s">
        <v>6019</v>
      </c>
      <c r="N3879" s="91" t="s">
        <v>5781</v>
      </c>
    </row>
    <row r="3880" spans="1:14" x14ac:dyDescent="0.25">
      <c r="A3880" s="91" t="s">
        <v>1320</v>
      </c>
      <c r="B3880" s="91" t="s">
        <v>1334</v>
      </c>
      <c r="C3880" s="91" t="s">
        <v>6020</v>
      </c>
      <c r="D3880" s="91" t="s">
        <v>30</v>
      </c>
      <c r="E3880" s="91" t="s">
        <v>14</v>
      </c>
      <c r="F3880">
        <v>576</v>
      </c>
      <c r="G3880">
        <v>12</v>
      </c>
      <c r="H3880" s="89">
        <v>46275</v>
      </c>
      <c r="I3880" s="89">
        <v>46279</v>
      </c>
      <c r="J3880" s="91" t="s">
        <v>3549</v>
      </c>
      <c r="K3880" s="91" t="s">
        <v>6021</v>
      </c>
      <c r="L3880">
        <v>1</v>
      </c>
      <c r="M3880" s="91" t="s">
        <v>6022</v>
      </c>
      <c r="N3880" s="91" t="s">
        <v>5781</v>
      </c>
    </row>
    <row r="3881" spans="1:14" x14ac:dyDescent="0.25">
      <c r="A3881" s="91" t="s">
        <v>1324</v>
      </c>
      <c r="B3881" s="91" t="s">
        <v>1338</v>
      </c>
      <c r="C3881" s="91" t="s">
        <v>6023</v>
      </c>
      <c r="D3881" s="91" t="s">
        <v>21</v>
      </c>
      <c r="E3881" s="91" t="s">
        <v>25</v>
      </c>
      <c r="F3881">
        <v>192</v>
      </c>
      <c r="G3881">
        <v>4</v>
      </c>
      <c r="H3881" s="89">
        <v>46275</v>
      </c>
      <c r="I3881" s="89">
        <v>46281</v>
      </c>
      <c r="J3881" s="91" t="s">
        <v>5866</v>
      </c>
      <c r="K3881" s="91" t="s">
        <v>6024</v>
      </c>
      <c r="L3881">
        <v>1</v>
      </c>
      <c r="M3881" s="91" t="s">
        <v>6025</v>
      </c>
      <c r="N3881" s="91" t="s">
        <v>5781</v>
      </c>
    </row>
    <row r="3882" spans="1:14" x14ac:dyDescent="0.25">
      <c r="A3882" s="91" t="s">
        <v>1324</v>
      </c>
      <c r="B3882" s="91" t="s">
        <v>1338</v>
      </c>
      <c r="C3882" s="91" t="s">
        <v>6023</v>
      </c>
      <c r="D3882" s="91" t="s">
        <v>21</v>
      </c>
      <c r="E3882" s="91" t="s">
        <v>25</v>
      </c>
      <c r="F3882">
        <v>960</v>
      </c>
      <c r="G3882">
        <v>20</v>
      </c>
      <c r="H3882" s="89">
        <v>46275</v>
      </c>
      <c r="I3882" s="89">
        <v>46281</v>
      </c>
      <c r="J3882" s="91" t="s">
        <v>5866</v>
      </c>
      <c r="K3882" s="91" t="s">
        <v>6026</v>
      </c>
      <c r="L3882">
        <v>1</v>
      </c>
      <c r="M3882" s="91" t="s">
        <v>6027</v>
      </c>
      <c r="N3882" s="91" t="s">
        <v>5781</v>
      </c>
    </row>
    <row r="3883" spans="1:14" x14ac:dyDescent="0.25">
      <c r="A3883" s="91" t="s">
        <v>1313</v>
      </c>
      <c r="B3883" s="91" t="s">
        <v>1327</v>
      </c>
      <c r="C3883" s="91" t="s">
        <v>6023</v>
      </c>
      <c r="D3883" s="91" t="s">
        <v>21</v>
      </c>
      <c r="E3883" s="91" t="s">
        <v>16</v>
      </c>
      <c r="F3883">
        <v>288</v>
      </c>
      <c r="G3883">
        <v>6</v>
      </c>
      <c r="H3883" s="89">
        <v>46275</v>
      </c>
      <c r="I3883" s="89">
        <v>46279</v>
      </c>
      <c r="J3883" s="91" t="s">
        <v>3549</v>
      </c>
      <c r="K3883" s="91" t="s">
        <v>6028</v>
      </c>
      <c r="L3883">
        <v>1</v>
      </c>
      <c r="M3883" s="91" t="s">
        <v>6029</v>
      </c>
      <c r="N3883" s="91" t="s">
        <v>5781</v>
      </c>
    </row>
    <row r="3884" spans="1:14" x14ac:dyDescent="0.25">
      <c r="A3884" s="91" t="s">
        <v>1315</v>
      </c>
      <c r="B3884" s="91" t="s">
        <v>1329</v>
      </c>
      <c r="C3884" s="91" t="s">
        <v>6023</v>
      </c>
      <c r="D3884" s="91" t="s">
        <v>21</v>
      </c>
      <c r="E3884" s="91" t="s">
        <v>19</v>
      </c>
      <c r="F3884">
        <v>88</v>
      </c>
      <c r="G3884" t="s">
        <v>1419</v>
      </c>
      <c r="H3884" s="89">
        <v>46275</v>
      </c>
      <c r="I3884" s="89">
        <v>46277</v>
      </c>
      <c r="J3884" s="91" t="s">
        <v>3549</v>
      </c>
      <c r="K3884" s="91" t="s">
        <v>6030</v>
      </c>
      <c r="L3884">
        <v>1</v>
      </c>
      <c r="M3884" s="91" t="s">
        <v>6031</v>
      </c>
      <c r="N3884" s="91" t="s">
        <v>5781</v>
      </c>
    </row>
    <row r="3885" spans="1:14" x14ac:dyDescent="0.25">
      <c r="A3885" s="91" t="s">
        <v>1316</v>
      </c>
      <c r="B3885" s="91" t="s">
        <v>1330</v>
      </c>
      <c r="C3885" s="91" t="s">
        <v>6032</v>
      </c>
      <c r="D3885" s="91" t="s">
        <v>21</v>
      </c>
      <c r="E3885" s="91" t="s">
        <v>19</v>
      </c>
      <c r="F3885">
        <v>25</v>
      </c>
      <c r="G3885" t="s">
        <v>1419</v>
      </c>
      <c r="H3885" s="89">
        <v>46275</v>
      </c>
      <c r="I3885" s="89">
        <v>46277</v>
      </c>
      <c r="J3885" s="91" t="s">
        <v>3549</v>
      </c>
      <c r="K3885" s="91" t="s">
        <v>6033</v>
      </c>
      <c r="L3885">
        <v>1</v>
      </c>
      <c r="M3885" s="91" t="s">
        <v>6034</v>
      </c>
      <c r="N3885" s="91" t="s">
        <v>5781</v>
      </c>
    </row>
    <row r="3886" spans="1:14" x14ac:dyDescent="0.25">
      <c r="A3886" s="91" t="s">
        <v>1317</v>
      </c>
      <c r="B3886" s="91" t="s">
        <v>1331</v>
      </c>
      <c r="C3886" s="91" t="s">
        <v>6035</v>
      </c>
      <c r="D3886" s="91" t="s">
        <v>21</v>
      </c>
      <c r="E3886" s="91" t="s">
        <v>19</v>
      </c>
      <c r="F3886">
        <v>22</v>
      </c>
      <c r="G3886" t="s">
        <v>1419</v>
      </c>
      <c r="H3886" s="89">
        <v>46275</v>
      </c>
      <c r="I3886" s="89">
        <v>46277</v>
      </c>
      <c r="J3886" s="91" t="s">
        <v>3549</v>
      </c>
      <c r="K3886" s="91" t="s">
        <v>6036</v>
      </c>
      <c r="L3886">
        <v>1</v>
      </c>
      <c r="M3886" s="91" t="s">
        <v>6037</v>
      </c>
      <c r="N3886" s="91" t="s">
        <v>5781</v>
      </c>
    </row>
    <row r="3887" spans="1:14" x14ac:dyDescent="0.25">
      <c r="A3887" s="91" t="s">
        <v>1318</v>
      </c>
      <c r="B3887" s="91" t="s">
        <v>1332</v>
      </c>
      <c r="C3887" s="91" t="s">
        <v>6038</v>
      </c>
      <c r="D3887" s="91" t="s">
        <v>21</v>
      </c>
      <c r="E3887" s="91" t="s">
        <v>19</v>
      </c>
      <c r="F3887">
        <v>88</v>
      </c>
      <c r="G3887" t="s">
        <v>1419</v>
      </c>
      <c r="H3887" s="89">
        <v>46275</v>
      </c>
      <c r="I3887" s="89">
        <v>46277</v>
      </c>
      <c r="J3887" s="91" t="s">
        <v>3549</v>
      </c>
      <c r="K3887" s="91" t="s">
        <v>6039</v>
      </c>
      <c r="L3887">
        <v>1</v>
      </c>
      <c r="M3887" s="91" t="s">
        <v>6040</v>
      </c>
      <c r="N3887" s="91" t="s">
        <v>5781</v>
      </c>
    </row>
    <row r="3888" spans="1:14" x14ac:dyDescent="0.25">
      <c r="A3888" s="91" t="s">
        <v>1313</v>
      </c>
      <c r="B3888" s="91" t="s">
        <v>1327</v>
      </c>
      <c r="C3888" s="91" t="s">
        <v>6041</v>
      </c>
      <c r="D3888" s="91" t="s">
        <v>20</v>
      </c>
      <c r="E3888" s="91" t="s">
        <v>17</v>
      </c>
      <c r="F3888">
        <v>1104</v>
      </c>
      <c r="G3888">
        <v>23</v>
      </c>
      <c r="H3888" s="89">
        <v>46275</v>
      </c>
      <c r="I3888" s="89">
        <v>46280</v>
      </c>
      <c r="J3888" s="91" t="s">
        <v>6042</v>
      </c>
      <c r="K3888" s="91" t="s">
        <v>6043</v>
      </c>
      <c r="L3888">
        <v>1</v>
      </c>
      <c r="M3888" s="91" t="s">
        <v>6044</v>
      </c>
      <c r="N3888" s="91" t="s">
        <v>5781</v>
      </c>
    </row>
    <row r="3889" spans="1:14" x14ac:dyDescent="0.25">
      <c r="A3889" s="91" t="s">
        <v>1315</v>
      </c>
      <c r="B3889" s="91" t="s">
        <v>1329</v>
      </c>
      <c r="C3889" s="91" t="s">
        <v>6041</v>
      </c>
      <c r="D3889" s="91" t="s">
        <v>20</v>
      </c>
      <c r="E3889" s="91" t="s">
        <v>19</v>
      </c>
      <c r="F3889">
        <v>149</v>
      </c>
      <c r="G3889" t="s">
        <v>1419</v>
      </c>
      <c r="H3889" s="89">
        <v>46275</v>
      </c>
      <c r="I3889" s="89">
        <v>46277</v>
      </c>
      <c r="J3889" s="91" t="s">
        <v>3549</v>
      </c>
      <c r="K3889" s="91" t="s">
        <v>6045</v>
      </c>
      <c r="L3889">
        <v>1</v>
      </c>
      <c r="M3889" s="91" t="s">
        <v>6046</v>
      </c>
      <c r="N3889" s="91" t="s">
        <v>5781</v>
      </c>
    </row>
    <row r="3890" spans="1:14" x14ac:dyDescent="0.25">
      <c r="A3890" s="91" t="s">
        <v>1316</v>
      </c>
      <c r="B3890" s="91" t="s">
        <v>1330</v>
      </c>
      <c r="C3890" s="91" t="s">
        <v>6047</v>
      </c>
      <c r="D3890" s="91" t="s">
        <v>20</v>
      </c>
      <c r="E3890" s="91" t="s">
        <v>19</v>
      </c>
      <c r="F3890">
        <v>49</v>
      </c>
      <c r="G3890" t="s">
        <v>1419</v>
      </c>
      <c r="H3890" s="89">
        <v>46275</v>
      </c>
      <c r="I3890" s="89">
        <v>46277</v>
      </c>
      <c r="J3890" s="91" t="s">
        <v>3549</v>
      </c>
      <c r="K3890" s="91" t="s">
        <v>6048</v>
      </c>
      <c r="L3890">
        <v>1</v>
      </c>
      <c r="M3890" s="91" t="s">
        <v>6049</v>
      </c>
      <c r="N3890" s="91" t="s">
        <v>5781</v>
      </c>
    </row>
    <row r="3891" spans="1:14" x14ac:dyDescent="0.25">
      <c r="A3891" s="91" t="s">
        <v>1317</v>
      </c>
      <c r="B3891" s="91" t="s">
        <v>1331</v>
      </c>
      <c r="C3891" s="91" t="s">
        <v>6050</v>
      </c>
      <c r="D3891" s="91" t="s">
        <v>20</v>
      </c>
      <c r="E3891" s="91" t="s">
        <v>19</v>
      </c>
      <c r="F3891">
        <v>39</v>
      </c>
      <c r="G3891" t="s">
        <v>1419</v>
      </c>
      <c r="H3891" s="89">
        <v>46275</v>
      </c>
      <c r="I3891" s="89">
        <v>46277</v>
      </c>
      <c r="J3891" s="91" t="s">
        <v>3549</v>
      </c>
      <c r="K3891" s="91" t="s">
        <v>6051</v>
      </c>
      <c r="L3891">
        <v>1</v>
      </c>
      <c r="M3891" s="91" t="s">
        <v>6052</v>
      </c>
      <c r="N3891" s="91" t="s">
        <v>5781</v>
      </c>
    </row>
    <row r="3892" spans="1:14" x14ac:dyDescent="0.25">
      <c r="A3892" s="91" t="s">
        <v>1318</v>
      </c>
      <c r="B3892" s="91" t="s">
        <v>1332</v>
      </c>
      <c r="C3892" s="91" t="s">
        <v>6053</v>
      </c>
      <c r="D3892" s="91" t="s">
        <v>20</v>
      </c>
      <c r="E3892" s="91" t="s">
        <v>19</v>
      </c>
      <c r="F3892">
        <v>42</v>
      </c>
      <c r="G3892" t="s">
        <v>1419</v>
      </c>
      <c r="H3892" s="89">
        <v>46275</v>
      </c>
      <c r="I3892" s="89">
        <v>46277</v>
      </c>
      <c r="J3892" s="91" t="s">
        <v>3549</v>
      </c>
      <c r="K3892" s="91" t="s">
        <v>6054</v>
      </c>
      <c r="L3892">
        <v>1</v>
      </c>
      <c r="M3892" s="91" t="s">
        <v>6055</v>
      </c>
      <c r="N3892" s="91" t="s">
        <v>5781</v>
      </c>
    </row>
    <row r="3893" spans="1:14" x14ac:dyDescent="0.25">
      <c r="A3893" s="91" t="s">
        <v>1319</v>
      </c>
      <c r="B3893" s="91" t="s">
        <v>1333</v>
      </c>
      <c r="C3893" s="91" t="s">
        <v>6056</v>
      </c>
      <c r="D3893" s="91" t="s">
        <v>15</v>
      </c>
      <c r="E3893" s="91" t="s">
        <v>17</v>
      </c>
      <c r="F3893">
        <v>48</v>
      </c>
      <c r="G3893">
        <v>1</v>
      </c>
      <c r="H3893" s="89">
        <v>46275</v>
      </c>
      <c r="I3893" s="89">
        <v>46280</v>
      </c>
      <c r="J3893" s="91" t="s">
        <v>6042</v>
      </c>
      <c r="K3893" s="91" t="s">
        <v>6057</v>
      </c>
      <c r="L3893">
        <v>1</v>
      </c>
      <c r="M3893" s="91" t="s">
        <v>6058</v>
      </c>
      <c r="N3893" s="91" t="s">
        <v>5781</v>
      </c>
    </row>
    <row r="3894" spans="1:14" x14ac:dyDescent="0.25">
      <c r="A3894" s="91" t="s">
        <v>1314</v>
      </c>
      <c r="B3894" s="91" t="s">
        <v>1328</v>
      </c>
      <c r="C3894" s="91" t="s">
        <v>6056</v>
      </c>
      <c r="D3894" s="91" t="s">
        <v>15</v>
      </c>
      <c r="E3894" s="91" t="s">
        <v>16</v>
      </c>
      <c r="F3894">
        <v>144</v>
      </c>
      <c r="G3894">
        <v>3</v>
      </c>
      <c r="H3894" s="89">
        <v>46275</v>
      </c>
      <c r="I3894" s="89">
        <v>46279</v>
      </c>
      <c r="J3894" s="91" t="s">
        <v>5957</v>
      </c>
      <c r="K3894" s="91" t="s">
        <v>6059</v>
      </c>
      <c r="L3894">
        <v>1</v>
      </c>
      <c r="M3894" s="91" t="s">
        <v>6060</v>
      </c>
      <c r="N3894" s="91" t="s">
        <v>5781</v>
      </c>
    </row>
    <row r="3895" spans="1:14" x14ac:dyDescent="0.25">
      <c r="A3895" s="91" t="s">
        <v>1319</v>
      </c>
      <c r="B3895" s="91" t="s">
        <v>1333</v>
      </c>
      <c r="C3895" s="91" t="s">
        <v>6056</v>
      </c>
      <c r="D3895" s="91" t="s">
        <v>15</v>
      </c>
      <c r="E3895" s="91" t="s">
        <v>31</v>
      </c>
      <c r="F3895">
        <v>5</v>
      </c>
      <c r="G3895">
        <v>0.10416666666666669</v>
      </c>
      <c r="H3895" s="89">
        <v>46275</v>
      </c>
      <c r="I3895" s="89">
        <v>46279</v>
      </c>
      <c r="J3895" s="91" t="s">
        <v>6061</v>
      </c>
      <c r="K3895" s="91" t="s">
        <v>6062</v>
      </c>
      <c r="L3895">
        <v>1</v>
      </c>
      <c r="M3895" s="91" t="s">
        <v>6063</v>
      </c>
      <c r="N3895" s="91" t="s">
        <v>5781</v>
      </c>
    </row>
    <row r="3896" spans="1:14" x14ac:dyDescent="0.25">
      <c r="A3896" s="91" t="s">
        <v>1324</v>
      </c>
      <c r="B3896" s="91" t="s">
        <v>1338</v>
      </c>
      <c r="C3896" s="91" t="s">
        <v>6056</v>
      </c>
      <c r="D3896" s="91" t="s">
        <v>15</v>
      </c>
      <c r="E3896" s="91" t="s">
        <v>25</v>
      </c>
      <c r="F3896">
        <v>480</v>
      </c>
      <c r="G3896">
        <v>10</v>
      </c>
      <c r="H3896" s="89">
        <v>46275</v>
      </c>
      <c r="I3896" s="89">
        <v>46283</v>
      </c>
      <c r="J3896" s="91" t="s">
        <v>6064</v>
      </c>
      <c r="K3896" s="91" t="s">
        <v>6065</v>
      </c>
      <c r="L3896">
        <v>1</v>
      </c>
      <c r="M3896" s="91" t="s">
        <v>6066</v>
      </c>
      <c r="N3896" s="91" t="s">
        <v>5781</v>
      </c>
    </row>
    <row r="3897" spans="1:14" x14ac:dyDescent="0.25">
      <c r="A3897" s="91" t="s">
        <v>1313</v>
      </c>
      <c r="B3897" s="91" t="s">
        <v>1327</v>
      </c>
      <c r="C3897" s="91" t="s">
        <v>6056</v>
      </c>
      <c r="D3897" s="91" t="s">
        <v>15</v>
      </c>
      <c r="E3897" s="91" t="s">
        <v>31</v>
      </c>
      <c r="F3897">
        <v>571</v>
      </c>
      <c r="G3897">
        <v>11.895833333333334</v>
      </c>
      <c r="H3897" s="89">
        <v>46275</v>
      </c>
      <c r="I3897" s="89">
        <v>46279</v>
      </c>
      <c r="J3897" s="91" t="s">
        <v>6061</v>
      </c>
      <c r="K3897" s="91" t="s">
        <v>6067</v>
      </c>
      <c r="L3897">
        <v>1</v>
      </c>
      <c r="M3897" s="91" t="s">
        <v>6068</v>
      </c>
      <c r="N3897" s="91" t="s">
        <v>5781</v>
      </c>
    </row>
    <row r="3898" spans="1:14" x14ac:dyDescent="0.25">
      <c r="A3898" s="91" t="s">
        <v>1314</v>
      </c>
      <c r="B3898" s="91" t="s">
        <v>1328</v>
      </c>
      <c r="C3898" s="91" t="s">
        <v>6056</v>
      </c>
      <c r="D3898" s="91" t="s">
        <v>15</v>
      </c>
      <c r="E3898" s="91" t="s">
        <v>31</v>
      </c>
      <c r="F3898">
        <v>96</v>
      </c>
      <c r="G3898">
        <v>2</v>
      </c>
      <c r="H3898" s="89">
        <v>46275</v>
      </c>
      <c r="I3898" s="89">
        <v>46279</v>
      </c>
      <c r="J3898" s="91" t="s">
        <v>6069</v>
      </c>
      <c r="K3898" s="91" t="s">
        <v>6070</v>
      </c>
      <c r="L3898">
        <v>1</v>
      </c>
      <c r="M3898" s="91" t="s">
        <v>6071</v>
      </c>
      <c r="N3898" s="91" t="s">
        <v>5781</v>
      </c>
    </row>
    <row r="3899" spans="1:14" x14ac:dyDescent="0.25">
      <c r="A3899" s="91" t="s">
        <v>1313</v>
      </c>
      <c r="B3899" s="91" t="s">
        <v>1327</v>
      </c>
      <c r="C3899" s="91" t="s">
        <v>6056</v>
      </c>
      <c r="D3899" s="91" t="s">
        <v>15</v>
      </c>
      <c r="E3899" s="91" t="s">
        <v>22</v>
      </c>
      <c r="F3899">
        <v>48</v>
      </c>
      <c r="G3899">
        <v>1</v>
      </c>
      <c r="H3899" s="89">
        <v>46275</v>
      </c>
      <c r="I3899" s="89">
        <v>46279</v>
      </c>
      <c r="J3899" s="91" t="s">
        <v>5954</v>
      </c>
      <c r="K3899" s="91" t="s">
        <v>6072</v>
      </c>
      <c r="L3899">
        <v>1</v>
      </c>
      <c r="M3899" s="91" t="s">
        <v>6073</v>
      </c>
      <c r="N3899" s="91" t="s">
        <v>5781</v>
      </c>
    </row>
    <row r="3900" spans="1:14" x14ac:dyDescent="0.25">
      <c r="A3900" s="91" t="s">
        <v>1313</v>
      </c>
      <c r="B3900" s="91" t="s">
        <v>1327</v>
      </c>
      <c r="C3900" s="91" t="s">
        <v>6056</v>
      </c>
      <c r="D3900" s="91" t="s">
        <v>15</v>
      </c>
      <c r="E3900" s="91" t="s">
        <v>22</v>
      </c>
      <c r="F3900">
        <v>96</v>
      </c>
      <c r="G3900">
        <v>2</v>
      </c>
      <c r="H3900" s="89">
        <v>46275</v>
      </c>
      <c r="I3900" s="89">
        <v>46281</v>
      </c>
      <c r="J3900" s="91" t="s">
        <v>6074</v>
      </c>
      <c r="K3900" s="91" t="s">
        <v>6075</v>
      </c>
      <c r="L3900">
        <v>1</v>
      </c>
      <c r="M3900" s="91" t="s">
        <v>6076</v>
      </c>
      <c r="N3900" s="91" t="s">
        <v>5781</v>
      </c>
    </row>
    <row r="3901" spans="1:14" x14ac:dyDescent="0.25">
      <c r="A3901" s="91" t="s">
        <v>1315</v>
      </c>
      <c r="B3901" s="91" t="s">
        <v>1329</v>
      </c>
      <c r="C3901" s="91" t="s">
        <v>6056</v>
      </c>
      <c r="D3901" s="91" t="s">
        <v>15</v>
      </c>
      <c r="E3901" s="91" t="s">
        <v>19</v>
      </c>
      <c r="F3901">
        <v>13</v>
      </c>
      <c r="G3901" t="s">
        <v>1419</v>
      </c>
      <c r="H3901" s="89">
        <v>46275</v>
      </c>
      <c r="I3901" s="89">
        <v>46277</v>
      </c>
      <c r="J3901" s="91" t="s">
        <v>3549</v>
      </c>
      <c r="K3901" s="91" t="s">
        <v>6077</v>
      </c>
      <c r="L3901">
        <v>1</v>
      </c>
      <c r="M3901" s="91" t="s">
        <v>6078</v>
      </c>
      <c r="N3901" s="91" t="s">
        <v>5781</v>
      </c>
    </row>
    <row r="3902" spans="1:14" x14ac:dyDescent="0.25">
      <c r="A3902" s="91" t="s">
        <v>1316</v>
      </c>
      <c r="B3902" s="91" t="s">
        <v>1330</v>
      </c>
      <c r="C3902" s="91" t="s">
        <v>6079</v>
      </c>
      <c r="D3902" s="91" t="s">
        <v>15</v>
      </c>
      <c r="E3902" s="91" t="s">
        <v>19</v>
      </c>
      <c r="F3902">
        <v>52</v>
      </c>
      <c r="G3902" t="s">
        <v>1419</v>
      </c>
      <c r="H3902" s="89">
        <v>46275</v>
      </c>
      <c r="I3902" s="89">
        <v>46277</v>
      </c>
      <c r="J3902" s="91" t="s">
        <v>3549</v>
      </c>
      <c r="K3902" s="91" t="s">
        <v>6080</v>
      </c>
      <c r="L3902">
        <v>1</v>
      </c>
      <c r="M3902" s="91" t="s">
        <v>6081</v>
      </c>
      <c r="N3902" s="91" t="s">
        <v>5781</v>
      </c>
    </row>
    <row r="3903" spans="1:14" x14ac:dyDescent="0.25">
      <c r="A3903" s="91" t="s">
        <v>1317</v>
      </c>
      <c r="B3903" s="91" t="s">
        <v>1331</v>
      </c>
      <c r="C3903" s="91" t="s">
        <v>6082</v>
      </c>
      <c r="D3903" s="91" t="s">
        <v>15</v>
      </c>
      <c r="E3903" s="91" t="s">
        <v>19</v>
      </c>
      <c r="F3903">
        <v>62</v>
      </c>
      <c r="G3903" t="s">
        <v>1419</v>
      </c>
      <c r="H3903" s="89">
        <v>46275</v>
      </c>
      <c r="I3903" s="89">
        <v>46277</v>
      </c>
      <c r="J3903" s="91" t="s">
        <v>3549</v>
      </c>
      <c r="K3903" s="91" t="s">
        <v>6083</v>
      </c>
      <c r="L3903">
        <v>1</v>
      </c>
      <c r="M3903" s="91" t="s">
        <v>6084</v>
      </c>
      <c r="N3903" s="91" t="s">
        <v>5781</v>
      </c>
    </row>
    <row r="3904" spans="1:14" x14ac:dyDescent="0.25">
      <c r="A3904" s="91" t="s">
        <v>1318</v>
      </c>
      <c r="B3904" s="91" t="s">
        <v>1332</v>
      </c>
      <c r="C3904" s="91" t="s">
        <v>6085</v>
      </c>
      <c r="D3904" s="91" t="s">
        <v>15</v>
      </c>
      <c r="E3904" s="91" t="s">
        <v>19</v>
      </c>
      <c r="F3904">
        <v>26</v>
      </c>
      <c r="G3904" t="s">
        <v>1419</v>
      </c>
      <c r="H3904" s="89">
        <v>46275</v>
      </c>
      <c r="I3904" s="89">
        <v>46277</v>
      </c>
      <c r="J3904" s="91" t="s">
        <v>3549</v>
      </c>
      <c r="K3904" s="91" t="s">
        <v>6086</v>
      </c>
      <c r="L3904">
        <v>1</v>
      </c>
      <c r="M3904" s="91" t="s">
        <v>6087</v>
      </c>
      <c r="N3904" s="91" t="s">
        <v>5781</v>
      </c>
    </row>
    <row r="3905" spans="1:14" x14ac:dyDescent="0.25">
      <c r="A3905" s="91" t="s">
        <v>1320</v>
      </c>
      <c r="B3905" s="91" t="s">
        <v>1334</v>
      </c>
      <c r="C3905" s="91" t="s">
        <v>6088</v>
      </c>
      <c r="D3905" s="91" t="s">
        <v>23</v>
      </c>
      <c r="E3905" s="91" t="s">
        <v>14</v>
      </c>
      <c r="F3905">
        <v>432</v>
      </c>
      <c r="G3905">
        <v>9</v>
      </c>
      <c r="H3905" s="89">
        <v>46276</v>
      </c>
      <c r="I3905" s="89">
        <v>46280</v>
      </c>
      <c r="J3905" s="91" t="s">
        <v>6010</v>
      </c>
      <c r="K3905" s="91" t="s">
        <v>6089</v>
      </c>
      <c r="L3905">
        <v>1</v>
      </c>
      <c r="M3905" s="91" t="s">
        <v>6090</v>
      </c>
      <c r="N3905" s="91" t="s">
        <v>5781</v>
      </c>
    </row>
    <row r="3906" spans="1:14" x14ac:dyDescent="0.25">
      <c r="A3906" s="91" t="s">
        <v>1320</v>
      </c>
      <c r="B3906" s="91" t="s">
        <v>1334</v>
      </c>
      <c r="C3906" s="91" t="s">
        <v>6091</v>
      </c>
      <c r="D3906" s="91" t="s">
        <v>30</v>
      </c>
      <c r="E3906" s="91" t="s">
        <v>14</v>
      </c>
      <c r="F3906">
        <v>384</v>
      </c>
      <c r="G3906">
        <v>8</v>
      </c>
      <c r="H3906" s="89">
        <v>46276</v>
      </c>
      <c r="I3906" s="89">
        <v>46279</v>
      </c>
      <c r="J3906" s="91" t="s">
        <v>3549</v>
      </c>
      <c r="K3906" s="91" t="s">
        <v>6092</v>
      </c>
      <c r="L3906">
        <v>1</v>
      </c>
      <c r="M3906" s="91" t="s">
        <v>6093</v>
      </c>
      <c r="N3906" s="91" t="s">
        <v>5781</v>
      </c>
    </row>
    <row r="3907" spans="1:14" x14ac:dyDescent="0.25">
      <c r="A3907" s="91" t="s">
        <v>1326</v>
      </c>
      <c r="B3907" s="91" t="s">
        <v>1340</v>
      </c>
      <c r="C3907" s="91" t="s">
        <v>6094</v>
      </c>
      <c r="D3907" s="91" t="s">
        <v>32</v>
      </c>
      <c r="E3907" s="91" t="s">
        <v>14</v>
      </c>
      <c r="F3907">
        <v>882</v>
      </c>
      <c r="G3907">
        <v>18.375</v>
      </c>
      <c r="H3907" s="89">
        <v>46276</v>
      </c>
      <c r="I3907" s="89">
        <v>46280</v>
      </c>
      <c r="J3907" s="91" t="s">
        <v>6095</v>
      </c>
      <c r="K3907" s="91" t="s">
        <v>6096</v>
      </c>
      <c r="L3907">
        <v>1</v>
      </c>
      <c r="M3907" s="91" t="s">
        <v>6097</v>
      </c>
      <c r="N3907" s="91" t="s">
        <v>5781</v>
      </c>
    </row>
    <row r="3908" spans="1:14" x14ac:dyDescent="0.25">
      <c r="A3908" s="91" t="s">
        <v>1320</v>
      </c>
      <c r="B3908" s="91" t="s">
        <v>1334</v>
      </c>
      <c r="C3908" s="91" t="s">
        <v>6098</v>
      </c>
      <c r="D3908" s="91" t="s">
        <v>104</v>
      </c>
      <c r="E3908" s="91" t="s">
        <v>14</v>
      </c>
      <c r="F3908">
        <v>960</v>
      </c>
      <c r="G3908">
        <v>20</v>
      </c>
      <c r="H3908" s="89">
        <v>46276</v>
      </c>
      <c r="I3908" s="89">
        <v>46281</v>
      </c>
      <c r="J3908" s="91" t="s">
        <v>6099</v>
      </c>
      <c r="K3908" s="91" t="s">
        <v>6100</v>
      </c>
      <c r="L3908">
        <v>1</v>
      </c>
      <c r="M3908" s="91" t="s">
        <v>6101</v>
      </c>
      <c r="N3908" s="91" t="s">
        <v>5781</v>
      </c>
    </row>
    <row r="3909" spans="1:14" x14ac:dyDescent="0.25">
      <c r="A3909" s="91" t="s">
        <v>1313</v>
      </c>
      <c r="B3909" s="91" t="s">
        <v>1327</v>
      </c>
      <c r="C3909" s="91" t="s">
        <v>6102</v>
      </c>
      <c r="D3909" s="91" t="s">
        <v>21</v>
      </c>
      <c r="E3909" s="91" t="s">
        <v>22</v>
      </c>
      <c r="F3909">
        <v>720</v>
      </c>
      <c r="G3909">
        <v>15</v>
      </c>
      <c r="H3909" s="89">
        <v>46276</v>
      </c>
      <c r="I3909" s="89">
        <v>46281</v>
      </c>
      <c r="J3909" s="91" t="s">
        <v>6074</v>
      </c>
      <c r="K3909" s="91" t="s">
        <v>6103</v>
      </c>
      <c r="L3909">
        <v>1</v>
      </c>
      <c r="M3909" s="91" t="s">
        <v>6104</v>
      </c>
      <c r="N3909" s="91" t="s">
        <v>5781</v>
      </c>
    </row>
    <row r="3910" spans="1:14" x14ac:dyDescent="0.25">
      <c r="A3910" s="91" t="s">
        <v>1324</v>
      </c>
      <c r="B3910" s="91" t="s">
        <v>1338</v>
      </c>
      <c r="C3910" s="91" t="s">
        <v>6102</v>
      </c>
      <c r="D3910" s="91" t="s">
        <v>21</v>
      </c>
      <c r="E3910" s="91" t="s">
        <v>25</v>
      </c>
      <c r="F3910">
        <v>480</v>
      </c>
      <c r="G3910">
        <v>10</v>
      </c>
      <c r="H3910" s="89">
        <v>46276</v>
      </c>
      <c r="I3910" s="89">
        <v>46283</v>
      </c>
      <c r="J3910" s="91" t="s">
        <v>6064</v>
      </c>
      <c r="K3910" s="91" t="s">
        <v>6105</v>
      </c>
      <c r="L3910">
        <v>1</v>
      </c>
      <c r="M3910" s="91" t="s">
        <v>6106</v>
      </c>
      <c r="N3910" s="91" t="s">
        <v>5781</v>
      </c>
    </row>
    <row r="3911" spans="1:14" x14ac:dyDescent="0.25">
      <c r="A3911" s="91" t="s">
        <v>1313</v>
      </c>
      <c r="B3911" s="91" t="s">
        <v>1327</v>
      </c>
      <c r="C3911" s="91" t="s">
        <v>6102</v>
      </c>
      <c r="D3911" s="91" t="s">
        <v>21</v>
      </c>
      <c r="E3911" s="91" t="s">
        <v>16</v>
      </c>
      <c r="F3911">
        <v>192</v>
      </c>
      <c r="G3911">
        <v>4</v>
      </c>
      <c r="H3911" s="89">
        <v>46276</v>
      </c>
      <c r="I3911" s="89">
        <v>46279</v>
      </c>
      <c r="J3911" s="91" t="s">
        <v>3549</v>
      </c>
      <c r="K3911" s="91" t="s">
        <v>6107</v>
      </c>
      <c r="L3911">
        <v>1</v>
      </c>
      <c r="M3911" s="91" t="s">
        <v>6108</v>
      </c>
      <c r="N3911" s="91" t="s">
        <v>5781</v>
      </c>
    </row>
    <row r="3912" spans="1:14" x14ac:dyDescent="0.25">
      <c r="A3912" s="91" t="s">
        <v>1313</v>
      </c>
      <c r="B3912" s="91" t="s">
        <v>1327</v>
      </c>
      <c r="C3912" s="91" t="s">
        <v>6102</v>
      </c>
      <c r="D3912" s="91" t="s">
        <v>21</v>
      </c>
      <c r="E3912" s="91" t="s">
        <v>19</v>
      </c>
      <c r="F3912">
        <v>384</v>
      </c>
      <c r="G3912">
        <v>8</v>
      </c>
      <c r="H3912" s="89">
        <v>46276</v>
      </c>
      <c r="I3912" s="89">
        <v>46283</v>
      </c>
      <c r="J3912" s="91" t="s">
        <v>1656</v>
      </c>
      <c r="K3912" s="91" t="s">
        <v>6109</v>
      </c>
      <c r="L3912">
        <v>1</v>
      </c>
      <c r="M3912" s="91" t="s">
        <v>6110</v>
      </c>
      <c r="N3912" s="91" t="s">
        <v>5781</v>
      </c>
    </row>
    <row r="3913" spans="1:14" x14ac:dyDescent="0.25">
      <c r="A3913" s="91" t="s">
        <v>1313</v>
      </c>
      <c r="B3913" s="91" t="s">
        <v>1327</v>
      </c>
      <c r="C3913" s="91" t="s">
        <v>6102</v>
      </c>
      <c r="D3913" s="91" t="s">
        <v>21</v>
      </c>
      <c r="E3913" s="91" t="s">
        <v>19</v>
      </c>
      <c r="F3913">
        <v>192</v>
      </c>
      <c r="G3913">
        <v>4</v>
      </c>
      <c r="H3913" s="89">
        <v>46276</v>
      </c>
      <c r="I3913" s="89">
        <v>46283</v>
      </c>
      <c r="J3913" s="91" t="s">
        <v>3549</v>
      </c>
      <c r="K3913" s="91" t="s">
        <v>6109</v>
      </c>
      <c r="L3913">
        <v>2</v>
      </c>
      <c r="M3913" s="91" t="s">
        <v>6111</v>
      </c>
      <c r="N3913" s="91" t="s">
        <v>5781</v>
      </c>
    </row>
    <row r="3914" spans="1:14" x14ac:dyDescent="0.25">
      <c r="A3914" s="91" t="s">
        <v>1315</v>
      </c>
      <c r="B3914" s="91" t="s">
        <v>1329</v>
      </c>
      <c r="C3914" s="91" t="s">
        <v>6102</v>
      </c>
      <c r="D3914" s="91" t="s">
        <v>21</v>
      </c>
      <c r="E3914" s="91" t="s">
        <v>19</v>
      </c>
      <c r="F3914">
        <v>38</v>
      </c>
      <c r="G3914" t="s">
        <v>1419</v>
      </c>
      <c r="H3914" s="89">
        <v>46276</v>
      </c>
      <c r="I3914" s="89">
        <v>46278</v>
      </c>
      <c r="J3914" s="91" t="s">
        <v>3549</v>
      </c>
      <c r="K3914" s="91" t="s">
        <v>6112</v>
      </c>
      <c r="L3914">
        <v>1</v>
      </c>
      <c r="M3914" s="91" t="s">
        <v>6113</v>
      </c>
      <c r="N3914" s="91" t="s">
        <v>5781</v>
      </c>
    </row>
    <row r="3915" spans="1:14" x14ac:dyDescent="0.25">
      <c r="A3915" s="91" t="s">
        <v>1316</v>
      </c>
      <c r="B3915" s="91" t="s">
        <v>1330</v>
      </c>
      <c r="C3915" s="91" t="s">
        <v>6114</v>
      </c>
      <c r="D3915" s="91" t="s">
        <v>21</v>
      </c>
      <c r="E3915" s="91" t="s">
        <v>19</v>
      </c>
      <c r="F3915">
        <v>56</v>
      </c>
      <c r="G3915" t="s">
        <v>1419</v>
      </c>
      <c r="H3915" s="89">
        <v>46276</v>
      </c>
      <c r="I3915" s="89">
        <v>46278</v>
      </c>
      <c r="J3915" s="91" t="s">
        <v>3549</v>
      </c>
      <c r="K3915" s="91" t="s">
        <v>6115</v>
      </c>
      <c r="L3915">
        <v>1</v>
      </c>
      <c r="M3915" s="91" t="s">
        <v>6116</v>
      </c>
      <c r="N3915" s="91" t="s">
        <v>5781</v>
      </c>
    </row>
    <row r="3916" spans="1:14" x14ac:dyDescent="0.25">
      <c r="A3916" s="91" t="s">
        <v>1317</v>
      </c>
      <c r="B3916" s="91" t="s">
        <v>1331</v>
      </c>
      <c r="C3916" s="91" t="s">
        <v>6117</v>
      </c>
      <c r="D3916" s="91" t="s">
        <v>21</v>
      </c>
      <c r="E3916" s="91" t="s">
        <v>19</v>
      </c>
      <c r="F3916">
        <v>33</v>
      </c>
      <c r="G3916" t="s">
        <v>1419</v>
      </c>
      <c r="H3916" s="89">
        <v>46276</v>
      </c>
      <c r="I3916" s="89">
        <v>46278</v>
      </c>
      <c r="J3916" s="91" t="s">
        <v>3549</v>
      </c>
      <c r="K3916" s="91" t="s">
        <v>6118</v>
      </c>
      <c r="L3916">
        <v>1</v>
      </c>
      <c r="M3916" s="91" t="s">
        <v>6119</v>
      </c>
      <c r="N3916" s="91" t="s">
        <v>5781</v>
      </c>
    </row>
    <row r="3917" spans="1:14" x14ac:dyDescent="0.25">
      <c r="A3917" s="91" t="s">
        <v>1318</v>
      </c>
      <c r="B3917" s="91" t="s">
        <v>1332</v>
      </c>
      <c r="C3917" s="91" t="s">
        <v>6120</v>
      </c>
      <c r="D3917" s="91" t="s">
        <v>21</v>
      </c>
      <c r="E3917" s="91" t="s">
        <v>19</v>
      </c>
      <c r="F3917">
        <v>84</v>
      </c>
      <c r="G3917" t="s">
        <v>1419</v>
      </c>
      <c r="H3917" s="89">
        <v>46276</v>
      </c>
      <c r="I3917" s="89">
        <v>46278</v>
      </c>
      <c r="J3917" s="91" t="s">
        <v>3549</v>
      </c>
      <c r="K3917" s="91" t="s">
        <v>6121</v>
      </c>
      <c r="L3917">
        <v>1</v>
      </c>
      <c r="M3917" s="91" t="s">
        <v>6122</v>
      </c>
      <c r="N3917" s="91" t="s">
        <v>5781</v>
      </c>
    </row>
    <row r="3918" spans="1:14" x14ac:dyDescent="0.25">
      <c r="A3918" s="91" t="s">
        <v>1313</v>
      </c>
      <c r="B3918" s="91" t="s">
        <v>1327</v>
      </c>
      <c r="C3918" s="91" t="s">
        <v>6123</v>
      </c>
      <c r="D3918" s="91" t="s">
        <v>20</v>
      </c>
      <c r="E3918" s="91" t="s">
        <v>22</v>
      </c>
      <c r="F3918">
        <v>192</v>
      </c>
      <c r="G3918">
        <v>4</v>
      </c>
      <c r="H3918" s="89">
        <v>46276</v>
      </c>
      <c r="I3918" s="89">
        <v>46281</v>
      </c>
      <c r="J3918" s="91" t="s">
        <v>6074</v>
      </c>
      <c r="K3918" s="91" t="s">
        <v>6124</v>
      </c>
      <c r="L3918">
        <v>1</v>
      </c>
      <c r="M3918" s="91" t="s">
        <v>6125</v>
      </c>
      <c r="N3918" s="91" t="s">
        <v>5781</v>
      </c>
    </row>
    <row r="3919" spans="1:14" x14ac:dyDescent="0.25">
      <c r="A3919" s="91" t="s">
        <v>1313</v>
      </c>
      <c r="B3919" s="91" t="s">
        <v>1327</v>
      </c>
      <c r="C3919" s="91" t="s">
        <v>6123</v>
      </c>
      <c r="D3919" s="91" t="s">
        <v>20</v>
      </c>
      <c r="E3919" s="91" t="s">
        <v>17</v>
      </c>
      <c r="F3919">
        <v>1152</v>
      </c>
      <c r="G3919">
        <v>24</v>
      </c>
      <c r="H3919" s="89">
        <v>46276</v>
      </c>
      <c r="I3919" s="89">
        <v>46281</v>
      </c>
      <c r="J3919" s="91" t="s">
        <v>6126</v>
      </c>
      <c r="K3919" s="91" t="s">
        <v>6127</v>
      </c>
      <c r="L3919">
        <v>1</v>
      </c>
      <c r="M3919" s="91" t="s">
        <v>6128</v>
      </c>
      <c r="N3919" s="91" t="s">
        <v>5781</v>
      </c>
    </row>
    <row r="3920" spans="1:14" x14ac:dyDescent="0.25">
      <c r="A3920" s="91" t="s">
        <v>1315</v>
      </c>
      <c r="B3920" s="91" t="s">
        <v>1329</v>
      </c>
      <c r="C3920" s="91" t="s">
        <v>6123</v>
      </c>
      <c r="D3920" s="91" t="s">
        <v>20</v>
      </c>
      <c r="E3920" s="91" t="s">
        <v>19</v>
      </c>
      <c r="F3920">
        <v>46</v>
      </c>
      <c r="G3920" t="s">
        <v>1419</v>
      </c>
      <c r="H3920" s="89">
        <v>46276</v>
      </c>
      <c r="I3920" s="89">
        <v>46278</v>
      </c>
      <c r="J3920" s="91" t="s">
        <v>3549</v>
      </c>
      <c r="K3920" s="91" t="s">
        <v>6129</v>
      </c>
      <c r="L3920">
        <v>1</v>
      </c>
      <c r="M3920" s="91" t="s">
        <v>6130</v>
      </c>
      <c r="N3920" s="91" t="s">
        <v>5781</v>
      </c>
    </row>
    <row r="3921" spans="1:14" x14ac:dyDescent="0.25">
      <c r="A3921" s="91" t="s">
        <v>1316</v>
      </c>
      <c r="B3921" s="91" t="s">
        <v>1330</v>
      </c>
      <c r="C3921" s="91" t="s">
        <v>6131</v>
      </c>
      <c r="D3921" s="91" t="s">
        <v>20</v>
      </c>
      <c r="E3921" s="91" t="s">
        <v>19</v>
      </c>
      <c r="F3921">
        <v>55</v>
      </c>
      <c r="G3921" t="s">
        <v>1419</v>
      </c>
      <c r="H3921" s="89">
        <v>46276</v>
      </c>
      <c r="I3921" s="89">
        <v>46278</v>
      </c>
      <c r="J3921" s="91" t="s">
        <v>3549</v>
      </c>
      <c r="K3921" s="91" t="s">
        <v>6132</v>
      </c>
      <c r="L3921">
        <v>1</v>
      </c>
      <c r="M3921" s="91" t="s">
        <v>6133</v>
      </c>
      <c r="N3921" s="91" t="s">
        <v>5781</v>
      </c>
    </row>
    <row r="3922" spans="1:14" x14ac:dyDescent="0.25">
      <c r="A3922" s="91" t="s">
        <v>1317</v>
      </c>
      <c r="B3922" s="91" t="s">
        <v>1331</v>
      </c>
      <c r="C3922" s="91" t="s">
        <v>6134</v>
      </c>
      <c r="D3922" s="91" t="s">
        <v>20</v>
      </c>
      <c r="E3922" s="91" t="s">
        <v>19</v>
      </c>
      <c r="F3922">
        <v>14</v>
      </c>
      <c r="G3922" t="s">
        <v>1419</v>
      </c>
      <c r="H3922" s="89">
        <v>46276</v>
      </c>
      <c r="I3922" s="89">
        <v>46278</v>
      </c>
      <c r="J3922" s="91" t="s">
        <v>3549</v>
      </c>
      <c r="K3922" s="91" t="s">
        <v>6135</v>
      </c>
      <c r="L3922">
        <v>1</v>
      </c>
      <c r="M3922" s="91" t="s">
        <v>6136</v>
      </c>
      <c r="N3922" s="91" t="s">
        <v>5781</v>
      </c>
    </row>
    <row r="3923" spans="1:14" x14ac:dyDescent="0.25">
      <c r="A3923" s="91" t="s">
        <v>1318</v>
      </c>
      <c r="B3923" s="91" t="s">
        <v>1332</v>
      </c>
      <c r="C3923" s="91" t="s">
        <v>6137</v>
      </c>
      <c r="D3923" s="91" t="s">
        <v>20</v>
      </c>
      <c r="E3923" s="91" t="s">
        <v>19</v>
      </c>
      <c r="F3923">
        <v>54</v>
      </c>
      <c r="G3923" t="s">
        <v>1419</v>
      </c>
      <c r="H3923" s="89">
        <v>46276</v>
      </c>
      <c r="I3923" s="89">
        <v>46278</v>
      </c>
      <c r="J3923" s="91" t="s">
        <v>3549</v>
      </c>
      <c r="K3923" s="91" t="s">
        <v>6138</v>
      </c>
      <c r="L3923">
        <v>1</v>
      </c>
      <c r="M3923" s="91" t="s">
        <v>6139</v>
      </c>
      <c r="N3923" s="91" t="s">
        <v>5781</v>
      </c>
    </row>
    <row r="3924" spans="1:14" x14ac:dyDescent="0.25">
      <c r="A3924" s="91" t="s">
        <v>1313</v>
      </c>
      <c r="B3924" s="91" t="s">
        <v>1327</v>
      </c>
      <c r="C3924" s="91" t="s">
        <v>6140</v>
      </c>
      <c r="D3924" s="91" t="s">
        <v>15</v>
      </c>
      <c r="E3924" s="91" t="s">
        <v>22</v>
      </c>
      <c r="F3924">
        <v>144</v>
      </c>
      <c r="G3924">
        <v>3</v>
      </c>
      <c r="H3924" s="89">
        <v>46276</v>
      </c>
      <c r="I3924" s="89">
        <v>46281</v>
      </c>
      <c r="J3924" s="91" t="s">
        <v>6074</v>
      </c>
      <c r="K3924" s="91" t="s">
        <v>6141</v>
      </c>
      <c r="L3924">
        <v>1</v>
      </c>
      <c r="M3924" s="91" t="s">
        <v>6142</v>
      </c>
      <c r="N3924" s="91" t="s">
        <v>5781</v>
      </c>
    </row>
    <row r="3925" spans="1:14" x14ac:dyDescent="0.25">
      <c r="A3925" s="91" t="s">
        <v>1313</v>
      </c>
      <c r="B3925" s="91" t="s">
        <v>1327</v>
      </c>
      <c r="C3925" s="91" t="s">
        <v>6140</v>
      </c>
      <c r="D3925" s="91" t="s">
        <v>15</v>
      </c>
      <c r="E3925" s="91" t="s">
        <v>18</v>
      </c>
      <c r="F3925">
        <v>1056</v>
      </c>
      <c r="G3925">
        <v>22</v>
      </c>
      <c r="H3925" s="89">
        <v>46276</v>
      </c>
      <c r="I3925" s="89">
        <v>46281</v>
      </c>
      <c r="J3925" s="91" t="s">
        <v>6143</v>
      </c>
      <c r="K3925" s="91" t="s">
        <v>6144</v>
      </c>
      <c r="L3925">
        <v>1</v>
      </c>
      <c r="M3925" s="91" t="s">
        <v>6145</v>
      </c>
      <c r="N3925" s="91" t="s">
        <v>5781</v>
      </c>
    </row>
    <row r="3926" spans="1:14" x14ac:dyDescent="0.25">
      <c r="A3926" s="91" t="s">
        <v>1314</v>
      </c>
      <c r="B3926" s="91" t="s">
        <v>1328</v>
      </c>
      <c r="C3926" s="91" t="s">
        <v>6140</v>
      </c>
      <c r="D3926" s="91" t="s">
        <v>15</v>
      </c>
      <c r="E3926" s="91" t="s">
        <v>18</v>
      </c>
      <c r="F3926">
        <v>96</v>
      </c>
      <c r="G3926">
        <v>2</v>
      </c>
      <c r="H3926" s="89">
        <v>46276</v>
      </c>
      <c r="I3926" s="89">
        <v>46281</v>
      </c>
      <c r="J3926" s="91" t="s">
        <v>6143</v>
      </c>
      <c r="K3926" s="91" t="s">
        <v>6146</v>
      </c>
      <c r="L3926">
        <v>1</v>
      </c>
      <c r="M3926" s="91" t="s">
        <v>6147</v>
      </c>
      <c r="N3926" s="91" t="s">
        <v>5781</v>
      </c>
    </row>
    <row r="3927" spans="1:14" x14ac:dyDescent="0.25">
      <c r="A3927" s="91" t="s">
        <v>1313</v>
      </c>
      <c r="B3927" s="91" t="s">
        <v>1327</v>
      </c>
      <c r="C3927" s="91" t="s">
        <v>6140</v>
      </c>
      <c r="D3927" s="91" t="s">
        <v>15</v>
      </c>
      <c r="E3927" s="91" t="s">
        <v>18</v>
      </c>
      <c r="F3927">
        <v>144</v>
      </c>
      <c r="G3927">
        <v>3</v>
      </c>
      <c r="H3927" s="89">
        <v>46276</v>
      </c>
      <c r="I3927" s="89">
        <v>46283</v>
      </c>
      <c r="J3927" s="91" t="s">
        <v>3549</v>
      </c>
      <c r="K3927" s="91" t="s">
        <v>6148</v>
      </c>
      <c r="L3927">
        <v>1</v>
      </c>
      <c r="M3927" s="91" t="s">
        <v>6149</v>
      </c>
      <c r="N3927" s="91" t="s">
        <v>5781</v>
      </c>
    </row>
    <row r="3928" spans="1:14" x14ac:dyDescent="0.25">
      <c r="A3928" s="91" t="s">
        <v>1315</v>
      </c>
      <c r="B3928" s="91" t="s">
        <v>1329</v>
      </c>
      <c r="C3928" s="91" t="s">
        <v>6140</v>
      </c>
      <c r="D3928" s="91" t="s">
        <v>15</v>
      </c>
      <c r="E3928" s="91" t="s">
        <v>19</v>
      </c>
      <c r="F3928">
        <v>8</v>
      </c>
      <c r="G3928" t="s">
        <v>1419</v>
      </c>
      <c r="H3928" s="89">
        <v>46276</v>
      </c>
      <c r="I3928" s="89">
        <v>46278</v>
      </c>
      <c r="J3928" s="91" t="s">
        <v>3549</v>
      </c>
      <c r="K3928" s="91" t="s">
        <v>6150</v>
      </c>
      <c r="L3928">
        <v>1</v>
      </c>
      <c r="M3928" s="91" t="s">
        <v>6151</v>
      </c>
      <c r="N3928" s="91" t="s">
        <v>5781</v>
      </c>
    </row>
    <row r="3929" spans="1:14" x14ac:dyDescent="0.25">
      <c r="A3929" s="91" t="s">
        <v>1316</v>
      </c>
      <c r="B3929" s="91" t="s">
        <v>1330</v>
      </c>
      <c r="C3929" s="91" t="s">
        <v>6152</v>
      </c>
      <c r="D3929" s="91" t="s">
        <v>15</v>
      </c>
      <c r="E3929" s="91" t="s">
        <v>19</v>
      </c>
      <c r="F3929">
        <v>46</v>
      </c>
      <c r="G3929" t="s">
        <v>1419</v>
      </c>
      <c r="H3929" s="89">
        <v>46276</v>
      </c>
      <c r="I3929" s="89">
        <v>46278</v>
      </c>
      <c r="J3929" s="91" t="s">
        <v>3549</v>
      </c>
      <c r="K3929" s="91" t="s">
        <v>6153</v>
      </c>
      <c r="L3929">
        <v>1</v>
      </c>
      <c r="M3929" s="91" t="s">
        <v>6154</v>
      </c>
      <c r="N3929" s="91" t="s">
        <v>5781</v>
      </c>
    </row>
    <row r="3930" spans="1:14" x14ac:dyDescent="0.25">
      <c r="A3930" s="91" t="s">
        <v>1317</v>
      </c>
      <c r="B3930" s="91" t="s">
        <v>1331</v>
      </c>
      <c r="C3930" s="91" t="s">
        <v>6155</v>
      </c>
      <c r="D3930" s="91" t="s">
        <v>15</v>
      </c>
      <c r="E3930" s="91" t="s">
        <v>19</v>
      </c>
      <c r="F3930">
        <v>57</v>
      </c>
      <c r="G3930" t="s">
        <v>1419</v>
      </c>
      <c r="H3930" s="89">
        <v>46276</v>
      </c>
      <c r="I3930" s="89">
        <v>46278</v>
      </c>
      <c r="J3930" s="91" t="s">
        <v>3549</v>
      </c>
      <c r="K3930" s="91" t="s">
        <v>6156</v>
      </c>
      <c r="L3930">
        <v>1</v>
      </c>
      <c r="M3930" s="91" t="s">
        <v>6157</v>
      </c>
      <c r="N3930" s="91" t="s">
        <v>5781</v>
      </c>
    </row>
    <row r="3931" spans="1:14" x14ac:dyDescent="0.25">
      <c r="A3931" s="91" t="s">
        <v>1318</v>
      </c>
      <c r="B3931" s="91" t="s">
        <v>1332</v>
      </c>
      <c r="C3931" s="91" t="s">
        <v>6158</v>
      </c>
      <c r="D3931" s="91" t="s">
        <v>15</v>
      </c>
      <c r="E3931" s="91" t="s">
        <v>19</v>
      </c>
      <c r="F3931">
        <v>22</v>
      </c>
      <c r="G3931" t="s">
        <v>1419</v>
      </c>
      <c r="H3931" s="89">
        <v>46276</v>
      </c>
      <c r="I3931" s="89">
        <v>46278</v>
      </c>
      <c r="J3931" s="91" t="s">
        <v>3549</v>
      </c>
      <c r="K3931" s="91" t="s">
        <v>6159</v>
      </c>
      <c r="L3931">
        <v>1</v>
      </c>
      <c r="M3931" s="91" t="s">
        <v>6160</v>
      </c>
      <c r="N3931" s="91" t="s">
        <v>5781</v>
      </c>
    </row>
    <row r="3932" spans="1:14" x14ac:dyDescent="0.25">
      <c r="A3932" s="91" t="s">
        <v>1326</v>
      </c>
      <c r="B3932" s="91" t="s">
        <v>1340</v>
      </c>
      <c r="C3932" s="91" t="s">
        <v>6094</v>
      </c>
      <c r="D3932" s="91" t="s">
        <v>32</v>
      </c>
      <c r="E3932" s="91" t="s">
        <v>14</v>
      </c>
      <c r="F3932">
        <v>126</v>
      </c>
      <c r="G3932">
        <v>2.625</v>
      </c>
      <c r="H3932" s="89">
        <v>46276</v>
      </c>
      <c r="I3932" s="89">
        <v>46280</v>
      </c>
      <c r="J3932" s="91" t="s">
        <v>3549</v>
      </c>
      <c r="K3932" s="91" t="s">
        <v>6096</v>
      </c>
      <c r="L3932">
        <v>2</v>
      </c>
      <c r="M3932" s="91" t="s">
        <v>6161</v>
      </c>
      <c r="N3932" s="91" t="s">
        <v>5781</v>
      </c>
    </row>
    <row r="3933" spans="1:14" x14ac:dyDescent="0.25">
      <c r="A3933" s="91" t="s">
        <v>1320</v>
      </c>
      <c r="B3933" s="91" t="s">
        <v>1334</v>
      </c>
      <c r="C3933" s="91" t="s">
        <v>6162</v>
      </c>
      <c r="D3933" s="91" t="s">
        <v>29</v>
      </c>
      <c r="E3933" s="91" t="s">
        <v>14</v>
      </c>
      <c r="F3933">
        <v>720</v>
      </c>
      <c r="G3933">
        <v>15</v>
      </c>
      <c r="H3933" s="89">
        <v>46277</v>
      </c>
      <c r="I3933" s="89">
        <v>46282</v>
      </c>
      <c r="J3933" s="91" t="s">
        <v>6163</v>
      </c>
      <c r="K3933" s="91" t="s">
        <v>6164</v>
      </c>
      <c r="L3933">
        <v>1</v>
      </c>
      <c r="M3933" s="91" t="s">
        <v>6165</v>
      </c>
      <c r="N3933" s="91" t="s">
        <v>5781</v>
      </c>
    </row>
    <row r="3934" spans="1:14" x14ac:dyDescent="0.25">
      <c r="A3934" s="91" t="s">
        <v>1320</v>
      </c>
      <c r="B3934" s="91" t="s">
        <v>1334</v>
      </c>
      <c r="C3934" s="91" t="s">
        <v>6166</v>
      </c>
      <c r="D3934" s="91" t="s">
        <v>24</v>
      </c>
      <c r="E3934" s="91" t="s">
        <v>14</v>
      </c>
      <c r="F3934">
        <v>240</v>
      </c>
      <c r="G3934">
        <v>5</v>
      </c>
      <c r="H3934" s="89">
        <v>46277</v>
      </c>
      <c r="I3934" s="89">
        <v>46282</v>
      </c>
      <c r="J3934" s="91" t="s">
        <v>3549</v>
      </c>
      <c r="K3934" s="91" t="s">
        <v>6167</v>
      </c>
      <c r="L3934">
        <v>1</v>
      </c>
      <c r="M3934" s="91" t="s">
        <v>6168</v>
      </c>
      <c r="N3934" s="91" t="s">
        <v>5781</v>
      </c>
    </row>
    <row r="3935" spans="1:14" x14ac:dyDescent="0.25">
      <c r="A3935" s="91" t="s">
        <v>1320</v>
      </c>
      <c r="B3935" s="91" t="s">
        <v>1334</v>
      </c>
      <c r="C3935" s="91" t="s">
        <v>6169</v>
      </c>
      <c r="D3935" s="91" t="s">
        <v>144</v>
      </c>
      <c r="E3935" s="91" t="s">
        <v>14</v>
      </c>
      <c r="F3935">
        <v>960</v>
      </c>
      <c r="G3935">
        <v>20</v>
      </c>
      <c r="H3935" s="89">
        <v>46277</v>
      </c>
      <c r="I3935" s="89">
        <v>46282</v>
      </c>
      <c r="J3935" s="91" t="s">
        <v>6170</v>
      </c>
      <c r="K3935" s="91" t="s">
        <v>6171</v>
      </c>
      <c r="L3935">
        <v>1</v>
      </c>
      <c r="M3935" s="91" t="s">
        <v>6172</v>
      </c>
      <c r="N3935" s="91" t="s">
        <v>5781</v>
      </c>
    </row>
    <row r="3936" spans="1:14" x14ac:dyDescent="0.25">
      <c r="A3936" s="91" t="s">
        <v>1320</v>
      </c>
      <c r="B3936" s="91" t="s">
        <v>1334</v>
      </c>
      <c r="C3936" s="91" t="s">
        <v>6173</v>
      </c>
      <c r="D3936" s="91" t="s">
        <v>13</v>
      </c>
      <c r="E3936" s="91" t="s">
        <v>14</v>
      </c>
      <c r="F3936">
        <v>960</v>
      </c>
      <c r="G3936">
        <v>20</v>
      </c>
      <c r="H3936" s="89">
        <v>46277</v>
      </c>
      <c r="I3936" s="89">
        <v>46283</v>
      </c>
      <c r="J3936" s="91" t="s">
        <v>6174</v>
      </c>
      <c r="K3936" s="91" t="s">
        <v>6175</v>
      </c>
      <c r="L3936">
        <v>1</v>
      </c>
      <c r="M3936" s="91" t="s">
        <v>6176</v>
      </c>
      <c r="N3936" s="91" t="s">
        <v>5781</v>
      </c>
    </row>
    <row r="3937" spans="1:14" x14ac:dyDescent="0.25">
      <c r="A3937" s="91" t="s">
        <v>1324</v>
      </c>
      <c r="B3937" s="91" t="s">
        <v>1338</v>
      </c>
      <c r="C3937" s="91" t="s">
        <v>6177</v>
      </c>
      <c r="D3937" s="91" t="s">
        <v>147</v>
      </c>
      <c r="E3937" s="91" t="s">
        <v>25</v>
      </c>
      <c r="F3937">
        <v>960</v>
      </c>
      <c r="G3937">
        <v>20</v>
      </c>
      <c r="H3937" s="89">
        <v>46277</v>
      </c>
      <c r="I3937" s="89">
        <v>46283</v>
      </c>
      <c r="J3937" s="91" t="s">
        <v>6064</v>
      </c>
      <c r="K3937" s="91" t="s">
        <v>6178</v>
      </c>
      <c r="L3937">
        <v>1</v>
      </c>
      <c r="M3937" s="91" t="s">
        <v>6179</v>
      </c>
      <c r="N3937" s="91" t="s">
        <v>5781</v>
      </c>
    </row>
    <row r="3938" spans="1:14" x14ac:dyDescent="0.25">
      <c r="A3938" s="91" t="s">
        <v>1325</v>
      </c>
      <c r="B3938" s="91" t="s">
        <v>1339</v>
      </c>
      <c r="C3938" s="91" t="s">
        <v>6180</v>
      </c>
      <c r="D3938" s="91" t="s">
        <v>27</v>
      </c>
      <c r="E3938" s="91" t="s">
        <v>19</v>
      </c>
      <c r="F3938">
        <v>384</v>
      </c>
      <c r="G3938">
        <v>8</v>
      </c>
      <c r="H3938" s="89">
        <v>46277</v>
      </c>
      <c r="I3938" s="89">
        <v>46280</v>
      </c>
      <c r="J3938" s="91" t="s">
        <v>1656</v>
      </c>
      <c r="K3938" s="91" t="s">
        <v>6181</v>
      </c>
      <c r="L3938">
        <v>1</v>
      </c>
      <c r="M3938" s="91" t="s">
        <v>6182</v>
      </c>
      <c r="N3938" s="91" t="s">
        <v>5781</v>
      </c>
    </row>
    <row r="3939" spans="1:14" x14ac:dyDescent="0.25">
      <c r="A3939" s="91" t="s">
        <v>1313</v>
      </c>
      <c r="B3939" s="91" t="s">
        <v>1327</v>
      </c>
      <c r="C3939" s="91" t="s">
        <v>6183</v>
      </c>
      <c r="D3939" s="91" t="s">
        <v>20</v>
      </c>
      <c r="E3939" s="91" t="s">
        <v>17</v>
      </c>
      <c r="F3939">
        <v>1056</v>
      </c>
      <c r="G3939">
        <v>22</v>
      </c>
      <c r="H3939" s="89">
        <v>46277</v>
      </c>
      <c r="I3939" s="89">
        <v>46282</v>
      </c>
      <c r="J3939" s="91" t="s">
        <v>3549</v>
      </c>
      <c r="K3939" s="91" t="s">
        <v>6184</v>
      </c>
      <c r="L3939">
        <v>1</v>
      </c>
      <c r="M3939" s="91" t="s">
        <v>6185</v>
      </c>
      <c r="N3939" s="91" t="s">
        <v>5781</v>
      </c>
    </row>
    <row r="3940" spans="1:14" x14ac:dyDescent="0.25">
      <c r="A3940" s="91" t="s">
        <v>1319</v>
      </c>
      <c r="B3940" s="91" t="s">
        <v>1333</v>
      </c>
      <c r="C3940" s="91" t="s">
        <v>6183</v>
      </c>
      <c r="D3940" s="91" t="s">
        <v>20</v>
      </c>
      <c r="E3940" s="91" t="s">
        <v>17</v>
      </c>
      <c r="F3940">
        <v>96</v>
      </c>
      <c r="G3940">
        <v>2</v>
      </c>
      <c r="H3940" s="89">
        <v>46277</v>
      </c>
      <c r="I3940" s="89">
        <v>46282</v>
      </c>
      <c r="J3940" s="91" t="s">
        <v>3549</v>
      </c>
      <c r="K3940" s="91" t="s">
        <v>6186</v>
      </c>
      <c r="L3940">
        <v>1</v>
      </c>
      <c r="M3940" s="91" t="s">
        <v>6187</v>
      </c>
      <c r="N3940" s="91" t="s">
        <v>5781</v>
      </c>
    </row>
    <row r="3941" spans="1:14" x14ac:dyDescent="0.25">
      <c r="A3941" s="91" t="s">
        <v>1315</v>
      </c>
      <c r="B3941" s="91" t="s">
        <v>1329</v>
      </c>
      <c r="C3941" s="91" t="s">
        <v>6183</v>
      </c>
      <c r="D3941" s="91" t="s">
        <v>20</v>
      </c>
      <c r="E3941" s="91" t="s">
        <v>19</v>
      </c>
      <c r="F3941">
        <v>78</v>
      </c>
      <c r="G3941" t="s">
        <v>1419</v>
      </c>
      <c r="H3941" s="89">
        <v>46277</v>
      </c>
      <c r="I3941" s="89">
        <v>46279</v>
      </c>
      <c r="J3941" s="91" t="s">
        <v>3549</v>
      </c>
      <c r="K3941" s="91" t="s">
        <v>6188</v>
      </c>
      <c r="L3941">
        <v>1</v>
      </c>
      <c r="M3941" s="91" t="s">
        <v>6189</v>
      </c>
      <c r="N3941" s="91" t="s">
        <v>5781</v>
      </c>
    </row>
    <row r="3942" spans="1:14" x14ac:dyDescent="0.25">
      <c r="A3942" s="91" t="s">
        <v>1316</v>
      </c>
      <c r="B3942" s="91" t="s">
        <v>1330</v>
      </c>
      <c r="C3942" s="91" t="s">
        <v>6190</v>
      </c>
      <c r="D3942" s="91" t="s">
        <v>20</v>
      </c>
      <c r="E3942" s="91" t="s">
        <v>19</v>
      </c>
      <c r="F3942">
        <v>52</v>
      </c>
      <c r="G3942" t="s">
        <v>1419</v>
      </c>
      <c r="H3942" s="89">
        <v>46277</v>
      </c>
      <c r="I3942" s="89">
        <v>46279</v>
      </c>
      <c r="J3942" s="91" t="s">
        <v>3549</v>
      </c>
      <c r="K3942" s="91" t="s">
        <v>6191</v>
      </c>
      <c r="L3942">
        <v>1</v>
      </c>
      <c r="M3942" s="91" t="s">
        <v>6192</v>
      </c>
      <c r="N3942" s="91" t="s">
        <v>5781</v>
      </c>
    </row>
    <row r="3943" spans="1:14" x14ac:dyDescent="0.25">
      <c r="A3943" s="91" t="s">
        <v>1317</v>
      </c>
      <c r="B3943" s="91" t="s">
        <v>1331</v>
      </c>
      <c r="C3943" s="91" t="s">
        <v>6193</v>
      </c>
      <c r="D3943" s="91" t="s">
        <v>20</v>
      </c>
      <c r="E3943" s="91" t="s">
        <v>19</v>
      </c>
      <c r="F3943">
        <v>26</v>
      </c>
      <c r="G3943" t="s">
        <v>1419</v>
      </c>
      <c r="H3943" s="89">
        <v>46277</v>
      </c>
      <c r="I3943" s="89">
        <v>46279</v>
      </c>
      <c r="J3943" s="91" t="s">
        <v>3549</v>
      </c>
      <c r="K3943" s="91" t="s">
        <v>6194</v>
      </c>
      <c r="L3943">
        <v>1</v>
      </c>
      <c r="M3943" s="91" t="s">
        <v>6195</v>
      </c>
      <c r="N3943" s="91" t="s">
        <v>5781</v>
      </c>
    </row>
    <row r="3944" spans="1:14" x14ac:dyDescent="0.25">
      <c r="A3944" s="91" t="s">
        <v>1318</v>
      </c>
      <c r="B3944" s="91" t="s">
        <v>1332</v>
      </c>
      <c r="C3944" s="91" t="s">
        <v>6196</v>
      </c>
      <c r="D3944" s="91" t="s">
        <v>20</v>
      </c>
      <c r="E3944" s="91" t="s">
        <v>19</v>
      </c>
      <c r="F3944">
        <v>46</v>
      </c>
      <c r="G3944" t="s">
        <v>1419</v>
      </c>
      <c r="H3944" s="89">
        <v>46277</v>
      </c>
      <c r="I3944" s="89">
        <v>46279</v>
      </c>
      <c r="J3944" s="91" t="s">
        <v>3549</v>
      </c>
      <c r="K3944" s="91" t="s">
        <v>6197</v>
      </c>
      <c r="L3944">
        <v>1</v>
      </c>
      <c r="M3944" s="91" t="s">
        <v>6198</v>
      </c>
      <c r="N3944" s="91" t="s">
        <v>5781</v>
      </c>
    </row>
    <row r="3945" spans="1:14" x14ac:dyDescent="0.25">
      <c r="A3945" s="91" t="s">
        <v>1320</v>
      </c>
      <c r="B3945" s="91" t="s">
        <v>1334</v>
      </c>
      <c r="C3945" s="91" t="s">
        <v>6199</v>
      </c>
      <c r="D3945" s="91" t="s">
        <v>28</v>
      </c>
      <c r="E3945" s="91" t="s">
        <v>14</v>
      </c>
      <c r="F3945">
        <v>960</v>
      </c>
      <c r="G3945">
        <v>20</v>
      </c>
      <c r="H3945" s="89">
        <v>46277</v>
      </c>
      <c r="I3945" s="89">
        <v>46283</v>
      </c>
      <c r="J3945" s="91" t="s">
        <v>6200</v>
      </c>
      <c r="K3945" s="91" t="s">
        <v>6201</v>
      </c>
      <c r="L3945">
        <v>1</v>
      </c>
      <c r="M3945" s="91" t="s">
        <v>6202</v>
      </c>
      <c r="N3945" s="91" t="s">
        <v>5781</v>
      </c>
    </row>
    <row r="3946" spans="1:14" x14ac:dyDescent="0.25">
      <c r="A3946" s="91" t="s">
        <v>1315</v>
      </c>
      <c r="B3946" s="91" t="s">
        <v>1329</v>
      </c>
      <c r="C3946" s="91" t="s">
        <v>6199</v>
      </c>
      <c r="D3946" s="91" t="s">
        <v>28</v>
      </c>
      <c r="E3946" s="91" t="s">
        <v>19</v>
      </c>
      <c r="F3946">
        <v>130</v>
      </c>
      <c r="G3946" t="s">
        <v>1419</v>
      </c>
      <c r="H3946" s="89">
        <v>46277</v>
      </c>
      <c r="I3946" s="89">
        <v>46279</v>
      </c>
      <c r="J3946" s="91" t="s">
        <v>1656</v>
      </c>
      <c r="K3946" s="91" t="s">
        <v>6203</v>
      </c>
      <c r="L3946">
        <v>1</v>
      </c>
      <c r="M3946" s="91" t="s">
        <v>6204</v>
      </c>
      <c r="N3946" s="91" t="s">
        <v>5781</v>
      </c>
    </row>
    <row r="3947" spans="1:14" x14ac:dyDescent="0.25">
      <c r="A3947" s="91" t="s">
        <v>1316</v>
      </c>
      <c r="B3947" s="91" t="s">
        <v>1330</v>
      </c>
      <c r="C3947" s="91" t="s">
        <v>6205</v>
      </c>
      <c r="D3947" s="91" t="s">
        <v>28</v>
      </c>
      <c r="E3947" s="91" t="s">
        <v>19</v>
      </c>
      <c r="F3947">
        <v>28</v>
      </c>
      <c r="G3947" t="s">
        <v>1419</v>
      </c>
      <c r="H3947" s="89">
        <v>46277</v>
      </c>
      <c r="I3947" s="89">
        <v>46279</v>
      </c>
      <c r="J3947" s="91" t="s">
        <v>1656</v>
      </c>
      <c r="K3947" s="91" t="s">
        <v>6206</v>
      </c>
      <c r="L3947">
        <v>1</v>
      </c>
      <c r="M3947" s="91" t="s">
        <v>6207</v>
      </c>
      <c r="N3947" s="91" t="s">
        <v>5781</v>
      </c>
    </row>
    <row r="3948" spans="1:14" x14ac:dyDescent="0.25">
      <c r="A3948" s="91" t="s">
        <v>1317</v>
      </c>
      <c r="B3948" s="91" t="s">
        <v>1331</v>
      </c>
      <c r="C3948" s="91" t="s">
        <v>6208</v>
      </c>
      <c r="D3948" s="91" t="s">
        <v>28</v>
      </c>
      <c r="E3948" s="91" t="s">
        <v>19</v>
      </c>
      <c r="F3948">
        <v>23</v>
      </c>
      <c r="G3948" t="s">
        <v>1419</v>
      </c>
      <c r="H3948" s="89">
        <v>46277</v>
      </c>
      <c r="I3948" s="89">
        <v>46279</v>
      </c>
      <c r="J3948" s="91" t="s">
        <v>1656</v>
      </c>
      <c r="K3948" s="91" t="s">
        <v>6209</v>
      </c>
      <c r="L3948">
        <v>1</v>
      </c>
      <c r="M3948" s="91" t="s">
        <v>6210</v>
      </c>
      <c r="N3948" s="91" t="s">
        <v>5781</v>
      </c>
    </row>
    <row r="3949" spans="1:14" x14ac:dyDescent="0.25">
      <c r="A3949" s="91" t="s">
        <v>1318</v>
      </c>
      <c r="B3949" s="91" t="s">
        <v>1332</v>
      </c>
      <c r="C3949" s="91" t="s">
        <v>6211</v>
      </c>
      <c r="D3949" s="91" t="s">
        <v>28</v>
      </c>
      <c r="E3949" s="91" t="s">
        <v>19</v>
      </c>
      <c r="F3949">
        <v>37</v>
      </c>
      <c r="G3949" t="s">
        <v>1419</v>
      </c>
      <c r="H3949" s="89">
        <v>46277</v>
      </c>
      <c r="I3949" s="89">
        <v>46279</v>
      </c>
      <c r="J3949" s="91" t="s">
        <v>1656</v>
      </c>
      <c r="K3949" s="91" t="s">
        <v>6212</v>
      </c>
      <c r="L3949">
        <v>1</v>
      </c>
      <c r="M3949" s="91" t="s">
        <v>6213</v>
      </c>
      <c r="N3949" s="91" t="s">
        <v>5781</v>
      </c>
    </row>
    <row r="3950" spans="1:14" x14ac:dyDescent="0.25">
      <c r="A3950" s="91" t="s">
        <v>1314</v>
      </c>
      <c r="B3950" s="91" t="s">
        <v>1328</v>
      </c>
      <c r="C3950" s="91" t="s">
        <v>6214</v>
      </c>
      <c r="D3950" s="91" t="s">
        <v>15</v>
      </c>
      <c r="E3950" s="91" t="s">
        <v>16</v>
      </c>
      <c r="F3950">
        <v>288</v>
      </c>
      <c r="G3950">
        <v>6</v>
      </c>
      <c r="H3950" s="89">
        <v>46277</v>
      </c>
      <c r="I3950" s="89">
        <v>46282</v>
      </c>
      <c r="J3950" s="91" t="s">
        <v>6215</v>
      </c>
      <c r="K3950" s="91" t="s">
        <v>6216</v>
      </c>
      <c r="L3950">
        <v>1</v>
      </c>
      <c r="M3950" s="91" t="s">
        <v>6217</v>
      </c>
      <c r="N3950" s="91" t="s">
        <v>5781</v>
      </c>
    </row>
    <row r="3951" spans="1:14" x14ac:dyDescent="0.25">
      <c r="A3951" s="91" t="s">
        <v>1313</v>
      </c>
      <c r="B3951" s="91" t="s">
        <v>1327</v>
      </c>
      <c r="C3951" s="91" t="s">
        <v>6214</v>
      </c>
      <c r="D3951" s="91" t="s">
        <v>15</v>
      </c>
      <c r="E3951" s="91" t="s">
        <v>16</v>
      </c>
      <c r="F3951">
        <v>864</v>
      </c>
      <c r="G3951">
        <v>18</v>
      </c>
      <c r="H3951" s="89">
        <v>46277</v>
      </c>
      <c r="I3951" s="89">
        <v>46282</v>
      </c>
      <c r="J3951" s="91" t="s">
        <v>6218</v>
      </c>
      <c r="K3951" s="91" t="s">
        <v>6219</v>
      </c>
      <c r="L3951">
        <v>1</v>
      </c>
      <c r="M3951" s="91" t="s">
        <v>6220</v>
      </c>
      <c r="N3951" s="91" t="s">
        <v>5781</v>
      </c>
    </row>
    <row r="3952" spans="1:14" x14ac:dyDescent="0.25">
      <c r="A3952" s="91" t="s">
        <v>1313</v>
      </c>
      <c r="B3952" s="91" t="s">
        <v>1327</v>
      </c>
      <c r="C3952" s="91" t="s">
        <v>6214</v>
      </c>
      <c r="D3952" s="91" t="s">
        <v>15</v>
      </c>
      <c r="E3952" s="91" t="s">
        <v>18</v>
      </c>
      <c r="F3952">
        <v>48</v>
      </c>
      <c r="G3952">
        <v>1</v>
      </c>
      <c r="H3952" s="89">
        <v>46277</v>
      </c>
      <c r="I3952" s="89">
        <v>46283</v>
      </c>
      <c r="J3952" s="91" t="s">
        <v>3549</v>
      </c>
      <c r="K3952" s="91" t="s">
        <v>6221</v>
      </c>
      <c r="L3952">
        <v>1</v>
      </c>
      <c r="M3952" s="91" t="s">
        <v>6222</v>
      </c>
      <c r="N3952" s="91" t="s">
        <v>5781</v>
      </c>
    </row>
    <row r="3953" spans="1:14" x14ac:dyDescent="0.25">
      <c r="A3953" s="91" t="s">
        <v>1315</v>
      </c>
      <c r="B3953" s="91" t="s">
        <v>1329</v>
      </c>
      <c r="C3953" s="91" t="s">
        <v>6214</v>
      </c>
      <c r="D3953" s="91" t="s">
        <v>15</v>
      </c>
      <c r="E3953" s="91" t="s">
        <v>19</v>
      </c>
      <c r="F3953">
        <v>3</v>
      </c>
      <c r="G3953" t="s">
        <v>1419</v>
      </c>
      <c r="H3953" s="89">
        <v>46277</v>
      </c>
      <c r="I3953" s="89">
        <v>46279</v>
      </c>
      <c r="J3953" s="91" t="s">
        <v>1656</v>
      </c>
      <c r="K3953" s="91" t="s">
        <v>6223</v>
      </c>
      <c r="L3953">
        <v>1</v>
      </c>
      <c r="M3953" s="91" t="s">
        <v>6224</v>
      </c>
      <c r="N3953" s="91" t="s">
        <v>5781</v>
      </c>
    </row>
    <row r="3954" spans="1:14" x14ac:dyDescent="0.25">
      <c r="A3954" s="91" t="s">
        <v>1316</v>
      </c>
      <c r="B3954" s="91" t="s">
        <v>1330</v>
      </c>
      <c r="C3954" s="91" t="s">
        <v>6225</v>
      </c>
      <c r="D3954" s="91" t="s">
        <v>15</v>
      </c>
      <c r="E3954" s="91" t="s">
        <v>19</v>
      </c>
      <c r="F3954">
        <v>44</v>
      </c>
      <c r="G3954" t="s">
        <v>1419</v>
      </c>
      <c r="H3954" s="89">
        <v>46277</v>
      </c>
      <c r="I3954" s="89">
        <v>46279</v>
      </c>
      <c r="J3954" s="91" t="s">
        <v>1656</v>
      </c>
      <c r="K3954" s="91" t="s">
        <v>6226</v>
      </c>
      <c r="L3954">
        <v>1</v>
      </c>
      <c r="M3954" s="91" t="s">
        <v>6227</v>
      </c>
      <c r="N3954" s="91" t="s">
        <v>5781</v>
      </c>
    </row>
    <row r="3955" spans="1:14" x14ac:dyDescent="0.25">
      <c r="A3955" s="91" t="s">
        <v>1317</v>
      </c>
      <c r="B3955" s="91" t="s">
        <v>1331</v>
      </c>
      <c r="C3955" s="91" t="s">
        <v>6228</v>
      </c>
      <c r="D3955" s="91" t="s">
        <v>15</v>
      </c>
      <c r="E3955" s="91" t="s">
        <v>19</v>
      </c>
      <c r="F3955">
        <v>25</v>
      </c>
      <c r="G3955" t="s">
        <v>1419</v>
      </c>
      <c r="H3955" s="89">
        <v>46277</v>
      </c>
      <c r="I3955" s="89">
        <v>46279</v>
      </c>
      <c r="J3955" s="91" t="s">
        <v>1656</v>
      </c>
      <c r="K3955" s="91" t="s">
        <v>6229</v>
      </c>
      <c r="L3955">
        <v>1</v>
      </c>
      <c r="M3955" s="91" t="s">
        <v>6230</v>
      </c>
      <c r="N3955" s="91" t="s">
        <v>5781</v>
      </c>
    </row>
    <row r="3956" spans="1:14" x14ac:dyDescent="0.25">
      <c r="A3956" s="91" t="s">
        <v>1318</v>
      </c>
      <c r="B3956" s="91" t="s">
        <v>1332</v>
      </c>
      <c r="C3956" s="91" t="s">
        <v>6231</v>
      </c>
      <c r="D3956" s="91" t="s">
        <v>15</v>
      </c>
      <c r="E3956" s="91" t="s">
        <v>19</v>
      </c>
      <c r="F3956">
        <v>18</v>
      </c>
      <c r="G3956" t="s">
        <v>1419</v>
      </c>
      <c r="H3956" s="89">
        <v>46277</v>
      </c>
      <c r="I3956" s="89">
        <v>46279</v>
      </c>
      <c r="J3956" s="91" t="s">
        <v>1656</v>
      </c>
      <c r="K3956" s="91" t="s">
        <v>6232</v>
      </c>
      <c r="L3956">
        <v>1</v>
      </c>
      <c r="M3956" s="91" t="s">
        <v>6233</v>
      </c>
      <c r="N3956" s="91" t="s">
        <v>5781</v>
      </c>
    </row>
    <row r="3957" spans="1:14" x14ac:dyDescent="0.25">
      <c r="A3957" s="91" t="s">
        <v>1313</v>
      </c>
      <c r="B3957" s="91" t="s">
        <v>1327</v>
      </c>
      <c r="C3957" s="91" t="s">
        <v>1341</v>
      </c>
      <c r="D3957" s="91" t="s">
        <v>15</v>
      </c>
      <c r="E3957" s="91" t="s">
        <v>18</v>
      </c>
      <c r="F3957">
        <v>912</v>
      </c>
      <c r="G3957">
        <v>19</v>
      </c>
      <c r="H3957" s="89">
        <v>46279</v>
      </c>
      <c r="I3957" s="89">
        <v>46283</v>
      </c>
      <c r="J3957" s="91" t="s">
        <v>6234</v>
      </c>
      <c r="K3957" s="91" t="s">
        <v>6235</v>
      </c>
      <c r="L3957">
        <v>1</v>
      </c>
      <c r="M3957" s="91" t="s">
        <v>6236</v>
      </c>
      <c r="N3957" s="91" t="s">
        <v>6237</v>
      </c>
    </row>
    <row r="3958" spans="1:14" x14ac:dyDescent="0.25">
      <c r="A3958" s="91" t="s">
        <v>1314</v>
      </c>
      <c r="B3958" s="91" t="s">
        <v>1328</v>
      </c>
      <c r="C3958" s="91" t="s">
        <v>1341</v>
      </c>
      <c r="D3958" s="91" t="s">
        <v>15</v>
      </c>
      <c r="E3958" s="91" t="s">
        <v>18</v>
      </c>
      <c r="F3958">
        <v>48</v>
      </c>
      <c r="G3958">
        <v>1</v>
      </c>
      <c r="H3958" s="89">
        <v>46279</v>
      </c>
      <c r="I3958" s="89">
        <v>46283</v>
      </c>
      <c r="J3958" s="91" t="s">
        <v>6234</v>
      </c>
      <c r="K3958" s="91" t="s">
        <v>6238</v>
      </c>
      <c r="L3958">
        <v>1</v>
      </c>
      <c r="M3958" s="91" t="s">
        <v>6239</v>
      </c>
      <c r="N3958" s="91" t="s">
        <v>6237</v>
      </c>
    </row>
    <row r="3959" spans="1:14" x14ac:dyDescent="0.25">
      <c r="A3959" s="91" t="s">
        <v>1313</v>
      </c>
      <c r="B3959" s="91" t="s">
        <v>1327</v>
      </c>
      <c r="C3959" s="91" t="s">
        <v>1341</v>
      </c>
      <c r="D3959" s="91" t="s">
        <v>15</v>
      </c>
      <c r="E3959" s="91" t="s">
        <v>22</v>
      </c>
      <c r="F3959">
        <v>288</v>
      </c>
      <c r="G3959">
        <v>6</v>
      </c>
      <c r="H3959" s="89">
        <v>46279</v>
      </c>
      <c r="I3959" s="89">
        <v>46284</v>
      </c>
      <c r="J3959" s="91" t="s">
        <v>6240</v>
      </c>
      <c r="K3959" s="91" t="s">
        <v>6241</v>
      </c>
      <c r="L3959">
        <v>1</v>
      </c>
      <c r="M3959" s="91" t="s">
        <v>6242</v>
      </c>
      <c r="N3959" s="91" t="s">
        <v>6237</v>
      </c>
    </row>
    <row r="3960" spans="1:14" x14ac:dyDescent="0.25">
      <c r="A3960" s="91" t="s">
        <v>1313</v>
      </c>
      <c r="B3960" s="91" t="s">
        <v>1327</v>
      </c>
      <c r="C3960" s="91" t="s">
        <v>1341</v>
      </c>
      <c r="D3960" s="91" t="s">
        <v>15</v>
      </c>
      <c r="E3960" s="91" t="s">
        <v>16</v>
      </c>
      <c r="F3960">
        <v>240</v>
      </c>
      <c r="G3960">
        <v>5</v>
      </c>
      <c r="H3960" s="89">
        <v>46279</v>
      </c>
      <c r="I3960" s="89">
        <v>46284</v>
      </c>
      <c r="J3960" s="91" t="s">
        <v>6243</v>
      </c>
      <c r="K3960" s="91" t="s">
        <v>6244</v>
      </c>
      <c r="L3960">
        <v>1</v>
      </c>
      <c r="M3960" s="91" t="s">
        <v>6245</v>
      </c>
      <c r="N3960" s="91" t="s">
        <v>6237</v>
      </c>
    </row>
    <row r="3961" spans="1:14" x14ac:dyDescent="0.25">
      <c r="A3961" s="91" t="s">
        <v>1315</v>
      </c>
      <c r="B3961" s="91" t="s">
        <v>1329</v>
      </c>
      <c r="C3961" s="91" t="s">
        <v>1341</v>
      </c>
      <c r="D3961" s="91" t="s">
        <v>15</v>
      </c>
      <c r="E3961" s="91" t="s">
        <v>19</v>
      </c>
      <c r="F3961">
        <v>26</v>
      </c>
      <c r="G3961" t="s">
        <v>1419</v>
      </c>
      <c r="H3961" s="89">
        <v>46279</v>
      </c>
      <c r="I3961" s="89">
        <v>46281</v>
      </c>
      <c r="J3961" s="91" t="s">
        <v>1656</v>
      </c>
      <c r="K3961" s="91" t="s">
        <v>6246</v>
      </c>
      <c r="L3961">
        <v>1</v>
      </c>
      <c r="M3961" s="91" t="s">
        <v>6247</v>
      </c>
      <c r="N3961" s="91" t="s">
        <v>6237</v>
      </c>
    </row>
    <row r="3962" spans="1:14" x14ac:dyDescent="0.25">
      <c r="A3962" s="91" t="s">
        <v>1316</v>
      </c>
      <c r="B3962" s="91" t="s">
        <v>1330</v>
      </c>
      <c r="C3962" s="91" t="s">
        <v>1342</v>
      </c>
      <c r="D3962" s="91" t="s">
        <v>15</v>
      </c>
      <c r="E3962" s="91" t="s">
        <v>19</v>
      </c>
      <c r="F3962">
        <v>40</v>
      </c>
      <c r="G3962" t="s">
        <v>1419</v>
      </c>
      <c r="H3962" s="89">
        <v>46279</v>
      </c>
      <c r="I3962" s="89">
        <v>46281</v>
      </c>
      <c r="J3962" s="91" t="s">
        <v>1656</v>
      </c>
      <c r="K3962" s="91" t="s">
        <v>6248</v>
      </c>
      <c r="L3962">
        <v>1</v>
      </c>
      <c r="M3962" s="91" t="s">
        <v>6249</v>
      </c>
      <c r="N3962" s="91" t="s">
        <v>6237</v>
      </c>
    </row>
    <row r="3963" spans="1:14" x14ac:dyDescent="0.25">
      <c r="A3963" s="91" t="s">
        <v>1317</v>
      </c>
      <c r="B3963" s="91" t="s">
        <v>1331</v>
      </c>
      <c r="C3963" s="91" t="s">
        <v>1343</v>
      </c>
      <c r="D3963" s="91" t="s">
        <v>15</v>
      </c>
      <c r="E3963" s="91" t="s">
        <v>19</v>
      </c>
      <c r="F3963">
        <v>28</v>
      </c>
      <c r="G3963" t="s">
        <v>1419</v>
      </c>
      <c r="H3963" s="89">
        <v>46279</v>
      </c>
      <c r="I3963" s="89">
        <v>46281</v>
      </c>
      <c r="J3963" s="91" t="s">
        <v>1656</v>
      </c>
      <c r="K3963" s="91" t="s">
        <v>6250</v>
      </c>
      <c r="L3963">
        <v>1</v>
      </c>
      <c r="M3963" s="91" t="s">
        <v>6251</v>
      </c>
      <c r="N3963" s="91" t="s">
        <v>6237</v>
      </c>
    </row>
    <row r="3964" spans="1:14" x14ac:dyDescent="0.25">
      <c r="A3964" s="91" t="s">
        <v>1318</v>
      </c>
      <c r="B3964" s="91" t="s">
        <v>1332</v>
      </c>
      <c r="C3964" s="91" t="s">
        <v>1344</v>
      </c>
      <c r="D3964" s="91" t="s">
        <v>15</v>
      </c>
      <c r="E3964" s="91" t="s">
        <v>19</v>
      </c>
      <c r="F3964">
        <v>29</v>
      </c>
      <c r="G3964" t="s">
        <v>1419</v>
      </c>
      <c r="H3964" s="89">
        <v>46279</v>
      </c>
      <c r="I3964" s="89">
        <v>46281</v>
      </c>
      <c r="J3964" s="91" t="s">
        <v>1656</v>
      </c>
      <c r="K3964" s="91" t="s">
        <v>6252</v>
      </c>
      <c r="L3964">
        <v>1</v>
      </c>
      <c r="M3964" s="91" t="s">
        <v>6253</v>
      </c>
      <c r="N3964" s="91" t="s">
        <v>6237</v>
      </c>
    </row>
    <row r="3965" spans="1:14" x14ac:dyDescent="0.25">
      <c r="A3965" s="91" t="s">
        <v>1313</v>
      </c>
      <c r="B3965" s="91" t="s">
        <v>1327</v>
      </c>
      <c r="C3965" s="91" t="s">
        <v>1345</v>
      </c>
      <c r="D3965" s="91" t="s">
        <v>20</v>
      </c>
      <c r="E3965" s="91" t="s">
        <v>17</v>
      </c>
      <c r="F3965">
        <v>1104</v>
      </c>
      <c r="G3965">
        <v>23</v>
      </c>
      <c r="H3965" s="89">
        <v>46279</v>
      </c>
      <c r="I3965" s="89">
        <v>46284</v>
      </c>
      <c r="J3965" s="91" t="s">
        <v>6254</v>
      </c>
      <c r="K3965" s="91" t="s">
        <v>6255</v>
      </c>
      <c r="L3965">
        <v>1</v>
      </c>
      <c r="M3965" s="91" t="s">
        <v>6256</v>
      </c>
      <c r="N3965" s="91" t="s">
        <v>6237</v>
      </c>
    </row>
    <row r="3966" spans="1:14" x14ac:dyDescent="0.25">
      <c r="A3966" s="91" t="s">
        <v>1319</v>
      </c>
      <c r="B3966" s="91" t="s">
        <v>1333</v>
      </c>
      <c r="C3966" s="91" t="s">
        <v>1345</v>
      </c>
      <c r="D3966" s="91" t="s">
        <v>20</v>
      </c>
      <c r="E3966" s="91" t="s">
        <v>17</v>
      </c>
      <c r="F3966">
        <v>48</v>
      </c>
      <c r="G3966">
        <v>1</v>
      </c>
      <c r="H3966" s="89">
        <v>46279</v>
      </c>
      <c r="I3966" s="89">
        <v>46284</v>
      </c>
      <c r="J3966" s="91" t="s">
        <v>6254</v>
      </c>
      <c r="K3966" s="91" t="s">
        <v>6257</v>
      </c>
      <c r="L3966">
        <v>1</v>
      </c>
      <c r="M3966" s="91" t="s">
        <v>6258</v>
      </c>
      <c r="N3966" s="91" t="s">
        <v>6237</v>
      </c>
    </row>
    <row r="3967" spans="1:14" x14ac:dyDescent="0.25">
      <c r="A3967" s="91" t="s">
        <v>1313</v>
      </c>
      <c r="B3967" s="91" t="s">
        <v>1327</v>
      </c>
      <c r="C3967" s="91" t="s">
        <v>1345</v>
      </c>
      <c r="D3967" s="91" t="s">
        <v>20</v>
      </c>
      <c r="E3967" s="91" t="s">
        <v>16</v>
      </c>
      <c r="F3967">
        <v>288</v>
      </c>
      <c r="G3967">
        <v>6</v>
      </c>
      <c r="H3967" s="89">
        <v>46279</v>
      </c>
      <c r="I3967" s="89">
        <v>46284</v>
      </c>
      <c r="J3967" s="91" t="s">
        <v>6243</v>
      </c>
      <c r="K3967" s="91" t="s">
        <v>6259</v>
      </c>
      <c r="L3967">
        <v>1</v>
      </c>
      <c r="M3967" s="91" t="s">
        <v>6260</v>
      </c>
      <c r="N3967" s="91" t="s">
        <v>6237</v>
      </c>
    </row>
    <row r="3968" spans="1:14" x14ac:dyDescent="0.25">
      <c r="A3968" s="91" t="s">
        <v>1315</v>
      </c>
      <c r="B3968" s="91" t="s">
        <v>1329</v>
      </c>
      <c r="C3968" s="91" t="s">
        <v>1345</v>
      </c>
      <c r="D3968" s="91" t="s">
        <v>20</v>
      </c>
      <c r="E3968" s="91" t="s">
        <v>19</v>
      </c>
      <c r="F3968">
        <v>85</v>
      </c>
      <c r="G3968" t="s">
        <v>1419</v>
      </c>
      <c r="H3968" s="89">
        <v>46279</v>
      </c>
      <c r="I3968" s="89">
        <v>46281</v>
      </c>
      <c r="J3968" s="91" t="s">
        <v>1656</v>
      </c>
      <c r="K3968" s="91" t="s">
        <v>6261</v>
      </c>
      <c r="L3968">
        <v>1</v>
      </c>
      <c r="M3968" s="91" t="s">
        <v>6262</v>
      </c>
      <c r="N3968" s="91" t="s">
        <v>6237</v>
      </c>
    </row>
    <row r="3969" spans="1:14" x14ac:dyDescent="0.25">
      <c r="A3969" s="91" t="s">
        <v>1316</v>
      </c>
      <c r="B3969" s="91" t="s">
        <v>1330</v>
      </c>
      <c r="C3969" s="91" t="s">
        <v>1346</v>
      </c>
      <c r="D3969" s="91" t="s">
        <v>20</v>
      </c>
      <c r="E3969" s="91" t="s">
        <v>19</v>
      </c>
      <c r="F3969">
        <v>63</v>
      </c>
      <c r="G3969" t="s">
        <v>1419</v>
      </c>
      <c r="H3969" s="89">
        <v>46279</v>
      </c>
      <c r="I3969" s="89">
        <v>46281</v>
      </c>
      <c r="J3969" s="91" t="s">
        <v>1656</v>
      </c>
      <c r="K3969" s="91" t="s">
        <v>6263</v>
      </c>
      <c r="L3969">
        <v>1</v>
      </c>
      <c r="M3969" s="91" t="s">
        <v>6264</v>
      </c>
      <c r="N3969" s="91" t="s">
        <v>6237</v>
      </c>
    </row>
    <row r="3970" spans="1:14" x14ac:dyDescent="0.25">
      <c r="A3970" s="91" t="s">
        <v>1317</v>
      </c>
      <c r="B3970" s="91" t="s">
        <v>1331</v>
      </c>
      <c r="C3970" s="91" t="s">
        <v>1347</v>
      </c>
      <c r="D3970" s="91" t="s">
        <v>20</v>
      </c>
      <c r="E3970" s="91" t="s">
        <v>19</v>
      </c>
      <c r="F3970">
        <v>35</v>
      </c>
      <c r="G3970" t="s">
        <v>1419</v>
      </c>
      <c r="H3970" s="89">
        <v>46279</v>
      </c>
      <c r="I3970" s="89">
        <v>46281</v>
      </c>
      <c r="J3970" s="91" t="s">
        <v>1656</v>
      </c>
      <c r="K3970" s="91" t="s">
        <v>6265</v>
      </c>
      <c r="L3970">
        <v>1</v>
      </c>
      <c r="M3970" s="91" t="s">
        <v>6266</v>
      </c>
      <c r="N3970" s="91" t="s">
        <v>6237</v>
      </c>
    </row>
    <row r="3971" spans="1:14" x14ac:dyDescent="0.25">
      <c r="A3971" s="91" t="s">
        <v>1318</v>
      </c>
      <c r="B3971" s="91" t="s">
        <v>1332</v>
      </c>
      <c r="C3971" s="91" t="s">
        <v>1348</v>
      </c>
      <c r="D3971" s="91" t="s">
        <v>20</v>
      </c>
      <c r="E3971" s="91" t="s">
        <v>19</v>
      </c>
      <c r="F3971">
        <v>68</v>
      </c>
      <c r="G3971" t="s">
        <v>1419</v>
      </c>
      <c r="H3971" s="89">
        <v>46279</v>
      </c>
      <c r="I3971" s="89">
        <v>46281</v>
      </c>
      <c r="J3971" s="91" t="s">
        <v>1656</v>
      </c>
      <c r="K3971" s="91" t="s">
        <v>6267</v>
      </c>
      <c r="L3971">
        <v>1</v>
      </c>
      <c r="M3971" s="91" t="s">
        <v>6268</v>
      </c>
      <c r="N3971" s="91" t="s">
        <v>6237</v>
      </c>
    </row>
    <row r="3972" spans="1:14" x14ac:dyDescent="0.25">
      <c r="A3972" s="91" t="s">
        <v>1313</v>
      </c>
      <c r="B3972" s="91" t="s">
        <v>1327</v>
      </c>
      <c r="C3972" s="91" t="s">
        <v>1349</v>
      </c>
      <c r="D3972" s="91" t="s">
        <v>21</v>
      </c>
      <c r="E3972" s="91" t="s">
        <v>31</v>
      </c>
      <c r="F3972">
        <v>1099</v>
      </c>
      <c r="G3972">
        <v>22.895833333333332</v>
      </c>
      <c r="H3972" s="89">
        <v>46279</v>
      </c>
      <c r="I3972" s="89">
        <v>46283</v>
      </c>
      <c r="J3972" s="91" t="s">
        <v>6269</v>
      </c>
      <c r="K3972" s="91" t="s">
        <v>6270</v>
      </c>
      <c r="L3972">
        <v>1</v>
      </c>
      <c r="M3972" s="91" t="s">
        <v>6271</v>
      </c>
      <c r="N3972" s="91" t="s">
        <v>6237</v>
      </c>
    </row>
    <row r="3973" spans="1:14" x14ac:dyDescent="0.25">
      <c r="A3973" s="91" t="s">
        <v>1319</v>
      </c>
      <c r="B3973" s="91" t="s">
        <v>1333</v>
      </c>
      <c r="C3973" s="91" t="s">
        <v>1349</v>
      </c>
      <c r="D3973" s="91" t="s">
        <v>21</v>
      </c>
      <c r="E3973" s="91" t="s">
        <v>31</v>
      </c>
      <c r="F3973">
        <v>5</v>
      </c>
      <c r="G3973">
        <v>0.10416666666666669</v>
      </c>
      <c r="H3973" s="89">
        <v>46279</v>
      </c>
      <c r="I3973" s="89">
        <v>46283</v>
      </c>
      <c r="J3973" s="91" t="s">
        <v>6269</v>
      </c>
      <c r="K3973" s="91" t="s">
        <v>6272</v>
      </c>
      <c r="L3973">
        <v>1</v>
      </c>
      <c r="M3973" s="91" t="s">
        <v>6273</v>
      </c>
      <c r="N3973" s="91" t="s">
        <v>6237</v>
      </c>
    </row>
    <row r="3974" spans="1:14" x14ac:dyDescent="0.25">
      <c r="A3974" s="91" t="s">
        <v>1314</v>
      </c>
      <c r="B3974" s="91" t="s">
        <v>1328</v>
      </c>
      <c r="C3974" s="91" t="s">
        <v>1349</v>
      </c>
      <c r="D3974" s="91" t="s">
        <v>21</v>
      </c>
      <c r="E3974" s="91" t="s">
        <v>31</v>
      </c>
      <c r="F3974">
        <v>48</v>
      </c>
      <c r="G3974">
        <v>1</v>
      </c>
      <c r="H3974" s="89">
        <v>46279</v>
      </c>
      <c r="I3974" s="89">
        <v>46283</v>
      </c>
      <c r="J3974" s="91" t="s">
        <v>6274</v>
      </c>
      <c r="K3974" s="91" t="s">
        <v>6275</v>
      </c>
      <c r="L3974">
        <v>1</v>
      </c>
      <c r="M3974" s="91" t="s">
        <v>6276</v>
      </c>
      <c r="N3974" s="91" t="s">
        <v>6237</v>
      </c>
    </row>
    <row r="3975" spans="1:14" x14ac:dyDescent="0.25">
      <c r="A3975" s="91" t="s">
        <v>1313</v>
      </c>
      <c r="B3975" s="91" t="s">
        <v>1327</v>
      </c>
      <c r="C3975" s="91" t="s">
        <v>1349</v>
      </c>
      <c r="D3975" s="91" t="s">
        <v>21</v>
      </c>
      <c r="E3975" s="91" t="s">
        <v>22</v>
      </c>
      <c r="F3975">
        <v>192</v>
      </c>
      <c r="G3975">
        <v>4</v>
      </c>
      <c r="H3975" s="89">
        <v>46279</v>
      </c>
      <c r="I3975" s="89">
        <v>46284</v>
      </c>
      <c r="J3975" s="91" t="s">
        <v>6240</v>
      </c>
      <c r="K3975" s="91" t="s">
        <v>6277</v>
      </c>
      <c r="L3975">
        <v>1</v>
      </c>
      <c r="M3975" s="91" t="s">
        <v>6278</v>
      </c>
      <c r="N3975" s="91" t="s">
        <v>6237</v>
      </c>
    </row>
    <row r="3976" spans="1:14" x14ac:dyDescent="0.25">
      <c r="A3976" s="91" t="s">
        <v>1315</v>
      </c>
      <c r="B3976" s="91" t="s">
        <v>1329</v>
      </c>
      <c r="C3976" s="91" t="s">
        <v>1349</v>
      </c>
      <c r="D3976" s="91" t="s">
        <v>21</v>
      </c>
      <c r="E3976" s="91" t="s">
        <v>19</v>
      </c>
      <c r="F3976">
        <v>91</v>
      </c>
      <c r="G3976" t="s">
        <v>1419</v>
      </c>
      <c r="H3976" s="89">
        <v>46279</v>
      </c>
      <c r="I3976" s="89">
        <v>46281</v>
      </c>
      <c r="J3976" s="91" t="s">
        <v>1656</v>
      </c>
      <c r="K3976" s="91" t="s">
        <v>6279</v>
      </c>
      <c r="L3976">
        <v>1</v>
      </c>
      <c r="M3976" s="91" t="s">
        <v>6280</v>
      </c>
      <c r="N3976" s="91" t="s">
        <v>6237</v>
      </c>
    </row>
    <row r="3977" spans="1:14" x14ac:dyDescent="0.25">
      <c r="A3977" s="91" t="s">
        <v>1316</v>
      </c>
      <c r="B3977" s="91" t="s">
        <v>1330</v>
      </c>
      <c r="C3977" s="91" t="s">
        <v>1350</v>
      </c>
      <c r="D3977" s="91" t="s">
        <v>21</v>
      </c>
      <c r="E3977" s="91" t="s">
        <v>19</v>
      </c>
      <c r="F3977">
        <v>23</v>
      </c>
      <c r="G3977" t="s">
        <v>1419</v>
      </c>
      <c r="H3977" s="89">
        <v>46279</v>
      </c>
      <c r="I3977" s="89">
        <v>46281</v>
      </c>
      <c r="J3977" s="91" t="s">
        <v>1656</v>
      </c>
      <c r="K3977" s="91" t="s">
        <v>6281</v>
      </c>
      <c r="L3977">
        <v>1</v>
      </c>
      <c r="M3977" s="91" t="s">
        <v>6282</v>
      </c>
      <c r="N3977" s="91" t="s">
        <v>6237</v>
      </c>
    </row>
    <row r="3978" spans="1:14" x14ac:dyDescent="0.25">
      <c r="A3978" s="91" t="s">
        <v>1317</v>
      </c>
      <c r="B3978" s="91" t="s">
        <v>1331</v>
      </c>
      <c r="C3978" s="91" t="s">
        <v>1351</v>
      </c>
      <c r="D3978" s="91" t="s">
        <v>21</v>
      </c>
      <c r="E3978" s="91" t="s">
        <v>19</v>
      </c>
      <c r="F3978">
        <v>12</v>
      </c>
      <c r="G3978" t="s">
        <v>1419</v>
      </c>
      <c r="H3978" s="89">
        <v>46279</v>
      </c>
      <c r="I3978" s="89">
        <v>46281</v>
      </c>
      <c r="J3978" s="91" t="s">
        <v>1656</v>
      </c>
      <c r="K3978" s="91" t="s">
        <v>6283</v>
      </c>
      <c r="L3978">
        <v>1</v>
      </c>
      <c r="M3978" s="91" t="s">
        <v>6284</v>
      </c>
      <c r="N3978" s="91" t="s">
        <v>6237</v>
      </c>
    </row>
    <row r="3979" spans="1:14" x14ac:dyDescent="0.25">
      <c r="A3979" s="91" t="s">
        <v>1318</v>
      </c>
      <c r="B3979" s="91" t="s">
        <v>1332</v>
      </c>
      <c r="C3979" s="91" t="s">
        <v>1352</v>
      </c>
      <c r="D3979" s="91" t="s">
        <v>21</v>
      </c>
      <c r="E3979" s="91" t="s">
        <v>19</v>
      </c>
      <c r="F3979">
        <v>56</v>
      </c>
      <c r="G3979" t="s">
        <v>1419</v>
      </c>
      <c r="H3979" s="89">
        <v>46279</v>
      </c>
      <c r="I3979" s="89">
        <v>46281</v>
      </c>
      <c r="J3979" s="91" t="s">
        <v>1656</v>
      </c>
      <c r="K3979" s="91" t="s">
        <v>6285</v>
      </c>
      <c r="L3979">
        <v>1</v>
      </c>
      <c r="M3979" s="91" t="s">
        <v>6286</v>
      </c>
      <c r="N3979" s="91" t="s">
        <v>6237</v>
      </c>
    </row>
    <row r="3980" spans="1:14" x14ac:dyDescent="0.25">
      <c r="A3980" s="91" t="s">
        <v>1320</v>
      </c>
      <c r="B3980" s="91" t="s">
        <v>1334</v>
      </c>
      <c r="C3980" s="91" t="s">
        <v>1353</v>
      </c>
      <c r="D3980" s="91" t="s">
        <v>13</v>
      </c>
      <c r="E3980" s="91" t="s">
        <v>14</v>
      </c>
      <c r="F3980">
        <v>480</v>
      </c>
      <c r="G3980">
        <v>10</v>
      </c>
      <c r="H3980" s="89">
        <v>46279</v>
      </c>
      <c r="I3980" s="89">
        <v>46284</v>
      </c>
      <c r="J3980" s="91" t="s">
        <v>6287</v>
      </c>
      <c r="K3980" s="91" t="s">
        <v>6288</v>
      </c>
      <c r="L3980">
        <v>1</v>
      </c>
      <c r="M3980" s="91" t="s">
        <v>6289</v>
      </c>
      <c r="N3980" s="91" t="s">
        <v>6237</v>
      </c>
    </row>
    <row r="3981" spans="1:14" x14ac:dyDescent="0.25">
      <c r="A3981" s="91" t="s">
        <v>1320</v>
      </c>
      <c r="B3981" s="91" t="s">
        <v>1334</v>
      </c>
      <c r="C3981" s="91" t="s">
        <v>1354</v>
      </c>
      <c r="D3981" s="91" t="s">
        <v>118</v>
      </c>
      <c r="E3981" s="91" t="s">
        <v>14</v>
      </c>
      <c r="F3981">
        <v>480</v>
      </c>
      <c r="G3981">
        <v>10</v>
      </c>
      <c r="H3981" s="89">
        <v>46279</v>
      </c>
      <c r="I3981" s="89">
        <v>46284</v>
      </c>
      <c r="J3981" s="91" t="s">
        <v>6287</v>
      </c>
      <c r="K3981" s="91" t="s">
        <v>6290</v>
      </c>
      <c r="L3981">
        <v>1</v>
      </c>
      <c r="M3981" s="91" t="s">
        <v>6291</v>
      </c>
      <c r="N3981" s="91" t="s">
        <v>6237</v>
      </c>
    </row>
    <row r="3982" spans="1:14" x14ac:dyDescent="0.25">
      <c r="A3982" s="91" t="s">
        <v>1320</v>
      </c>
      <c r="B3982" s="91" t="s">
        <v>1334</v>
      </c>
      <c r="C3982" s="91" t="s">
        <v>1354</v>
      </c>
      <c r="D3982" s="91" t="s">
        <v>118</v>
      </c>
      <c r="E3982" s="91" t="s">
        <v>14</v>
      </c>
      <c r="F3982">
        <v>480</v>
      </c>
      <c r="G3982">
        <v>10</v>
      </c>
      <c r="H3982" s="89">
        <v>46279</v>
      </c>
      <c r="I3982" s="89">
        <v>46284</v>
      </c>
      <c r="J3982" s="91" t="s">
        <v>6292</v>
      </c>
      <c r="K3982" s="91" t="s">
        <v>6293</v>
      </c>
      <c r="L3982">
        <v>1</v>
      </c>
      <c r="M3982" s="91" t="s">
        <v>6294</v>
      </c>
      <c r="N3982" s="91" t="s">
        <v>6237</v>
      </c>
    </row>
    <row r="3983" spans="1:14" x14ac:dyDescent="0.25">
      <c r="A3983" s="91" t="s">
        <v>1320</v>
      </c>
      <c r="B3983" s="91" t="s">
        <v>1334</v>
      </c>
      <c r="C3983" s="91" t="s">
        <v>1355</v>
      </c>
      <c r="D3983" s="91" t="s">
        <v>13</v>
      </c>
      <c r="E3983" s="91" t="s">
        <v>14</v>
      </c>
      <c r="F3983">
        <v>480</v>
      </c>
      <c r="G3983">
        <v>10</v>
      </c>
      <c r="H3983" s="89">
        <v>46280</v>
      </c>
      <c r="I3983" s="89">
        <v>46284</v>
      </c>
      <c r="J3983" s="91" t="s">
        <v>6292</v>
      </c>
      <c r="K3983" s="91" t="s">
        <v>6295</v>
      </c>
      <c r="L3983">
        <v>1</v>
      </c>
      <c r="M3983" s="91" t="s">
        <v>6296</v>
      </c>
      <c r="N3983" s="91" t="s">
        <v>6237</v>
      </c>
    </row>
    <row r="3984" spans="1:14" x14ac:dyDescent="0.25">
      <c r="A3984" s="91" t="s">
        <v>1320</v>
      </c>
      <c r="B3984" s="91" t="s">
        <v>1334</v>
      </c>
      <c r="C3984" s="91" t="s">
        <v>1356</v>
      </c>
      <c r="D3984" s="91" t="s">
        <v>23</v>
      </c>
      <c r="E3984" s="91" t="s">
        <v>14</v>
      </c>
      <c r="F3984">
        <v>528</v>
      </c>
      <c r="G3984">
        <v>11</v>
      </c>
      <c r="H3984" s="89">
        <v>46280</v>
      </c>
      <c r="I3984" s="89">
        <v>46286</v>
      </c>
      <c r="J3984" s="91" t="s">
        <v>6297</v>
      </c>
      <c r="K3984" s="91" t="s">
        <v>6298</v>
      </c>
      <c r="L3984">
        <v>1</v>
      </c>
      <c r="M3984" s="91" t="s">
        <v>6299</v>
      </c>
      <c r="N3984" s="91" t="s">
        <v>6237</v>
      </c>
    </row>
    <row r="3985" spans="1:14" x14ac:dyDescent="0.25">
      <c r="A3985" s="91" t="s">
        <v>1321</v>
      </c>
      <c r="B3985" s="91" t="s">
        <v>1335</v>
      </c>
      <c r="C3985" s="91" t="s">
        <v>1357</v>
      </c>
      <c r="D3985" s="91" t="s">
        <v>27</v>
      </c>
      <c r="E3985" s="91" t="s">
        <v>65</v>
      </c>
      <c r="F3985">
        <v>144</v>
      </c>
      <c r="G3985">
        <v>3</v>
      </c>
      <c r="H3985" s="89">
        <v>46280</v>
      </c>
      <c r="I3985" s="89">
        <v>46287</v>
      </c>
      <c r="J3985" s="91" t="s">
        <v>6300</v>
      </c>
      <c r="K3985" s="91" t="s">
        <v>6301</v>
      </c>
      <c r="L3985">
        <v>1</v>
      </c>
      <c r="M3985" s="91" t="s">
        <v>6302</v>
      </c>
      <c r="N3985" s="91" t="s">
        <v>6237</v>
      </c>
    </row>
    <row r="3986" spans="1:14" x14ac:dyDescent="0.25">
      <c r="A3986" s="91" t="s">
        <v>1322</v>
      </c>
      <c r="B3986" s="91" t="s">
        <v>1336</v>
      </c>
      <c r="C3986" s="91" t="s">
        <v>1358</v>
      </c>
      <c r="D3986" s="91" t="s">
        <v>20</v>
      </c>
      <c r="E3986" s="91" t="s">
        <v>26</v>
      </c>
      <c r="F3986">
        <v>270</v>
      </c>
      <c r="G3986">
        <v>5</v>
      </c>
      <c r="H3986" s="89">
        <v>46280</v>
      </c>
      <c r="I3986" s="89">
        <v>46284</v>
      </c>
      <c r="J3986" s="91" t="s">
        <v>6303</v>
      </c>
      <c r="K3986" s="91" t="s">
        <v>6304</v>
      </c>
      <c r="L3986">
        <v>1</v>
      </c>
      <c r="M3986" s="91" t="s">
        <v>6305</v>
      </c>
      <c r="N3986" s="91" t="s">
        <v>6237</v>
      </c>
    </row>
    <row r="3987" spans="1:14" x14ac:dyDescent="0.25">
      <c r="A3987" s="91" t="s">
        <v>1323</v>
      </c>
      <c r="B3987" s="91" t="s">
        <v>1337</v>
      </c>
      <c r="C3987" s="91" t="s">
        <v>1358</v>
      </c>
      <c r="D3987" s="91" t="s">
        <v>20</v>
      </c>
      <c r="E3987" s="91" t="s">
        <v>26</v>
      </c>
      <c r="F3987">
        <v>810</v>
      </c>
      <c r="G3987">
        <v>15</v>
      </c>
      <c r="H3987" s="89">
        <v>46280</v>
      </c>
      <c r="I3987" s="89">
        <v>46284</v>
      </c>
      <c r="J3987" s="91" t="s">
        <v>6303</v>
      </c>
      <c r="K3987" s="91" t="s">
        <v>6306</v>
      </c>
      <c r="L3987">
        <v>1</v>
      </c>
      <c r="M3987" s="91" t="s">
        <v>6307</v>
      </c>
      <c r="N3987" s="91" t="s">
        <v>6237</v>
      </c>
    </row>
    <row r="3988" spans="1:14" x14ac:dyDescent="0.25">
      <c r="A3988" s="91" t="s">
        <v>1313</v>
      </c>
      <c r="B3988" s="91" t="s">
        <v>1327</v>
      </c>
      <c r="C3988" s="91" t="s">
        <v>1358</v>
      </c>
      <c r="D3988" s="91" t="s">
        <v>20</v>
      </c>
      <c r="E3988" s="91" t="s">
        <v>22</v>
      </c>
      <c r="F3988">
        <v>288</v>
      </c>
      <c r="G3988">
        <v>6</v>
      </c>
      <c r="H3988" s="89">
        <v>46280</v>
      </c>
      <c r="I3988" s="89">
        <v>46286</v>
      </c>
      <c r="J3988" s="91" t="s">
        <v>6308</v>
      </c>
      <c r="K3988" s="91" t="s">
        <v>6309</v>
      </c>
      <c r="L3988">
        <v>1</v>
      </c>
      <c r="M3988" s="91" t="s">
        <v>6310</v>
      </c>
      <c r="N3988" s="91" t="s">
        <v>6237</v>
      </c>
    </row>
    <row r="3989" spans="1:14" x14ac:dyDescent="0.25">
      <c r="A3989" s="91" t="s">
        <v>1313</v>
      </c>
      <c r="B3989" s="91" t="s">
        <v>1327</v>
      </c>
      <c r="C3989" s="91" t="s">
        <v>1358</v>
      </c>
      <c r="D3989" s="91" t="s">
        <v>20</v>
      </c>
      <c r="E3989" s="91" t="s">
        <v>22</v>
      </c>
      <c r="F3989">
        <v>96</v>
      </c>
      <c r="G3989">
        <v>2</v>
      </c>
      <c r="H3989" s="89">
        <v>46280</v>
      </c>
      <c r="I3989" s="89">
        <v>46285</v>
      </c>
      <c r="J3989" s="91" t="s">
        <v>6311</v>
      </c>
      <c r="K3989" s="91" t="s">
        <v>6312</v>
      </c>
      <c r="L3989">
        <v>1</v>
      </c>
      <c r="M3989" s="91" t="s">
        <v>6313</v>
      </c>
      <c r="N3989" s="91" t="s">
        <v>6237</v>
      </c>
    </row>
    <row r="3990" spans="1:14" x14ac:dyDescent="0.25">
      <c r="A3990" s="91" t="s">
        <v>1315</v>
      </c>
      <c r="B3990" s="91" t="s">
        <v>1329</v>
      </c>
      <c r="C3990" s="91" t="s">
        <v>1358</v>
      </c>
      <c r="D3990" s="91" t="s">
        <v>20</v>
      </c>
      <c r="E3990" s="91" t="s">
        <v>19</v>
      </c>
      <c r="F3990">
        <v>29</v>
      </c>
      <c r="G3990" t="s">
        <v>1419</v>
      </c>
      <c r="H3990" s="89">
        <v>46280</v>
      </c>
      <c r="I3990" s="89">
        <v>46282</v>
      </c>
      <c r="J3990" s="91" t="s">
        <v>1656</v>
      </c>
      <c r="K3990" s="91" t="s">
        <v>6314</v>
      </c>
      <c r="L3990">
        <v>1</v>
      </c>
      <c r="M3990" s="91" t="s">
        <v>6315</v>
      </c>
      <c r="N3990" s="91" t="s">
        <v>6237</v>
      </c>
    </row>
    <row r="3991" spans="1:14" x14ac:dyDescent="0.25">
      <c r="A3991" s="91" t="s">
        <v>1316</v>
      </c>
      <c r="B3991" s="91" t="s">
        <v>1330</v>
      </c>
      <c r="C3991" s="91" t="s">
        <v>1359</v>
      </c>
      <c r="D3991" s="91" t="s">
        <v>20</v>
      </c>
      <c r="E3991" s="91" t="s">
        <v>19</v>
      </c>
      <c r="F3991">
        <v>58</v>
      </c>
      <c r="G3991" t="s">
        <v>1419</v>
      </c>
      <c r="H3991" s="89">
        <v>46280</v>
      </c>
      <c r="I3991" s="89">
        <v>46282</v>
      </c>
      <c r="J3991" s="91" t="s">
        <v>1656</v>
      </c>
      <c r="K3991" s="91" t="s">
        <v>6316</v>
      </c>
      <c r="L3991">
        <v>1</v>
      </c>
      <c r="M3991" s="91" t="s">
        <v>6317</v>
      </c>
      <c r="N3991" s="91" t="s">
        <v>6237</v>
      </c>
    </row>
    <row r="3992" spans="1:14" x14ac:dyDescent="0.25">
      <c r="A3992" s="91" t="s">
        <v>1317</v>
      </c>
      <c r="B3992" s="91" t="s">
        <v>1331</v>
      </c>
      <c r="C3992" s="91" t="s">
        <v>1360</v>
      </c>
      <c r="D3992" s="91" t="s">
        <v>20</v>
      </c>
      <c r="E3992" s="91" t="s">
        <v>19</v>
      </c>
      <c r="F3992">
        <v>32</v>
      </c>
      <c r="G3992" t="s">
        <v>1419</v>
      </c>
      <c r="H3992" s="89">
        <v>46280</v>
      </c>
      <c r="I3992" s="89">
        <v>46282</v>
      </c>
      <c r="J3992" s="91" t="s">
        <v>1656</v>
      </c>
      <c r="K3992" s="91" t="s">
        <v>6318</v>
      </c>
      <c r="L3992">
        <v>1</v>
      </c>
      <c r="M3992" s="91" t="s">
        <v>6319</v>
      </c>
      <c r="N3992" s="91" t="s">
        <v>6237</v>
      </c>
    </row>
    <row r="3993" spans="1:14" x14ac:dyDescent="0.25">
      <c r="A3993" s="91" t="s">
        <v>1318</v>
      </c>
      <c r="B3993" s="91" t="s">
        <v>1332</v>
      </c>
      <c r="C3993" s="91" t="s">
        <v>1361</v>
      </c>
      <c r="D3993" s="91" t="s">
        <v>20</v>
      </c>
      <c r="E3993" s="91" t="s">
        <v>19</v>
      </c>
      <c r="F3993">
        <v>49</v>
      </c>
      <c r="G3993" t="s">
        <v>1419</v>
      </c>
      <c r="H3993" s="89">
        <v>46280</v>
      </c>
      <c r="I3993" s="89">
        <v>46282</v>
      </c>
      <c r="J3993" s="91" t="s">
        <v>1656</v>
      </c>
      <c r="K3993" s="91" t="s">
        <v>6320</v>
      </c>
      <c r="L3993">
        <v>1</v>
      </c>
      <c r="M3993" s="91" t="s">
        <v>6321</v>
      </c>
      <c r="N3993" s="91" t="s">
        <v>6237</v>
      </c>
    </row>
    <row r="3994" spans="1:14" x14ac:dyDescent="0.25">
      <c r="A3994" s="91" t="s">
        <v>1324</v>
      </c>
      <c r="B3994" s="91" t="s">
        <v>1338</v>
      </c>
      <c r="C3994" s="91" t="s">
        <v>1362</v>
      </c>
      <c r="D3994" s="91" t="s">
        <v>21</v>
      </c>
      <c r="E3994" s="91" t="s">
        <v>65</v>
      </c>
      <c r="F3994">
        <v>816</v>
      </c>
      <c r="G3994">
        <v>17</v>
      </c>
      <c r="H3994" s="89">
        <v>46280</v>
      </c>
      <c r="I3994" s="89">
        <v>46287</v>
      </c>
      <c r="J3994" s="91" t="s">
        <v>6300</v>
      </c>
      <c r="K3994" s="91" t="s">
        <v>6322</v>
      </c>
      <c r="L3994">
        <v>1</v>
      </c>
      <c r="M3994" s="91" t="s">
        <v>6323</v>
      </c>
      <c r="N3994" s="91" t="s">
        <v>6237</v>
      </c>
    </row>
    <row r="3995" spans="1:14" x14ac:dyDescent="0.25">
      <c r="A3995" s="91" t="s">
        <v>1313</v>
      </c>
      <c r="B3995" s="91" t="s">
        <v>1327</v>
      </c>
      <c r="C3995" s="91" t="s">
        <v>1362</v>
      </c>
      <c r="D3995" s="91" t="s">
        <v>21</v>
      </c>
      <c r="E3995" s="91" t="s">
        <v>22</v>
      </c>
      <c r="F3995">
        <v>672</v>
      </c>
      <c r="G3995">
        <v>14</v>
      </c>
      <c r="H3995" s="89">
        <v>46280</v>
      </c>
      <c r="I3995" s="89">
        <v>46284</v>
      </c>
      <c r="J3995" s="91" t="s">
        <v>6240</v>
      </c>
      <c r="K3995" s="91" t="s">
        <v>6324</v>
      </c>
      <c r="L3995">
        <v>1</v>
      </c>
      <c r="M3995" s="91" t="s">
        <v>6325</v>
      </c>
      <c r="N3995" s="91" t="s">
        <v>6237</v>
      </c>
    </row>
    <row r="3996" spans="1:14" x14ac:dyDescent="0.25">
      <c r="A3996" s="91" t="s">
        <v>1315</v>
      </c>
      <c r="B3996" s="91" t="s">
        <v>1329</v>
      </c>
      <c r="C3996" s="91" t="s">
        <v>1362</v>
      </c>
      <c r="D3996" s="91" t="s">
        <v>21</v>
      </c>
      <c r="E3996" s="91" t="s">
        <v>19</v>
      </c>
      <c r="F3996">
        <v>104</v>
      </c>
      <c r="G3996" t="s">
        <v>1419</v>
      </c>
      <c r="H3996" s="89">
        <v>46280</v>
      </c>
      <c r="I3996" s="89">
        <v>46282</v>
      </c>
      <c r="J3996" s="91" t="s">
        <v>1656</v>
      </c>
      <c r="K3996" s="91" t="s">
        <v>6326</v>
      </c>
      <c r="L3996">
        <v>1</v>
      </c>
      <c r="M3996" s="91" t="s">
        <v>6327</v>
      </c>
      <c r="N3996" s="91" t="s">
        <v>6237</v>
      </c>
    </row>
    <row r="3997" spans="1:14" x14ac:dyDescent="0.25">
      <c r="A3997" s="91" t="s">
        <v>1316</v>
      </c>
      <c r="B3997" s="91" t="s">
        <v>1330</v>
      </c>
      <c r="C3997" s="91" t="s">
        <v>1363</v>
      </c>
      <c r="D3997" s="91" t="s">
        <v>21</v>
      </c>
      <c r="E3997" s="91" t="s">
        <v>19</v>
      </c>
      <c r="F3997">
        <v>28</v>
      </c>
      <c r="G3997" t="s">
        <v>1419</v>
      </c>
      <c r="H3997" s="89">
        <v>46280</v>
      </c>
      <c r="I3997" s="89">
        <v>46282</v>
      </c>
      <c r="J3997" s="91" t="s">
        <v>1656</v>
      </c>
      <c r="K3997" s="91" t="s">
        <v>6328</v>
      </c>
      <c r="L3997">
        <v>1</v>
      </c>
      <c r="M3997" s="91" t="s">
        <v>6329</v>
      </c>
      <c r="N3997" s="91" t="s">
        <v>6237</v>
      </c>
    </row>
    <row r="3998" spans="1:14" x14ac:dyDescent="0.25">
      <c r="A3998" s="91" t="s">
        <v>1317</v>
      </c>
      <c r="B3998" s="91" t="s">
        <v>1331</v>
      </c>
      <c r="C3998" s="91" t="s">
        <v>1364</v>
      </c>
      <c r="D3998" s="91" t="s">
        <v>21</v>
      </c>
      <c r="E3998" s="91" t="s">
        <v>19</v>
      </c>
      <c r="F3998">
        <v>24</v>
      </c>
      <c r="G3998" t="s">
        <v>1419</v>
      </c>
      <c r="H3998" s="89">
        <v>46280</v>
      </c>
      <c r="I3998" s="89">
        <v>46282</v>
      </c>
      <c r="J3998" s="91" t="s">
        <v>1656</v>
      </c>
      <c r="K3998" s="91" t="s">
        <v>6330</v>
      </c>
      <c r="L3998">
        <v>1</v>
      </c>
      <c r="M3998" s="91" t="s">
        <v>6331</v>
      </c>
      <c r="N3998" s="91" t="s">
        <v>6237</v>
      </c>
    </row>
    <row r="3999" spans="1:14" x14ac:dyDescent="0.25">
      <c r="A3999" s="91" t="s">
        <v>1318</v>
      </c>
      <c r="B3999" s="91" t="s">
        <v>1332</v>
      </c>
      <c r="C3999" s="91" t="s">
        <v>1365</v>
      </c>
      <c r="D3999" s="91" t="s">
        <v>21</v>
      </c>
      <c r="E3999" s="91" t="s">
        <v>19</v>
      </c>
      <c r="F3999">
        <v>67</v>
      </c>
      <c r="G3999" t="s">
        <v>1419</v>
      </c>
      <c r="H3999" s="89">
        <v>46280</v>
      </c>
      <c r="I3999" s="89">
        <v>46282</v>
      </c>
      <c r="J3999" s="91" t="s">
        <v>1656</v>
      </c>
      <c r="K3999" s="91" t="s">
        <v>6332</v>
      </c>
      <c r="L3999">
        <v>1</v>
      </c>
      <c r="M3999" s="91" t="s">
        <v>6333</v>
      </c>
      <c r="N3999" s="91" t="s">
        <v>6237</v>
      </c>
    </row>
    <row r="4000" spans="1:14" x14ac:dyDescent="0.25">
      <c r="A4000" s="91" t="s">
        <v>1314</v>
      </c>
      <c r="B4000" s="91" t="s">
        <v>1328</v>
      </c>
      <c r="C4000" s="91" t="s">
        <v>1366</v>
      </c>
      <c r="D4000" s="91" t="s">
        <v>15</v>
      </c>
      <c r="E4000" s="91" t="s">
        <v>16</v>
      </c>
      <c r="F4000">
        <v>288</v>
      </c>
      <c r="G4000">
        <v>6</v>
      </c>
      <c r="H4000" s="89">
        <v>46280</v>
      </c>
      <c r="I4000" s="89">
        <v>46284</v>
      </c>
      <c r="J4000" s="91" t="s">
        <v>6334</v>
      </c>
      <c r="K4000" s="91" t="s">
        <v>6335</v>
      </c>
      <c r="L4000">
        <v>1</v>
      </c>
      <c r="M4000" s="91" t="s">
        <v>6336</v>
      </c>
      <c r="N4000" s="91" t="s">
        <v>6237</v>
      </c>
    </row>
    <row r="4001" spans="1:14" x14ac:dyDescent="0.25">
      <c r="A4001" s="91" t="s">
        <v>1313</v>
      </c>
      <c r="B4001" s="91" t="s">
        <v>1327</v>
      </c>
      <c r="C4001" s="91" t="s">
        <v>1366</v>
      </c>
      <c r="D4001" s="91" t="s">
        <v>15</v>
      </c>
      <c r="E4001" s="91" t="s">
        <v>16</v>
      </c>
      <c r="F4001">
        <v>336</v>
      </c>
      <c r="G4001">
        <v>7</v>
      </c>
      <c r="H4001" s="89">
        <v>46280</v>
      </c>
      <c r="I4001" s="89">
        <v>46284</v>
      </c>
      <c r="J4001" s="91" t="s">
        <v>6243</v>
      </c>
      <c r="K4001" s="91" t="s">
        <v>6337</v>
      </c>
      <c r="L4001">
        <v>1</v>
      </c>
      <c r="M4001" s="91" t="s">
        <v>6338</v>
      </c>
      <c r="N4001" s="91" t="s">
        <v>6237</v>
      </c>
    </row>
    <row r="4002" spans="1:14" x14ac:dyDescent="0.25">
      <c r="A4002" s="91" t="s">
        <v>1313</v>
      </c>
      <c r="B4002" s="91" t="s">
        <v>1327</v>
      </c>
      <c r="C4002" s="91" t="s">
        <v>1366</v>
      </c>
      <c r="D4002" s="91" t="s">
        <v>15</v>
      </c>
      <c r="E4002" s="91" t="s">
        <v>22</v>
      </c>
      <c r="F4002">
        <v>624</v>
      </c>
      <c r="G4002">
        <v>13</v>
      </c>
      <c r="H4002" s="89">
        <v>46280</v>
      </c>
      <c r="I4002" s="89">
        <v>46285</v>
      </c>
      <c r="J4002" s="91" t="s">
        <v>6311</v>
      </c>
      <c r="K4002" s="91" t="s">
        <v>6339</v>
      </c>
      <c r="L4002">
        <v>1</v>
      </c>
      <c r="M4002" s="91" t="s">
        <v>6340</v>
      </c>
      <c r="N4002" s="91" t="s">
        <v>6237</v>
      </c>
    </row>
    <row r="4003" spans="1:14" x14ac:dyDescent="0.25">
      <c r="A4003" s="91" t="s">
        <v>1313</v>
      </c>
      <c r="B4003" s="91" t="s">
        <v>1327</v>
      </c>
      <c r="C4003" s="91" t="s">
        <v>1366</v>
      </c>
      <c r="D4003" s="91" t="s">
        <v>15</v>
      </c>
      <c r="E4003" s="91" t="s">
        <v>22</v>
      </c>
      <c r="F4003">
        <v>432</v>
      </c>
      <c r="G4003">
        <v>9</v>
      </c>
      <c r="H4003" s="89">
        <v>46280</v>
      </c>
      <c r="I4003" s="89">
        <v>46285</v>
      </c>
      <c r="J4003" s="91" t="s">
        <v>6311</v>
      </c>
      <c r="K4003" s="91" t="s">
        <v>6339</v>
      </c>
      <c r="L4003">
        <v>2</v>
      </c>
      <c r="M4003" s="91" t="s">
        <v>6341</v>
      </c>
      <c r="N4003" s="91" t="s">
        <v>6237</v>
      </c>
    </row>
    <row r="4004" spans="1:14" x14ac:dyDescent="0.25">
      <c r="A4004" s="91" t="s">
        <v>1313</v>
      </c>
      <c r="B4004" s="91" t="s">
        <v>1327</v>
      </c>
      <c r="C4004" s="91" t="s">
        <v>1366</v>
      </c>
      <c r="D4004" s="91" t="s">
        <v>15</v>
      </c>
      <c r="E4004" s="91" t="s">
        <v>18</v>
      </c>
      <c r="F4004">
        <v>48</v>
      </c>
      <c r="G4004">
        <v>1</v>
      </c>
      <c r="H4004" s="89">
        <v>46280</v>
      </c>
      <c r="I4004" s="89">
        <v>46286</v>
      </c>
      <c r="J4004" s="91" t="s">
        <v>6342</v>
      </c>
      <c r="K4004" s="91" t="s">
        <v>6343</v>
      </c>
      <c r="L4004">
        <v>1</v>
      </c>
      <c r="M4004" s="91" t="s">
        <v>6344</v>
      </c>
      <c r="N4004" s="91" t="s">
        <v>6237</v>
      </c>
    </row>
    <row r="4005" spans="1:14" x14ac:dyDescent="0.25">
      <c r="A4005" s="91" t="s">
        <v>1315</v>
      </c>
      <c r="B4005" s="91" t="s">
        <v>1329</v>
      </c>
      <c r="C4005" s="91" t="s">
        <v>1366</v>
      </c>
      <c r="D4005" s="91" t="s">
        <v>15</v>
      </c>
      <c r="E4005" s="91" t="s">
        <v>19</v>
      </c>
      <c r="F4005">
        <v>42</v>
      </c>
      <c r="G4005" t="s">
        <v>1419</v>
      </c>
      <c r="H4005" s="89">
        <v>46280</v>
      </c>
      <c r="I4005" s="89">
        <v>46282</v>
      </c>
      <c r="J4005" s="91" t="s">
        <v>1656</v>
      </c>
      <c r="K4005" s="91" t="s">
        <v>6345</v>
      </c>
      <c r="L4005">
        <v>1</v>
      </c>
      <c r="M4005" s="91" t="s">
        <v>6346</v>
      </c>
      <c r="N4005" s="91" t="s">
        <v>6237</v>
      </c>
    </row>
    <row r="4006" spans="1:14" x14ac:dyDescent="0.25">
      <c r="A4006" s="91" t="s">
        <v>1316</v>
      </c>
      <c r="B4006" s="91" t="s">
        <v>1330</v>
      </c>
      <c r="C4006" s="91" t="s">
        <v>1367</v>
      </c>
      <c r="D4006" s="91" t="s">
        <v>15</v>
      </c>
      <c r="E4006" s="91" t="s">
        <v>19</v>
      </c>
      <c r="F4006">
        <v>55</v>
      </c>
      <c r="G4006" t="s">
        <v>1419</v>
      </c>
      <c r="H4006" s="89">
        <v>46280</v>
      </c>
      <c r="I4006" s="89">
        <v>46282</v>
      </c>
      <c r="J4006" s="91" t="s">
        <v>1656</v>
      </c>
      <c r="K4006" s="91" t="s">
        <v>6347</v>
      </c>
      <c r="L4006">
        <v>1</v>
      </c>
      <c r="M4006" s="91" t="s">
        <v>6348</v>
      </c>
      <c r="N4006" s="91" t="s">
        <v>6237</v>
      </c>
    </row>
    <row r="4007" spans="1:14" x14ac:dyDescent="0.25">
      <c r="A4007" s="91" t="s">
        <v>1317</v>
      </c>
      <c r="B4007" s="91" t="s">
        <v>1331</v>
      </c>
      <c r="C4007" s="91" t="s">
        <v>1368</v>
      </c>
      <c r="D4007" s="91" t="s">
        <v>15</v>
      </c>
      <c r="E4007" s="91" t="s">
        <v>19</v>
      </c>
      <c r="F4007">
        <v>68</v>
      </c>
      <c r="G4007" t="s">
        <v>1419</v>
      </c>
      <c r="H4007" s="89">
        <v>46280</v>
      </c>
      <c r="I4007" s="89">
        <v>46282</v>
      </c>
      <c r="J4007" s="91" t="s">
        <v>1656</v>
      </c>
      <c r="K4007" s="91" t="s">
        <v>6349</v>
      </c>
      <c r="L4007">
        <v>1</v>
      </c>
      <c r="M4007" s="91" t="s">
        <v>6350</v>
      </c>
      <c r="N4007" s="91" t="s">
        <v>6237</v>
      </c>
    </row>
    <row r="4008" spans="1:14" x14ac:dyDescent="0.25">
      <c r="A4008" s="91" t="s">
        <v>1318</v>
      </c>
      <c r="B4008" s="91" t="s">
        <v>1332</v>
      </c>
      <c r="C4008" s="91" t="s">
        <v>1369</v>
      </c>
      <c r="D4008" s="91" t="s">
        <v>15</v>
      </c>
      <c r="E4008" s="91" t="s">
        <v>19</v>
      </c>
      <c r="F4008">
        <v>25</v>
      </c>
      <c r="G4008" t="s">
        <v>1419</v>
      </c>
      <c r="H4008" s="89">
        <v>46280</v>
      </c>
      <c r="I4008" s="89">
        <v>46282</v>
      </c>
      <c r="J4008" s="91" t="s">
        <v>1656</v>
      </c>
      <c r="K4008" s="91" t="s">
        <v>6351</v>
      </c>
      <c r="L4008">
        <v>1</v>
      </c>
      <c r="M4008" s="91" t="s">
        <v>6352</v>
      </c>
      <c r="N4008" s="91" t="s">
        <v>6237</v>
      </c>
    </row>
    <row r="4009" spans="1:14" x14ac:dyDescent="0.25">
      <c r="A4009" s="91" t="s">
        <v>1324</v>
      </c>
      <c r="B4009" s="91" t="s">
        <v>1338</v>
      </c>
      <c r="C4009" s="91" t="s">
        <v>1370</v>
      </c>
      <c r="D4009" s="91" t="s">
        <v>24</v>
      </c>
      <c r="E4009" s="91" t="s">
        <v>25</v>
      </c>
      <c r="F4009">
        <v>768</v>
      </c>
      <c r="G4009">
        <v>16</v>
      </c>
      <c r="H4009" s="89">
        <v>46281</v>
      </c>
      <c r="I4009" s="89">
        <v>46288</v>
      </c>
      <c r="J4009" s="91" t="s">
        <v>6353</v>
      </c>
      <c r="K4009" s="91" t="s">
        <v>6354</v>
      </c>
      <c r="L4009">
        <v>1</v>
      </c>
      <c r="M4009" s="91" t="s">
        <v>6355</v>
      </c>
      <c r="N4009" s="91" t="s">
        <v>6237</v>
      </c>
    </row>
    <row r="4010" spans="1:14" x14ac:dyDescent="0.25">
      <c r="A4010" s="91" t="s">
        <v>1320</v>
      </c>
      <c r="B4010" s="91" t="s">
        <v>1334</v>
      </c>
      <c r="C4010" s="91" t="s">
        <v>1371</v>
      </c>
      <c r="D4010" s="91" t="s">
        <v>23</v>
      </c>
      <c r="E4010" s="91" t="s">
        <v>14</v>
      </c>
      <c r="F4010">
        <v>432</v>
      </c>
      <c r="G4010">
        <v>9</v>
      </c>
      <c r="H4010" s="89">
        <v>46281</v>
      </c>
      <c r="I4010" s="89">
        <v>46286</v>
      </c>
      <c r="J4010" s="91" t="s">
        <v>6297</v>
      </c>
      <c r="K4010" s="91" t="s">
        <v>6356</v>
      </c>
      <c r="L4010">
        <v>1</v>
      </c>
      <c r="M4010" s="91" t="s">
        <v>6357</v>
      </c>
      <c r="N4010" s="91" t="s">
        <v>6237</v>
      </c>
    </row>
    <row r="4011" spans="1:14" x14ac:dyDescent="0.25">
      <c r="A4011" s="91" t="s">
        <v>1313</v>
      </c>
      <c r="B4011" s="91" t="s">
        <v>1327</v>
      </c>
      <c r="C4011" s="91" t="s">
        <v>1371</v>
      </c>
      <c r="D4011" s="91" t="s">
        <v>23</v>
      </c>
      <c r="E4011" s="91" t="s">
        <v>22</v>
      </c>
      <c r="F4011">
        <v>480</v>
      </c>
      <c r="G4011">
        <v>10</v>
      </c>
      <c r="H4011" s="89">
        <v>46281</v>
      </c>
      <c r="I4011" s="89">
        <v>46286</v>
      </c>
      <c r="J4011" s="91" t="s">
        <v>6308</v>
      </c>
      <c r="K4011" s="91" t="s">
        <v>6358</v>
      </c>
      <c r="L4011">
        <v>1</v>
      </c>
      <c r="M4011" s="91" t="s">
        <v>6359</v>
      </c>
      <c r="N4011" s="91" t="s">
        <v>6237</v>
      </c>
    </row>
    <row r="4012" spans="1:14" x14ac:dyDescent="0.25">
      <c r="A4012" s="91" t="s">
        <v>1325</v>
      </c>
      <c r="B4012" s="91" t="s">
        <v>1339</v>
      </c>
      <c r="C4012" s="91" t="s">
        <v>1372</v>
      </c>
      <c r="D4012" s="91" t="s">
        <v>27</v>
      </c>
      <c r="E4012" s="91" t="s">
        <v>19</v>
      </c>
      <c r="F4012">
        <v>384</v>
      </c>
      <c r="G4012">
        <v>8</v>
      </c>
      <c r="H4012" s="89">
        <v>46282</v>
      </c>
      <c r="I4012" s="89">
        <v>46284</v>
      </c>
      <c r="J4012" s="91" t="s">
        <v>1656</v>
      </c>
      <c r="K4012" s="91" t="s">
        <v>6360</v>
      </c>
      <c r="L4012">
        <v>1</v>
      </c>
      <c r="M4012" s="91" t="s">
        <v>6361</v>
      </c>
      <c r="N4012" s="91" t="s">
        <v>6237</v>
      </c>
    </row>
    <row r="4013" spans="1:14" x14ac:dyDescent="0.25">
      <c r="A4013" s="91" t="s">
        <v>1320</v>
      </c>
      <c r="B4013" s="91" t="s">
        <v>1334</v>
      </c>
      <c r="C4013" s="91" t="s">
        <v>1373</v>
      </c>
      <c r="D4013" s="91" t="s">
        <v>30</v>
      </c>
      <c r="E4013" s="91" t="s">
        <v>14</v>
      </c>
      <c r="F4013">
        <v>480</v>
      </c>
      <c r="G4013">
        <v>10</v>
      </c>
      <c r="H4013" s="89">
        <v>46282</v>
      </c>
      <c r="I4013" s="89">
        <v>46289</v>
      </c>
      <c r="J4013" s="91" t="s">
        <v>6362</v>
      </c>
      <c r="K4013" s="91" t="s">
        <v>6363</v>
      </c>
      <c r="L4013">
        <v>1</v>
      </c>
      <c r="M4013" s="91" t="s">
        <v>6364</v>
      </c>
      <c r="N4013" s="91" t="s">
        <v>6237</v>
      </c>
    </row>
    <row r="4014" spans="1:14" x14ac:dyDescent="0.25">
      <c r="A4014" s="91" t="s">
        <v>1324</v>
      </c>
      <c r="B4014" s="91" t="s">
        <v>1338</v>
      </c>
      <c r="C4014" s="91" t="s">
        <v>1374</v>
      </c>
      <c r="D4014" s="91" t="s">
        <v>24</v>
      </c>
      <c r="E4014" s="91" t="s">
        <v>25</v>
      </c>
      <c r="F4014">
        <v>192</v>
      </c>
      <c r="G4014">
        <v>4</v>
      </c>
      <c r="H4014" s="89">
        <v>46282</v>
      </c>
      <c r="I4014" s="89">
        <v>46288</v>
      </c>
      <c r="J4014" s="91" t="s">
        <v>6353</v>
      </c>
      <c r="K4014" s="91" t="s">
        <v>6365</v>
      </c>
      <c r="L4014">
        <v>1</v>
      </c>
      <c r="M4014" s="91" t="s">
        <v>6366</v>
      </c>
      <c r="N4014" s="91" t="s">
        <v>6237</v>
      </c>
    </row>
    <row r="4015" spans="1:14" x14ac:dyDescent="0.25">
      <c r="A4015" s="91" t="s">
        <v>1324</v>
      </c>
      <c r="B4015" s="91" t="s">
        <v>1338</v>
      </c>
      <c r="C4015" s="91" t="s">
        <v>1374</v>
      </c>
      <c r="D4015" s="91" t="s">
        <v>24</v>
      </c>
      <c r="E4015" s="91" t="s">
        <v>25</v>
      </c>
      <c r="F4015">
        <v>960</v>
      </c>
      <c r="G4015">
        <v>20</v>
      </c>
      <c r="H4015" s="89">
        <v>46282</v>
      </c>
      <c r="I4015" s="89">
        <v>46288</v>
      </c>
      <c r="J4015" s="91" t="s">
        <v>6353</v>
      </c>
      <c r="K4015" s="91" t="s">
        <v>6367</v>
      </c>
      <c r="L4015">
        <v>1</v>
      </c>
      <c r="M4015" s="91" t="s">
        <v>6368</v>
      </c>
      <c r="N4015" s="91" t="s">
        <v>6237</v>
      </c>
    </row>
    <row r="4016" spans="1:14" x14ac:dyDescent="0.25">
      <c r="A4016" s="91" t="s">
        <v>1313</v>
      </c>
      <c r="B4016" s="91" t="s">
        <v>1327</v>
      </c>
      <c r="C4016" s="91" t="s">
        <v>1375</v>
      </c>
      <c r="D4016" s="91" t="s">
        <v>23</v>
      </c>
      <c r="E4016" s="91" t="s">
        <v>22</v>
      </c>
      <c r="F4016">
        <v>192</v>
      </c>
      <c r="G4016">
        <v>4</v>
      </c>
      <c r="H4016" s="89">
        <v>46282</v>
      </c>
      <c r="I4016" s="89">
        <v>46286</v>
      </c>
      <c r="J4016" s="91" t="s">
        <v>6308</v>
      </c>
      <c r="K4016" s="91" t="s">
        <v>6369</v>
      </c>
      <c r="L4016">
        <v>1</v>
      </c>
      <c r="M4016" s="91" t="s">
        <v>6370</v>
      </c>
      <c r="N4016" s="91" t="s">
        <v>6237</v>
      </c>
    </row>
    <row r="4017" spans="1:14" x14ac:dyDescent="0.25">
      <c r="A4017" s="91" t="s">
        <v>1313</v>
      </c>
      <c r="B4017" s="91" t="s">
        <v>1327</v>
      </c>
      <c r="C4017" s="91" t="s">
        <v>1376</v>
      </c>
      <c r="D4017" s="91" t="s">
        <v>24</v>
      </c>
      <c r="E4017" s="91" t="s">
        <v>22</v>
      </c>
      <c r="F4017">
        <v>192</v>
      </c>
      <c r="G4017">
        <v>4</v>
      </c>
      <c r="H4017" s="89">
        <v>46283</v>
      </c>
      <c r="I4017" s="89">
        <v>46289</v>
      </c>
      <c r="J4017" s="91" t="s">
        <v>6371</v>
      </c>
      <c r="K4017" s="91" t="s">
        <v>6372</v>
      </c>
      <c r="L4017">
        <v>1</v>
      </c>
      <c r="M4017" s="91" t="s">
        <v>6373</v>
      </c>
      <c r="N4017" s="91" t="s">
        <v>6237</v>
      </c>
    </row>
    <row r="4018" spans="1:14" x14ac:dyDescent="0.25">
      <c r="A4018" s="91" t="s">
        <v>1320</v>
      </c>
      <c r="B4018" s="91" t="s">
        <v>1334</v>
      </c>
      <c r="C4018" s="91" t="s">
        <v>1375</v>
      </c>
      <c r="D4018" s="91" t="s">
        <v>23</v>
      </c>
      <c r="E4018" s="91" t="s">
        <v>14</v>
      </c>
      <c r="F4018">
        <v>624</v>
      </c>
      <c r="G4018">
        <v>13</v>
      </c>
      <c r="H4018" s="89">
        <v>46282</v>
      </c>
      <c r="I4018" s="89">
        <v>46286</v>
      </c>
      <c r="J4018" s="91" t="s">
        <v>6374</v>
      </c>
      <c r="K4018" s="91" t="s">
        <v>6375</v>
      </c>
      <c r="L4018">
        <v>1</v>
      </c>
      <c r="M4018" s="91" t="s">
        <v>6376</v>
      </c>
      <c r="N4018" s="91" t="s">
        <v>6237</v>
      </c>
    </row>
    <row r="4019" spans="1:14" x14ac:dyDescent="0.25">
      <c r="A4019" s="91" t="s">
        <v>1313</v>
      </c>
      <c r="B4019" s="91" t="s">
        <v>1327</v>
      </c>
      <c r="C4019" s="91" t="s">
        <v>1377</v>
      </c>
      <c r="D4019" s="91" t="s">
        <v>15</v>
      </c>
      <c r="E4019" s="91" t="s">
        <v>18</v>
      </c>
      <c r="F4019">
        <v>1008</v>
      </c>
      <c r="G4019">
        <v>21</v>
      </c>
      <c r="H4019" s="89">
        <v>46282</v>
      </c>
      <c r="I4019" s="89">
        <v>46286</v>
      </c>
      <c r="J4019" s="91" t="s">
        <v>6342</v>
      </c>
      <c r="K4019" s="91" t="s">
        <v>6377</v>
      </c>
      <c r="L4019">
        <v>1</v>
      </c>
      <c r="M4019" s="91" t="s">
        <v>6378</v>
      </c>
      <c r="N4019" s="91" t="s">
        <v>6237</v>
      </c>
    </row>
    <row r="4020" spans="1:14" x14ac:dyDescent="0.25">
      <c r="A4020" s="91" t="s">
        <v>1314</v>
      </c>
      <c r="B4020" s="91" t="s">
        <v>1328</v>
      </c>
      <c r="C4020" s="91" t="s">
        <v>1377</v>
      </c>
      <c r="D4020" s="91" t="s">
        <v>15</v>
      </c>
      <c r="E4020" s="91" t="s">
        <v>18</v>
      </c>
      <c r="F4020">
        <v>96</v>
      </c>
      <c r="G4020">
        <v>2</v>
      </c>
      <c r="H4020" s="89">
        <v>46282</v>
      </c>
      <c r="I4020" s="89">
        <v>46286</v>
      </c>
      <c r="J4020" s="91" t="s">
        <v>6342</v>
      </c>
      <c r="K4020" s="91" t="s">
        <v>6379</v>
      </c>
      <c r="L4020">
        <v>1</v>
      </c>
      <c r="M4020" s="91" t="s">
        <v>6380</v>
      </c>
      <c r="N4020" s="91" t="s">
        <v>6237</v>
      </c>
    </row>
    <row r="4021" spans="1:14" x14ac:dyDescent="0.25">
      <c r="A4021" s="91" t="s">
        <v>1314</v>
      </c>
      <c r="B4021" s="91" t="s">
        <v>1328</v>
      </c>
      <c r="C4021" s="91" t="s">
        <v>1377</v>
      </c>
      <c r="D4021" s="91" t="s">
        <v>15</v>
      </c>
      <c r="E4021" s="91" t="s">
        <v>16</v>
      </c>
      <c r="F4021">
        <v>288</v>
      </c>
      <c r="G4021">
        <v>6</v>
      </c>
      <c r="H4021" s="89">
        <v>46282</v>
      </c>
      <c r="I4021" s="89">
        <v>46286</v>
      </c>
      <c r="J4021" s="91" t="s">
        <v>6381</v>
      </c>
      <c r="K4021" s="91" t="s">
        <v>6382</v>
      </c>
      <c r="L4021">
        <v>1</v>
      </c>
      <c r="M4021" s="91" t="s">
        <v>6383</v>
      </c>
      <c r="N4021" s="91" t="s">
        <v>6237</v>
      </c>
    </row>
    <row r="4022" spans="1:14" x14ac:dyDescent="0.25">
      <c r="A4022" s="91" t="s">
        <v>1313</v>
      </c>
      <c r="B4022" s="91" t="s">
        <v>1327</v>
      </c>
      <c r="C4022" s="91" t="s">
        <v>1377</v>
      </c>
      <c r="D4022" s="91" t="s">
        <v>15</v>
      </c>
      <c r="E4022" s="91" t="s">
        <v>22</v>
      </c>
      <c r="F4022">
        <v>192</v>
      </c>
      <c r="G4022">
        <v>4</v>
      </c>
      <c r="H4022" s="89">
        <v>46282</v>
      </c>
      <c r="I4022" s="89">
        <v>46286</v>
      </c>
      <c r="J4022" s="91" t="s">
        <v>6308</v>
      </c>
      <c r="K4022" s="91" t="s">
        <v>6384</v>
      </c>
      <c r="L4022">
        <v>1</v>
      </c>
      <c r="M4022" s="91" t="s">
        <v>6385</v>
      </c>
      <c r="N4022" s="91" t="s">
        <v>6237</v>
      </c>
    </row>
    <row r="4023" spans="1:14" x14ac:dyDescent="0.25">
      <c r="A4023" s="91" t="s">
        <v>1313</v>
      </c>
      <c r="B4023" s="91" t="s">
        <v>1327</v>
      </c>
      <c r="C4023" s="91" t="s">
        <v>1377</v>
      </c>
      <c r="D4023" s="91" t="s">
        <v>15</v>
      </c>
      <c r="E4023" s="91" t="s">
        <v>18</v>
      </c>
      <c r="F4023">
        <v>48</v>
      </c>
      <c r="G4023">
        <v>1</v>
      </c>
      <c r="H4023" s="89">
        <v>46282</v>
      </c>
      <c r="I4023" s="89">
        <v>46288</v>
      </c>
      <c r="J4023" s="91" t="s">
        <v>6386</v>
      </c>
      <c r="K4023" s="91" t="s">
        <v>6387</v>
      </c>
      <c r="L4023">
        <v>1</v>
      </c>
      <c r="M4023" s="91" t="s">
        <v>6388</v>
      </c>
      <c r="N4023" s="91" t="s">
        <v>6237</v>
      </c>
    </row>
    <row r="4024" spans="1:14" x14ac:dyDescent="0.25">
      <c r="A4024" s="91" t="s">
        <v>1315</v>
      </c>
      <c r="B4024" s="91" t="s">
        <v>1329</v>
      </c>
      <c r="C4024" s="91" t="s">
        <v>1377</v>
      </c>
      <c r="D4024" s="91" t="s">
        <v>15</v>
      </c>
      <c r="E4024" s="91" t="s">
        <v>19</v>
      </c>
      <c r="F4024">
        <v>23</v>
      </c>
      <c r="G4024" t="s">
        <v>1419</v>
      </c>
      <c r="H4024" s="89">
        <v>46282</v>
      </c>
      <c r="I4024" s="89">
        <v>46284</v>
      </c>
      <c r="J4024" s="91" t="s">
        <v>1656</v>
      </c>
      <c r="K4024" s="91" t="s">
        <v>6389</v>
      </c>
      <c r="L4024">
        <v>1</v>
      </c>
      <c r="M4024" s="91" t="s">
        <v>6390</v>
      </c>
      <c r="N4024" s="91" t="s">
        <v>6237</v>
      </c>
    </row>
    <row r="4025" spans="1:14" x14ac:dyDescent="0.25">
      <c r="A4025" s="91" t="s">
        <v>1316</v>
      </c>
      <c r="B4025" s="91" t="s">
        <v>1330</v>
      </c>
      <c r="C4025" s="91" t="s">
        <v>1378</v>
      </c>
      <c r="D4025" s="91" t="s">
        <v>15</v>
      </c>
      <c r="E4025" s="91" t="s">
        <v>19</v>
      </c>
      <c r="F4025">
        <v>49</v>
      </c>
      <c r="G4025" t="s">
        <v>1419</v>
      </c>
      <c r="H4025" s="89">
        <v>46282</v>
      </c>
      <c r="I4025" s="89">
        <v>46284</v>
      </c>
      <c r="J4025" s="91" t="s">
        <v>1656</v>
      </c>
      <c r="K4025" s="91" t="s">
        <v>6391</v>
      </c>
      <c r="L4025">
        <v>1</v>
      </c>
      <c r="M4025" s="91" t="s">
        <v>6392</v>
      </c>
      <c r="N4025" s="91" t="s">
        <v>6237</v>
      </c>
    </row>
    <row r="4026" spans="1:14" x14ac:dyDescent="0.25">
      <c r="A4026" s="91" t="s">
        <v>1317</v>
      </c>
      <c r="B4026" s="91" t="s">
        <v>1331</v>
      </c>
      <c r="C4026" s="91" t="s">
        <v>1379</v>
      </c>
      <c r="D4026" s="91" t="s">
        <v>15</v>
      </c>
      <c r="E4026" s="91" t="s">
        <v>19</v>
      </c>
      <c r="F4026">
        <v>45</v>
      </c>
      <c r="G4026" t="s">
        <v>1419</v>
      </c>
      <c r="H4026" s="89">
        <v>46282</v>
      </c>
      <c r="I4026" s="89">
        <v>46284</v>
      </c>
      <c r="J4026" s="91" t="s">
        <v>1656</v>
      </c>
      <c r="K4026" s="91" t="s">
        <v>6393</v>
      </c>
      <c r="L4026">
        <v>1</v>
      </c>
      <c r="M4026" s="91" t="s">
        <v>6394</v>
      </c>
      <c r="N4026" s="91" t="s">
        <v>6237</v>
      </c>
    </row>
    <row r="4027" spans="1:14" x14ac:dyDescent="0.25">
      <c r="A4027" s="91" t="s">
        <v>1318</v>
      </c>
      <c r="B4027" s="91" t="s">
        <v>1332</v>
      </c>
      <c r="C4027" s="91" t="s">
        <v>1380</v>
      </c>
      <c r="D4027" s="91" t="s">
        <v>15</v>
      </c>
      <c r="E4027" s="91" t="s">
        <v>19</v>
      </c>
      <c r="F4027">
        <v>35</v>
      </c>
      <c r="G4027" t="s">
        <v>1419</v>
      </c>
      <c r="H4027" s="89">
        <v>46282</v>
      </c>
      <c r="I4027" s="89">
        <v>46284</v>
      </c>
      <c r="J4027" s="91" t="s">
        <v>1656</v>
      </c>
      <c r="K4027" s="91" t="s">
        <v>6395</v>
      </c>
      <c r="L4027">
        <v>1</v>
      </c>
      <c r="M4027" s="91" t="s">
        <v>6396</v>
      </c>
      <c r="N4027" s="91" t="s">
        <v>6237</v>
      </c>
    </row>
    <row r="4028" spans="1:14" x14ac:dyDescent="0.25">
      <c r="A4028" s="91" t="s">
        <v>1313</v>
      </c>
      <c r="B4028" s="91" t="s">
        <v>1327</v>
      </c>
      <c r="C4028" s="91" t="s">
        <v>1381</v>
      </c>
      <c r="D4028" s="91" t="s">
        <v>20</v>
      </c>
      <c r="E4028" s="91" t="s">
        <v>17</v>
      </c>
      <c r="F4028">
        <v>1104</v>
      </c>
      <c r="G4028">
        <v>23</v>
      </c>
      <c r="H4028" s="89">
        <v>46282</v>
      </c>
      <c r="I4028" s="89">
        <v>46286</v>
      </c>
      <c r="J4028" s="91" t="s">
        <v>6397</v>
      </c>
      <c r="K4028" s="91" t="s">
        <v>6398</v>
      </c>
      <c r="L4028">
        <v>1</v>
      </c>
      <c r="M4028" s="91" t="s">
        <v>6399</v>
      </c>
      <c r="N4028" s="91" t="s">
        <v>6237</v>
      </c>
    </row>
    <row r="4029" spans="1:14" x14ac:dyDescent="0.25">
      <c r="A4029" s="91" t="s">
        <v>1319</v>
      </c>
      <c r="B4029" s="91" t="s">
        <v>1333</v>
      </c>
      <c r="C4029" s="91" t="s">
        <v>1381</v>
      </c>
      <c r="D4029" s="91" t="s">
        <v>20</v>
      </c>
      <c r="E4029" s="91" t="s">
        <v>17</v>
      </c>
      <c r="F4029">
        <v>48</v>
      </c>
      <c r="G4029">
        <v>1</v>
      </c>
      <c r="H4029" s="89">
        <v>46282</v>
      </c>
      <c r="I4029" s="89">
        <v>46286</v>
      </c>
      <c r="J4029" s="91" t="s">
        <v>6397</v>
      </c>
      <c r="K4029" s="91" t="s">
        <v>6400</v>
      </c>
      <c r="L4029">
        <v>1</v>
      </c>
      <c r="M4029" s="91" t="s">
        <v>6401</v>
      </c>
      <c r="N4029" s="91" t="s">
        <v>6237</v>
      </c>
    </row>
    <row r="4030" spans="1:14" x14ac:dyDescent="0.25">
      <c r="A4030" s="91" t="s">
        <v>1313</v>
      </c>
      <c r="B4030" s="91" t="s">
        <v>1327</v>
      </c>
      <c r="C4030" s="91" t="s">
        <v>1381</v>
      </c>
      <c r="D4030" s="91" t="s">
        <v>20</v>
      </c>
      <c r="E4030" s="91" t="s">
        <v>19</v>
      </c>
      <c r="F4030">
        <v>288</v>
      </c>
      <c r="G4030">
        <v>6</v>
      </c>
      <c r="H4030" s="89">
        <v>46282</v>
      </c>
      <c r="I4030" s="89">
        <v>46287</v>
      </c>
      <c r="J4030" s="91" t="s">
        <v>1656</v>
      </c>
      <c r="K4030" s="91" t="s">
        <v>6402</v>
      </c>
      <c r="L4030">
        <v>1</v>
      </c>
      <c r="M4030" s="91" t="s">
        <v>6403</v>
      </c>
      <c r="N4030" s="91" t="s">
        <v>6237</v>
      </c>
    </row>
    <row r="4031" spans="1:14" x14ac:dyDescent="0.25">
      <c r="A4031" s="91" t="s">
        <v>1315</v>
      </c>
      <c r="B4031" s="91" t="s">
        <v>1329</v>
      </c>
      <c r="C4031" s="91" t="s">
        <v>1381</v>
      </c>
      <c r="D4031" s="91" t="s">
        <v>20</v>
      </c>
      <c r="E4031" s="91" t="s">
        <v>19</v>
      </c>
      <c r="F4031">
        <v>95</v>
      </c>
      <c r="G4031" t="s">
        <v>1419</v>
      </c>
      <c r="H4031" s="89">
        <v>46282</v>
      </c>
      <c r="I4031" s="89">
        <v>46284</v>
      </c>
      <c r="J4031" s="91" t="s">
        <v>1656</v>
      </c>
      <c r="K4031" s="91" t="s">
        <v>6404</v>
      </c>
      <c r="L4031">
        <v>1</v>
      </c>
      <c r="M4031" s="91" t="s">
        <v>6405</v>
      </c>
      <c r="N4031" s="91" t="s">
        <v>6237</v>
      </c>
    </row>
    <row r="4032" spans="1:14" x14ac:dyDescent="0.25">
      <c r="A4032" s="91" t="s">
        <v>1316</v>
      </c>
      <c r="B4032" s="91" t="s">
        <v>1330</v>
      </c>
      <c r="C4032" s="91" t="s">
        <v>1382</v>
      </c>
      <c r="D4032" s="91" t="s">
        <v>20</v>
      </c>
      <c r="E4032" s="91" t="s">
        <v>19</v>
      </c>
      <c r="F4032">
        <v>78</v>
      </c>
      <c r="G4032" t="s">
        <v>1419</v>
      </c>
      <c r="H4032" s="89">
        <v>46282</v>
      </c>
      <c r="I4032" s="89">
        <v>46284</v>
      </c>
      <c r="J4032" s="91" t="s">
        <v>1656</v>
      </c>
      <c r="K4032" s="91" t="s">
        <v>6406</v>
      </c>
      <c r="L4032">
        <v>1</v>
      </c>
      <c r="M4032" s="91" t="s">
        <v>6407</v>
      </c>
      <c r="N4032" s="91" t="s">
        <v>6237</v>
      </c>
    </row>
    <row r="4033" spans="1:14" x14ac:dyDescent="0.25">
      <c r="A4033" s="91" t="s">
        <v>1317</v>
      </c>
      <c r="B4033" s="91" t="s">
        <v>1331</v>
      </c>
      <c r="C4033" s="91" t="s">
        <v>1383</v>
      </c>
      <c r="D4033" s="91" t="s">
        <v>20</v>
      </c>
      <c r="E4033" s="91" t="s">
        <v>19</v>
      </c>
      <c r="F4033">
        <v>47</v>
      </c>
      <c r="G4033" t="s">
        <v>1419</v>
      </c>
      <c r="H4033" s="89">
        <v>46282</v>
      </c>
      <c r="I4033" s="89">
        <v>46284</v>
      </c>
      <c r="J4033" s="91" t="s">
        <v>1656</v>
      </c>
      <c r="K4033" s="91" t="s">
        <v>6408</v>
      </c>
      <c r="L4033">
        <v>1</v>
      </c>
      <c r="M4033" s="91" t="s">
        <v>6409</v>
      </c>
      <c r="N4033" s="91" t="s">
        <v>6237</v>
      </c>
    </row>
    <row r="4034" spans="1:14" x14ac:dyDescent="0.25">
      <c r="A4034" s="91" t="s">
        <v>1318</v>
      </c>
      <c r="B4034" s="91" t="s">
        <v>1332</v>
      </c>
      <c r="C4034" s="91" t="s">
        <v>1384</v>
      </c>
      <c r="D4034" s="91" t="s">
        <v>20</v>
      </c>
      <c r="E4034" s="91" t="s">
        <v>19</v>
      </c>
      <c r="F4034">
        <v>62</v>
      </c>
      <c r="G4034" t="s">
        <v>1419</v>
      </c>
      <c r="H4034" s="89">
        <v>46282</v>
      </c>
      <c r="I4034" s="89">
        <v>46284</v>
      </c>
      <c r="J4034" s="91" t="s">
        <v>1656</v>
      </c>
      <c r="K4034" s="91" t="s">
        <v>6410</v>
      </c>
      <c r="L4034">
        <v>1</v>
      </c>
      <c r="M4034" s="91" t="s">
        <v>6411</v>
      </c>
      <c r="N4034" s="91" t="s">
        <v>6237</v>
      </c>
    </row>
    <row r="4035" spans="1:14" x14ac:dyDescent="0.25">
      <c r="A4035" s="91" t="s">
        <v>1313</v>
      </c>
      <c r="B4035" s="91" t="s">
        <v>1327</v>
      </c>
      <c r="C4035" s="91" t="s">
        <v>1385</v>
      </c>
      <c r="D4035" s="91" t="s">
        <v>21</v>
      </c>
      <c r="E4035" s="91" t="s">
        <v>16</v>
      </c>
      <c r="F4035">
        <v>576</v>
      </c>
      <c r="G4035">
        <v>12</v>
      </c>
      <c r="H4035" s="89">
        <v>46282</v>
      </c>
      <c r="I4035" s="89">
        <v>46286</v>
      </c>
      <c r="J4035" s="91" t="s">
        <v>6412</v>
      </c>
      <c r="K4035" s="91" t="s">
        <v>6413</v>
      </c>
      <c r="L4035">
        <v>1</v>
      </c>
      <c r="M4035" s="91" t="s">
        <v>6414</v>
      </c>
      <c r="N4035" s="91" t="s">
        <v>6237</v>
      </c>
    </row>
    <row r="4036" spans="1:14" x14ac:dyDescent="0.25">
      <c r="A4036" s="91" t="s">
        <v>1324</v>
      </c>
      <c r="B4036" s="91" t="s">
        <v>1338</v>
      </c>
      <c r="C4036" s="91" t="s">
        <v>1385</v>
      </c>
      <c r="D4036" s="91" t="s">
        <v>21</v>
      </c>
      <c r="E4036" s="91" t="s">
        <v>65</v>
      </c>
      <c r="F4036">
        <v>960</v>
      </c>
      <c r="G4036">
        <v>20</v>
      </c>
      <c r="H4036" s="89">
        <v>46282</v>
      </c>
      <c r="I4036" s="89">
        <v>46287</v>
      </c>
      <c r="J4036" s="91" t="s">
        <v>6300</v>
      </c>
      <c r="K4036" s="91" t="s">
        <v>6415</v>
      </c>
      <c r="L4036">
        <v>1</v>
      </c>
      <c r="M4036" s="91" t="s">
        <v>6416</v>
      </c>
      <c r="N4036" s="91" t="s">
        <v>6237</v>
      </c>
    </row>
    <row r="4037" spans="1:14" x14ac:dyDescent="0.25">
      <c r="A4037" s="91" t="s">
        <v>1315</v>
      </c>
      <c r="B4037" s="91" t="s">
        <v>1329</v>
      </c>
      <c r="C4037" s="91" t="s">
        <v>1385</v>
      </c>
      <c r="D4037" s="91" t="s">
        <v>21</v>
      </c>
      <c r="E4037" s="91" t="s">
        <v>19</v>
      </c>
      <c r="F4037">
        <v>92</v>
      </c>
      <c r="G4037" t="s">
        <v>1419</v>
      </c>
      <c r="H4037" s="89">
        <v>46282</v>
      </c>
      <c r="I4037" s="89">
        <v>46284</v>
      </c>
      <c r="J4037" s="91" t="s">
        <v>1656</v>
      </c>
      <c r="K4037" s="91" t="s">
        <v>6417</v>
      </c>
      <c r="L4037">
        <v>1</v>
      </c>
      <c r="M4037" s="91" t="s">
        <v>6418</v>
      </c>
      <c r="N4037" s="91" t="s">
        <v>6237</v>
      </c>
    </row>
    <row r="4038" spans="1:14" x14ac:dyDescent="0.25">
      <c r="A4038" s="91" t="s">
        <v>1316</v>
      </c>
      <c r="B4038" s="91" t="s">
        <v>1330</v>
      </c>
      <c r="C4038" s="91" t="s">
        <v>1386</v>
      </c>
      <c r="D4038" s="91" t="s">
        <v>21</v>
      </c>
      <c r="E4038" s="91" t="s">
        <v>19</v>
      </c>
      <c r="F4038">
        <v>34</v>
      </c>
      <c r="G4038" t="s">
        <v>1419</v>
      </c>
      <c r="H4038" s="89">
        <v>46282</v>
      </c>
      <c r="I4038" s="89">
        <v>46284</v>
      </c>
      <c r="J4038" s="91" t="s">
        <v>1656</v>
      </c>
      <c r="K4038" s="91" t="s">
        <v>6419</v>
      </c>
      <c r="L4038">
        <v>1</v>
      </c>
      <c r="M4038" s="91" t="s">
        <v>6420</v>
      </c>
      <c r="N4038" s="91" t="s">
        <v>6237</v>
      </c>
    </row>
    <row r="4039" spans="1:14" x14ac:dyDescent="0.25">
      <c r="A4039" s="91" t="s">
        <v>1317</v>
      </c>
      <c r="B4039" s="91" t="s">
        <v>1331</v>
      </c>
      <c r="C4039" s="91" t="s">
        <v>1387</v>
      </c>
      <c r="D4039" s="91" t="s">
        <v>21</v>
      </c>
      <c r="E4039" s="91" t="s">
        <v>19</v>
      </c>
      <c r="F4039">
        <v>20</v>
      </c>
      <c r="G4039" t="s">
        <v>1419</v>
      </c>
      <c r="H4039" s="89">
        <v>46282</v>
      </c>
      <c r="I4039" s="89">
        <v>46284</v>
      </c>
      <c r="J4039" s="91" t="s">
        <v>1656</v>
      </c>
      <c r="K4039" s="91" t="s">
        <v>6421</v>
      </c>
      <c r="L4039">
        <v>1</v>
      </c>
      <c r="M4039" s="91" t="s">
        <v>6422</v>
      </c>
      <c r="N4039" s="91" t="s">
        <v>6237</v>
      </c>
    </row>
    <row r="4040" spans="1:14" x14ac:dyDescent="0.25">
      <c r="A4040" s="91" t="s">
        <v>1318</v>
      </c>
      <c r="B4040" s="91" t="s">
        <v>1332</v>
      </c>
      <c r="C4040" s="91" t="s">
        <v>1388</v>
      </c>
      <c r="D4040" s="91" t="s">
        <v>21</v>
      </c>
      <c r="E4040" s="91" t="s">
        <v>19</v>
      </c>
      <c r="F4040">
        <v>66</v>
      </c>
      <c r="G4040" t="s">
        <v>1419</v>
      </c>
      <c r="H4040" s="89">
        <v>46282</v>
      </c>
      <c r="I4040" s="89">
        <v>46284</v>
      </c>
      <c r="J4040" s="91" t="s">
        <v>1656</v>
      </c>
      <c r="K4040" s="91" t="s">
        <v>6423</v>
      </c>
      <c r="L4040">
        <v>1</v>
      </c>
      <c r="M4040" s="91" t="s">
        <v>6424</v>
      </c>
      <c r="N4040" s="91" t="s">
        <v>6237</v>
      </c>
    </row>
    <row r="4041" spans="1:14" x14ac:dyDescent="0.25">
      <c r="A4041" s="91" t="s">
        <v>1320</v>
      </c>
      <c r="B4041" s="91" t="s">
        <v>1334</v>
      </c>
      <c r="C4041" s="91" t="s">
        <v>1389</v>
      </c>
      <c r="D4041" s="91" t="s">
        <v>30</v>
      </c>
      <c r="E4041" s="91" t="s">
        <v>14</v>
      </c>
      <c r="F4041">
        <v>480</v>
      </c>
      <c r="G4041">
        <v>10</v>
      </c>
      <c r="H4041" s="89">
        <v>46283</v>
      </c>
      <c r="I4041" s="89">
        <v>46289</v>
      </c>
      <c r="J4041" s="91" t="s">
        <v>6362</v>
      </c>
      <c r="K4041" s="91" t="s">
        <v>6425</v>
      </c>
      <c r="L4041">
        <v>1</v>
      </c>
      <c r="M4041" s="91" t="s">
        <v>6426</v>
      </c>
      <c r="N4041" s="91" t="s">
        <v>6237</v>
      </c>
    </row>
    <row r="4042" spans="1:14" x14ac:dyDescent="0.25">
      <c r="A4042" s="91" t="s">
        <v>1320</v>
      </c>
      <c r="B4042" s="91" t="s">
        <v>1334</v>
      </c>
      <c r="C4042" s="91" t="s">
        <v>1390</v>
      </c>
      <c r="D4042" s="91" t="s">
        <v>23</v>
      </c>
      <c r="E4042" s="91" t="s">
        <v>14</v>
      </c>
      <c r="F4042">
        <v>336</v>
      </c>
      <c r="G4042">
        <v>7</v>
      </c>
      <c r="H4042" s="89">
        <v>46283</v>
      </c>
      <c r="I4042" s="89">
        <v>46286</v>
      </c>
      <c r="J4042" s="91" t="s">
        <v>6374</v>
      </c>
      <c r="K4042" s="91" t="s">
        <v>6427</v>
      </c>
      <c r="L4042">
        <v>1</v>
      </c>
      <c r="M4042" s="91" t="s">
        <v>6428</v>
      </c>
      <c r="N4042" s="91" t="s">
        <v>6237</v>
      </c>
    </row>
    <row r="4043" spans="1:14" x14ac:dyDescent="0.25">
      <c r="A4043" s="91" t="s">
        <v>1313</v>
      </c>
      <c r="B4043" s="91" t="s">
        <v>1327</v>
      </c>
      <c r="C4043" s="91" t="s">
        <v>1391</v>
      </c>
      <c r="D4043" s="91" t="s">
        <v>20</v>
      </c>
      <c r="E4043" s="91" t="s">
        <v>16</v>
      </c>
      <c r="F4043">
        <v>288</v>
      </c>
      <c r="G4043">
        <v>6</v>
      </c>
      <c r="H4043" s="89">
        <v>46283</v>
      </c>
      <c r="I4043" s="89">
        <v>46286</v>
      </c>
      <c r="J4043" s="91" t="s">
        <v>6412</v>
      </c>
      <c r="K4043" s="91" t="s">
        <v>6429</v>
      </c>
      <c r="L4043">
        <v>1</v>
      </c>
      <c r="M4043" s="91" t="s">
        <v>6430</v>
      </c>
      <c r="N4043" s="91" t="s">
        <v>6237</v>
      </c>
    </row>
    <row r="4044" spans="1:14" x14ac:dyDescent="0.25">
      <c r="A4044" s="91" t="s">
        <v>1313</v>
      </c>
      <c r="B4044" s="91" t="s">
        <v>1327</v>
      </c>
      <c r="C4044" s="91" t="s">
        <v>1391</v>
      </c>
      <c r="D4044" s="91" t="s">
        <v>20</v>
      </c>
      <c r="E4044" s="91" t="s">
        <v>16</v>
      </c>
      <c r="F4044">
        <v>576</v>
      </c>
      <c r="G4044">
        <v>12</v>
      </c>
      <c r="H4044" s="89">
        <v>46283</v>
      </c>
      <c r="I4044" s="89">
        <v>46289</v>
      </c>
      <c r="J4044" s="91" t="s">
        <v>6431</v>
      </c>
      <c r="K4044" s="91" t="s">
        <v>6432</v>
      </c>
      <c r="L4044">
        <v>1</v>
      </c>
      <c r="M4044" s="91" t="s">
        <v>6433</v>
      </c>
      <c r="N4044" s="91" t="s">
        <v>6237</v>
      </c>
    </row>
    <row r="4045" spans="1:14" x14ac:dyDescent="0.25">
      <c r="A4045" s="91" t="s">
        <v>1313</v>
      </c>
      <c r="B4045" s="91" t="s">
        <v>1327</v>
      </c>
      <c r="C4045" s="91" t="s">
        <v>1391</v>
      </c>
      <c r="D4045" s="91" t="s">
        <v>20</v>
      </c>
      <c r="E4045" s="91" t="s">
        <v>22</v>
      </c>
      <c r="F4045">
        <v>96</v>
      </c>
      <c r="G4045">
        <v>2</v>
      </c>
      <c r="H4045" s="89">
        <v>46283</v>
      </c>
      <c r="I4045" s="89">
        <v>46289</v>
      </c>
      <c r="J4045" s="91" t="s">
        <v>6371</v>
      </c>
      <c r="K4045" s="91" t="s">
        <v>6434</v>
      </c>
      <c r="L4045">
        <v>1</v>
      </c>
      <c r="M4045" s="91" t="s">
        <v>6435</v>
      </c>
      <c r="N4045" s="91" t="s">
        <v>6237</v>
      </c>
    </row>
    <row r="4046" spans="1:14" x14ac:dyDescent="0.25">
      <c r="A4046" s="91" t="s">
        <v>1313</v>
      </c>
      <c r="B4046" s="91" t="s">
        <v>1327</v>
      </c>
      <c r="C4046" s="91" t="s">
        <v>1391</v>
      </c>
      <c r="D4046" s="91" t="s">
        <v>20</v>
      </c>
      <c r="E4046" s="91" t="s">
        <v>19</v>
      </c>
      <c r="F4046">
        <v>48</v>
      </c>
      <c r="G4046">
        <v>1</v>
      </c>
      <c r="H4046" s="89">
        <v>46283</v>
      </c>
      <c r="I4046" s="89">
        <v>46285</v>
      </c>
      <c r="J4046" s="91" t="s">
        <v>1656</v>
      </c>
      <c r="K4046" s="91" t="s">
        <v>6436</v>
      </c>
      <c r="L4046">
        <v>1</v>
      </c>
      <c r="M4046" s="91" t="s">
        <v>6437</v>
      </c>
      <c r="N4046" s="91" t="s">
        <v>6237</v>
      </c>
    </row>
    <row r="4047" spans="1:14" x14ac:dyDescent="0.25">
      <c r="A4047" s="91" t="s">
        <v>1313</v>
      </c>
      <c r="B4047" s="91" t="s">
        <v>1327</v>
      </c>
      <c r="C4047" s="91" t="s">
        <v>1391</v>
      </c>
      <c r="D4047" s="91" t="s">
        <v>20</v>
      </c>
      <c r="E4047" s="91" t="s">
        <v>19</v>
      </c>
      <c r="F4047">
        <v>432</v>
      </c>
      <c r="G4047">
        <v>9</v>
      </c>
      <c r="H4047" s="89">
        <v>46283</v>
      </c>
      <c r="I4047" s="89">
        <v>46285</v>
      </c>
      <c r="J4047" s="91" t="s">
        <v>1656</v>
      </c>
      <c r="K4047" s="91" t="s">
        <v>6436</v>
      </c>
      <c r="L4047">
        <v>2</v>
      </c>
      <c r="M4047" s="91" t="s">
        <v>6438</v>
      </c>
      <c r="N4047" s="91" t="s">
        <v>6237</v>
      </c>
    </row>
    <row r="4048" spans="1:14" x14ac:dyDescent="0.25">
      <c r="A4048" s="91" t="s">
        <v>1315</v>
      </c>
      <c r="B4048" s="91" t="s">
        <v>1329</v>
      </c>
      <c r="C4048" s="91" t="s">
        <v>1391</v>
      </c>
      <c r="D4048" s="91" t="s">
        <v>20</v>
      </c>
      <c r="E4048" s="91" t="s">
        <v>19</v>
      </c>
      <c r="F4048">
        <v>52</v>
      </c>
      <c r="G4048" t="s">
        <v>1419</v>
      </c>
      <c r="H4048" s="89">
        <v>46283</v>
      </c>
      <c r="I4048" s="89">
        <v>46285</v>
      </c>
      <c r="J4048" s="91" t="s">
        <v>1656</v>
      </c>
      <c r="K4048" s="91" t="s">
        <v>6439</v>
      </c>
      <c r="L4048">
        <v>1</v>
      </c>
      <c r="M4048" s="91" t="s">
        <v>6440</v>
      </c>
      <c r="N4048" s="91" t="s">
        <v>6237</v>
      </c>
    </row>
    <row r="4049" spans="1:14" x14ac:dyDescent="0.25">
      <c r="A4049" s="91" t="s">
        <v>1316</v>
      </c>
      <c r="B4049" s="91" t="s">
        <v>1330</v>
      </c>
      <c r="C4049" s="91" t="s">
        <v>1392</v>
      </c>
      <c r="D4049" s="91" t="s">
        <v>20</v>
      </c>
      <c r="E4049" s="91" t="s">
        <v>19</v>
      </c>
      <c r="F4049">
        <v>56</v>
      </c>
      <c r="G4049" t="s">
        <v>1419</v>
      </c>
      <c r="H4049" s="89">
        <v>46283</v>
      </c>
      <c r="I4049" s="89">
        <v>46285</v>
      </c>
      <c r="J4049" s="91" t="s">
        <v>1656</v>
      </c>
      <c r="K4049" s="91" t="s">
        <v>6441</v>
      </c>
      <c r="L4049">
        <v>1</v>
      </c>
      <c r="M4049" s="91" t="s">
        <v>6442</v>
      </c>
      <c r="N4049" s="91" t="s">
        <v>6237</v>
      </c>
    </row>
    <row r="4050" spans="1:14" x14ac:dyDescent="0.25">
      <c r="A4050" s="91" t="s">
        <v>1317</v>
      </c>
      <c r="B4050" s="91" t="s">
        <v>1331</v>
      </c>
      <c r="C4050" s="91" t="s">
        <v>1393</v>
      </c>
      <c r="D4050" s="91" t="s">
        <v>20</v>
      </c>
      <c r="E4050" s="91" t="s">
        <v>19</v>
      </c>
      <c r="F4050">
        <v>34</v>
      </c>
      <c r="G4050" t="s">
        <v>1419</v>
      </c>
      <c r="H4050" s="89">
        <v>46283</v>
      </c>
      <c r="I4050" s="89">
        <v>46285</v>
      </c>
      <c r="J4050" s="91" t="s">
        <v>1656</v>
      </c>
      <c r="K4050" s="91" t="s">
        <v>6443</v>
      </c>
      <c r="L4050">
        <v>1</v>
      </c>
      <c r="M4050" s="91" t="s">
        <v>6444</v>
      </c>
      <c r="N4050" s="91" t="s">
        <v>6237</v>
      </c>
    </row>
    <row r="4051" spans="1:14" x14ac:dyDescent="0.25">
      <c r="A4051" s="91" t="s">
        <v>1318</v>
      </c>
      <c r="B4051" s="91" t="s">
        <v>1332</v>
      </c>
      <c r="C4051" s="91" t="s">
        <v>1394</v>
      </c>
      <c r="D4051" s="91" t="s">
        <v>20</v>
      </c>
      <c r="E4051" s="91" t="s">
        <v>19</v>
      </c>
      <c r="F4051">
        <v>51</v>
      </c>
      <c r="G4051" t="s">
        <v>1419</v>
      </c>
      <c r="H4051" s="89">
        <v>46283</v>
      </c>
      <c r="I4051" s="89">
        <v>46285</v>
      </c>
      <c r="J4051" s="91" t="s">
        <v>1656</v>
      </c>
      <c r="K4051" s="91" t="s">
        <v>6445</v>
      </c>
      <c r="L4051">
        <v>1</v>
      </c>
      <c r="M4051" s="91" t="s">
        <v>6446</v>
      </c>
      <c r="N4051" s="91" t="s">
        <v>6237</v>
      </c>
    </row>
    <row r="4052" spans="1:14" x14ac:dyDescent="0.25">
      <c r="A4052" s="91" t="s">
        <v>1314</v>
      </c>
      <c r="B4052" s="91" t="s">
        <v>1328</v>
      </c>
      <c r="C4052" s="91" t="s">
        <v>1395</v>
      </c>
      <c r="D4052" s="91" t="s">
        <v>15</v>
      </c>
      <c r="E4052" s="91" t="s">
        <v>18</v>
      </c>
      <c r="F4052">
        <v>96</v>
      </c>
      <c r="G4052">
        <v>2</v>
      </c>
      <c r="H4052" s="89">
        <v>46283</v>
      </c>
      <c r="I4052" s="89">
        <v>46288</v>
      </c>
      <c r="J4052" s="91" t="s">
        <v>6386</v>
      </c>
      <c r="K4052" s="91" t="s">
        <v>6447</v>
      </c>
      <c r="L4052">
        <v>1</v>
      </c>
      <c r="M4052" s="91" t="s">
        <v>6448</v>
      </c>
      <c r="N4052" s="91" t="s">
        <v>6237</v>
      </c>
    </row>
    <row r="4053" spans="1:14" x14ac:dyDescent="0.25">
      <c r="A4053" s="91" t="s">
        <v>1313</v>
      </c>
      <c r="B4053" s="91" t="s">
        <v>1327</v>
      </c>
      <c r="C4053" s="91" t="s">
        <v>1395</v>
      </c>
      <c r="D4053" s="91" t="s">
        <v>15</v>
      </c>
      <c r="E4053" s="91" t="s">
        <v>18</v>
      </c>
      <c r="F4053">
        <v>1008</v>
      </c>
      <c r="G4053">
        <v>21</v>
      </c>
      <c r="H4053" s="89">
        <v>46283</v>
      </c>
      <c r="I4053" s="89">
        <v>46288</v>
      </c>
      <c r="J4053" s="91" t="s">
        <v>6386</v>
      </c>
      <c r="K4053" s="91" t="s">
        <v>6449</v>
      </c>
      <c r="L4053">
        <v>1</v>
      </c>
      <c r="M4053" s="91" t="s">
        <v>6450</v>
      </c>
      <c r="N4053" s="91" t="s">
        <v>6237</v>
      </c>
    </row>
    <row r="4054" spans="1:14" x14ac:dyDescent="0.25">
      <c r="A4054" s="91" t="s">
        <v>1314</v>
      </c>
      <c r="B4054" s="91" t="s">
        <v>1328</v>
      </c>
      <c r="C4054" s="91" t="s">
        <v>1395</v>
      </c>
      <c r="D4054" s="91" t="s">
        <v>15</v>
      </c>
      <c r="E4054" s="91" t="s">
        <v>16</v>
      </c>
      <c r="F4054">
        <v>240</v>
      </c>
      <c r="G4054">
        <v>5</v>
      </c>
      <c r="H4054" s="89">
        <v>46283</v>
      </c>
      <c r="I4054" s="89">
        <v>46289</v>
      </c>
      <c r="J4054" s="91" t="s">
        <v>6451</v>
      </c>
      <c r="K4054" s="91" t="s">
        <v>6452</v>
      </c>
      <c r="L4054">
        <v>1</v>
      </c>
      <c r="M4054" s="91" t="s">
        <v>6453</v>
      </c>
      <c r="N4054" s="91" t="s">
        <v>6237</v>
      </c>
    </row>
    <row r="4055" spans="1:14" x14ac:dyDescent="0.25">
      <c r="A4055" s="91" t="s">
        <v>1313</v>
      </c>
      <c r="B4055" s="91" t="s">
        <v>1327</v>
      </c>
      <c r="C4055" s="91" t="s">
        <v>1395</v>
      </c>
      <c r="D4055" s="91" t="s">
        <v>15</v>
      </c>
      <c r="E4055" s="91" t="s">
        <v>22</v>
      </c>
      <c r="F4055">
        <v>288</v>
      </c>
      <c r="G4055">
        <v>6</v>
      </c>
      <c r="H4055" s="89">
        <v>46283</v>
      </c>
      <c r="I4055" s="89">
        <v>46289</v>
      </c>
      <c r="J4055" s="91" t="s">
        <v>6371</v>
      </c>
      <c r="K4055" s="91" t="s">
        <v>6454</v>
      </c>
      <c r="L4055">
        <v>1</v>
      </c>
      <c r="M4055" s="91" t="s">
        <v>6455</v>
      </c>
      <c r="N4055" s="91" t="s">
        <v>6237</v>
      </c>
    </row>
    <row r="4056" spans="1:14" x14ac:dyDescent="0.25">
      <c r="A4056" s="91" t="s">
        <v>1315</v>
      </c>
      <c r="B4056" s="91" t="s">
        <v>1329</v>
      </c>
      <c r="C4056" s="91" t="s">
        <v>1395</v>
      </c>
      <c r="D4056" s="91" t="s">
        <v>15</v>
      </c>
      <c r="E4056" s="91" t="s">
        <v>19</v>
      </c>
      <c r="F4056">
        <v>18</v>
      </c>
      <c r="G4056" t="s">
        <v>1419</v>
      </c>
      <c r="H4056" s="89">
        <v>46283</v>
      </c>
      <c r="I4056" s="89">
        <v>46285</v>
      </c>
      <c r="J4056" s="91" t="s">
        <v>1656</v>
      </c>
      <c r="K4056" s="91" t="s">
        <v>6456</v>
      </c>
      <c r="L4056">
        <v>1</v>
      </c>
      <c r="M4056" s="91" t="s">
        <v>6457</v>
      </c>
      <c r="N4056" s="91" t="s">
        <v>6237</v>
      </c>
    </row>
    <row r="4057" spans="1:14" x14ac:dyDescent="0.25">
      <c r="A4057" s="91" t="s">
        <v>1316</v>
      </c>
      <c r="B4057" s="91" t="s">
        <v>1330</v>
      </c>
      <c r="C4057" s="91" t="s">
        <v>1396</v>
      </c>
      <c r="D4057" s="91" t="s">
        <v>15</v>
      </c>
      <c r="E4057" s="91" t="s">
        <v>19</v>
      </c>
      <c r="F4057">
        <v>47</v>
      </c>
      <c r="G4057" t="s">
        <v>1419</v>
      </c>
      <c r="H4057" s="89">
        <v>46283</v>
      </c>
      <c r="I4057" s="89">
        <v>46285</v>
      </c>
      <c r="J4057" s="91" t="s">
        <v>1656</v>
      </c>
      <c r="K4057" s="91" t="s">
        <v>6458</v>
      </c>
      <c r="L4057">
        <v>1</v>
      </c>
      <c r="M4057" s="91" t="s">
        <v>6459</v>
      </c>
      <c r="N4057" s="91" t="s">
        <v>6237</v>
      </c>
    </row>
    <row r="4058" spans="1:14" x14ac:dyDescent="0.25">
      <c r="A4058" s="91" t="s">
        <v>1317</v>
      </c>
      <c r="B4058" s="91" t="s">
        <v>1331</v>
      </c>
      <c r="C4058" s="91" t="s">
        <v>1397</v>
      </c>
      <c r="D4058" s="91" t="s">
        <v>15</v>
      </c>
      <c r="E4058" s="91" t="s">
        <v>19</v>
      </c>
      <c r="F4058">
        <v>63</v>
      </c>
      <c r="G4058" t="s">
        <v>1419</v>
      </c>
      <c r="H4058" s="89">
        <v>46283</v>
      </c>
      <c r="I4058" s="89">
        <v>46285</v>
      </c>
      <c r="J4058" s="91" t="s">
        <v>1656</v>
      </c>
      <c r="K4058" s="91" t="s">
        <v>6460</v>
      </c>
      <c r="L4058">
        <v>1</v>
      </c>
      <c r="M4058" s="91" t="s">
        <v>6461</v>
      </c>
      <c r="N4058" s="91" t="s">
        <v>6237</v>
      </c>
    </row>
    <row r="4059" spans="1:14" x14ac:dyDescent="0.25">
      <c r="A4059" s="91" t="s">
        <v>1318</v>
      </c>
      <c r="B4059" s="91" t="s">
        <v>1332</v>
      </c>
      <c r="C4059" s="91" t="s">
        <v>1398</v>
      </c>
      <c r="D4059" s="91" t="s">
        <v>15</v>
      </c>
      <c r="E4059" s="91" t="s">
        <v>19</v>
      </c>
      <c r="F4059">
        <v>36</v>
      </c>
      <c r="G4059" t="s">
        <v>1419</v>
      </c>
      <c r="H4059" s="89">
        <v>46283</v>
      </c>
      <c r="I4059" s="89">
        <v>46285</v>
      </c>
      <c r="J4059" s="91" t="s">
        <v>1656</v>
      </c>
      <c r="K4059" s="91" t="s">
        <v>6462</v>
      </c>
      <c r="L4059">
        <v>1</v>
      </c>
      <c r="M4059" s="91" t="s">
        <v>6463</v>
      </c>
      <c r="N4059" s="91" t="s">
        <v>6237</v>
      </c>
    </row>
    <row r="4060" spans="1:14" x14ac:dyDescent="0.25">
      <c r="A4060" s="91" t="s">
        <v>1320</v>
      </c>
      <c r="B4060" s="91" t="s">
        <v>1334</v>
      </c>
      <c r="C4060" s="91" t="s">
        <v>1399</v>
      </c>
      <c r="D4060" s="91" t="s">
        <v>28</v>
      </c>
      <c r="E4060" s="91" t="s">
        <v>14</v>
      </c>
      <c r="F4060">
        <v>960</v>
      </c>
      <c r="G4060">
        <v>20</v>
      </c>
      <c r="H4060" s="89">
        <v>46283</v>
      </c>
      <c r="I4060" s="89">
        <v>46288</v>
      </c>
      <c r="J4060" s="91" t="s">
        <v>6464</v>
      </c>
      <c r="K4060" s="91" t="s">
        <v>6465</v>
      </c>
      <c r="L4060">
        <v>1</v>
      </c>
      <c r="M4060" s="91" t="s">
        <v>6466</v>
      </c>
      <c r="N4060" s="91" t="s">
        <v>6237</v>
      </c>
    </row>
    <row r="4061" spans="1:14" x14ac:dyDescent="0.25">
      <c r="A4061" s="91" t="s">
        <v>1313</v>
      </c>
      <c r="B4061" s="91" t="s">
        <v>1327</v>
      </c>
      <c r="C4061" s="91" t="s">
        <v>1399</v>
      </c>
      <c r="D4061" s="91" t="s">
        <v>28</v>
      </c>
      <c r="E4061" s="91" t="s">
        <v>19</v>
      </c>
      <c r="F4061">
        <v>480</v>
      </c>
      <c r="G4061">
        <v>10</v>
      </c>
      <c r="H4061" s="89">
        <v>46283</v>
      </c>
      <c r="I4061" s="89">
        <v>46288</v>
      </c>
      <c r="J4061" s="91" t="s">
        <v>1656</v>
      </c>
      <c r="K4061" s="91" t="s">
        <v>6467</v>
      </c>
      <c r="L4061">
        <v>1</v>
      </c>
      <c r="M4061" s="91" t="s">
        <v>6468</v>
      </c>
      <c r="N4061" s="91" t="s">
        <v>6237</v>
      </c>
    </row>
    <row r="4062" spans="1:14" x14ac:dyDescent="0.25">
      <c r="A4062" s="91" t="s">
        <v>1315</v>
      </c>
      <c r="B4062" s="91" t="s">
        <v>1329</v>
      </c>
      <c r="C4062" s="91" t="s">
        <v>1399</v>
      </c>
      <c r="D4062" s="91" t="s">
        <v>28</v>
      </c>
      <c r="E4062" s="91" t="s">
        <v>19</v>
      </c>
      <c r="F4062">
        <v>78</v>
      </c>
      <c r="G4062" t="s">
        <v>1419</v>
      </c>
      <c r="H4062" s="89">
        <v>46283</v>
      </c>
      <c r="I4062" s="89">
        <v>46285</v>
      </c>
      <c r="J4062" s="91" t="s">
        <v>1656</v>
      </c>
      <c r="K4062" s="91" t="s">
        <v>6469</v>
      </c>
      <c r="L4062">
        <v>1</v>
      </c>
      <c r="M4062" s="91" t="s">
        <v>6470</v>
      </c>
      <c r="N4062" s="91" t="s">
        <v>6237</v>
      </c>
    </row>
    <row r="4063" spans="1:14" x14ac:dyDescent="0.25">
      <c r="A4063" s="91" t="s">
        <v>1316</v>
      </c>
      <c r="B4063" s="91" t="s">
        <v>1330</v>
      </c>
      <c r="C4063" s="91" t="s">
        <v>1400</v>
      </c>
      <c r="D4063" s="91" t="s">
        <v>28</v>
      </c>
      <c r="E4063" s="91" t="s">
        <v>19</v>
      </c>
      <c r="F4063">
        <v>17</v>
      </c>
      <c r="G4063" t="s">
        <v>1419</v>
      </c>
      <c r="H4063" s="89">
        <v>46283</v>
      </c>
      <c r="I4063" s="89">
        <v>46285</v>
      </c>
      <c r="J4063" s="91" t="s">
        <v>1656</v>
      </c>
      <c r="K4063" s="91" t="s">
        <v>6471</v>
      </c>
      <c r="L4063">
        <v>1</v>
      </c>
      <c r="M4063" s="91" t="s">
        <v>6472</v>
      </c>
      <c r="N4063" s="91" t="s">
        <v>6237</v>
      </c>
    </row>
    <row r="4064" spans="1:14" x14ac:dyDescent="0.25">
      <c r="A4064" s="91" t="s">
        <v>1317</v>
      </c>
      <c r="B4064" s="91" t="s">
        <v>1331</v>
      </c>
      <c r="C4064" s="91" t="s">
        <v>1401</v>
      </c>
      <c r="D4064" s="91" t="s">
        <v>28</v>
      </c>
      <c r="E4064" s="91" t="s">
        <v>19</v>
      </c>
      <c r="F4064">
        <v>8</v>
      </c>
      <c r="G4064" t="s">
        <v>1419</v>
      </c>
      <c r="H4064" s="89">
        <v>46283</v>
      </c>
      <c r="I4064" s="89">
        <v>46285</v>
      </c>
      <c r="J4064" s="91" t="s">
        <v>1656</v>
      </c>
      <c r="K4064" s="91" t="s">
        <v>6473</v>
      </c>
      <c r="L4064">
        <v>1</v>
      </c>
      <c r="M4064" s="91" t="s">
        <v>6474</v>
      </c>
      <c r="N4064" s="91" t="s">
        <v>6237</v>
      </c>
    </row>
    <row r="4065" spans="1:14" x14ac:dyDescent="0.25">
      <c r="A4065" s="91" t="s">
        <v>1318</v>
      </c>
      <c r="B4065" s="91" t="s">
        <v>1332</v>
      </c>
      <c r="C4065" s="91" t="s">
        <v>1402</v>
      </c>
      <c r="D4065" s="91" t="s">
        <v>28</v>
      </c>
      <c r="E4065" s="91" t="s">
        <v>19</v>
      </c>
      <c r="F4065">
        <v>45</v>
      </c>
      <c r="G4065" t="s">
        <v>1419</v>
      </c>
      <c r="H4065" s="89">
        <v>46283</v>
      </c>
      <c r="I4065" s="89">
        <v>46285</v>
      </c>
      <c r="J4065" s="91" t="s">
        <v>1656</v>
      </c>
      <c r="K4065" s="91" t="s">
        <v>6475</v>
      </c>
      <c r="L4065">
        <v>1</v>
      </c>
      <c r="M4065" s="91" t="s">
        <v>6476</v>
      </c>
      <c r="N4065" s="91" t="s">
        <v>6237</v>
      </c>
    </row>
    <row r="4066" spans="1:14" x14ac:dyDescent="0.25">
      <c r="A4066" s="91" t="s">
        <v>1313</v>
      </c>
      <c r="B4066" s="91" t="s">
        <v>1327</v>
      </c>
      <c r="C4066" s="91" t="s">
        <v>1376</v>
      </c>
      <c r="D4066" s="91" t="s">
        <v>24</v>
      </c>
      <c r="E4066" s="91" t="s">
        <v>22</v>
      </c>
      <c r="F4066">
        <v>1152</v>
      </c>
      <c r="G4066">
        <v>24</v>
      </c>
      <c r="H4066" s="89">
        <v>46283</v>
      </c>
      <c r="I4066" s="89">
        <v>46287</v>
      </c>
      <c r="J4066" s="91" t="s">
        <v>6477</v>
      </c>
      <c r="K4066" s="91" t="s">
        <v>6478</v>
      </c>
      <c r="L4066">
        <v>1</v>
      </c>
      <c r="M4066" s="91" t="s">
        <v>6479</v>
      </c>
      <c r="N4066" s="91" t="s">
        <v>6237</v>
      </c>
    </row>
    <row r="4067" spans="1:14" x14ac:dyDescent="0.25">
      <c r="A4067" s="91" t="s">
        <v>1324</v>
      </c>
      <c r="B4067" s="91" t="s">
        <v>1338</v>
      </c>
      <c r="C4067" s="91" t="s">
        <v>1376</v>
      </c>
      <c r="D4067" s="91" t="s">
        <v>24</v>
      </c>
      <c r="E4067" s="91" t="s">
        <v>25</v>
      </c>
      <c r="F4067">
        <v>288</v>
      </c>
      <c r="G4067">
        <v>6</v>
      </c>
      <c r="H4067" s="89">
        <v>46283</v>
      </c>
      <c r="I4067" s="89">
        <v>46290</v>
      </c>
      <c r="J4067" s="91" t="s">
        <v>6480</v>
      </c>
      <c r="K4067" s="91" t="s">
        <v>6481</v>
      </c>
      <c r="L4067">
        <v>1</v>
      </c>
      <c r="M4067" s="91" t="s">
        <v>6482</v>
      </c>
      <c r="N4067" s="91" t="s">
        <v>6237</v>
      </c>
    </row>
    <row r="4068" spans="1:14" x14ac:dyDescent="0.25">
      <c r="A4068" s="91" t="s">
        <v>1326</v>
      </c>
      <c r="B4068" s="91" t="s">
        <v>1340</v>
      </c>
      <c r="C4068" s="91" t="s">
        <v>1403</v>
      </c>
      <c r="D4068" s="91" t="s">
        <v>32</v>
      </c>
      <c r="E4068" s="91" t="s">
        <v>14</v>
      </c>
      <c r="F4068">
        <v>504</v>
      </c>
      <c r="G4068">
        <v>12</v>
      </c>
      <c r="H4068" s="89">
        <v>46283</v>
      </c>
      <c r="I4068" s="89">
        <v>46287</v>
      </c>
      <c r="J4068" s="91" t="s">
        <v>6483</v>
      </c>
      <c r="K4068" s="91" t="s">
        <v>6484</v>
      </c>
      <c r="L4068">
        <v>1</v>
      </c>
      <c r="M4068" s="91" t="s">
        <v>6485</v>
      </c>
      <c r="N4068" s="91" t="s">
        <v>6237</v>
      </c>
    </row>
    <row r="4069" spans="1:14" x14ac:dyDescent="0.25">
      <c r="A4069" s="91" t="s">
        <v>1326</v>
      </c>
      <c r="B4069" s="91" t="s">
        <v>1340</v>
      </c>
      <c r="C4069" s="91" t="s">
        <v>1404</v>
      </c>
      <c r="D4069" s="91" t="s">
        <v>27</v>
      </c>
      <c r="E4069" s="91" t="s">
        <v>14</v>
      </c>
      <c r="F4069">
        <v>504</v>
      </c>
      <c r="G4069">
        <v>12</v>
      </c>
      <c r="H4069" s="89">
        <v>46283</v>
      </c>
      <c r="I4069" s="89">
        <v>46287</v>
      </c>
      <c r="J4069" s="91" t="s">
        <v>6483</v>
      </c>
      <c r="K4069" s="91" t="s">
        <v>6486</v>
      </c>
      <c r="L4069">
        <v>1</v>
      </c>
      <c r="M4069" s="91" t="s">
        <v>6487</v>
      </c>
      <c r="N4069" s="91" t="s">
        <v>6237</v>
      </c>
    </row>
    <row r="4070" spans="1:14" x14ac:dyDescent="0.25">
      <c r="A4070" s="91" t="s">
        <v>1313</v>
      </c>
      <c r="B4070" s="91" t="s">
        <v>1327</v>
      </c>
      <c r="C4070" s="91" t="s">
        <v>1405</v>
      </c>
      <c r="D4070" s="91" t="s">
        <v>15</v>
      </c>
      <c r="E4070" s="91" t="s">
        <v>16</v>
      </c>
      <c r="F4070">
        <v>336</v>
      </c>
      <c r="G4070">
        <v>7</v>
      </c>
      <c r="H4070" s="89">
        <v>46284</v>
      </c>
      <c r="I4070" s="89">
        <v>46289</v>
      </c>
      <c r="J4070" s="91" t="s">
        <v>6431</v>
      </c>
      <c r="K4070" s="91" t="s">
        <v>6488</v>
      </c>
      <c r="L4070">
        <v>1</v>
      </c>
      <c r="M4070" s="91" t="s">
        <v>6489</v>
      </c>
      <c r="N4070" s="91" t="s">
        <v>6237</v>
      </c>
    </row>
    <row r="4071" spans="1:14" x14ac:dyDescent="0.25">
      <c r="A4071" s="91" t="s">
        <v>1313</v>
      </c>
      <c r="B4071" s="91" t="s">
        <v>1327</v>
      </c>
      <c r="C4071" s="91" t="s">
        <v>1405</v>
      </c>
      <c r="D4071" s="91" t="s">
        <v>15</v>
      </c>
      <c r="E4071" s="91" t="s">
        <v>17</v>
      </c>
      <c r="F4071">
        <v>810</v>
      </c>
      <c r="G4071">
        <v>16.875</v>
      </c>
      <c r="H4071" s="89">
        <v>46284</v>
      </c>
      <c r="I4071" s="89">
        <v>46288</v>
      </c>
      <c r="J4071" s="91" t="s">
        <v>6490</v>
      </c>
      <c r="K4071" s="91" t="s">
        <v>6491</v>
      </c>
      <c r="L4071">
        <v>1</v>
      </c>
      <c r="M4071" s="91" t="s">
        <v>6492</v>
      </c>
      <c r="N4071" s="91" t="s">
        <v>6237</v>
      </c>
    </row>
    <row r="4072" spans="1:14" x14ac:dyDescent="0.25">
      <c r="A4072" s="91" t="s">
        <v>1319</v>
      </c>
      <c r="B4072" s="91" t="s">
        <v>1333</v>
      </c>
      <c r="C4072" s="91" t="s">
        <v>1405</v>
      </c>
      <c r="D4072" s="91" t="s">
        <v>15</v>
      </c>
      <c r="E4072" s="91" t="s">
        <v>17</v>
      </c>
      <c r="F4072">
        <v>54</v>
      </c>
      <c r="G4072">
        <v>1.125</v>
      </c>
      <c r="H4072" s="89">
        <v>46284</v>
      </c>
      <c r="I4072" s="89">
        <v>46288</v>
      </c>
      <c r="J4072" s="91" t="s">
        <v>6490</v>
      </c>
      <c r="K4072" s="91" t="s">
        <v>6493</v>
      </c>
      <c r="L4072">
        <v>1</v>
      </c>
      <c r="M4072" s="91" t="s">
        <v>6494</v>
      </c>
      <c r="N4072" s="91" t="s">
        <v>6237</v>
      </c>
    </row>
    <row r="4073" spans="1:14" x14ac:dyDescent="0.25">
      <c r="A4073" s="91" t="s">
        <v>1313</v>
      </c>
      <c r="B4073" s="91" t="s">
        <v>1327</v>
      </c>
      <c r="C4073" s="91" t="s">
        <v>1405</v>
      </c>
      <c r="D4073" s="91" t="s">
        <v>15</v>
      </c>
      <c r="E4073" s="91" t="s">
        <v>22</v>
      </c>
      <c r="F4073">
        <v>48</v>
      </c>
      <c r="G4073">
        <v>1</v>
      </c>
      <c r="H4073" s="89">
        <v>46284</v>
      </c>
      <c r="I4073" s="89">
        <v>46289</v>
      </c>
      <c r="J4073" s="91" t="s">
        <v>6371</v>
      </c>
      <c r="K4073" s="91" t="s">
        <v>6495</v>
      </c>
      <c r="L4073">
        <v>1</v>
      </c>
      <c r="M4073" s="91" t="s">
        <v>6496</v>
      </c>
      <c r="N4073" s="91" t="s">
        <v>6237</v>
      </c>
    </row>
    <row r="4074" spans="1:14" x14ac:dyDescent="0.25">
      <c r="A4074" s="91" t="s">
        <v>1315</v>
      </c>
      <c r="B4074" s="91" t="s">
        <v>1329</v>
      </c>
      <c r="C4074" s="91" t="s">
        <v>1405</v>
      </c>
      <c r="D4074" s="91" t="s">
        <v>15</v>
      </c>
      <c r="E4074" s="91" t="s">
        <v>19</v>
      </c>
      <c r="F4074">
        <v>33</v>
      </c>
      <c r="G4074" t="s">
        <v>1419</v>
      </c>
      <c r="H4074" s="89">
        <v>46284</v>
      </c>
      <c r="I4074" s="89">
        <v>46286</v>
      </c>
      <c r="J4074" s="91" t="s">
        <v>1656</v>
      </c>
      <c r="K4074" s="91" t="s">
        <v>6497</v>
      </c>
      <c r="L4074">
        <v>1</v>
      </c>
      <c r="M4074" s="91" t="s">
        <v>6498</v>
      </c>
      <c r="N4074" s="91" t="s">
        <v>6237</v>
      </c>
    </row>
    <row r="4075" spans="1:14" x14ac:dyDescent="0.25">
      <c r="A4075" s="91" t="s">
        <v>1316</v>
      </c>
      <c r="B4075" s="91" t="s">
        <v>1330</v>
      </c>
      <c r="C4075" s="91" t="s">
        <v>1406</v>
      </c>
      <c r="D4075" s="91" t="s">
        <v>15</v>
      </c>
      <c r="E4075" s="91" t="s">
        <v>19</v>
      </c>
      <c r="F4075">
        <v>44</v>
      </c>
      <c r="G4075" t="s">
        <v>1419</v>
      </c>
      <c r="H4075" s="89">
        <v>46284</v>
      </c>
      <c r="I4075" s="89">
        <v>46286</v>
      </c>
      <c r="J4075" s="91" t="s">
        <v>1656</v>
      </c>
      <c r="K4075" s="91" t="s">
        <v>6499</v>
      </c>
      <c r="L4075">
        <v>1</v>
      </c>
      <c r="M4075" s="91" t="s">
        <v>6500</v>
      </c>
      <c r="N4075" s="91" t="s">
        <v>6237</v>
      </c>
    </row>
    <row r="4076" spans="1:14" x14ac:dyDescent="0.25">
      <c r="A4076" s="91" t="s">
        <v>1317</v>
      </c>
      <c r="B4076" s="91" t="s">
        <v>1331</v>
      </c>
      <c r="C4076" s="91" t="s">
        <v>1407</v>
      </c>
      <c r="D4076" s="91" t="s">
        <v>15</v>
      </c>
      <c r="E4076" s="91" t="s">
        <v>19</v>
      </c>
      <c r="F4076">
        <v>49</v>
      </c>
      <c r="G4076" t="s">
        <v>1419</v>
      </c>
      <c r="H4076" s="89">
        <v>46284</v>
      </c>
      <c r="I4076" s="89">
        <v>46286</v>
      </c>
      <c r="J4076" s="91" t="s">
        <v>1656</v>
      </c>
      <c r="K4076" s="91" t="s">
        <v>6501</v>
      </c>
      <c r="L4076">
        <v>1</v>
      </c>
      <c r="M4076" s="91" t="s">
        <v>6502</v>
      </c>
      <c r="N4076" s="91" t="s">
        <v>6237</v>
      </c>
    </row>
    <row r="4077" spans="1:14" x14ac:dyDescent="0.25">
      <c r="A4077" s="91" t="s">
        <v>1318</v>
      </c>
      <c r="B4077" s="91" t="s">
        <v>1332</v>
      </c>
      <c r="C4077" s="91" t="s">
        <v>1408</v>
      </c>
      <c r="D4077" s="91" t="s">
        <v>15</v>
      </c>
      <c r="E4077" s="91" t="s">
        <v>19</v>
      </c>
      <c r="F4077">
        <v>28</v>
      </c>
      <c r="G4077" t="s">
        <v>1419</v>
      </c>
      <c r="H4077" s="89">
        <v>46284</v>
      </c>
      <c r="I4077" s="89">
        <v>46286</v>
      </c>
      <c r="J4077" s="91" t="s">
        <v>1656</v>
      </c>
      <c r="K4077" s="91" t="s">
        <v>6503</v>
      </c>
      <c r="L4077">
        <v>1</v>
      </c>
      <c r="M4077" s="91" t="s">
        <v>6504</v>
      </c>
      <c r="N4077" s="91" t="s">
        <v>6237</v>
      </c>
    </row>
    <row r="4078" spans="1:14" x14ac:dyDescent="0.25">
      <c r="A4078" s="91" t="s">
        <v>1324</v>
      </c>
      <c r="B4078" s="91" t="s">
        <v>1338</v>
      </c>
      <c r="C4078" s="91" t="s">
        <v>1409</v>
      </c>
      <c r="D4078" s="91" t="s">
        <v>21</v>
      </c>
      <c r="E4078" s="91" t="s">
        <v>25</v>
      </c>
      <c r="F4078">
        <v>384</v>
      </c>
      <c r="G4078">
        <v>8</v>
      </c>
      <c r="H4078" s="89">
        <v>46284</v>
      </c>
      <c r="I4078" s="89">
        <v>46290</v>
      </c>
      <c r="J4078" s="91" t="s">
        <v>6480</v>
      </c>
      <c r="K4078" s="91" t="s">
        <v>6505</v>
      </c>
      <c r="L4078">
        <v>1</v>
      </c>
      <c r="M4078" s="91" t="s">
        <v>6506</v>
      </c>
      <c r="N4078" s="91" t="s">
        <v>6237</v>
      </c>
    </row>
    <row r="4079" spans="1:14" x14ac:dyDescent="0.25">
      <c r="A4079" s="91" t="s">
        <v>1313</v>
      </c>
      <c r="B4079" s="91" t="s">
        <v>1327</v>
      </c>
      <c r="C4079" s="91" t="s">
        <v>1409</v>
      </c>
      <c r="D4079" s="91" t="s">
        <v>21</v>
      </c>
      <c r="E4079" s="91" t="s">
        <v>17</v>
      </c>
      <c r="F4079">
        <v>288</v>
      </c>
      <c r="G4079">
        <v>6</v>
      </c>
      <c r="H4079" s="89">
        <v>46284</v>
      </c>
      <c r="I4079" s="89">
        <v>46288</v>
      </c>
      <c r="J4079" s="91" t="s">
        <v>6490</v>
      </c>
      <c r="K4079" s="91" t="s">
        <v>6507</v>
      </c>
      <c r="L4079">
        <v>1</v>
      </c>
      <c r="M4079" s="91" t="s">
        <v>6508</v>
      </c>
      <c r="N4079" s="91" t="s">
        <v>6237</v>
      </c>
    </row>
    <row r="4080" spans="1:14" x14ac:dyDescent="0.25">
      <c r="A4080" s="91" t="s">
        <v>1313</v>
      </c>
      <c r="B4080" s="91" t="s">
        <v>1327</v>
      </c>
      <c r="C4080" s="91" t="s">
        <v>1409</v>
      </c>
      <c r="D4080" s="91" t="s">
        <v>21</v>
      </c>
      <c r="E4080" s="91" t="s">
        <v>22</v>
      </c>
      <c r="F4080">
        <v>384</v>
      </c>
      <c r="G4080">
        <v>8</v>
      </c>
      <c r="H4080" s="89">
        <v>46284</v>
      </c>
      <c r="I4080" s="89">
        <v>46289</v>
      </c>
      <c r="J4080" s="91" t="s">
        <v>6371</v>
      </c>
      <c r="K4080" s="91" t="s">
        <v>6509</v>
      </c>
      <c r="L4080">
        <v>1</v>
      </c>
      <c r="M4080" s="91" t="s">
        <v>6510</v>
      </c>
      <c r="N4080" s="91" t="s">
        <v>6237</v>
      </c>
    </row>
    <row r="4081" spans="1:14" x14ac:dyDescent="0.25">
      <c r="A4081" s="91" t="s">
        <v>1315</v>
      </c>
      <c r="B4081" s="91" t="s">
        <v>1329</v>
      </c>
      <c r="C4081" s="91" t="s">
        <v>1409</v>
      </c>
      <c r="D4081" s="91" t="s">
        <v>21</v>
      </c>
      <c r="E4081" s="91" t="s">
        <v>19</v>
      </c>
      <c r="F4081">
        <v>94</v>
      </c>
      <c r="G4081" t="s">
        <v>1419</v>
      </c>
      <c r="H4081" s="89">
        <v>46284</v>
      </c>
      <c r="I4081" s="89">
        <v>46286</v>
      </c>
      <c r="J4081" s="91" t="s">
        <v>1656</v>
      </c>
      <c r="K4081" s="91" t="s">
        <v>6511</v>
      </c>
      <c r="L4081">
        <v>1</v>
      </c>
      <c r="M4081" s="91" t="s">
        <v>6512</v>
      </c>
      <c r="N4081" s="91" t="s">
        <v>6237</v>
      </c>
    </row>
    <row r="4082" spans="1:14" x14ac:dyDescent="0.25">
      <c r="A4082" s="91" t="s">
        <v>1316</v>
      </c>
      <c r="B4082" s="91" t="s">
        <v>1330</v>
      </c>
      <c r="C4082" s="91" t="s">
        <v>1410</v>
      </c>
      <c r="D4082" s="91" t="s">
        <v>21</v>
      </c>
      <c r="E4082" s="91" t="s">
        <v>19</v>
      </c>
      <c r="F4082">
        <v>23</v>
      </c>
      <c r="G4082" t="s">
        <v>1419</v>
      </c>
      <c r="H4082" s="89">
        <v>46284</v>
      </c>
      <c r="I4082" s="89">
        <v>46286</v>
      </c>
      <c r="J4082" s="91" t="s">
        <v>1656</v>
      </c>
      <c r="K4082" s="91" t="s">
        <v>6513</v>
      </c>
      <c r="L4082">
        <v>1</v>
      </c>
      <c r="M4082" s="91" t="s">
        <v>6514</v>
      </c>
      <c r="N4082" s="91" t="s">
        <v>6237</v>
      </c>
    </row>
    <row r="4083" spans="1:14" x14ac:dyDescent="0.25">
      <c r="A4083" s="91" t="s">
        <v>1317</v>
      </c>
      <c r="B4083" s="91" t="s">
        <v>1331</v>
      </c>
      <c r="C4083" s="91" t="s">
        <v>1411</v>
      </c>
      <c r="D4083" s="91" t="s">
        <v>21</v>
      </c>
      <c r="E4083" s="91" t="s">
        <v>19</v>
      </c>
      <c r="F4083">
        <v>16</v>
      </c>
      <c r="G4083" t="s">
        <v>1419</v>
      </c>
      <c r="H4083" s="89">
        <v>46284</v>
      </c>
      <c r="I4083" s="89">
        <v>46286</v>
      </c>
      <c r="J4083" s="91" t="s">
        <v>1656</v>
      </c>
      <c r="K4083" s="91" t="s">
        <v>6515</v>
      </c>
      <c r="L4083">
        <v>1</v>
      </c>
      <c r="M4083" s="91" t="s">
        <v>6516</v>
      </c>
      <c r="N4083" s="91" t="s">
        <v>6237</v>
      </c>
    </row>
    <row r="4084" spans="1:14" x14ac:dyDescent="0.25">
      <c r="A4084" s="91" t="s">
        <v>1318</v>
      </c>
      <c r="B4084" s="91" t="s">
        <v>1332</v>
      </c>
      <c r="C4084" s="91" t="s">
        <v>1412</v>
      </c>
      <c r="D4084" s="91" t="s">
        <v>21</v>
      </c>
      <c r="E4084" s="91" t="s">
        <v>19</v>
      </c>
      <c r="F4084">
        <v>34</v>
      </c>
      <c r="G4084" t="s">
        <v>1419</v>
      </c>
      <c r="H4084" s="89">
        <v>46284</v>
      </c>
      <c r="I4084" s="89">
        <v>46286</v>
      </c>
      <c r="J4084" s="91" t="s">
        <v>1656</v>
      </c>
      <c r="K4084" s="91" t="s">
        <v>6517</v>
      </c>
      <c r="L4084">
        <v>1</v>
      </c>
      <c r="M4084" s="91" t="s">
        <v>6518</v>
      </c>
      <c r="N4084" s="91" t="s">
        <v>6237</v>
      </c>
    </row>
    <row r="4085" spans="1:14" x14ac:dyDescent="0.25">
      <c r="A4085" s="91" t="s">
        <v>1320</v>
      </c>
      <c r="B4085" s="91" t="s">
        <v>1334</v>
      </c>
      <c r="C4085" s="91" t="s">
        <v>1413</v>
      </c>
      <c r="D4085" s="91" t="s">
        <v>20</v>
      </c>
      <c r="E4085" s="91" t="s">
        <v>14</v>
      </c>
      <c r="F4085">
        <v>960</v>
      </c>
      <c r="G4085">
        <v>20</v>
      </c>
      <c r="H4085" s="89">
        <v>46284</v>
      </c>
      <c r="I4085" s="89">
        <v>46289</v>
      </c>
      <c r="J4085" s="91" t="s">
        <v>6519</v>
      </c>
      <c r="K4085" s="91" t="s">
        <v>6520</v>
      </c>
      <c r="L4085">
        <v>1</v>
      </c>
      <c r="M4085" s="91" t="s">
        <v>6521</v>
      </c>
      <c r="N4085" s="91" t="s">
        <v>6237</v>
      </c>
    </row>
    <row r="4086" spans="1:14" x14ac:dyDescent="0.25">
      <c r="A4086" s="91" t="s">
        <v>1313</v>
      </c>
      <c r="B4086" s="91" t="s">
        <v>1327</v>
      </c>
      <c r="C4086" s="91" t="s">
        <v>1413</v>
      </c>
      <c r="D4086" s="91" t="s">
        <v>20</v>
      </c>
      <c r="E4086" s="91" t="s">
        <v>19</v>
      </c>
      <c r="F4086">
        <v>96</v>
      </c>
      <c r="G4086">
        <v>2</v>
      </c>
      <c r="H4086" s="89">
        <v>46284</v>
      </c>
      <c r="I4086" s="89">
        <v>46289</v>
      </c>
      <c r="J4086" s="91" t="s">
        <v>1656</v>
      </c>
      <c r="K4086" s="91" t="s">
        <v>6522</v>
      </c>
      <c r="L4086">
        <v>1</v>
      </c>
      <c r="M4086" s="91" t="s">
        <v>6523</v>
      </c>
      <c r="N4086" s="91" t="s">
        <v>6237</v>
      </c>
    </row>
    <row r="4087" spans="1:14" x14ac:dyDescent="0.25">
      <c r="A4087" s="91" t="s">
        <v>1315</v>
      </c>
      <c r="B4087" s="91" t="s">
        <v>1329</v>
      </c>
      <c r="C4087" s="91" t="s">
        <v>1413</v>
      </c>
      <c r="D4087" s="91" t="s">
        <v>20</v>
      </c>
      <c r="E4087" s="91" t="s">
        <v>19</v>
      </c>
      <c r="F4087">
        <v>232</v>
      </c>
      <c r="G4087" t="s">
        <v>1419</v>
      </c>
      <c r="H4087" s="89">
        <v>46284</v>
      </c>
      <c r="I4087" s="89">
        <v>46286</v>
      </c>
      <c r="J4087" s="91" t="s">
        <v>1656</v>
      </c>
      <c r="K4087" s="91" t="s">
        <v>6524</v>
      </c>
      <c r="L4087">
        <v>1</v>
      </c>
      <c r="M4087" s="91" t="s">
        <v>6525</v>
      </c>
      <c r="N4087" s="91" t="s">
        <v>6237</v>
      </c>
    </row>
    <row r="4088" spans="1:14" x14ac:dyDescent="0.25">
      <c r="A4088" s="91" t="s">
        <v>1316</v>
      </c>
      <c r="B4088" s="91" t="s">
        <v>1330</v>
      </c>
      <c r="C4088" s="91" t="s">
        <v>1414</v>
      </c>
      <c r="D4088" s="91" t="s">
        <v>20</v>
      </c>
      <c r="E4088" s="91" t="s">
        <v>19</v>
      </c>
      <c r="F4088">
        <v>71</v>
      </c>
      <c r="G4088" t="s">
        <v>1419</v>
      </c>
      <c r="H4088" s="89">
        <v>46284</v>
      </c>
      <c r="I4088" s="89">
        <v>46286</v>
      </c>
      <c r="J4088" s="91" t="s">
        <v>1656</v>
      </c>
      <c r="K4088" s="91" t="s">
        <v>6526</v>
      </c>
      <c r="L4088">
        <v>1</v>
      </c>
      <c r="M4088" s="91" t="s">
        <v>6527</v>
      </c>
      <c r="N4088" s="91" t="s">
        <v>6237</v>
      </c>
    </row>
    <row r="4089" spans="1:14" x14ac:dyDescent="0.25">
      <c r="A4089" s="91" t="s">
        <v>1317</v>
      </c>
      <c r="B4089" s="91" t="s">
        <v>1331</v>
      </c>
      <c r="C4089" s="91" t="s">
        <v>1415</v>
      </c>
      <c r="D4089" s="91" t="s">
        <v>20</v>
      </c>
      <c r="E4089" s="91" t="s">
        <v>19</v>
      </c>
      <c r="F4089">
        <v>33</v>
      </c>
      <c r="G4089" t="s">
        <v>1419</v>
      </c>
      <c r="H4089" s="89">
        <v>46284</v>
      </c>
      <c r="I4089" s="89">
        <v>46286</v>
      </c>
      <c r="J4089" s="91" t="s">
        <v>1656</v>
      </c>
      <c r="K4089" s="91" t="s">
        <v>6528</v>
      </c>
      <c r="L4089">
        <v>1</v>
      </c>
      <c r="M4089" s="91" t="s">
        <v>6529</v>
      </c>
      <c r="N4089" s="91" t="s">
        <v>6237</v>
      </c>
    </row>
    <row r="4090" spans="1:14" x14ac:dyDescent="0.25">
      <c r="A4090" s="91" t="s">
        <v>1318</v>
      </c>
      <c r="B4090" s="91" t="s">
        <v>1332</v>
      </c>
      <c r="C4090" s="91" t="s">
        <v>1416</v>
      </c>
      <c r="D4090" s="91" t="s">
        <v>20</v>
      </c>
      <c r="E4090" s="91" t="s">
        <v>19</v>
      </c>
      <c r="F4090">
        <v>37</v>
      </c>
      <c r="G4090" t="s">
        <v>1419</v>
      </c>
      <c r="H4090" s="89">
        <v>46284</v>
      </c>
      <c r="I4090" s="89">
        <v>46286</v>
      </c>
      <c r="J4090" s="91" t="s">
        <v>1656</v>
      </c>
      <c r="K4090" s="91" t="s">
        <v>6530</v>
      </c>
      <c r="L4090">
        <v>1</v>
      </c>
      <c r="M4090" s="91" t="s">
        <v>6531</v>
      </c>
      <c r="N4090" s="91" t="s">
        <v>6237</v>
      </c>
    </row>
    <row r="4091" spans="1:14" x14ac:dyDescent="0.25">
      <c r="A4091" s="91" t="s">
        <v>1324</v>
      </c>
      <c r="B4091" s="91" t="s">
        <v>1338</v>
      </c>
      <c r="C4091" s="91" t="s">
        <v>1417</v>
      </c>
      <c r="D4091" s="91" t="s">
        <v>24</v>
      </c>
      <c r="E4091" s="91" t="s">
        <v>25</v>
      </c>
      <c r="F4091">
        <v>288</v>
      </c>
      <c r="G4091">
        <v>6</v>
      </c>
      <c r="H4091" s="89">
        <v>46284</v>
      </c>
      <c r="I4091" s="89">
        <v>46290</v>
      </c>
      <c r="J4091" s="91" t="s">
        <v>6480</v>
      </c>
      <c r="K4091" s="91" t="s">
        <v>6532</v>
      </c>
      <c r="L4091">
        <v>1</v>
      </c>
      <c r="M4091" s="91" t="s">
        <v>6533</v>
      </c>
      <c r="N4091" s="91" t="s">
        <v>6237</v>
      </c>
    </row>
    <row r="4092" spans="1:14" x14ac:dyDescent="0.25">
      <c r="A4092" s="91" t="s">
        <v>1324</v>
      </c>
      <c r="B4092" s="91" t="s">
        <v>1338</v>
      </c>
      <c r="C4092" s="91" t="s">
        <v>1417</v>
      </c>
      <c r="D4092" s="91" t="s">
        <v>24</v>
      </c>
      <c r="E4092" s="91" t="s">
        <v>25</v>
      </c>
      <c r="F4092">
        <v>480</v>
      </c>
      <c r="G4092">
        <v>10</v>
      </c>
      <c r="H4092" s="89">
        <v>46284</v>
      </c>
      <c r="I4092" s="89">
        <v>46290</v>
      </c>
      <c r="J4092" s="91" t="s">
        <v>6480</v>
      </c>
      <c r="K4092" s="91" t="s">
        <v>6534</v>
      </c>
      <c r="L4092">
        <v>1</v>
      </c>
      <c r="M4092" s="91" t="s">
        <v>6535</v>
      </c>
      <c r="N4092" s="91" t="s">
        <v>6237</v>
      </c>
    </row>
    <row r="4093" spans="1:14" x14ac:dyDescent="0.25">
      <c r="A4093" s="91" t="s">
        <v>1320</v>
      </c>
      <c r="B4093" s="91" t="s">
        <v>1334</v>
      </c>
      <c r="C4093" s="91" t="s">
        <v>1418</v>
      </c>
      <c r="D4093" s="91" t="s">
        <v>144</v>
      </c>
      <c r="E4093" s="91" t="s">
        <v>14</v>
      </c>
      <c r="F4093">
        <v>960</v>
      </c>
      <c r="G4093">
        <v>20</v>
      </c>
      <c r="H4093" s="89">
        <v>46284</v>
      </c>
      <c r="I4093" s="89">
        <v>46288</v>
      </c>
      <c r="J4093" s="91" t="s">
        <v>6536</v>
      </c>
      <c r="K4093" s="91" t="s">
        <v>6537</v>
      </c>
      <c r="L4093">
        <v>1</v>
      </c>
      <c r="M4093" s="91" t="s">
        <v>6538</v>
      </c>
      <c r="N4093" s="91" t="s">
        <v>6237</v>
      </c>
    </row>
    <row r="4094" spans="1:14" x14ac:dyDescent="0.25">
      <c r="A4094" s="91" t="s">
        <v>1320</v>
      </c>
      <c r="B4094" s="91" t="s">
        <v>1334</v>
      </c>
      <c r="C4094" s="91" t="s">
        <v>6539</v>
      </c>
      <c r="D4094" s="91" t="s">
        <v>23</v>
      </c>
      <c r="E4094" s="91" t="s">
        <v>14</v>
      </c>
      <c r="F4094" s="90">
        <v>480</v>
      </c>
      <c r="G4094">
        <v>10</v>
      </c>
      <c r="H4094" s="89">
        <v>46286</v>
      </c>
      <c r="I4094" s="89">
        <v>46290</v>
      </c>
      <c r="J4094" s="91" t="s">
        <v>6607</v>
      </c>
      <c r="K4094" s="91" t="s">
        <v>6541</v>
      </c>
      <c r="L4094">
        <v>1</v>
      </c>
      <c r="M4094" s="91" t="s">
        <v>6542</v>
      </c>
      <c r="N4094" s="91" t="s">
        <v>6543</v>
      </c>
    </row>
    <row r="4095" spans="1:14" x14ac:dyDescent="0.25">
      <c r="A4095" s="91" t="s">
        <v>1320</v>
      </c>
      <c r="B4095" s="91" t="s">
        <v>1334</v>
      </c>
      <c r="C4095" s="91" t="s">
        <v>6539</v>
      </c>
      <c r="D4095" s="91" t="s">
        <v>23</v>
      </c>
      <c r="E4095" s="91" t="s">
        <v>14</v>
      </c>
      <c r="F4095" s="90">
        <v>240</v>
      </c>
      <c r="G4095">
        <v>5</v>
      </c>
      <c r="H4095" s="89">
        <v>46286</v>
      </c>
      <c r="I4095" s="89">
        <v>46290</v>
      </c>
      <c r="J4095" s="91" t="s">
        <v>6607</v>
      </c>
      <c r="K4095" s="91" t="s">
        <v>6541</v>
      </c>
      <c r="L4095">
        <v>2</v>
      </c>
      <c r="M4095" s="91" t="s">
        <v>6805</v>
      </c>
      <c r="N4095" s="91" t="s">
        <v>6543</v>
      </c>
    </row>
    <row r="4096" spans="1:14" x14ac:dyDescent="0.25">
      <c r="A4096" s="91" t="s">
        <v>1313</v>
      </c>
      <c r="B4096" s="91" t="s">
        <v>1327</v>
      </c>
      <c r="C4096" s="91" t="s">
        <v>6545</v>
      </c>
      <c r="D4096" s="91" t="s">
        <v>20</v>
      </c>
      <c r="E4096" s="91" t="s">
        <v>18</v>
      </c>
      <c r="F4096" s="90">
        <v>1104</v>
      </c>
      <c r="G4096">
        <v>23</v>
      </c>
      <c r="H4096" s="89">
        <v>46286</v>
      </c>
      <c r="I4096" s="89">
        <v>46290</v>
      </c>
      <c r="J4096" s="91" t="s">
        <v>6546</v>
      </c>
      <c r="K4096" s="91" t="s">
        <v>6547</v>
      </c>
      <c r="L4096">
        <v>1</v>
      </c>
      <c r="M4096" s="91" t="s">
        <v>6548</v>
      </c>
      <c r="N4096" s="91" t="s">
        <v>6543</v>
      </c>
    </row>
    <row r="4097" spans="1:14" x14ac:dyDescent="0.25">
      <c r="A4097" s="91" t="s">
        <v>1313</v>
      </c>
      <c r="B4097" s="91" t="s">
        <v>1327</v>
      </c>
      <c r="C4097" s="91" t="s">
        <v>6545</v>
      </c>
      <c r="D4097" s="91" t="s">
        <v>20</v>
      </c>
      <c r="E4097" s="91" t="s">
        <v>19</v>
      </c>
      <c r="F4097" s="90">
        <v>144</v>
      </c>
      <c r="G4097">
        <v>3</v>
      </c>
      <c r="H4097" s="89">
        <v>46286</v>
      </c>
      <c r="I4097" s="89">
        <v>46288</v>
      </c>
      <c r="J4097" s="91" t="s">
        <v>1656</v>
      </c>
      <c r="K4097" s="91" t="s">
        <v>6549</v>
      </c>
      <c r="L4097">
        <v>1</v>
      </c>
      <c r="M4097" s="91" t="s">
        <v>6550</v>
      </c>
      <c r="N4097" s="91" t="s">
        <v>6543</v>
      </c>
    </row>
    <row r="4098" spans="1:14" x14ac:dyDescent="0.25">
      <c r="A4098" s="91" t="s">
        <v>1315</v>
      </c>
      <c r="B4098" s="91" t="s">
        <v>1329</v>
      </c>
      <c r="C4098" s="91" t="s">
        <v>6545</v>
      </c>
      <c r="D4098" s="91" t="s">
        <v>20</v>
      </c>
      <c r="E4098" s="91" t="s">
        <v>19</v>
      </c>
      <c r="F4098" s="90">
        <v>225</v>
      </c>
      <c r="G4098" t="s">
        <v>1419</v>
      </c>
      <c r="H4098" s="89">
        <v>46286</v>
      </c>
      <c r="I4098" s="89">
        <v>46288</v>
      </c>
      <c r="J4098" s="91" t="s">
        <v>1656</v>
      </c>
      <c r="K4098" s="91" t="s">
        <v>6551</v>
      </c>
      <c r="L4098">
        <v>1</v>
      </c>
      <c r="M4098" s="91" t="s">
        <v>6552</v>
      </c>
      <c r="N4098" s="91" t="s">
        <v>6543</v>
      </c>
    </row>
    <row r="4099" spans="1:14" x14ac:dyDescent="0.25">
      <c r="A4099" s="91" t="s">
        <v>1316</v>
      </c>
      <c r="B4099" s="91" t="s">
        <v>1330</v>
      </c>
      <c r="C4099" s="91" t="s">
        <v>6553</v>
      </c>
      <c r="D4099" s="91" t="s">
        <v>20</v>
      </c>
      <c r="E4099" s="91" t="s">
        <v>19</v>
      </c>
      <c r="F4099" s="90">
        <v>60</v>
      </c>
      <c r="G4099" t="s">
        <v>1419</v>
      </c>
      <c r="H4099" s="89">
        <v>46286</v>
      </c>
      <c r="I4099" s="89">
        <v>46288</v>
      </c>
      <c r="J4099" s="91" t="s">
        <v>1656</v>
      </c>
      <c r="K4099" s="91" t="s">
        <v>6554</v>
      </c>
      <c r="L4099">
        <v>1</v>
      </c>
      <c r="M4099" s="91" t="s">
        <v>6555</v>
      </c>
      <c r="N4099" s="91" t="s">
        <v>6543</v>
      </c>
    </row>
    <row r="4100" spans="1:14" x14ac:dyDescent="0.25">
      <c r="A4100" s="91" t="s">
        <v>1317</v>
      </c>
      <c r="B4100" s="91" t="s">
        <v>1331</v>
      </c>
      <c r="C4100" s="91" t="s">
        <v>6556</v>
      </c>
      <c r="D4100" s="91" t="s">
        <v>20</v>
      </c>
      <c r="E4100" s="91" t="s">
        <v>19</v>
      </c>
      <c r="F4100" s="90">
        <v>29</v>
      </c>
      <c r="G4100" t="s">
        <v>1419</v>
      </c>
      <c r="H4100" s="89">
        <v>46286</v>
      </c>
      <c r="I4100" s="89">
        <v>46288</v>
      </c>
      <c r="J4100" s="91" t="s">
        <v>1656</v>
      </c>
      <c r="K4100" s="91" t="s">
        <v>6557</v>
      </c>
      <c r="L4100">
        <v>1</v>
      </c>
      <c r="M4100" s="91" t="s">
        <v>6558</v>
      </c>
      <c r="N4100" s="91" t="s">
        <v>6543</v>
      </c>
    </row>
    <row r="4101" spans="1:14" x14ac:dyDescent="0.25">
      <c r="A4101" s="91" t="s">
        <v>1318</v>
      </c>
      <c r="B4101" s="91" t="s">
        <v>1332</v>
      </c>
      <c r="C4101" s="91" t="s">
        <v>6545</v>
      </c>
      <c r="D4101" s="91" t="s">
        <v>20</v>
      </c>
      <c r="E4101" s="91" t="s">
        <v>19</v>
      </c>
      <c r="F4101" s="90">
        <v>70</v>
      </c>
      <c r="G4101" t="s">
        <v>1419</v>
      </c>
      <c r="H4101" s="89">
        <v>46286</v>
      </c>
      <c r="I4101" s="89">
        <v>46288</v>
      </c>
      <c r="J4101" s="91" t="s">
        <v>1656</v>
      </c>
      <c r="K4101" s="91" t="s">
        <v>6559</v>
      </c>
      <c r="L4101">
        <v>1</v>
      </c>
      <c r="M4101" s="91" t="s">
        <v>6560</v>
      </c>
      <c r="N4101" s="91" t="s">
        <v>6543</v>
      </c>
    </row>
    <row r="4102" spans="1:14" x14ac:dyDescent="0.25">
      <c r="A4102" s="91" t="s">
        <v>1313</v>
      </c>
      <c r="B4102" s="91" t="s">
        <v>1327</v>
      </c>
      <c r="C4102" s="91" t="s">
        <v>6561</v>
      </c>
      <c r="D4102" s="91" t="s">
        <v>15</v>
      </c>
      <c r="E4102" s="91" t="s">
        <v>22</v>
      </c>
      <c r="F4102" s="90">
        <v>144</v>
      </c>
      <c r="G4102">
        <v>3</v>
      </c>
      <c r="H4102" s="89">
        <v>46286</v>
      </c>
      <c r="I4102" s="89">
        <v>46289</v>
      </c>
      <c r="J4102" s="91" t="s">
        <v>4904</v>
      </c>
      <c r="K4102" s="91" t="s">
        <v>6562</v>
      </c>
      <c r="L4102">
        <v>1</v>
      </c>
      <c r="M4102" s="91" t="s">
        <v>6563</v>
      </c>
      <c r="N4102" s="91" t="s">
        <v>6543</v>
      </c>
    </row>
    <row r="4103" spans="1:14" x14ac:dyDescent="0.25">
      <c r="A4103" s="91" t="s">
        <v>1313</v>
      </c>
      <c r="B4103" s="91" t="s">
        <v>1327</v>
      </c>
      <c r="C4103" s="91" t="s">
        <v>6561</v>
      </c>
      <c r="D4103" s="91" t="s">
        <v>15</v>
      </c>
      <c r="E4103" s="91" t="s">
        <v>22</v>
      </c>
      <c r="F4103" s="90">
        <v>96</v>
      </c>
      <c r="G4103">
        <v>2</v>
      </c>
      <c r="H4103" s="89">
        <v>46286</v>
      </c>
      <c r="I4103" s="89">
        <v>46291</v>
      </c>
      <c r="J4103" s="91" t="s">
        <v>6564</v>
      </c>
      <c r="K4103" s="91" t="s">
        <v>6565</v>
      </c>
      <c r="L4103">
        <v>1</v>
      </c>
      <c r="M4103" s="91" t="s">
        <v>6566</v>
      </c>
      <c r="N4103" s="91" t="s">
        <v>6543</v>
      </c>
    </row>
    <row r="4104" spans="1:14" x14ac:dyDescent="0.25">
      <c r="A4104" s="91" t="s">
        <v>1314</v>
      </c>
      <c r="B4104" s="91" t="s">
        <v>1328</v>
      </c>
      <c r="C4104" s="91" t="s">
        <v>6561</v>
      </c>
      <c r="D4104" s="91" t="s">
        <v>15</v>
      </c>
      <c r="E4104" s="91" t="s">
        <v>18</v>
      </c>
      <c r="F4104" s="90">
        <v>48</v>
      </c>
      <c r="G4104">
        <v>1</v>
      </c>
      <c r="H4104" s="89">
        <v>46286</v>
      </c>
      <c r="I4104" s="89">
        <v>46290</v>
      </c>
      <c r="J4104" s="91" t="s">
        <v>6546</v>
      </c>
      <c r="K4104" s="91" t="s">
        <v>6567</v>
      </c>
      <c r="L4104">
        <v>1</v>
      </c>
      <c r="M4104" s="91" t="s">
        <v>6568</v>
      </c>
      <c r="N4104" s="91" t="s">
        <v>6543</v>
      </c>
    </row>
    <row r="4105" spans="1:14" x14ac:dyDescent="0.25">
      <c r="A4105" s="91" t="s">
        <v>1314</v>
      </c>
      <c r="B4105" s="91" t="s">
        <v>1328</v>
      </c>
      <c r="C4105" s="91" t="s">
        <v>6561</v>
      </c>
      <c r="D4105" s="91" t="s">
        <v>15</v>
      </c>
      <c r="E4105" s="91" t="s">
        <v>31</v>
      </c>
      <c r="F4105" s="90">
        <v>48</v>
      </c>
      <c r="G4105">
        <v>1</v>
      </c>
      <c r="H4105" s="89">
        <v>46286</v>
      </c>
      <c r="I4105" s="89">
        <v>46290</v>
      </c>
      <c r="J4105" s="91" t="s">
        <v>6569</v>
      </c>
      <c r="K4105" s="91" t="s">
        <v>6570</v>
      </c>
      <c r="L4105">
        <v>1</v>
      </c>
      <c r="M4105" s="91" t="s">
        <v>6571</v>
      </c>
      <c r="N4105" s="91" t="s">
        <v>6543</v>
      </c>
    </row>
    <row r="4106" spans="1:14" x14ac:dyDescent="0.25">
      <c r="A4106" s="91" t="s">
        <v>1319</v>
      </c>
      <c r="B4106" s="91" t="s">
        <v>1333</v>
      </c>
      <c r="C4106" s="91" t="s">
        <v>6561</v>
      </c>
      <c r="D4106" s="91" t="s">
        <v>15</v>
      </c>
      <c r="E4106" s="91" t="s">
        <v>31</v>
      </c>
      <c r="F4106" s="90">
        <v>5</v>
      </c>
      <c r="G4106">
        <v>0.10416666666666669</v>
      </c>
      <c r="H4106" s="89">
        <v>46286</v>
      </c>
      <c r="I4106" s="89">
        <v>46290</v>
      </c>
      <c r="J4106" s="91" t="s">
        <v>6572</v>
      </c>
      <c r="K4106" s="91" t="s">
        <v>6573</v>
      </c>
      <c r="L4106">
        <v>1</v>
      </c>
      <c r="M4106" s="91" t="s">
        <v>6574</v>
      </c>
      <c r="N4106" s="91" t="s">
        <v>6543</v>
      </c>
    </row>
    <row r="4107" spans="1:14" x14ac:dyDescent="0.25">
      <c r="A4107" s="91" t="s">
        <v>1313</v>
      </c>
      <c r="B4107" s="91" t="s">
        <v>1327</v>
      </c>
      <c r="C4107" s="91" t="s">
        <v>6561</v>
      </c>
      <c r="D4107" s="91" t="s">
        <v>15</v>
      </c>
      <c r="E4107" s="91" t="s">
        <v>31</v>
      </c>
      <c r="F4107" s="90">
        <v>859</v>
      </c>
      <c r="G4107">
        <v>17.895833333333332</v>
      </c>
      <c r="H4107" s="89">
        <v>46286</v>
      </c>
      <c r="I4107" s="89">
        <v>46290</v>
      </c>
      <c r="J4107" s="91" t="s">
        <v>6572</v>
      </c>
      <c r="K4107" s="91" t="s">
        <v>6575</v>
      </c>
      <c r="L4107">
        <v>1</v>
      </c>
      <c r="M4107" s="91" t="s">
        <v>6576</v>
      </c>
      <c r="N4107" s="91" t="s">
        <v>6543</v>
      </c>
    </row>
    <row r="4108" spans="1:14" x14ac:dyDescent="0.25">
      <c r="A4108" s="91" t="s">
        <v>1313</v>
      </c>
      <c r="B4108" s="91" t="s">
        <v>1327</v>
      </c>
      <c r="C4108" s="91" t="s">
        <v>6561</v>
      </c>
      <c r="D4108" s="91" t="s">
        <v>15</v>
      </c>
      <c r="E4108" s="91" t="s">
        <v>19</v>
      </c>
      <c r="F4108" s="90">
        <v>192</v>
      </c>
      <c r="G4108">
        <v>4</v>
      </c>
      <c r="H4108" s="89">
        <v>46286</v>
      </c>
      <c r="I4108" s="89">
        <v>46288</v>
      </c>
      <c r="J4108" s="91" t="s">
        <v>1656</v>
      </c>
      <c r="K4108" s="91" t="s">
        <v>6577</v>
      </c>
      <c r="L4108">
        <v>1</v>
      </c>
      <c r="M4108" s="91" t="s">
        <v>6578</v>
      </c>
      <c r="N4108" s="91" t="s">
        <v>6543</v>
      </c>
    </row>
    <row r="4109" spans="1:14" x14ac:dyDescent="0.25">
      <c r="A4109" s="91" t="s">
        <v>1315</v>
      </c>
      <c r="B4109" s="91" t="s">
        <v>1329</v>
      </c>
      <c r="C4109" s="91" t="s">
        <v>6561</v>
      </c>
      <c r="D4109" s="91" t="s">
        <v>15</v>
      </c>
      <c r="E4109" s="91" t="s">
        <v>19</v>
      </c>
      <c r="F4109" s="90">
        <v>8</v>
      </c>
      <c r="G4109" t="s">
        <v>1419</v>
      </c>
      <c r="H4109" s="89">
        <v>46286</v>
      </c>
      <c r="I4109" s="89">
        <v>46288</v>
      </c>
      <c r="J4109" s="91" t="s">
        <v>1656</v>
      </c>
      <c r="K4109" s="91" t="s">
        <v>6579</v>
      </c>
      <c r="L4109">
        <v>1</v>
      </c>
      <c r="M4109" s="91" t="s">
        <v>6580</v>
      </c>
      <c r="N4109" s="91" t="s">
        <v>6543</v>
      </c>
    </row>
    <row r="4110" spans="1:14" x14ac:dyDescent="0.25">
      <c r="A4110" s="91" t="s">
        <v>1316</v>
      </c>
      <c r="B4110" s="91" t="s">
        <v>1330</v>
      </c>
      <c r="C4110" s="91" t="s">
        <v>6581</v>
      </c>
      <c r="D4110" s="91" t="s">
        <v>15</v>
      </c>
      <c r="E4110" s="91" t="s">
        <v>19</v>
      </c>
      <c r="F4110" s="90">
        <v>43</v>
      </c>
      <c r="G4110" t="s">
        <v>1419</v>
      </c>
      <c r="H4110" s="89">
        <v>46286</v>
      </c>
      <c r="I4110" s="89">
        <v>46288</v>
      </c>
      <c r="J4110" s="91" t="s">
        <v>1656</v>
      </c>
      <c r="K4110" s="91" t="s">
        <v>6582</v>
      </c>
      <c r="L4110">
        <v>1</v>
      </c>
      <c r="M4110" s="91" t="s">
        <v>6583</v>
      </c>
      <c r="N4110" s="91" t="s">
        <v>6543</v>
      </c>
    </row>
    <row r="4111" spans="1:14" x14ac:dyDescent="0.25">
      <c r="A4111" s="91" t="s">
        <v>1317</v>
      </c>
      <c r="B4111" s="91" t="s">
        <v>1331</v>
      </c>
      <c r="C4111" s="91" t="s">
        <v>6584</v>
      </c>
      <c r="D4111" s="91" t="s">
        <v>15</v>
      </c>
      <c r="E4111" s="91" t="s">
        <v>19</v>
      </c>
      <c r="F4111" s="90">
        <v>10</v>
      </c>
      <c r="G4111" t="s">
        <v>1419</v>
      </c>
      <c r="H4111" s="89">
        <v>46286</v>
      </c>
      <c r="I4111" s="89">
        <v>46288</v>
      </c>
      <c r="J4111" s="91" t="s">
        <v>1656</v>
      </c>
      <c r="K4111" s="91" t="s">
        <v>6585</v>
      </c>
      <c r="L4111">
        <v>1</v>
      </c>
      <c r="M4111" s="91" t="s">
        <v>6586</v>
      </c>
      <c r="N4111" s="91" t="s">
        <v>6543</v>
      </c>
    </row>
    <row r="4112" spans="1:14" x14ac:dyDescent="0.25">
      <c r="A4112" s="91" t="s">
        <v>1317</v>
      </c>
      <c r="B4112" s="91" t="s">
        <v>1331</v>
      </c>
      <c r="C4112" s="91" t="s">
        <v>6584</v>
      </c>
      <c r="D4112" s="91" t="s">
        <v>15</v>
      </c>
      <c r="E4112" s="91" t="s">
        <v>19</v>
      </c>
      <c r="F4112" s="90">
        <v>25</v>
      </c>
      <c r="G4112" t="s">
        <v>1419</v>
      </c>
      <c r="H4112" s="89">
        <v>46286</v>
      </c>
      <c r="I4112" s="89">
        <v>46288</v>
      </c>
      <c r="J4112" s="91" t="s">
        <v>1656</v>
      </c>
      <c r="K4112" s="91" t="s">
        <v>6585</v>
      </c>
      <c r="L4112">
        <v>2</v>
      </c>
      <c r="M4112" s="91" t="s">
        <v>6764</v>
      </c>
      <c r="N4112" s="91" t="s">
        <v>6543</v>
      </c>
    </row>
    <row r="4113" spans="1:14" x14ac:dyDescent="0.25">
      <c r="A4113" s="91" t="s">
        <v>1318</v>
      </c>
      <c r="B4113" s="91" t="s">
        <v>1332</v>
      </c>
      <c r="C4113" s="91" t="s">
        <v>6587</v>
      </c>
      <c r="D4113" s="91" t="s">
        <v>15</v>
      </c>
      <c r="E4113" s="91" t="s">
        <v>19</v>
      </c>
      <c r="F4113" s="90">
        <v>24</v>
      </c>
      <c r="G4113" t="s">
        <v>1419</v>
      </c>
      <c r="H4113" s="89">
        <v>46286</v>
      </c>
      <c r="I4113" s="89">
        <v>46288</v>
      </c>
      <c r="J4113" s="91" t="s">
        <v>1656</v>
      </c>
      <c r="K4113" s="91" t="s">
        <v>6588</v>
      </c>
      <c r="L4113">
        <v>1</v>
      </c>
      <c r="M4113" s="91" t="s">
        <v>6589</v>
      </c>
      <c r="N4113" s="91" t="s">
        <v>6543</v>
      </c>
    </row>
    <row r="4114" spans="1:14" x14ac:dyDescent="0.25">
      <c r="A4114" s="91" t="s">
        <v>1324</v>
      </c>
      <c r="B4114" s="91" t="s">
        <v>1338</v>
      </c>
      <c r="C4114" s="91" t="s">
        <v>6590</v>
      </c>
      <c r="D4114" s="91" t="s">
        <v>28</v>
      </c>
      <c r="E4114" s="91" t="s">
        <v>25</v>
      </c>
      <c r="F4114" s="90">
        <v>480</v>
      </c>
      <c r="G4114">
        <v>10</v>
      </c>
      <c r="H4114" s="89">
        <v>46286</v>
      </c>
      <c r="I4114" s="89">
        <v>46290</v>
      </c>
      <c r="J4114" s="91" t="s">
        <v>6480</v>
      </c>
      <c r="K4114" s="91" t="s">
        <v>6591</v>
      </c>
      <c r="L4114">
        <v>1</v>
      </c>
      <c r="M4114" s="91" t="s">
        <v>6592</v>
      </c>
      <c r="N4114" s="91" t="s">
        <v>6543</v>
      </c>
    </row>
    <row r="4115" spans="1:14" x14ac:dyDescent="0.25">
      <c r="A4115" s="91" t="s">
        <v>1313</v>
      </c>
      <c r="B4115" s="91" t="s">
        <v>1327</v>
      </c>
      <c r="C4115" s="91" t="s">
        <v>6590</v>
      </c>
      <c r="D4115" s="91" t="s">
        <v>28</v>
      </c>
      <c r="E4115" s="91" t="s">
        <v>31</v>
      </c>
      <c r="F4115" s="90">
        <v>240</v>
      </c>
      <c r="G4115">
        <v>5</v>
      </c>
      <c r="H4115" s="89">
        <v>46286</v>
      </c>
      <c r="I4115" s="89">
        <v>46290</v>
      </c>
      <c r="J4115" s="91" t="s">
        <v>6572</v>
      </c>
      <c r="K4115" s="91" t="s">
        <v>6593</v>
      </c>
      <c r="L4115">
        <v>1</v>
      </c>
      <c r="M4115" s="91" t="s">
        <v>6594</v>
      </c>
      <c r="N4115" s="91" t="s">
        <v>6543</v>
      </c>
    </row>
    <row r="4116" spans="1:14" x14ac:dyDescent="0.25">
      <c r="A4116" s="91" t="s">
        <v>1320</v>
      </c>
      <c r="B4116" s="91" t="s">
        <v>1334</v>
      </c>
      <c r="C4116" s="91" t="s">
        <v>6590</v>
      </c>
      <c r="D4116" s="91" t="s">
        <v>28</v>
      </c>
      <c r="E4116" s="91" t="s">
        <v>14</v>
      </c>
      <c r="F4116" s="90">
        <v>480</v>
      </c>
      <c r="G4116">
        <v>10</v>
      </c>
      <c r="H4116" s="89">
        <v>46286</v>
      </c>
      <c r="I4116" s="89">
        <v>46290</v>
      </c>
      <c r="J4116" s="91" t="s">
        <v>6540</v>
      </c>
      <c r="K4116" s="91" t="s">
        <v>6806</v>
      </c>
      <c r="L4116">
        <v>1</v>
      </c>
      <c r="M4116" s="91" t="s">
        <v>6807</v>
      </c>
      <c r="N4116" s="91" t="s">
        <v>6543</v>
      </c>
    </row>
    <row r="4117" spans="1:14" x14ac:dyDescent="0.25">
      <c r="A4117" s="91" t="s">
        <v>1315</v>
      </c>
      <c r="B4117" s="91" t="s">
        <v>1329</v>
      </c>
      <c r="C4117" s="91" t="s">
        <v>6590</v>
      </c>
      <c r="D4117" s="91" t="s">
        <v>28</v>
      </c>
      <c r="E4117" s="91" t="s">
        <v>19</v>
      </c>
      <c r="F4117" s="90">
        <v>70</v>
      </c>
      <c r="G4117" t="s">
        <v>1419</v>
      </c>
      <c r="H4117" s="89">
        <v>46286</v>
      </c>
      <c r="I4117" s="89">
        <v>46288</v>
      </c>
      <c r="J4117" s="91" t="s">
        <v>1656</v>
      </c>
      <c r="K4117" s="91" t="s">
        <v>6595</v>
      </c>
      <c r="L4117">
        <v>1</v>
      </c>
      <c r="M4117" s="91" t="s">
        <v>6596</v>
      </c>
      <c r="N4117" s="91" t="s">
        <v>6543</v>
      </c>
    </row>
    <row r="4118" spans="1:14" x14ac:dyDescent="0.25">
      <c r="A4118" s="91" t="s">
        <v>1316</v>
      </c>
      <c r="B4118" s="91" t="s">
        <v>1330</v>
      </c>
      <c r="C4118" s="91" t="s">
        <v>6597</v>
      </c>
      <c r="D4118" s="91" t="s">
        <v>28</v>
      </c>
      <c r="E4118" s="91" t="s">
        <v>19</v>
      </c>
      <c r="F4118" s="90">
        <v>18</v>
      </c>
      <c r="G4118" t="s">
        <v>1419</v>
      </c>
      <c r="H4118" s="89">
        <v>46286</v>
      </c>
      <c r="I4118" s="89">
        <v>46288</v>
      </c>
      <c r="J4118" s="91" t="s">
        <v>1656</v>
      </c>
      <c r="K4118" s="91" t="s">
        <v>6598</v>
      </c>
      <c r="L4118">
        <v>1</v>
      </c>
      <c r="M4118" s="91" t="s">
        <v>6599</v>
      </c>
      <c r="N4118" s="91" t="s">
        <v>6543</v>
      </c>
    </row>
    <row r="4119" spans="1:14" x14ac:dyDescent="0.25">
      <c r="A4119" s="91" t="s">
        <v>1317</v>
      </c>
      <c r="B4119" s="91" t="s">
        <v>1331</v>
      </c>
      <c r="C4119" s="91" t="s">
        <v>6600</v>
      </c>
      <c r="D4119" s="91" t="s">
        <v>28</v>
      </c>
      <c r="E4119" s="91" t="s">
        <v>19</v>
      </c>
      <c r="F4119" s="90">
        <v>6</v>
      </c>
      <c r="G4119" t="s">
        <v>1419</v>
      </c>
      <c r="H4119" s="89">
        <v>46286</v>
      </c>
      <c r="I4119" s="89">
        <v>46288</v>
      </c>
      <c r="J4119" s="91" t="s">
        <v>1656</v>
      </c>
      <c r="K4119" s="91" t="s">
        <v>6601</v>
      </c>
      <c r="L4119">
        <v>1</v>
      </c>
      <c r="M4119" s="91" t="s">
        <v>6602</v>
      </c>
      <c r="N4119" s="91" t="s">
        <v>6543</v>
      </c>
    </row>
    <row r="4120" spans="1:14" x14ac:dyDescent="0.25">
      <c r="A4120" s="91" t="s">
        <v>1318</v>
      </c>
      <c r="B4120" s="91" t="s">
        <v>1332</v>
      </c>
      <c r="C4120" s="91" t="s">
        <v>6603</v>
      </c>
      <c r="D4120" s="91" t="s">
        <v>28</v>
      </c>
      <c r="E4120" s="91" t="s">
        <v>19</v>
      </c>
      <c r="F4120" s="90">
        <v>48</v>
      </c>
      <c r="G4120" t="s">
        <v>1419</v>
      </c>
      <c r="H4120" s="89">
        <v>46286</v>
      </c>
      <c r="I4120" s="89">
        <v>46288</v>
      </c>
      <c r="J4120" s="91" t="s">
        <v>1656</v>
      </c>
      <c r="K4120" s="91" t="s">
        <v>6604</v>
      </c>
      <c r="L4120">
        <v>1</v>
      </c>
      <c r="M4120" s="91" t="s">
        <v>6605</v>
      </c>
      <c r="N4120" s="91" t="s">
        <v>6543</v>
      </c>
    </row>
    <row r="4121" spans="1:14" x14ac:dyDescent="0.25">
      <c r="A4121" s="91" t="s">
        <v>1320</v>
      </c>
      <c r="B4121" s="91" t="s">
        <v>1334</v>
      </c>
      <c r="C4121" s="91" t="s">
        <v>6606</v>
      </c>
      <c r="D4121" s="91" t="s">
        <v>21</v>
      </c>
      <c r="E4121" s="91" t="s">
        <v>14</v>
      </c>
      <c r="F4121" s="90">
        <v>480</v>
      </c>
      <c r="G4121">
        <v>10</v>
      </c>
      <c r="H4121" s="89">
        <v>46287</v>
      </c>
      <c r="I4121" s="89">
        <v>46290</v>
      </c>
      <c r="J4121" s="91" t="s">
        <v>6540</v>
      </c>
      <c r="K4121" s="91" t="s">
        <v>6608</v>
      </c>
      <c r="L4121">
        <v>1</v>
      </c>
      <c r="M4121" s="91" t="s">
        <v>6609</v>
      </c>
      <c r="N4121" s="91" t="s">
        <v>6543</v>
      </c>
    </row>
    <row r="4122" spans="1:14" x14ac:dyDescent="0.25">
      <c r="A4122" s="91" t="s">
        <v>1320</v>
      </c>
      <c r="B4122" s="91" t="s">
        <v>1334</v>
      </c>
      <c r="C4122" s="91" t="s">
        <v>6606</v>
      </c>
      <c r="D4122" s="91" t="s">
        <v>21</v>
      </c>
      <c r="E4122" s="91" t="s">
        <v>14</v>
      </c>
      <c r="F4122" s="90">
        <v>480</v>
      </c>
      <c r="G4122">
        <v>10</v>
      </c>
      <c r="H4122" s="89">
        <v>46287</v>
      </c>
      <c r="I4122" s="89">
        <v>46291</v>
      </c>
      <c r="J4122" s="91" t="s">
        <v>6544</v>
      </c>
      <c r="K4122" s="91" t="s">
        <v>6808</v>
      </c>
      <c r="L4122">
        <v>1</v>
      </c>
      <c r="M4122" s="91" t="s">
        <v>6809</v>
      </c>
      <c r="N4122" s="91" t="s">
        <v>6543</v>
      </c>
    </row>
    <row r="4123" spans="1:14" x14ac:dyDescent="0.25">
      <c r="A4123" s="91" t="s">
        <v>1313</v>
      </c>
      <c r="B4123" s="91" t="s">
        <v>1327</v>
      </c>
      <c r="C4123" s="91" t="s">
        <v>6606</v>
      </c>
      <c r="D4123" s="91" t="s">
        <v>21</v>
      </c>
      <c r="E4123" s="91" t="s">
        <v>22</v>
      </c>
      <c r="F4123" s="90">
        <v>672</v>
      </c>
      <c r="G4123">
        <v>14</v>
      </c>
      <c r="H4123" s="89">
        <v>46287</v>
      </c>
      <c r="I4123" s="89">
        <v>46291</v>
      </c>
      <c r="J4123" s="91" t="s">
        <v>6564</v>
      </c>
      <c r="K4123" s="91" t="s">
        <v>6610</v>
      </c>
      <c r="L4123">
        <v>1</v>
      </c>
      <c r="M4123" s="91" t="s">
        <v>6611</v>
      </c>
      <c r="N4123" s="91" t="s">
        <v>6543</v>
      </c>
    </row>
    <row r="4124" spans="1:14" x14ac:dyDescent="0.25">
      <c r="A4124" s="91" t="s">
        <v>1313</v>
      </c>
      <c r="B4124" s="91" t="s">
        <v>1327</v>
      </c>
      <c r="C4124" s="91" t="s">
        <v>6606</v>
      </c>
      <c r="D4124" s="91" t="s">
        <v>21</v>
      </c>
      <c r="E4124" s="91" t="s">
        <v>19</v>
      </c>
      <c r="F4124" s="90">
        <v>192</v>
      </c>
      <c r="G4124">
        <v>4</v>
      </c>
      <c r="H4124" s="89">
        <v>46287</v>
      </c>
      <c r="I4124" s="89">
        <v>46291</v>
      </c>
      <c r="J4124" s="91" t="s">
        <v>1656</v>
      </c>
      <c r="K4124" s="91" t="s">
        <v>6612</v>
      </c>
      <c r="L4124">
        <v>1</v>
      </c>
      <c r="M4124" s="91" t="s">
        <v>6613</v>
      </c>
      <c r="N4124" s="91" t="s">
        <v>6543</v>
      </c>
    </row>
    <row r="4125" spans="1:14" x14ac:dyDescent="0.25">
      <c r="A4125" s="91" t="s">
        <v>1315</v>
      </c>
      <c r="B4125" s="91" t="s">
        <v>1329</v>
      </c>
      <c r="C4125" s="91" t="s">
        <v>6606</v>
      </c>
      <c r="D4125" s="91" t="s">
        <v>21</v>
      </c>
      <c r="E4125" s="91" t="s">
        <v>19</v>
      </c>
      <c r="F4125" s="90">
        <v>65</v>
      </c>
      <c r="G4125" t="s">
        <v>1419</v>
      </c>
      <c r="H4125" s="89">
        <v>46287</v>
      </c>
      <c r="I4125" s="89">
        <v>46288</v>
      </c>
      <c r="J4125" s="91" t="s">
        <v>1656</v>
      </c>
      <c r="K4125" s="91" t="s">
        <v>6614</v>
      </c>
      <c r="L4125">
        <v>1</v>
      </c>
      <c r="M4125" s="91" t="s">
        <v>6615</v>
      </c>
      <c r="N4125" s="91" t="s">
        <v>6543</v>
      </c>
    </row>
    <row r="4126" spans="1:14" x14ac:dyDescent="0.25">
      <c r="A4126" s="91" t="s">
        <v>1316</v>
      </c>
      <c r="B4126" s="91" t="s">
        <v>1330</v>
      </c>
      <c r="C4126" s="91" t="s">
        <v>6616</v>
      </c>
      <c r="D4126" s="91" t="s">
        <v>21</v>
      </c>
      <c r="E4126" s="91" t="s">
        <v>19</v>
      </c>
      <c r="F4126" s="90">
        <v>20</v>
      </c>
      <c r="G4126" t="s">
        <v>1419</v>
      </c>
      <c r="H4126" s="89">
        <v>46287</v>
      </c>
      <c r="I4126" s="89">
        <v>46289</v>
      </c>
      <c r="J4126" s="91" t="s">
        <v>1656</v>
      </c>
      <c r="K4126" s="91" t="s">
        <v>6617</v>
      </c>
      <c r="L4126">
        <v>1</v>
      </c>
      <c r="M4126" s="91" t="s">
        <v>6618</v>
      </c>
      <c r="N4126" s="91" t="s">
        <v>6543</v>
      </c>
    </row>
    <row r="4127" spans="1:14" x14ac:dyDescent="0.25">
      <c r="A4127" s="91" t="s">
        <v>1317</v>
      </c>
      <c r="B4127" s="91" t="s">
        <v>1331</v>
      </c>
      <c r="C4127" s="91" t="s">
        <v>6619</v>
      </c>
      <c r="D4127" s="91" t="s">
        <v>21</v>
      </c>
      <c r="E4127" s="91" t="s">
        <v>19</v>
      </c>
      <c r="F4127" s="90">
        <v>27</v>
      </c>
      <c r="G4127" t="s">
        <v>1419</v>
      </c>
      <c r="H4127" s="89">
        <v>46287</v>
      </c>
      <c r="I4127" s="89">
        <v>46289</v>
      </c>
      <c r="J4127" s="91" t="s">
        <v>1656</v>
      </c>
      <c r="K4127" s="91" t="s">
        <v>6620</v>
      </c>
      <c r="L4127">
        <v>1</v>
      </c>
      <c r="M4127" s="91" t="s">
        <v>6621</v>
      </c>
      <c r="N4127" s="91" t="s">
        <v>6543</v>
      </c>
    </row>
    <row r="4128" spans="1:14" x14ac:dyDescent="0.25">
      <c r="A4128" s="91" t="s">
        <v>1318</v>
      </c>
      <c r="B4128" s="91" t="s">
        <v>1332</v>
      </c>
      <c r="C4128" s="91" t="s">
        <v>6622</v>
      </c>
      <c r="D4128" s="91" t="s">
        <v>21</v>
      </c>
      <c r="E4128" s="91" t="s">
        <v>19</v>
      </c>
      <c r="F4128" s="90">
        <v>69</v>
      </c>
      <c r="G4128" t="s">
        <v>1419</v>
      </c>
      <c r="H4128" s="89">
        <v>46287</v>
      </c>
      <c r="I4128" s="89">
        <v>46289</v>
      </c>
      <c r="J4128" s="91" t="s">
        <v>1656</v>
      </c>
      <c r="K4128" s="91" t="s">
        <v>6623</v>
      </c>
      <c r="L4128">
        <v>1</v>
      </c>
      <c r="M4128" s="91" t="s">
        <v>6624</v>
      </c>
      <c r="N4128" s="91" t="s">
        <v>6543</v>
      </c>
    </row>
    <row r="4129" spans="1:14" x14ac:dyDescent="0.25">
      <c r="A4129" s="91" t="s">
        <v>1313</v>
      </c>
      <c r="B4129" s="91" t="s">
        <v>1327</v>
      </c>
      <c r="C4129" s="91" t="s">
        <v>6625</v>
      </c>
      <c r="D4129" s="91" t="s">
        <v>15</v>
      </c>
      <c r="E4129" s="91" t="s">
        <v>22</v>
      </c>
      <c r="F4129" s="90">
        <v>384</v>
      </c>
      <c r="G4129">
        <v>8</v>
      </c>
      <c r="H4129" s="89">
        <v>46287</v>
      </c>
      <c r="I4129" s="89">
        <v>46291</v>
      </c>
      <c r="J4129" s="91" t="s">
        <v>6564</v>
      </c>
      <c r="K4129" s="91" t="s">
        <v>6626</v>
      </c>
      <c r="L4129">
        <v>1</v>
      </c>
      <c r="M4129" s="91" t="s">
        <v>6627</v>
      </c>
      <c r="N4129" s="91" t="s">
        <v>6543</v>
      </c>
    </row>
    <row r="4130" spans="1:14" x14ac:dyDescent="0.25">
      <c r="A4130" s="91" t="s">
        <v>1313</v>
      </c>
      <c r="B4130" s="91" t="s">
        <v>1327</v>
      </c>
      <c r="C4130" s="91" t="s">
        <v>6625</v>
      </c>
      <c r="D4130" s="91" t="s">
        <v>15</v>
      </c>
      <c r="E4130" s="91" t="s">
        <v>22</v>
      </c>
      <c r="F4130" s="90">
        <v>48</v>
      </c>
      <c r="G4130">
        <v>1</v>
      </c>
      <c r="H4130" s="89">
        <v>46287</v>
      </c>
      <c r="I4130" s="89">
        <v>46291</v>
      </c>
      <c r="J4130" s="91" t="s">
        <v>6705</v>
      </c>
      <c r="K4130" s="91" t="s">
        <v>6626</v>
      </c>
      <c r="L4130">
        <v>2</v>
      </c>
      <c r="M4130" s="91" t="s">
        <v>6765</v>
      </c>
      <c r="N4130" s="91" t="s">
        <v>6543</v>
      </c>
    </row>
    <row r="4131" spans="1:14" x14ac:dyDescent="0.25">
      <c r="A4131" s="91" t="s">
        <v>1313</v>
      </c>
      <c r="B4131" s="91" t="s">
        <v>1327</v>
      </c>
      <c r="C4131" s="91" t="s">
        <v>6625</v>
      </c>
      <c r="D4131" s="91" t="s">
        <v>15</v>
      </c>
      <c r="E4131" s="91" t="s">
        <v>16</v>
      </c>
      <c r="F4131" s="90">
        <v>912</v>
      </c>
      <c r="G4131">
        <v>19</v>
      </c>
      <c r="H4131" s="89">
        <v>46287</v>
      </c>
      <c r="I4131" s="89">
        <v>46291</v>
      </c>
      <c r="J4131" s="91" t="s">
        <v>6628</v>
      </c>
      <c r="K4131" s="91" t="s">
        <v>6629</v>
      </c>
      <c r="L4131">
        <v>1</v>
      </c>
      <c r="M4131" s="91" t="s">
        <v>6630</v>
      </c>
      <c r="N4131" s="91" t="s">
        <v>6543</v>
      </c>
    </row>
    <row r="4132" spans="1:14" x14ac:dyDescent="0.25">
      <c r="A4132" s="91" t="s">
        <v>1314</v>
      </c>
      <c r="B4132" s="91" t="s">
        <v>1328</v>
      </c>
      <c r="C4132" s="91" t="s">
        <v>6625</v>
      </c>
      <c r="D4132" s="91" t="s">
        <v>15</v>
      </c>
      <c r="E4132" s="91" t="s">
        <v>16</v>
      </c>
      <c r="F4132" s="90">
        <v>240</v>
      </c>
      <c r="G4132">
        <v>5</v>
      </c>
      <c r="H4132" s="89">
        <v>46287</v>
      </c>
      <c r="I4132" s="89">
        <v>46291</v>
      </c>
      <c r="J4132" s="91" t="s">
        <v>6631</v>
      </c>
      <c r="K4132" s="91" t="s">
        <v>6632</v>
      </c>
      <c r="L4132">
        <v>1</v>
      </c>
      <c r="M4132" s="91" t="s">
        <v>6633</v>
      </c>
      <c r="N4132" s="91" t="s">
        <v>6543</v>
      </c>
    </row>
    <row r="4133" spans="1:14" x14ac:dyDescent="0.25">
      <c r="A4133" s="91" t="s">
        <v>1316</v>
      </c>
      <c r="B4133" s="91" t="s">
        <v>1330</v>
      </c>
      <c r="C4133" s="91" t="s">
        <v>6634</v>
      </c>
      <c r="D4133" s="91" t="s">
        <v>15</v>
      </c>
      <c r="E4133" s="91" t="s">
        <v>19</v>
      </c>
      <c r="F4133" s="90">
        <v>44</v>
      </c>
      <c r="G4133" t="s">
        <v>1419</v>
      </c>
      <c r="H4133" s="89">
        <v>46287</v>
      </c>
      <c r="I4133" s="89">
        <v>46289</v>
      </c>
      <c r="J4133" s="91" t="s">
        <v>1656</v>
      </c>
      <c r="K4133" s="91" t="s">
        <v>6635</v>
      </c>
      <c r="L4133">
        <v>1</v>
      </c>
      <c r="M4133" s="91" t="s">
        <v>6636</v>
      </c>
      <c r="N4133" s="91" t="s">
        <v>6543</v>
      </c>
    </row>
    <row r="4134" spans="1:14" x14ac:dyDescent="0.25">
      <c r="A4134" s="91" t="s">
        <v>1317</v>
      </c>
      <c r="B4134" s="91" t="s">
        <v>1331</v>
      </c>
      <c r="C4134" s="91" t="s">
        <v>6637</v>
      </c>
      <c r="D4134" s="91" t="s">
        <v>15</v>
      </c>
      <c r="E4134" s="91" t="s">
        <v>19</v>
      </c>
      <c r="F4134" s="90">
        <v>42</v>
      </c>
      <c r="G4134" t="s">
        <v>1419</v>
      </c>
      <c r="H4134" s="89">
        <v>46287</v>
      </c>
      <c r="I4134" s="89">
        <v>46289</v>
      </c>
      <c r="J4134" s="91" t="s">
        <v>1656</v>
      </c>
      <c r="K4134" s="91" t="s">
        <v>6638</v>
      </c>
      <c r="L4134">
        <v>1</v>
      </c>
      <c r="M4134" s="91" t="s">
        <v>6639</v>
      </c>
      <c r="N4134" s="91" t="s">
        <v>6543</v>
      </c>
    </row>
    <row r="4135" spans="1:14" x14ac:dyDescent="0.25">
      <c r="A4135" s="91" t="s">
        <v>1318</v>
      </c>
      <c r="B4135" s="91" t="s">
        <v>1332</v>
      </c>
      <c r="C4135" s="91" t="s">
        <v>6640</v>
      </c>
      <c r="D4135" s="91" t="s">
        <v>15</v>
      </c>
      <c r="E4135" s="91" t="s">
        <v>19</v>
      </c>
      <c r="F4135" s="90">
        <v>35</v>
      </c>
      <c r="G4135" t="s">
        <v>1419</v>
      </c>
      <c r="H4135" s="89">
        <v>46287</v>
      </c>
      <c r="I4135" s="89">
        <v>46289</v>
      </c>
      <c r="J4135" s="91" t="s">
        <v>1656</v>
      </c>
      <c r="K4135" s="91" t="s">
        <v>6641</v>
      </c>
      <c r="L4135">
        <v>1</v>
      </c>
      <c r="M4135" s="91" t="s">
        <v>6642</v>
      </c>
      <c r="N4135" s="91" t="s">
        <v>6543</v>
      </c>
    </row>
    <row r="4136" spans="1:14" x14ac:dyDescent="0.25">
      <c r="A4136" s="91" t="s">
        <v>1322</v>
      </c>
      <c r="B4136" s="91" t="s">
        <v>1336</v>
      </c>
      <c r="C4136" s="91" t="s">
        <v>6643</v>
      </c>
      <c r="D4136" s="91" t="s">
        <v>20</v>
      </c>
      <c r="E4136" s="91" t="s">
        <v>26</v>
      </c>
      <c r="F4136" s="90">
        <v>324</v>
      </c>
      <c r="G4136">
        <v>6</v>
      </c>
      <c r="H4136" s="89">
        <v>46287</v>
      </c>
      <c r="I4136" s="89">
        <v>46290</v>
      </c>
      <c r="J4136" s="91" t="s">
        <v>6644</v>
      </c>
      <c r="K4136" s="91" t="s">
        <v>6645</v>
      </c>
      <c r="L4136">
        <v>1</v>
      </c>
      <c r="M4136" s="91" t="s">
        <v>6646</v>
      </c>
      <c r="N4136" s="91" t="s">
        <v>6543</v>
      </c>
    </row>
    <row r="4137" spans="1:14" x14ac:dyDescent="0.25">
      <c r="A4137" s="91" t="s">
        <v>1323</v>
      </c>
      <c r="B4137" s="91" t="s">
        <v>1337</v>
      </c>
      <c r="C4137" s="91" t="s">
        <v>6643</v>
      </c>
      <c r="D4137" s="91" t="s">
        <v>20</v>
      </c>
      <c r="E4137" s="91" t="s">
        <v>26</v>
      </c>
      <c r="F4137" s="90">
        <v>756</v>
      </c>
      <c r="G4137">
        <v>14</v>
      </c>
      <c r="H4137" s="89">
        <v>46287</v>
      </c>
      <c r="I4137" s="89">
        <v>46290</v>
      </c>
      <c r="J4137" s="91" t="s">
        <v>6644</v>
      </c>
      <c r="K4137" s="91" t="s">
        <v>6647</v>
      </c>
      <c r="L4137">
        <v>1</v>
      </c>
      <c r="M4137" s="91" t="s">
        <v>6648</v>
      </c>
      <c r="N4137" s="91" t="s">
        <v>6543</v>
      </c>
    </row>
    <row r="4138" spans="1:14" x14ac:dyDescent="0.25">
      <c r="A4138" s="91" t="s">
        <v>1313</v>
      </c>
      <c r="B4138" s="91" t="s">
        <v>1327</v>
      </c>
      <c r="C4138" s="91" t="s">
        <v>6643</v>
      </c>
      <c r="D4138" s="91" t="s">
        <v>20</v>
      </c>
      <c r="E4138" s="91" t="s">
        <v>16</v>
      </c>
      <c r="F4138" s="90">
        <v>48</v>
      </c>
      <c r="G4138">
        <v>1</v>
      </c>
      <c r="H4138" s="89">
        <v>46287</v>
      </c>
      <c r="I4138" s="89">
        <v>46292</v>
      </c>
      <c r="J4138" s="91" t="s">
        <v>6712</v>
      </c>
      <c r="K4138" s="91" t="s">
        <v>6649</v>
      </c>
      <c r="L4138">
        <v>1</v>
      </c>
      <c r="M4138" s="91" t="s">
        <v>6650</v>
      </c>
      <c r="N4138" s="91" t="s">
        <v>6543</v>
      </c>
    </row>
    <row r="4139" spans="1:14" x14ac:dyDescent="0.25">
      <c r="A4139" s="91" t="s">
        <v>1313</v>
      </c>
      <c r="B4139" s="91" t="s">
        <v>1327</v>
      </c>
      <c r="C4139" s="91" t="s">
        <v>6643</v>
      </c>
      <c r="D4139" s="91" t="s">
        <v>20</v>
      </c>
      <c r="E4139" s="91" t="s">
        <v>19</v>
      </c>
      <c r="F4139" s="90">
        <v>144</v>
      </c>
      <c r="G4139">
        <v>3</v>
      </c>
      <c r="H4139" s="89">
        <v>46287</v>
      </c>
      <c r="I4139" s="89">
        <v>46288</v>
      </c>
      <c r="J4139" s="91" t="s">
        <v>1656</v>
      </c>
      <c r="K4139" s="91" t="s">
        <v>6651</v>
      </c>
      <c r="L4139">
        <v>1</v>
      </c>
      <c r="M4139" s="91" t="s">
        <v>6652</v>
      </c>
      <c r="N4139" s="91" t="s">
        <v>6543</v>
      </c>
    </row>
    <row r="4140" spans="1:14" x14ac:dyDescent="0.25">
      <c r="A4140" s="91" t="s">
        <v>1315</v>
      </c>
      <c r="B4140" s="91" t="s">
        <v>1329</v>
      </c>
      <c r="C4140" s="91" t="s">
        <v>6643</v>
      </c>
      <c r="D4140" s="91" t="s">
        <v>20</v>
      </c>
      <c r="E4140" s="91" t="s">
        <v>19</v>
      </c>
      <c r="F4140" s="90">
        <v>112</v>
      </c>
      <c r="G4140" t="s">
        <v>1419</v>
      </c>
      <c r="H4140" s="89">
        <v>46287</v>
      </c>
      <c r="I4140" s="89">
        <v>46288</v>
      </c>
      <c r="J4140" s="91" t="s">
        <v>1656</v>
      </c>
      <c r="K4140" s="91" t="s">
        <v>6653</v>
      </c>
      <c r="L4140">
        <v>1</v>
      </c>
      <c r="M4140" s="91" t="s">
        <v>6654</v>
      </c>
      <c r="N4140" s="91" t="s">
        <v>6543</v>
      </c>
    </row>
    <row r="4141" spans="1:14" x14ac:dyDescent="0.25">
      <c r="A4141" s="91" t="s">
        <v>1316</v>
      </c>
      <c r="B4141" s="91" t="s">
        <v>1330</v>
      </c>
      <c r="C4141" s="91" t="s">
        <v>6655</v>
      </c>
      <c r="D4141" s="91" t="s">
        <v>20</v>
      </c>
      <c r="E4141" s="91" t="s">
        <v>19</v>
      </c>
      <c r="F4141" s="90">
        <v>46</v>
      </c>
      <c r="G4141" t="s">
        <v>1419</v>
      </c>
      <c r="H4141" s="89">
        <v>46287</v>
      </c>
      <c r="I4141" s="89">
        <v>46289</v>
      </c>
      <c r="J4141" s="91" t="s">
        <v>1656</v>
      </c>
      <c r="K4141" s="91" t="s">
        <v>6656</v>
      </c>
      <c r="L4141">
        <v>1</v>
      </c>
      <c r="M4141" s="91" t="s">
        <v>6657</v>
      </c>
      <c r="N4141" s="91" t="s">
        <v>6543</v>
      </c>
    </row>
    <row r="4142" spans="1:14" x14ac:dyDescent="0.25">
      <c r="A4142" s="91" t="s">
        <v>1317</v>
      </c>
      <c r="B4142" s="91" t="s">
        <v>1331</v>
      </c>
      <c r="C4142" s="91" t="s">
        <v>6658</v>
      </c>
      <c r="D4142" s="91" t="s">
        <v>20</v>
      </c>
      <c r="E4142" s="91" t="s">
        <v>19</v>
      </c>
      <c r="F4142" s="90">
        <v>9</v>
      </c>
      <c r="G4142" t="s">
        <v>1419</v>
      </c>
      <c r="H4142" s="89">
        <v>46287</v>
      </c>
      <c r="I4142" s="89">
        <v>46289</v>
      </c>
      <c r="J4142" s="91" t="s">
        <v>1656</v>
      </c>
      <c r="K4142" s="91" t="s">
        <v>6659</v>
      </c>
      <c r="L4142">
        <v>1</v>
      </c>
      <c r="M4142" s="91" t="s">
        <v>6660</v>
      </c>
      <c r="N4142" s="91" t="s">
        <v>6543</v>
      </c>
    </row>
    <row r="4143" spans="1:14" x14ac:dyDescent="0.25">
      <c r="A4143" s="91" t="s">
        <v>1318</v>
      </c>
      <c r="B4143" s="91" t="s">
        <v>1332</v>
      </c>
      <c r="C4143" s="91" t="s">
        <v>6661</v>
      </c>
      <c r="D4143" s="91" t="s">
        <v>20</v>
      </c>
      <c r="E4143" s="91" t="s">
        <v>19</v>
      </c>
      <c r="F4143" s="90">
        <v>30</v>
      </c>
      <c r="G4143" t="s">
        <v>1419</v>
      </c>
      <c r="H4143" s="89">
        <v>46287</v>
      </c>
      <c r="I4143" s="89">
        <v>46289</v>
      </c>
      <c r="J4143" s="91" t="s">
        <v>1656</v>
      </c>
      <c r="K4143" s="91" t="s">
        <v>6662</v>
      </c>
      <c r="L4143">
        <v>1</v>
      </c>
      <c r="M4143" s="91" t="s">
        <v>6663</v>
      </c>
      <c r="N4143" s="91" t="s">
        <v>6543</v>
      </c>
    </row>
    <row r="4144" spans="1:14" x14ac:dyDescent="0.25">
      <c r="A4144" s="91" t="s">
        <v>1324</v>
      </c>
      <c r="B4144" s="91" t="s">
        <v>1338</v>
      </c>
      <c r="C4144" s="91" t="s">
        <v>6664</v>
      </c>
      <c r="D4144" s="91" t="s">
        <v>13</v>
      </c>
      <c r="E4144" s="91" t="s">
        <v>25</v>
      </c>
      <c r="F4144" s="90">
        <v>960</v>
      </c>
      <c r="G4144">
        <v>20</v>
      </c>
      <c r="H4144" s="89">
        <v>46287</v>
      </c>
      <c r="I4144" s="89">
        <v>46291</v>
      </c>
      <c r="J4144" s="91" t="s">
        <v>6665</v>
      </c>
      <c r="K4144" s="91" t="s">
        <v>6666</v>
      </c>
      <c r="L4144">
        <v>1</v>
      </c>
      <c r="M4144" s="91" t="s">
        <v>6667</v>
      </c>
      <c r="N4144" s="91" t="s">
        <v>6543</v>
      </c>
    </row>
    <row r="4145" spans="1:14" x14ac:dyDescent="0.25">
      <c r="A4145" s="91" t="s">
        <v>1324</v>
      </c>
      <c r="B4145" s="91" t="s">
        <v>1338</v>
      </c>
      <c r="C4145" s="91" t="s">
        <v>6664</v>
      </c>
      <c r="D4145" s="91" t="s">
        <v>13</v>
      </c>
      <c r="E4145" s="91" t="s">
        <v>65</v>
      </c>
      <c r="F4145" s="90">
        <v>288</v>
      </c>
      <c r="G4145">
        <v>6</v>
      </c>
      <c r="H4145" s="89">
        <v>46287</v>
      </c>
      <c r="I4145" s="89">
        <v>46294</v>
      </c>
      <c r="J4145" s="91" t="s">
        <v>6673</v>
      </c>
      <c r="K4145" s="91" t="s">
        <v>6810</v>
      </c>
      <c r="L4145">
        <v>1</v>
      </c>
      <c r="M4145" s="91" t="s">
        <v>6811</v>
      </c>
      <c r="N4145" s="91" t="s">
        <v>6543</v>
      </c>
    </row>
    <row r="4146" spans="1:14" x14ac:dyDescent="0.25">
      <c r="A4146" s="91" t="s">
        <v>1321</v>
      </c>
      <c r="B4146" s="91" t="s">
        <v>1335</v>
      </c>
      <c r="C4146" s="91" t="s">
        <v>6669</v>
      </c>
      <c r="D4146" s="91" t="s">
        <v>6670</v>
      </c>
      <c r="E4146" s="91" t="s">
        <v>25</v>
      </c>
      <c r="F4146" s="90">
        <v>96</v>
      </c>
      <c r="G4146">
        <v>2</v>
      </c>
      <c r="H4146" s="89">
        <v>46287</v>
      </c>
      <c r="I4146" s="89">
        <v>46293</v>
      </c>
      <c r="J4146" s="91" t="s">
        <v>6668</v>
      </c>
      <c r="K4146" s="91" t="s">
        <v>6671</v>
      </c>
      <c r="L4146">
        <v>1</v>
      </c>
      <c r="M4146" s="91" t="s">
        <v>6672</v>
      </c>
      <c r="N4146" s="91" t="s">
        <v>6543</v>
      </c>
    </row>
    <row r="4147" spans="1:14" x14ac:dyDescent="0.25">
      <c r="A4147" s="91" t="s">
        <v>1321</v>
      </c>
      <c r="B4147" s="91" t="s">
        <v>1335</v>
      </c>
      <c r="C4147" s="91" t="s">
        <v>6669</v>
      </c>
      <c r="D4147" s="91" t="s">
        <v>6670</v>
      </c>
      <c r="E4147" s="91" t="s">
        <v>65</v>
      </c>
      <c r="F4147" s="90">
        <v>144</v>
      </c>
      <c r="G4147">
        <v>3</v>
      </c>
      <c r="H4147" s="89">
        <v>46287</v>
      </c>
      <c r="I4147" s="89">
        <v>46294</v>
      </c>
      <c r="J4147" s="91" t="s">
        <v>6673</v>
      </c>
      <c r="K4147" s="91" t="s">
        <v>6674</v>
      </c>
      <c r="L4147">
        <v>1</v>
      </c>
      <c r="M4147" s="91" t="s">
        <v>6675</v>
      </c>
      <c r="N4147" s="91" t="s">
        <v>6543</v>
      </c>
    </row>
    <row r="4148" spans="1:14" x14ac:dyDescent="0.25">
      <c r="A4148" s="91" t="s">
        <v>1325</v>
      </c>
      <c r="B4148" s="91" t="s">
        <v>1339</v>
      </c>
      <c r="C4148" s="91" t="s">
        <v>6669</v>
      </c>
      <c r="D4148" s="91" t="s">
        <v>6670</v>
      </c>
      <c r="E4148" s="91" t="s">
        <v>19</v>
      </c>
      <c r="F4148" s="90">
        <v>240</v>
      </c>
      <c r="G4148">
        <v>5</v>
      </c>
      <c r="H4148" s="89">
        <v>46287</v>
      </c>
      <c r="I4148" s="89">
        <v>46288</v>
      </c>
      <c r="J4148" s="91" t="s">
        <v>1656</v>
      </c>
      <c r="K4148" s="91" t="s">
        <v>6766</v>
      </c>
      <c r="L4148">
        <v>1</v>
      </c>
      <c r="M4148" s="91" t="s">
        <v>6767</v>
      </c>
      <c r="N4148" s="91" t="s">
        <v>6543</v>
      </c>
    </row>
    <row r="4149" spans="1:14" x14ac:dyDescent="0.25">
      <c r="A4149" s="91" t="s">
        <v>1320</v>
      </c>
      <c r="B4149" s="91" t="s">
        <v>1334</v>
      </c>
      <c r="C4149" s="91" t="s">
        <v>6676</v>
      </c>
      <c r="D4149" s="91" t="s">
        <v>23</v>
      </c>
      <c r="E4149" s="91" t="s">
        <v>14</v>
      </c>
      <c r="F4149" s="90">
        <v>240</v>
      </c>
      <c r="G4149">
        <v>5</v>
      </c>
      <c r="H4149" s="89">
        <v>46287</v>
      </c>
      <c r="I4149" s="89">
        <v>46290</v>
      </c>
      <c r="J4149" s="91" t="s">
        <v>6607</v>
      </c>
      <c r="K4149" s="91" t="s">
        <v>6812</v>
      </c>
      <c r="L4149">
        <v>1</v>
      </c>
      <c r="M4149" s="91" t="s">
        <v>6813</v>
      </c>
      <c r="N4149" s="91" t="s">
        <v>6543</v>
      </c>
    </row>
    <row r="4150" spans="1:14" x14ac:dyDescent="0.25">
      <c r="A4150" s="91" t="s">
        <v>1320</v>
      </c>
      <c r="B4150" s="91" t="s">
        <v>1334</v>
      </c>
      <c r="C4150" s="91" t="s">
        <v>6676</v>
      </c>
      <c r="D4150" s="91" t="s">
        <v>23</v>
      </c>
      <c r="E4150" s="91" t="s">
        <v>14</v>
      </c>
      <c r="F4150" s="90">
        <v>480</v>
      </c>
      <c r="G4150">
        <v>10</v>
      </c>
      <c r="H4150" s="89">
        <v>46287</v>
      </c>
      <c r="I4150" s="89">
        <v>46291</v>
      </c>
      <c r="J4150" s="91" t="s">
        <v>6544</v>
      </c>
      <c r="K4150" s="91" t="s">
        <v>6677</v>
      </c>
      <c r="L4150">
        <v>1</v>
      </c>
      <c r="M4150" s="91" t="s">
        <v>6678</v>
      </c>
      <c r="N4150" s="91" t="s">
        <v>6543</v>
      </c>
    </row>
    <row r="4151" spans="1:14" x14ac:dyDescent="0.25">
      <c r="A4151" s="91" t="s">
        <v>1320</v>
      </c>
      <c r="B4151" s="91" t="s">
        <v>1334</v>
      </c>
      <c r="C4151" s="91" t="s">
        <v>6676</v>
      </c>
      <c r="D4151" s="91" t="s">
        <v>23</v>
      </c>
      <c r="E4151" s="91" t="s">
        <v>14</v>
      </c>
      <c r="F4151" s="90">
        <v>288</v>
      </c>
      <c r="G4151">
        <v>6</v>
      </c>
      <c r="H4151" s="89">
        <v>46287</v>
      </c>
      <c r="I4151" s="89">
        <v>46294</v>
      </c>
      <c r="J4151" s="91" t="s">
        <v>6689</v>
      </c>
      <c r="K4151" s="91" t="s">
        <v>6679</v>
      </c>
      <c r="L4151">
        <v>1</v>
      </c>
      <c r="M4151" s="91" t="s">
        <v>6680</v>
      </c>
      <c r="N4151" s="91" t="s">
        <v>6543</v>
      </c>
    </row>
    <row r="4152" spans="1:14" x14ac:dyDescent="0.25">
      <c r="A4152" s="91" t="s">
        <v>1324</v>
      </c>
      <c r="B4152" s="91" t="s">
        <v>1338</v>
      </c>
      <c r="C4152" s="91" t="s">
        <v>6681</v>
      </c>
      <c r="D4152" s="91" t="s">
        <v>24</v>
      </c>
      <c r="E4152" s="91" t="s">
        <v>25</v>
      </c>
      <c r="F4152" s="90">
        <v>960</v>
      </c>
      <c r="G4152">
        <v>20</v>
      </c>
      <c r="H4152" s="89">
        <v>46287</v>
      </c>
      <c r="I4152" s="89">
        <v>46291</v>
      </c>
      <c r="J4152" s="91" t="s">
        <v>6665</v>
      </c>
      <c r="K4152" s="91" t="s">
        <v>6682</v>
      </c>
      <c r="L4152">
        <v>1</v>
      </c>
      <c r="M4152" s="91" t="s">
        <v>6683</v>
      </c>
      <c r="N4152" s="91" t="s">
        <v>6543</v>
      </c>
    </row>
    <row r="4153" spans="1:14" x14ac:dyDescent="0.25">
      <c r="A4153" s="91" t="s">
        <v>1324</v>
      </c>
      <c r="B4153" s="91" t="s">
        <v>1338</v>
      </c>
      <c r="C4153" s="91" t="s">
        <v>6681</v>
      </c>
      <c r="D4153" s="91" t="s">
        <v>24</v>
      </c>
      <c r="E4153" s="91" t="s">
        <v>25</v>
      </c>
      <c r="F4153" s="90">
        <v>144</v>
      </c>
      <c r="G4153">
        <v>3</v>
      </c>
      <c r="H4153" s="89">
        <v>46287</v>
      </c>
      <c r="I4153" s="89">
        <v>46293</v>
      </c>
      <c r="J4153" s="91" t="s">
        <v>6668</v>
      </c>
      <c r="K4153" s="91" t="s">
        <v>6814</v>
      </c>
      <c r="L4153">
        <v>1</v>
      </c>
      <c r="M4153" s="91" t="s">
        <v>6815</v>
      </c>
      <c r="N4153" s="91" t="s">
        <v>6543</v>
      </c>
    </row>
    <row r="4154" spans="1:14" x14ac:dyDescent="0.25">
      <c r="A4154" s="91" t="s">
        <v>1320</v>
      </c>
      <c r="B4154" s="91" t="s">
        <v>1334</v>
      </c>
      <c r="C4154" s="91" t="s">
        <v>6684</v>
      </c>
      <c r="D4154" s="91" t="s">
        <v>103</v>
      </c>
      <c r="E4154" s="91" t="s">
        <v>14</v>
      </c>
      <c r="F4154" s="90">
        <v>960</v>
      </c>
      <c r="G4154">
        <v>20</v>
      </c>
      <c r="H4154" s="89">
        <v>46288</v>
      </c>
      <c r="I4154" s="89">
        <v>46291</v>
      </c>
      <c r="J4154" s="91" t="s">
        <v>6685</v>
      </c>
      <c r="K4154" s="91" t="s">
        <v>6686</v>
      </c>
      <c r="L4154">
        <v>1</v>
      </c>
      <c r="M4154" s="91" t="s">
        <v>6687</v>
      </c>
      <c r="N4154" s="91" t="s">
        <v>6543</v>
      </c>
    </row>
    <row r="4155" spans="1:14" x14ac:dyDescent="0.25">
      <c r="A4155" s="91" t="s">
        <v>1320</v>
      </c>
      <c r="B4155" s="91" t="s">
        <v>1334</v>
      </c>
      <c r="C4155" s="91" t="s">
        <v>6688</v>
      </c>
      <c r="D4155" s="91" t="s">
        <v>23</v>
      </c>
      <c r="E4155" s="91" t="s">
        <v>14</v>
      </c>
      <c r="F4155" s="90">
        <v>192</v>
      </c>
      <c r="G4155">
        <v>4</v>
      </c>
      <c r="H4155" s="89">
        <v>46288</v>
      </c>
      <c r="I4155" s="89">
        <v>46294</v>
      </c>
      <c r="J4155" s="91" t="s">
        <v>6689</v>
      </c>
      <c r="K4155" s="91" t="s">
        <v>6690</v>
      </c>
      <c r="L4155">
        <v>1</v>
      </c>
      <c r="M4155" s="91" t="s">
        <v>6691</v>
      </c>
      <c r="N4155" s="91" t="s">
        <v>6543</v>
      </c>
    </row>
    <row r="4156" spans="1:14" x14ac:dyDescent="0.25">
      <c r="A4156" s="91" t="s">
        <v>1320</v>
      </c>
      <c r="B4156" s="91" t="s">
        <v>1334</v>
      </c>
      <c r="C4156" s="91" t="s">
        <v>6688</v>
      </c>
      <c r="D4156" s="91" t="s">
        <v>23</v>
      </c>
      <c r="E4156" s="91" t="s">
        <v>14</v>
      </c>
      <c r="F4156" s="90">
        <v>480</v>
      </c>
      <c r="G4156">
        <v>10</v>
      </c>
      <c r="H4156" s="89">
        <v>46288</v>
      </c>
      <c r="I4156" s="89">
        <v>46295</v>
      </c>
      <c r="J4156" s="91" t="s">
        <v>6763</v>
      </c>
      <c r="K4156" s="91" t="s">
        <v>6816</v>
      </c>
      <c r="L4156">
        <v>1</v>
      </c>
      <c r="M4156" s="91" t="s">
        <v>6817</v>
      </c>
      <c r="N4156" s="91" t="s">
        <v>6543</v>
      </c>
    </row>
    <row r="4157" spans="1:14" x14ac:dyDescent="0.25">
      <c r="A4157" s="91" t="s">
        <v>1324</v>
      </c>
      <c r="B4157" s="91" t="s">
        <v>1338</v>
      </c>
      <c r="C4157" s="91" t="s">
        <v>6692</v>
      </c>
      <c r="D4157" s="91" t="s">
        <v>147</v>
      </c>
      <c r="E4157" s="91" t="s">
        <v>65</v>
      </c>
      <c r="F4157" s="90">
        <v>192</v>
      </c>
      <c r="G4157">
        <v>4</v>
      </c>
      <c r="H4157" s="89">
        <v>46288</v>
      </c>
      <c r="I4157" s="89">
        <v>46294</v>
      </c>
      <c r="J4157" s="91" t="s">
        <v>6673</v>
      </c>
      <c r="K4157" s="91" t="s">
        <v>6818</v>
      </c>
      <c r="L4157">
        <v>1</v>
      </c>
      <c r="M4157" s="91" t="s">
        <v>6819</v>
      </c>
      <c r="N4157" s="91" t="s">
        <v>6543</v>
      </c>
    </row>
    <row r="4158" spans="1:14" x14ac:dyDescent="0.25">
      <c r="A4158" s="91" t="s">
        <v>1324</v>
      </c>
      <c r="B4158" s="91" t="s">
        <v>1338</v>
      </c>
      <c r="C4158" s="91" t="s">
        <v>6693</v>
      </c>
      <c r="D4158" s="91" t="s">
        <v>13</v>
      </c>
      <c r="E4158" s="91" t="s">
        <v>25</v>
      </c>
      <c r="F4158" s="90">
        <v>480</v>
      </c>
      <c r="G4158">
        <v>10</v>
      </c>
      <c r="H4158" s="89">
        <v>46288</v>
      </c>
      <c r="I4158" s="89">
        <v>46293</v>
      </c>
      <c r="J4158" s="91" t="s">
        <v>6668</v>
      </c>
      <c r="K4158" s="91" t="s">
        <v>6694</v>
      </c>
      <c r="L4158">
        <v>1</v>
      </c>
      <c r="M4158" s="91" t="s">
        <v>6695</v>
      </c>
      <c r="N4158" s="91" t="s">
        <v>6543</v>
      </c>
    </row>
    <row r="4159" spans="1:14" x14ac:dyDescent="0.25">
      <c r="A4159" s="91" t="s">
        <v>1325</v>
      </c>
      <c r="B4159" s="91" t="s">
        <v>1339</v>
      </c>
      <c r="C4159" s="91" t="s">
        <v>6696</v>
      </c>
      <c r="D4159" s="91" t="s">
        <v>6670</v>
      </c>
      <c r="E4159" s="91" t="s">
        <v>19</v>
      </c>
      <c r="F4159" s="90">
        <v>240</v>
      </c>
      <c r="G4159">
        <v>5</v>
      </c>
      <c r="H4159" s="89">
        <v>46288</v>
      </c>
      <c r="I4159" s="89">
        <v>46288</v>
      </c>
      <c r="J4159" s="91" t="s">
        <v>1656</v>
      </c>
      <c r="K4159" s="91" t="s">
        <v>6768</v>
      </c>
      <c r="L4159">
        <v>1</v>
      </c>
      <c r="M4159" s="91" t="s">
        <v>6769</v>
      </c>
      <c r="N4159" s="91" t="s">
        <v>6543</v>
      </c>
    </row>
    <row r="4160" spans="1:14" x14ac:dyDescent="0.25">
      <c r="A4160" s="91" t="s">
        <v>1324</v>
      </c>
      <c r="B4160" s="91" t="s">
        <v>1338</v>
      </c>
      <c r="C4160" s="91" t="s">
        <v>6700</v>
      </c>
      <c r="D4160" s="91" t="s">
        <v>24</v>
      </c>
      <c r="E4160" s="91" t="s">
        <v>25</v>
      </c>
      <c r="F4160" s="90">
        <v>240</v>
      </c>
      <c r="G4160">
        <v>5</v>
      </c>
      <c r="H4160" s="89">
        <v>46288</v>
      </c>
      <c r="I4160" s="89">
        <v>46293</v>
      </c>
      <c r="J4160" s="91" t="s">
        <v>6668</v>
      </c>
      <c r="K4160" s="91" t="s">
        <v>6820</v>
      </c>
      <c r="L4160">
        <v>1</v>
      </c>
      <c r="M4160" s="91" t="s">
        <v>6821</v>
      </c>
      <c r="N4160" s="91" t="s">
        <v>6543</v>
      </c>
    </row>
    <row r="4161" spans="1:14" x14ac:dyDescent="0.25">
      <c r="A4161" s="91" t="s">
        <v>1324</v>
      </c>
      <c r="B4161" s="91" t="s">
        <v>1338</v>
      </c>
      <c r="C4161" s="91" t="s">
        <v>6700</v>
      </c>
      <c r="D4161" s="91" t="s">
        <v>24</v>
      </c>
      <c r="E4161" s="91" t="s">
        <v>25</v>
      </c>
      <c r="F4161" s="90">
        <v>96</v>
      </c>
      <c r="G4161">
        <v>2</v>
      </c>
      <c r="H4161" s="89">
        <v>46288</v>
      </c>
      <c r="I4161" s="89">
        <v>46295</v>
      </c>
      <c r="J4161" s="91" t="s">
        <v>6738</v>
      </c>
      <c r="K4161" s="91" t="s">
        <v>6824</v>
      </c>
      <c r="L4161">
        <v>1</v>
      </c>
      <c r="M4161" s="91" t="s">
        <v>6825</v>
      </c>
      <c r="N4161" s="91" t="s">
        <v>6543</v>
      </c>
    </row>
    <row r="4162" spans="1:14" x14ac:dyDescent="0.25">
      <c r="A4162" s="91" t="s">
        <v>1324</v>
      </c>
      <c r="B4162" s="91" t="s">
        <v>1338</v>
      </c>
      <c r="C4162" s="91" t="s">
        <v>6700</v>
      </c>
      <c r="D4162" s="91" t="s">
        <v>24</v>
      </c>
      <c r="E4162" s="91" t="s">
        <v>25</v>
      </c>
      <c r="F4162" s="90">
        <v>960</v>
      </c>
      <c r="G4162">
        <v>20</v>
      </c>
      <c r="H4162" s="89">
        <v>46288</v>
      </c>
      <c r="I4162" s="89">
        <v>46293</v>
      </c>
      <c r="J4162" s="91" t="s">
        <v>6668</v>
      </c>
      <c r="K4162" s="91" t="s">
        <v>6822</v>
      </c>
      <c r="L4162">
        <v>1</v>
      </c>
      <c r="M4162" s="91" t="s">
        <v>6823</v>
      </c>
      <c r="N4162" s="91" t="s">
        <v>6543</v>
      </c>
    </row>
    <row r="4163" spans="1:14" x14ac:dyDescent="0.25">
      <c r="A4163" s="91" t="s">
        <v>1324</v>
      </c>
      <c r="B4163" s="91" t="s">
        <v>1338</v>
      </c>
      <c r="C4163" s="91" t="s">
        <v>6700</v>
      </c>
      <c r="D4163" s="91" t="s">
        <v>24</v>
      </c>
      <c r="E4163" s="91" t="s">
        <v>25</v>
      </c>
      <c r="F4163" s="90"/>
      <c r="H4163" s="89">
        <v>46288</v>
      </c>
      <c r="I4163" s="89">
        <v>46295</v>
      </c>
      <c r="J4163" s="91" t="s">
        <v>1656</v>
      </c>
      <c r="K4163" s="91" t="s">
        <v>6824</v>
      </c>
      <c r="L4163">
        <v>2</v>
      </c>
      <c r="M4163" s="91" t="s">
        <v>6925</v>
      </c>
      <c r="N4163" s="91" t="s">
        <v>6543</v>
      </c>
    </row>
    <row r="4164" spans="1:14" x14ac:dyDescent="0.25">
      <c r="A4164" s="91" t="s">
        <v>1324</v>
      </c>
      <c r="B4164" s="91" t="s">
        <v>1338</v>
      </c>
      <c r="C4164" s="91" t="s">
        <v>6697</v>
      </c>
      <c r="D4164" s="91" t="s">
        <v>21</v>
      </c>
      <c r="E4164" s="91" t="s">
        <v>65</v>
      </c>
      <c r="F4164" s="90">
        <v>336</v>
      </c>
      <c r="G4164">
        <v>7</v>
      </c>
      <c r="H4164" s="89">
        <v>46288</v>
      </c>
      <c r="I4164" s="89">
        <v>46294</v>
      </c>
      <c r="J4164" s="91" t="s">
        <v>6673</v>
      </c>
      <c r="K4164" s="91" t="s">
        <v>6698</v>
      </c>
      <c r="L4164">
        <v>1</v>
      </c>
      <c r="M4164" s="91" t="s">
        <v>6699</v>
      </c>
      <c r="N4164" s="91" t="s">
        <v>6543</v>
      </c>
    </row>
    <row r="4165" spans="1:14" x14ac:dyDescent="0.25">
      <c r="A4165" s="91" t="s">
        <v>1324</v>
      </c>
      <c r="B4165" s="91" t="s">
        <v>1338</v>
      </c>
      <c r="C4165" s="91" t="s">
        <v>6697</v>
      </c>
      <c r="D4165" s="91" t="s">
        <v>21</v>
      </c>
      <c r="E4165" s="91" t="s">
        <v>65</v>
      </c>
      <c r="F4165" s="90">
        <v>960</v>
      </c>
      <c r="G4165">
        <v>20</v>
      </c>
      <c r="H4165" s="89">
        <v>46288</v>
      </c>
      <c r="I4165" s="89">
        <v>46294</v>
      </c>
      <c r="J4165" s="91" t="s">
        <v>6673</v>
      </c>
      <c r="K4165" s="91" t="s">
        <v>6826</v>
      </c>
      <c r="L4165">
        <v>1</v>
      </c>
      <c r="M4165" s="91" t="s">
        <v>6827</v>
      </c>
      <c r="N4165" s="91" t="s">
        <v>6543</v>
      </c>
    </row>
    <row r="4166" spans="1:14" x14ac:dyDescent="0.25">
      <c r="A4166" s="91" t="s">
        <v>1313</v>
      </c>
      <c r="B4166" s="91" t="s">
        <v>1327</v>
      </c>
      <c r="C4166" s="91" t="s">
        <v>6697</v>
      </c>
      <c r="D4166" s="91" t="s">
        <v>21</v>
      </c>
      <c r="E4166" s="91" t="s">
        <v>22</v>
      </c>
      <c r="F4166" s="90">
        <v>480</v>
      </c>
      <c r="G4166">
        <v>10</v>
      </c>
      <c r="H4166" s="89">
        <v>46288</v>
      </c>
      <c r="I4166" s="89">
        <v>46293</v>
      </c>
      <c r="J4166" s="91" t="s">
        <v>6701</v>
      </c>
      <c r="K4166" s="91" t="s">
        <v>6702</v>
      </c>
      <c r="L4166">
        <v>1</v>
      </c>
      <c r="M4166" s="91" t="s">
        <v>6703</v>
      </c>
      <c r="N4166" s="91" t="s">
        <v>6543</v>
      </c>
    </row>
    <row r="4167" spans="1:14" x14ac:dyDescent="0.25">
      <c r="A4167" s="91" t="s">
        <v>1315</v>
      </c>
      <c r="B4167" s="91" t="s">
        <v>1329</v>
      </c>
      <c r="C4167" s="91" t="s">
        <v>6697</v>
      </c>
      <c r="D4167" s="91" t="s">
        <v>21</v>
      </c>
      <c r="E4167" s="91" t="s">
        <v>19</v>
      </c>
      <c r="F4167" s="90">
        <v>54</v>
      </c>
      <c r="G4167" t="s">
        <v>1419</v>
      </c>
      <c r="H4167" s="89">
        <v>46288</v>
      </c>
      <c r="I4167" s="89">
        <v>46292</v>
      </c>
      <c r="J4167" s="91" t="s">
        <v>1656</v>
      </c>
      <c r="K4167" s="91" t="s">
        <v>6770</v>
      </c>
      <c r="L4167">
        <v>1</v>
      </c>
      <c r="M4167" s="91" t="s">
        <v>6771</v>
      </c>
      <c r="N4167" s="91" t="s">
        <v>6543</v>
      </c>
    </row>
    <row r="4168" spans="1:14" x14ac:dyDescent="0.25">
      <c r="A4168" s="91" t="s">
        <v>1313</v>
      </c>
      <c r="B4168" s="91" t="s">
        <v>1327</v>
      </c>
      <c r="C4168" s="91" t="s">
        <v>6704</v>
      </c>
      <c r="D4168" s="91" t="s">
        <v>15</v>
      </c>
      <c r="E4168" s="91" t="s">
        <v>22</v>
      </c>
      <c r="F4168" s="90">
        <v>1104</v>
      </c>
      <c r="G4168">
        <v>23</v>
      </c>
      <c r="H4168" s="89">
        <v>46288</v>
      </c>
      <c r="I4168" s="89">
        <v>46291</v>
      </c>
      <c r="J4168" s="91" t="s">
        <v>6705</v>
      </c>
      <c r="K4168" s="91" t="s">
        <v>6772</v>
      </c>
      <c r="L4168">
        <v>1</v>
      </c>
      <c r="M4168" s="91" t="s">
        <v>6773</v>
      </c>
      <c r="N4168" s="91" t="s">
        <v>6543</v>
      </c>
    </row>
    <row r="4169" spans="1:14" x14ac:dyDescent="0.25">
      <c r="A4169" s="91" t="s">
        <v>1313</v>
      </c>
      <c r="B4169" s="91" t="s">
        <v>1327</v>
      </c>
      <c r="C4169" s="91" t="s">
        <v>6704</v>
      </c>
      <c r="D4169" s="91" t="s">
        <v>15</v>
      </c>
      <c r="E4169" s="91" t="s">
        <v>17</v>
      </c>
      <c r="F4169" s="90">
        <v>354</v>
      </c>
      <c r="G4169">
        <v>7.375</v>
      </c>
      <c r="H4169" s="89">
        <v>46288</v>
      </c>
      <c r="I4169" s="89">
        <v>46293</v>
      </c>
      <c r="J4169" s="91" t="s">
        <v>6706</v>
      </c>
      <c r="K4169" s="91" t="s">
        <v>6707</v>
      </c>
      <c r="L4169">
        <v>1</v>
      </c>
      <c r="M4169" s="91" t="s">
        <v>6708</v>
      </c>
      <c r="N4169" s="91" t="s">
        <v>6543</v>
      </c>
    </row>
    <row r="4170" spans="1:14" x14ac:dyDescent="0.25">
      <c r="A4170" s="91" t="s">
        <v>1319</v>
      </c>
      <c r="B4170" s="91" t="s">
        <v>1333</v>
      </c>
      <c r="C4170" s="91" t="s">
        <v>6704</v>
      </c>
      <c r="D4170" s="91" t="s">
        <v>15</v>
      </c>
      <c r="E4170" s="91" t="s">
        <v>17</v>
      </c>
      <c r="F4170" s="90">
        <v>78</v>
      </c>
      <c r="G4170">
        <v>1.625</v>
      </c>
      <c r="H4170" s="89">
        <v>46288</v>
      </c>
      <c r="I4170" s="89">
        <v>46293</v>
      </c>
      <c r="J4170" s="91" t="s">
        <v>6706</v>
      </c>
      <c r="K4170" s="91" t="s">
        <v>6709</v>
      </c>
      <c r="L4170">
        <v>1</v>
      </c>
      <c r="M4170" s="91" t="s">
        <v>6710</v>
      </c>
      <c r="N4170" s="91" t="s">
        <v>6543</v>
      </c>
    </row>
    <row r="4171" spans="1:14" x14ac:dyDescent="0.25">
      <c r="A4171" s="91" t="s">
        <v>1313</v>
      </c>
      <c r="B4171" s="91" t="s">
        <v>1327</v>
      </c>
      <c r="C4171" s="91" t="s">
        <v>6704</v>
      </c>
      <c r="D4171" s="91" t="s">
        <v>15</v>
      </c>
      <c r="E4171" s="91" t="s">
        <v>19</v>
      </c>
      <c r="F4171" s="90">
        <v>48</v>
      </c>
      <c r="G4171">
        <v>1</v>
      </c>
      <c r="H4171" s="89">
        <v>46288</v>
      </c>
      <c r="I4171" s="89">
        <v>46292</v>
      </c>
      <c r="J4171" s="91" t="s">
        <v>1656</v>
      </c>
      <c r="K4171" s="91" t="s">
        <v>6774</v>
      </c>
      <c r="L4171">
        <v>1</v>
      </c>
      <c r="M4171" s="91" t="s">
        <v>6775</v>
      </c>
      <c r="N4171" s="91" t="s">
        <v>6543</v>
      </c>
    </row>
    <row r="4172" spans="1:14" x14ac:dyDescent="0.25">
      <c r="A4172" s="91" t="s">
        <v>1315</v>
      </c>
      <c r="B4172" s="91" t="s">
        <v>1329</v>
      </c>
      <c r="C4172" s="91" t="s">
        <v>6704</v>
      </c>
      <c r="D4172" s="91" t="s">
        <v>15</v>
      </c>
      <c r="E4172" s="91" t="s">
        <v>19</v>
      </c>
      <c r="F4172" s="90">
        <v>41</v>
      </c>
      <c r="G4172" t="s">
        <v>1419</v>
      </c>
      <c r="H4172" s="89">
        <v>46288</v>
      </c>
      <c r="I4172" s="89">
        <v>46292</v>
      </c>
      <c r="J4172" s="91" t="s">
        <v>1656</v>
      </c>
      <c r="K4172" s="91" t="s">
        <v>6776</v>
      </c>
      <c r="L4172">
        <v>1</v>
      </c>
      <c r="M4172" s="91" t="s">
        <v>6777</v>
      </c>
      <c r="N4172" s="91" t="s">
        <v>6543</v>
      </c>
    </row>
    <row r="4173" spans="1:14" x14ac:dyDescent="0.25">
      <c r="A4173" s="91" t="s">
        <v>1313</v>
      </c>
      <c r="B4173" s="91" t="s">
        <v>1327</v>
      </c>
      <c r="C4173" s="91" t="s">
        <v>6711</v>
      </c>
      <c r="D4173" s="91" t="s">
        <v>20</v>
      </c>
      <c r="E4173" s="91" t="s">
        <v>16</v>
      </c>
      <c r="F4173" s="90">
        <v>1104</v>
      </c>
      <c r="G4173">
        <v>23</v>
      </c>
      <c r="H4173" s="89">
        <v>46288</v>
      </c>
      <c r="I4173" s="89">
        <v>46292</v>
      </c>
      <c r="J4173" s="91" t="s">
        <v>6712</v>
      </c>
      <c r="K4173" s="91" t="s">
        <v>6713</v>
      </c>
      <c r="L4173">
        <v>1</v>
      </c>
      <c r="M4173" s="91" t="s">
        <v>6714</v>
      </c>
      <c r="N4173" s="91" t="s">
        <v>6543</v>
      </c>
    </row>
    <row r="4174" spans="1:14" x14ac:dyDescent="0.25">
      <c r="A4174" s="91" t="s">
        <v>1313</v>
      </c>
      <c r="B4174" s="91" t="s">
        <v>1327</v>
      </c>
      <c r="C4174" s="91" t="s">
        <v>6711</v>
      </c>
      <c r="D4174" s="91" t="s">
        <v>20</v>
      </c>
      <c r="E4174" s="91" t="s">
        <v>19</v>
      </c>
      <c r="F4174" s="90">
        <v>96</v>
      </c>
      <c r="G4174">
        <v>2</v>
      </c>
      <c r="H4174" s="89">
        <v>46288</v>
      </c>
      <c r="I4174" s="89">
        <v>46292</v>
      </c>
      <c r="J4174" s="91" t="s">
        <v>1656</v>
      </c>
      <c r="K4174" s="91" t="s">
        <v>6778</v>
      </c>
      <c r="L4174">
        <v>1</v>
      </c>
      <c r="M4174" s="91" t="s">
        <v>6779</v>
      </c>
      <c r="N4174" s="91" t="s">
        <v>6543</v>
      </c>
    </row>
    <row r="4175" spans="1:14" x14ac:dyDescent="0.25">
      <c r="A4175" s="91" t="s">
        <v>1315</v>
      </c>
      <c r="B4175" s="91" t="s">
        <v>1329</v>
      </c>
      <c r="C4175" s="91" t="s">
        <v>6711</v>
      </c>
      <c r="D4175" s="91" t="s">
        <v>20</v>
      </c>
      <c r="E4175" s="91" t="s">
        <v>19</v>
      </c>
      <c r="F4175" s="90">
        <v>61</v>
      </c>
      <c r="G4175" t="s">
        <v>1419</v>
      </c>
      <c r="H4175" s="89">
        <v>46288</v>
      </c>
      <c r="I4175" s="89">
        <v>46292</v>
      </c>
      <c r="J4175" s="91" t="s">
        <v>1656</v>
      </c>
      <c r="K4175" s="91" t="s">
        <v>6780</v>
      </c>
      <c r="L4175">
        <v>1</v>
      </c>
      <c r="M4175" s="91" t="s">
        <v>6781</v>
      </c>
      <c r="N4175" s="91" t="s">
        <v>6543</v>
      </c>
    </row>
    <row r="4176" spans="1:14" x14ac:dyDescent="0.25">
      <c r="A4176" s="91" t="s">
        <v>1313</v>
      </c>
      <c r="B4176" s="91" t="s">
        <v>1327</v>
      </c>
      <c r="C4176" s="91" t="s">
        <v>6715</v>
      </c>
      <c r="D4176" s="91" t="s">
        <v>20</v>
      </c>
      <c r="E4176" s="91" t="s">
        <v>18</v>
      </c>
      <c r="F4176" s="90">
        <v>1056</v>
      </c>
      <c r="G4176">
        <v>22</v>
      </c>
      <c r="H4176" s="89">
        <v>46289</v>
      </c>
      <c r="I4176" s="89">
        <v>46293</v>
      </c>
      <c r="J4176" s="91" t="s">
        <v>6716</v>
      </c>
      <c r="K4176" s="91" t="s">
        <v>6717</v>
      </c>
      <c r="L4176">
        <v>1</v>
      </c>
      <c r="M4176" s="91" t="s">
        <v>6718</v>
      </c>
      <c r="N4176" s="91" t="s">
        <v>6543</v>
      </c>
    </row>
    <row r="4177" spans="1:14" x14ac:dyDescent="0.25">
      <c r="A4177" s="91" t="s">
        <v>1313</v>
      </c>
      <c r="B4177" s="91" t="s">
        <v>1327</v>
      </c>
      <c r="C4177" s="91" t="s">
        <v>6715</v>
      </c>
      <c r="D4177" s="91" t="s">
        <v>20</v>
      </c>
      <c r="E4177" s="91" t="s">
        <v>19</v>
      </c>
      <c r="F4177" s="90">
        <v>192</v>
      </c>
      <c r="G4177">
        <v>4</v>
      </c>
      <c r="H4177" s="89">
        <v>46289</v>
      </c>
      <c r="I4177" s="89">
        <v>46293</v>
      </c>
      <c r="J4177" s="91" t="s">
        <v>1656</v>
      </c>
      <c r="K4177" s="91" t="s">
        <v>6782</v>
      </c>
      <c r="L4177">
        <v>1</v>
      </c>
      <c r="M4177" s="91" t="s">
        <v>6783</v>
      </c>
      <c r="N4177" s="91" t="s">
        <v>6543</v>
      </c>
    </row>
    <row r="4178" spans="1:14" x14ac:dyDescent="0.25">
      <c r="A4178" s="91" t="s">
        <v>1315</v>
      </c>
      <c r="B4178" s="91" t="s">
        <v>1329</v>
      </c>
      <c r="C4178" s="91" t="s">
        <v>6715</v>
      </c>
      <c r="D4178" s="91" t="s">
        <v>20</v>
      </c>
      <c r="E4178" s="91" t="s">
        <v>19</v>
      </c>
      <c r="F4178" s="90">
        <v>99</v>
      </c>
      <c r="G4178" t="s">
        <v>1419</v>
      </c>
      <c r="H4178" s="89">
        <v>46289</v>
      </c>
      <c r="I4178" s="89">
        <v>46293</v>
      </c>
      <c r="J4178" s="91" t="s">
        <v>1656</v>
      </c>
      <c r="K4178" s="91" t="s">
        <v>6789</v>
      </c>
      <c r="L4178">
        <v>1</v>
      </c>
      <c r="M4178" s="91" t="s">
        <v>6790</v>
      </c>
      <c r="N4178" s="91" t="s">
        <v>6543</v>
      </c>
    </row>
    <row r="4179" spans="1:14" x14ac:dyDescent="0.25">
      <c r="A4179" s="91" t="s">
        <v>1313</v>
      </c>
      <c r="B4179" s="91" t="s">
        <v>1327</v>
      </c>
      <c r="C4179" s="91" t="s">
        <v>6719</v>
      </c>
      <c r="D4179" s="91" t="s">
        <v>15</v>
      </c>
      <c r="E4179" s="91" t="s">
        <v>17</v>
      </c>
      <c r="F4179" s="90">
        <v>720</v>
      </c>
      <c r="G4179">
        <v>15</v>
      </c>
      <c r="H4179" s="89">
        <v>46289</v>
      </c>
      <c r="I4179" s="89">
        <v>46293</v>
      </c>
      <c r="J4179" s="91" t="s">
        <v>6706</v>
      </c>
      <c r="K4179" s="91" t="s">
        <v>6720</v>
      </c>
      <c r="L4179">
        <v>1</v>
      </c>
      <c r="M4179" s="91" t="s">
        <v>6721</v>
      </c>
      <c r="N4179" s="91" t="s">
        <v>6543</v>
      </c>
    </row>
    <row r="4180" spans="1:14" x14ac:dyDescent="0.25">
      <c r="A4180" s="91" t="s">
        <v>1314</v>
      </c>
      <c r="B4180" s="91" t="s">
        <v>1328</v>
      </c>
      <c r="C4180" s="91" t="s">
        <v>6719</v>
      </c>
      <c r="D4180" s="91" t="s">
        <v>15</v>
      </c>
      <c r="E4180" s="91" t="s">
        <v>18</v>
      </c>
      <c r="F4180" s="90">
        <v>96</v>
      </c>
      <c r="G4180">
        <v>2</v>
      </c>
      <c r="H4180" s="89">
        <v>46289</v>
      </c>
      <c r="I4180" s="89">
        <v>46293</v>
      </c>
      <c r="J4180" s="91" t="s">
        <v>6716</v>
      </c>
      <c r="K4180" s="91" t="s">
        <v>6722</v>
      </c>
      <c r="L4180">
        <v>1</v>
      </c>
      <c r="M4180" s="91" t="s">
        <v>6723</v>
      </c>
      <c r="N4180" s="91" t="s">
        <v>6543</v>
      </c>
    </row>
    <row r="4181" spans="1:14" x14ac:dyDescent="0.25">
      <c r="A4181" s="91" t="s">
        <v>1314</v>
      </c>
      <c r="B4181" s="91" t="s">
        <v>1328</v>
      </c>
      <c r="C4181" s="91" t="s">
        <v>6719</v>
      </c>
      <c r="D4181" s="91" t="s">
        <v>15</v>
      </c>
      <c r="E4181" s="91" t="s">
        <v>16</v>
      </c>
      <c r="F4181" s="90">
        <v>288</v>
      </c>
      <c r="G4181">
        <v>6</v>
      </c>
      <c r="H4181" s="89">
        <v>46289</v>
      </c>
      <c r="I4181" s="89">
        <v>46293</v>
      </c>
      <c r="J4181" s="91" t="s">
        <v>6724</v>
      </c>
      <c r="K4181" s="91" t="s">
        <v>6725</v>
      </c>
      <c r="L4181">
        <v>1</v>
      </c>
      <c r="M4181" s="91" t="s">
        <v>6726</v>
      </c>
      <c r="N4181" s="91" t="s">
        <v>6543</v>
      </c>
    </row>
    <row r="4182" spans="1:14" x14ac:dyDescent="0.25">
      <c r="A4182" s="91" t="s">
        <v>1313</v>
      </c>
      <c r="B4182" s="91" t="s">
        <v>1327</v>
      </c>
      <c r="C4182" s="91" t="s">
        <v>6719</v>
      </c>
      <c r="D4182" s="91" t="s">
        <v>15</v>
      </c>
      <c r="E4182" s="91" t="s">
        <v>16</v>
      </c>
      <c r="F4182" s="90">
        <v>480</v>
      </c>
      <c r="G4182">
        <v>10</v>
      </c>
      <c r="H4182" s="89">
        <v>46289</v>
      </c>
      <c r="I4182" s="89">
        <v>46293</v>
      </c>
      <c r="J4182" s="91" t="s">
        <v>6727</v>
      </c>
      <c r="K4182" s="91" t="s">
        <v>6728</v>
      </c>
      <c r="L4182">
        <v>1</v>
      </c>
      <c r="M4182" s="91" t="s">
        <v>6729</v>
      </c>
      <c r="N4182" s="91" t="s">
        <v>6543</v>
      </c>
    </row>
    <row r="4183" spans="1:14" x14ac:dyDescent="0.25">
      <c r="A4183" s="91" t="s">
        <v>1315</v>
      </c>
      <c r="B4183" s="91" t="s">
        <v>1329</v>
      </c>
      <c r="C4183" s="91" t="s">
        <v>6719</v>
      </c>
      <c r="D4183" s="91" t="s">
        <v>15</v>
      </c>
      <c r="E4183" s="91" t="s">
        <v>19</v>
      </c>
      <c r="F4183" s="90">
        <v>34</v>
      </c>
      <c r="G4183" t="s">
        <v>1419</v>
      </c>
      <c r="H4183" s="89">
        <v>46289</v>
      </c>
      <c r="I4183" s="89">
        <v>46293</v>
      </c>
      <c r="J4183" s="91" t="s">
        <v>1656</v>
      </c>
      <c r="K4183" s="91" t="s">
        <v>6791</v>
      </c>
      <c r="L4183">
        <v>1</v>
      </c>
      <c r="M4183" s="91" t="s">
        <v>6792</v>
      </c>
      <c r="N4183" s="91" t="s">
        <v>6543</v>
      </c>
    </row>
    <row r="4184" spans="1:14" x14ac:dyDescent="0.25">
      <c r="A4184" s="91" t="s">
        <v>1313</v>
      </c>
      <c r="B4184" s="91" t="s">
        <v>1327</v>
      </c>
      <c r="C4184" s="91" t="s">
        <v>6730</v>
      </c>
      <c r="D4184" s="91" t="s">
        <v>21</v>
      </c>
      <c r="E4184" s="91" t="s">
        <v>22</v>
      </c>
      <c r="F4184" s="90">
        <v>672</v>
      </c>
      <c r="G4184">
        <v>14</v>
      </c>
      <c r="H4184" s="89">
        <v>46289</v>
      </c>
      <c r="I4184" s="89">
        <v>46293</v>
      </c>
      <c r="J4184" s="91" t="s">
        <v>6701</v>
      </c>
      <c r="K4184" s="91" t="s">
        <v>6731</v>
      </c>
      <c r="L4184">
        <v>1</v>
      </c>
      <c r="M4184" s="91" t="s">
        <v>6732</v>
      </c>
      <c r="N4184" s="91" t="s">
        <v>6543</v>
      </c>
    </row>
    <row r="4185" spans="1:14" x14ac:dyDescent="0.25">
      <c r="A4185" s="91" t="s">
        <v>1320</v>
      </c>
      <c r="B4185" s="91" t="s">
        <v>1334</v>
      </c>
      <c r="C4185" s="91" t="s">
        <v>6730</v>
      </c>
      <c r="D4185" s="91" t="s">
        <v>21</v>
      </c>
      <c r="E4185" s="91" t="s">
        <v>14</v>
      </c>
      <c r="F4185" s="90">
        <v>960</v>
      </c>
      <c r="G4185">
        <v>20</v>
      </c>
      <c r="H4185" s="89">
        <v>46289</v>
      </c>
      <c r="I4185" s="89">
        <v>46294</v>
      </c>
      <c r="J4185" s="91" t="s">
        <v>6733</v>
      </c>
      <c r="K4185" s="91" t="s">
        <v>6734</v>
      </c>
      <c r="L4185">
        <v>1</v>
      </c>
      <c r="M4185" s="91" t="s">
        <v>6735</v>
      </c>
      <c r="N4185" s="91" t="s">
        <v>6543</v>
      </c>
    </row>
    <row r="4186" spans="1:14" x14ac:dyDescent="0.25">
      <c r="A4186" s="91" t="s">
        <v>1313</v>
      </c>
      <c r="B4186" s="91" t="s">
        <v>1327</v>
      </c>
      <c r="C4186" s="91" t="s">
        <v>6730</v>
      </c>
      <c r="D4186" s="91" t="s">
        <v>21</v>
      </c>
      <c r="E4186" s="91" t="s">
        <v>19</v>
      </c>
      <c r="F4186" s="90">
        <v>192</v>
      </c>
      <c r="G4186">
        <v>4</v>
      </c>
      <c r="H4186" s="89">
        <v>46289</v>
      </c>
      <c r="I4186" s="89">
        <v>46293</v>
      </c>
      <c r="J4186" s="91" t="s">
        <v>1656</v>
      </c>
      <c r="K4186" s="91" t="s">
        <v>6784</v>
      </c>
      <c r="L4186">
        <v>1</v>
      </c>
      <c r="M4186" s="91" t="s">
        <v>6785</v>
      </c>
      <c r="N4186" s="91" t="s">
        <v>6543</v>
      </c>
    </row>
    <row r="4187" spans="1:14" x14ac:dyDescent="0.25">
      <c r="A4187" s="91" t="s">
        <v>1315</v>
      </c>
      <c r="B4187" s="91" t="s">
        <v>1329</v>
      </c>
      <c r="C4187" s="91" t="s">
        <v>6730</v>
      </c>
      <c r="D4187" s="91" t="s">
        <v>21</v>
      </c>
      <c r="E4187" s="91" t="s">
        <v>19</v>
      </c>
      <c r="F4187" s="90">
        <v>64</v>
      </c>
      <c r="G4187" t="s">
        <v>1419</v>
      </c>
      <c r="H4187" s="89">
        <v>46289</v>
      </c>
      <c r="I4187" s="89">
        <v>46293</v>
      </c>
      <c r="J4187" s="91" t="s">
        <v>1656</v>
      </c>
      <c r="K4187" s="91" t="s">
        <v>6793</v>
      </c>
      <c r="L4187">
        <v>1</v>
      </c>
      <c r="M4187" s="91" t="s">
        <v>6794</v>
      </c>
      <c r="N4187" s="91" t="s">
        <v>6543</v>
      </c>
    </row>
    <row r="4188" spans="1:14" x14ac:dyDescent="0.25">
      <c r="A4188" s="91" t="s">
        <v>1320</v>
      </c>
      <c r="B4188" s="91" t="s">
        <v>1334</v>
      </c>
      <c r="C4188" s="91" t="s">
        <v>6736</v>
      </c>
      <c r="D4188" s="91" t="s">
        <v>30</v>
      </c>
      <c r="E4188" s="91" t="s">
        <v>14</v>
      </c>
      <c r="F4188" s="90">
        <v>480</v>
      </c>
      <c r="G4188">
        <v>10</v>
      </c>
      <c r="H4188" s="89">
        <v>46289</v>
      </c>
      <c r="I4188" s="89">
        <v>46294</v>
      </c>
      <c r="J4188" s="91" t="s">
        <v>6689</v>
      </c>
      <c r="K4188" s="91" t="s">
        <v>6828</v>
      </c>
      <c r="L4188">
        <v>1</v>
      </c>
      <c r="M4188" s="91" t="s">
        <v>6829</v>
      </c>
      <c r="N4188" s="91" t="s">
        <v>6543</v>
      </c>
    </row>
    <row r="4189" spans="1:14" x14ac:dyDescent="0.25">
      <c r="A4189" s="91" t="s">
        <v>1320</v>
      </c>
      <c r="B4189" s="91" t="s">
        <v>1334</v>
      </c>
      <c r="C4189" s="91" t="s">
        <v>6736</v>
      </c>
      <c r="D4189" s="91" t="s">
        <v>30</v>
      </c>
      <c r="E4189" s="91" t="s">
        <v>14</v>
      </c>
      <c r="F4189" s="90">
        <v>96</v>
      </c>
      <c r="G4189">
        <v>2</v>
      </c>
      <c r="H4189" s="89">
        <v>46289</v>
      </c>
      <c r="I4189" s="89">
        <v>46296</v>
      </c>
      <c r="J4189" s="91" t="s">
        <v>6762</v>
      </c>
      <c r="K4189" s="91" t="s">
        <v>7000</v>
      </c>
      <c r="L4189">
        <v>1</v>
      </c>
      <c r="M4189" s="91" t="s">
        <v>7001</v>
      </c>
      <c r="N4189" s="91" t="s">
        <v>6543</v>
      </c>
    </row>
    <row r="4190" spans="1:14" x14ac:dyDescent="0.25">
      <c r="A4190" s="91" t="s">
        <v>1324</v>
      </c>
      <c r="B4190" s="91" t="s">
        <v>1338</v>
      </c>
      <c r="C4190" s="91" t="s">
        <v>6737</v>
      </c>
      <c r="D4190" s="91" t="s">
        <v>24</v>
      </c>
      <c r="E4190" s="91" t="s">
        <v>25</v>
      </c>
      <c r="F4190">
        <v>720</v>
      </c>
      <c r="G4190">
        <v>15</v>
      </c>
      <c r="H4190" s="89">
        <v>46289</v>
      </c>
      <c r="I4190" s="89">
        <v>46295</v>
      </c>
      <c r="J4190" s="91" t="s">
        <v>6738</v>
      </c>
      <c r="K4190" s="91" t="s">
        <v>6739</v>
      </c>
      <c r="L4190">
        <v>1</v>
      </c>
      <c r="M4190" s="91" t="s">
        <v>6740</v>
      </c>
      <c r="N4190" s="91" t="s">
        <v>6543</v>
      </c>
    </row>
    <row r="4191" spans="1:14" x14ac:dyDescent="0.25">
      <c r="A4191" s="91" t="s">
        <v>1324</v>
      </c>
      <c r="B4191" s="91" t="s">
        <v>1338</v>
      </c>
      <c r="C4191" s="91" t="s">
        <v>6737</v>
      </c>
      <c r="D4191" s="91" t="s">
        <v>24</v>
      </c>
      <c r="E4191" s="91" t="s">
        <v>25</v>
      </c>
      <c r="F4191">
        <v>96</v>
      </c>
      <c r="G4191">
        <v>2</v>
      </c>
      <c r="H4191" s="89">
        <v>46289</v>
      </c>
      <c r="I4191" s="89">
        <v>46295</v>
      </c>
      <c r="J4191" s="91" t="s">
        <v>6738</v>
      </c>
      <c r="K4191" s="91" t="s">
        <v>6739</v>
      </c>
      <c r="L4191">
        <v>2</v>
      </c>
      <c r="M4191" s="91" t="s">
        <v>6926</v>
      </c>
      <c r="N4191" s="91" t="s">
        <v>6543</v>
      </c>
    </row>
    <row r="4192" spans="1:14" x14ac:dyDescent="0.25">
      <c r="A4192" s="91" t="s">
        <v>1324</v>
      </c>
      <c r="B4192" s="91" t="s">
        <v>1338</v>
      </c>
      <c r="C4192" s="91" t="s">
        <v>6737</v>
      </c>
      <c r="D4192" s="91" t="s">
        <v>24</v>
      </c>
      <c r="E4192" s="91" t="s">
        <v>25</v>
      </c>
      <c r="F4192">
        <v>288</v>
      </c>
      <c r="G4192">
        <v>6</v>
      </c>
      <c r="H4192" s="89">
        <v>46289</v>
      </c>
      <c r="I4192" s="89">
        <v>46295</v>
      </c>
      <c r="J4192" s="91" t="s">
        <v>6738</v>
      </c>
      <c r="K4192" s="91" t="s">
        <v>6830</v>
      </c>
      <c r="L4192">
        <v>1</v>
      </c>
      <c r="M4192" s="91" t="s">
        <v>6831</v>
      </c>
      <c r="N4192" s="91" t="s">
        <v>6543</v>
      </c>
    </row>
    <row r="4193" spans="1:14" x14ac:dyDescent="0.25">
      <c r="A4193" s="91" t="s">
        <v>1320</v>
      </c>
      <c r="B4193" s="91" t="s">
        <v>1334</v>
      </c>
      <c r="C4193" s="91" t="s">
        <v>6741</v>
      </c>
      <c r="D4193" s="91" t="s">
        <v>23</v>
      </c>
      <c r="E4193" s="91" t="s">
        <v>14</v>
      </c>
      <c r="F4193">
        <v>480</v>
      </c>
      <c r="G4193">
        <v>10</v>
      </c>
      <c r="H4193" s="89">
        <v>46289</v>
      </c>
      <c r="I4193" s="89">
        <v>46295</v>
      </c>
      <c r="J4193" s="91" t="s">
        <v>6763</v>
      </c>
      <c r="K4193" s="91" t="s">
        <v>6742</v>
      </c>
      <c r="L4193">
        <v>1</v>
      </c>
      <c r="M4193" s="91" t="s">
        <v>6743</v>
      </c>
      <c r="N4193" s="91" t="s">
        <v>6543</v>
      </c>
    </row>
    <row r="4194" spans="1:14" x14ac:dyDescent="0.25">
      <c r="A4194" s="91" t="s">
        <v>1321</v>
      </c>
      <c r="B4194" s="91" t="s">
        <v>1335</v>
      </c>
      <c r="C4194" s="91" t="s">
        <v>6744</v>
      </c>
      <c r="D4194" s="91" t="s">
        <v>27</v>
      </c>
      <c r="E4194" s="91" t="s">
        <v>19</v>
      </c>
      <c r="F4194">
        <v>480</v>
      </c>
      <c r="G4194">
        <v>10</v>
      </c>
      <c r="H4194" s="89">
        <v>46289</v>
      </c>
      <c r="I4194" s="89">
        <v>46292</v>
      </c>
      <c r="J4194" s="91" t="s">
        <v>1656</v>
      </c>
      <c r="K4194" s="91" t="s">
        <v>6745</v>
      </c>
      <c r="L4194">
        <v>1</v>
      </c>
      <c r="M4194" s="91" t="s">
        <v>6746</v>
      </c>
      <c r="N4194" s="91" t="s">
        <v>6543</v>
      </c>
    </row>
    <row r="4195" spans="1:14" x14ac:dyDescent="0.25">
      <c r="A4195" s="91" t="s">
        <v>1324</v>
      </c>
      <c r="B4195" s="91" t="s">
        <v>1338</v>
      </c>
      <c r="C4195" s="91" t="s">
        <v>6747</v>
      </c>
      <c r="D4195" s="91" t="s">
        <v>24</v>
      </c>
      <c r="E4195" s="91" t="s">
        <v>25</v>
      </c>
      <c r="F4195">
        <v>144</v>
      </c>
      <c r="G4195">
        <v>3</v>
      </c>
      <c r="H4195" s="89">
        <v>46290</v>
      </c>
      <c r="I4195" s="89">
        <v>46295</v>
      </c>
      <c r="J4195" s="91" t="s">
        <v>6738</v>
      </c>
      <c r="K4195" s="91" t="s">
        <v>6832</v>
      </c>
      <c r="L4195">
        <v>1</v>
      </c>
      <c r="M4195" s="91" t="s">
        <v>6833</v>
      </c>
      <c r="N4195" s="91" t="s">
        <v>6543</v>
      </c>
    </row>
    <row r="4196" spans="1:14" x14ac:dyDescent="0.25">
      <c r="A4196" s="91" t="s">
        <v>1324</v>
      </c>
      <c r="B4196" s="91" t="s">
        <v>1338</v>
      </c>
      <c r="C4196" s="91" t="s">
        <v>6747</v>
      </c>
      <c r="D4196" s="91" t="s">
        <v>24</v>
      </c>
      <c r="E4196" s="91" t="s">
        <v>25</v>
      </c>
      <c r="F4196">
        <v>528</v>
      </c>
      <c r="G4196">
        <v>11</v>
      </c>
      <c r="H4196" s="89">
        <v>46290</v>
      </c>
      <c r="I4196" s="89">
        <v>46295</v>
      </c>
      <c r="J4196" s="91" t="s">
        <v>3549</v>
      </c>
      <c r="K4196" s="91" t="s">
        <v>6832</v>
      </c>
      <c r="L4196">
        <v>2</v>
      </c>
      <c r="M4196" s="91" t="s">
        <v>7047</v>
      </c>
      <c r="N4196" s="91" t="s">
        <v>6543</v>
      </c>
    </row>
    <row r="4197" spans="1:14" x14ac:dyDescent="0.25">
      <c r="A4197" s="91" t="s">
        <v>1326</v>
      </c>
      <c r="B4197" s="91" t="s">
        <v>1340</v>
      </c>
      <c r="C4197" s="91" t="s">
        <v>6748</v>
      </c>
      <c r="D4197" s="91" t="s">
        <v>32</v>
      </c>
      <c r="E4197" s="91" t="s">
        <v>14</v>
      </c>
      <c r="F4197">
        <v>840</v>
      </c>
      <c r="G4197">
        <v>20</v>
      </c>
      <c r="H4197" s="89">
        <v>46290</v>
      </c>
      <c r="I4197" s="89">
        <v>46294</v>
      </c>
      <c r="J4197" s="91" t="s">
        <v>7002</v>
      </c>
      <c r="K4197" s="91" t="s">
        <v>6749</v>
      </c>
      <c r="L4197">
        <v>1</v>
      </c>
      <c r="M4197" s="91" t="s">
        <v>6750</v>
      </c>
      <c r="N4197" s="91" t="s">
        <v>6543</v>
      </c>
    </row>
    <row r="4198" spans="1:14" x14ac:dyDescent="0.25">
      <c r="A4198" s="91" t="s">
        <v>1320</v>
      </c>
      <c r="B4198" s="91" t="s">
        <v>1334</v>
      </c>
      <c r="C4198" s="91" t="s">
        <v>6751</v>
      </c>
      <c r="D4198" s="91" t="s">
        <v>30</v>
      </c>
      <c r="E4198" s="91" t="s">
        <v>14</v>
      </c>
      <c r="F4198">
        <v>384</v>
      </c>
      <c r="G4198">
        <v>8</v>
      </c>
      <c r="H4198" s="89">
        <v>46290</v>
      </c>
      <c r="I4198" s="89">
        <v>46296</v>
      </c>
      <c r="J4198" s="91" t="s">
        <v>6762</v>
      </c>
      <c r="K4198" s="91" t="s">
        <v>7003</v>
      </c>
      <c r="L4198">
        <v>1</v>
      </c>
      <c r="M4198" s="91" t="s">
        <v>7004</v>
      </c>
      <c r="N4198" s="91" t="s">
        <v>6543</v>
      </c>
    </row>
    <row r="4199" spans="1:14" x14ac:dyDescent="0.25">
      <c r="A4199" s="91" t="s">
        <v>1313</v>
      </c>
      <c r="B4199" s="91" t="s">
        <v>1327</v>
      </c>
      <c r="C4199" s="91" t="s">
        <v>6786</v>
      </c>
      <c r="D4199" s="91" t="s">
        <v>20</v>
      </c>
      <c r="E4199" s="91" t="s">
        <v>22</v>
      </c>
      <c r="F4199">
        <v>1152</v>
      </c>
      <c r="G4199">
        <v>24</v>
      </c>
      <c r="H4199" s="89">
        <v>46290</v>
      </c>
      <c r="I4199" s="89">
        <v>46294</v>
      </c>
      <c r="J4199" s="91" t="s">
        <v>6795</v>
      </c>
      <c r="K4199" s="91" t="s">
        <v>6787</v>
      </c>
      <c r="L4199">
        <v>1</v>
      </c>
      <c r="M4199" s="91" t="s">
        <v>6788</v>
      </c>
      <c r="N4199" s="91" t="s">
        <v>6543</v>
      </c>
    </row>
    <row r="4200" spans="1:14" x14ac:dyDescent="0.25">
      <c r="A4200" s="91" t="s">
        <v>1315</v>
      </c>
      <c r="B4200" s="91" t="s">
        <v>1329</v>
      </c>
      <c r="C4200" s="91" t="s">
        <v>6786</v>
      </c>
      <c r="D4200" s="91" t="s">
        <v>20</v>
      </c>
      <c r="E4200" s="91" t="s">
        <v>19</v>
      </c>
      <c r="F4200">
        <v>239</v>
      </c>
      <c r="G4200" t="s">
        <v>1419</v>
      </c>
      <c r="H4200" s="89">
        <v>46290</v>
      </c>
      <c r="I4200" s="89">
        <v>46293</v>
      </c>
      <c r="J4200" s="91" t="s">
        <v>1656</v>
      </c>
      <c r="K4200" s="91" t="s">
        <v>6834</v>
      </c>
      <c r="L4200">
        <v>1</v>
      </c>
      <c r="M4200" s="91" t="s">
        <v>6835</v>
      </c>
      <c r="N4200" s="91" t="s">
        <v>6543</v>
      </c>
    </row>
    <row r="4201" spans="1:14" x14ac:dyDescent="0.25">
      <c r="A4201" s="91" t="s">
        <v>1313</v>
      </c>
      <c r="B4201" s="91" t="s">
        <v>1327</v>
      </c>
      <c r="C4201" s="91" t="s">
        <v>6796</v>
      </c>
      <c r="D4201" s="91" t="s">
        <v>28</v>
      </c>
      <c r="E4201" s="91" t="s">
        <v>22</v>
      </c>
      <c r="F4201">
        <v>1152</v>
      </c>
      <c r="G4201">
        <v>24</v>
      </c>
      <c r="H4201" s="89">
        <v>46290</v>
      </c>
      <c r="I4201" s="89">
        <v>46296</v>
      </c>
      <c r="J4201" s="91" t="s">
        <v>7048</v>
      </c>
      <c r="K4201" s="91" t="s">
        <v>7049</v>
      </c>
      <c r="L4201">
        <v>1</v>
      </c>
      <c r="M4201" s="91" t="s">
        <v>7050</v>
      </c>
      <c r="N4201" s="91" t="s">
        <v>6543</v>
      </c>
    </row>
    <row r="4202" spans="1:14" x14ac:dyDescent="0.25">
      <c r="A4202" s="91" t="s">
        <v>1313</v>
      </c>
      <c r="B4202" s="91" t="s">
        <v>1327</v>
      </c>
      <c r="C4202" s="91" t="s">
        <v>6796</v>
      </c>
      <c r="D4202" s="91" t="s">
        <v>28</v>
      </c>
      <c r="E4202" s="91" t="s">
        <v>17</v>
      </c>
      <c r="F4202">
        <v>288</v>
      </c>
      <c r="G4202">
        <v>6</v>
      </c>
      <c r="H4202" s="89">
        <v>46290</v>
      </c>
      <c r="I4202" s="89">
        <v>46296</v>
      </c>
      <c r="J4202" s="91" t="s">
        <v>6797</v>
      </c>
      <c r="K4202" s="91" t="s">
        <v>6836</v>
      </c>
      <c r="L4202">
        <v>1</v>
      </c>
      <c r="M4202" s="91" t="s">
        <v>6837</v>
      </c>
      <c r="N4202" s="91" t="s">
        <v>6543</v>
      </c>
    </row>
    <row r="4203" spans="1:14" x14ac:dyDescent="0.25">
      <c r="A4203" s="91" t="s">
        <v>1315</v>
      </c>
      <c r="B4203" s="91" t="s">
        <v>1329</v>
      </c>
      <c r="C4203" s="91" t="s">
        <v>6796</v>
      </c>
      <c r="D4203" s="91" t="s">
        <v>28</v>
      </c>
      <c r="E4203" s="91" t="s">
        <v>19</v>
      </c>
      <c r="F4203">
        <v>13</v>
      </c>
      <c r="G4203" t="s">
        <v>1419</v>
      </c>
      <c r="H4203" s="89">
        <v>46290</v>
      </c>
      <c r="I4203" s="89">
        <v>46293</v>
      </c>
      <c r="J4203" s="91" t="s">
        <v>1656</v>
      </c>
      <c r="K4203" s="91" t="s">
        <v>6838</v>
      </c>
      <c r="L4203">
        <v>1</v>
      </c>
      <c r="M4203" s="91" t="s">
        <v>6839</v>
      </c>
      <c r="N4203" s="91" t="s">
        <v>6543</v>
      </c>
    </row>
    <row r="4204" spans="1:14" x14ac:dyDescent="0.25">
      <c r="A4204" s="91" t="s">
        <v>1313</v>
      </c>
      <c r="B4204" s="91" t="s">
        <v>1327</v>
      </c>
      <c r="C4204" s="91" t="s">
        <v>6752</v>
      </c>
      <c r="D4204" s="91" t="s">
        <v>15</v>
      </c>
      <c r="E4204" s="91" t="s">
        <v>18</v>
      </c>
      <c r="F4204">
        <v>720</v>
      </c>
      <c r="G4204">
        <v>15</v>
      </c>
      <c r="H4204" s="89">
        <v>46290</v>
      </c>
      <c r="I4204" s="89">
        <v>46295</v>
      </c>
      <c r="J4204" s="91" t="s">
        <v>6753</v>
      </c>
      <c r="K4204" s="91" t="s">
        <v>6754</v>
      </c>
      <c r="L4204">
        <v>1</v>
      </c>
      <c r="M4204" s="91" t="s">
        <v>6755</v>
      </c>
      <c r="N4204" s="91" t="s">
        <v>6543</v>
      </c>
    </row>
    <row r="4205" spans="1:14" x14ac:dyDescent="0.25">
      <c r="A4205" s="91" t="s">
        <v>1314</v>
      </c>
      <c r="B4205" s="91" t="s">
        <v>1328</v>
      </c>
      <c r="C4205" s="91" t="s">
        <v>6752</v>
      </c>
      <c r="D4205" s="91" t="s">
        <v>15</v>
      </c>
      <c r="E4205" s="91" t="s">
        <v>18</v>
      </c>
      <c r="F4205">
        <v>96</v>
      </c>
      <c r="G4205">
        <v>2</v>
      </c>
      <c r="H4205" s="89">
        <v>46290</v>
      </c>
      <c r="I4205" s="89">
        <v>46295</v>
      </c>
      <c r="J4205" s="91" t="s">
        <v>6753</v>
      </c>
      <c r="K4205" s="91" t="s">
        <v>6756</v>
      </c>
      <c r="L4205">
        <v>1</v>
      </c>
      <c r="M4205" s="91" t="s">
        <v>6757</v>
      </c>
      <c r="N4205" s="91" t="s">
        <v>6543</v>
      </c>
    </row>
    <row r="4206" spans="1:14" x14ac:dyDescent="0.25">
      <c r="A4206" s="91" t="s">
        <v>1313</v>
      </c>
      <c r="B4206" s="91" t="s">
        <v>1327</v>
      </c>
      <c r="C4206" s="91" t="s">
        <v>6752</v>
      </c>
      <c r="D4206" s="91" t="s">
        <v>15</v>
      </c>
      <c r="E4206" s="91" t="s">
        <v>16</v>
      </c>
      <c r="F4206">
        <v>384</v>
      </c>
      <c r="G4206">
        <v>8</v>
      </c>
      <c r="H4206" s="89">
        <v>46290</v>
      </c>
      <c r="I4206" s="89">
        <v>46293</v>
      </c>
      <c r="J4206" s="91" t="s">
        <v>6727</v>
      </c>
      <c r="K4206" s="91" t="s">
        <v>6758</v>
      </c>
      <c r="L4206">
        <v>1</v>
      </c>
      <c r="M4206" s="91" t="s">
        <v>6759</v>
      </c>
      <c r="N4206" s="91" t="s">
        <v>6543</v>
      </c>
    </row>
    <row r="4207" spans="1:14" x14ac:dyDescent="0.25">
      <c r="A4207" s="91" t="s">
        <v>1315</v>
      </c>
      <c r="B4207" s="91" t="s">
        <v>1329</v>
      </c>
      <c r="C4207" s="91" t="s">
        <v>6752</v>
      </c>
      <c r="D4207" s="91" t="s">
        <v>15</v>
      </c>
      <c r="E4207" s="91" t="s">
        <v>19</v>
      </c>
      <c r="F4207">
        <v>37</v>
      </c>
      <c r="G4207" t="s">
        <v>1419</v>
      </c>
      <c r="H4207" s="89">
        <v>46290</v>
      </c>
      <c r="I4207" s="89">
        <v>46293</v>
      </c>
      <c r="J4207" s="91" t="s">
        <v>1656</v>
      </c>
      <c r="K4207" s="91" t="s">
        <v>6840</v>
      </c>
      <c r="L4207">
        <v>1</v>
      </c>
      <c r="M4207" s="91" t="s">
        <v>6841</v>
      </c>
      <c r="N4207" s="91" t="s">
        <v>6543</v>
      </c>
    </row>
    <row r="4208" spans="1:14" x14ac:dyDescent="0.25">
      <c r="A4208" s="91" t="s">
        <v>1313</v>
      </c>
      <c r="B4208" s="91" t="s">
        <v>1327</v>
      </c>
      <c r="C4208" s="91" t="s">
        <v>6760</v>
      </c>
      <c r="D4208" s="91" t="s">
        <v>20</v>
      </c>
      <c r="E4208" s="91" t="s">
        <v>22</v>
      </c>
      <c r="F4208">
        <v>1098</v>
      </c>
      <c r="G4208">
        <v>23</v>
      </c>
      <c r="H4208" s="89">
        <v>46291</v>
      </c>
      <c r="I4208" s="89">
        <v>46296</v>
      </c>
      <c r="J4208" s="91" t="s">
        <v>7048</v>
      </c>
      <c r="K4208" s="91" t="s">
        <v>7051</v>
      </c>
      <c r="L4208">
        <v>1</v>
      </c>
      <c r="M4208" s="91" t="s">
        <v>7052</v>
      </c>
      <c r="N4208" s="91" t="s">
        <v>6543</v>
      </c>
    </row>
    <row r="4209" spans="1:14" x14ac:dyDescent="0.25">
      <c r="A4209" s="91" t="s">
        <v>1319</v>
      </c>
      <c r="B4209" s="91" t="s">
        <v>1333</v>
      </c>
      <c r="C4209" s="91" t="s">
        <v>6760</v>
      </c>
      <c r="D4209" s="91" t="s">
        <v>20</v>
      </c>
      <c r="E4209" s="91" t="s">
        <v>22</v>
      </c>
      <c r="F4209">
        <v>54</v>
      </c>
      <c r="G4209">
        <v>1</v>
      </c>
      <c r="H4209" s="89">
        <v>46291</v>
      </c>
      <c r="I4209" s="89">
        <v>46296</v>
      </c>
      <c r="J4209" s="91" t="s">
        <v>7053</v>
      </c>
      <c r="K4209" s="91" t="s">
        <v>7054</v>
      </c>
      <c r="L4209">
        <v>1</v>
      </c>
      <c r="M4209" s="91" t="s">
        <v>7055</v>
      </c>
      <c r="N4209" s="91" t="s">
        <v>6543</v>
      </c>
    </row>
    <row r="4210" spans="1:14" x14ac:dyDescent="0.25">
      <c r="A4210" s="91" t="s">
        <v>1315</v>
      </c>
      <c r="B4210" s="91" t="s">
        <v>1329</v>
      </c>
      <c r="C4210" s="91" t="s">
        <v>6760</v>
      </c>
      <c r="D4210" s="91" t="s">
        <v>20</v>
      </c>
      <c r="E4210" s="91" t="s">
        <v>19</v>
      </c>
      <c r="F4210">
        <v>138</v>
      </c>
      <c r="G4210" t="s">
        <v>1419</v>
      </c>
      <c r="H4210" s="89">
        <v>46291</v>
      </c>
      <c r="I4210" s="89">
        <v>46296</v>
      </c>
      <c r="J4210" s="91" t="s">
        <v>1656</v>
      </c>
      <c r="K4210" s="91" t="s">
        <v>6927</v>
      </c>
      <c r="L4210">
        <v>1</v>
      </c>
      <c r="M4210" s="91" t="s">
        <v>6928</v>
      </c>
      <c r="N4210" s="91" t="s">
        <v>6543</v>
      </c>
    </row>
    <row r="4211" spans="1:14" x14ac:dyDescent="0.25">
      <c r="A4211" s="91" t="s">
        <v>1313</v>
      </c>
      <c r="B4211" s="91" t="s">
        <v>1327</v>
      </c>
      <c r="C4211" s="91" t="s">
        <v>6798</v>
      </c>
      <c r="D4211" s="91" t="s">
        <v>21</v>
      </c>
      <c r="E4211" s="91" t="s">
        <v>17</v>
      </c>
      <c r="F4211">
        <v>336</v>
      </c>
      <c r="G4211">
        <v>7</v>
      </c>
      <c r="H4211" s="89">
        <v>46291</v>
      </c>
      <c r="I4211" s="89">
        <v>46296</v>
      </c>
      <c r="J4211" s="91" t="s">
        <v>6797</v>
      </c>
      <c r="K4211" s="91" t="s">
        <v>6842</v>
      </c>
      <c r="L4211">
        <v>1</v>
      </c>
      <c r="M4211" s="91" t="s">
        <v>6843</v>
      </c>
      <c r="N4211" s="91" t="s">
        <v>6543</v>
      </c>
    </row>
    <row r="4212" spans="1:14" x14ac:dyDescent="0.25">
      <c r="A4212" s="91" t="s">
        <v>1324</v>
      </c>
      <c r="B4212" s="91" t="s">
        <v>1338</v>
      </c>
      <c r="C4212" s="91" t="s">
        <v>6798</v>
      </c>
      <c r="D4212" s="91" t="s">
        <v>21</v>
      </c>
      <c r="E4212" s="91" t="s">
        <v>65</v>
      </c>
      <c r="F4212">
        <v>912</v>
      </c>
      <c r="G4212">
        <v>19</v>
      </c>
      <c r="H4212" s="89">
        <v>46291</v>
      </c>
      <c r="I4212" s="89">
        <v>46297</v>
      </c>
      <c r="J4212" s="91" t="s">
        <v>6799</v>
      </c>
      <c r="K4212" s="91" t="s">
        <v>6844</v>
      </c>
      <c r="L4212">
        <v>1</v>
      </c>
      <c r="M4212" s="91" t="s">
        <v>6845</v>
      </c>
      <c r="N4212" s="91" t="s">
        <v>6543</v>
      </c>
    </row>
    <row r="4213" spans="1:14" x14ac:dyDescent="0.25">
      <c r="A4213" s="91" t="s">
        <v>1324</v>
      </c>
      <c r="B4213" s="91" t="s">
        <v>1338</v>
      </c>
      <c r="C4213" s="91" t="s">
        <v>6798</v>
      </c>
      <c r="D4213" s="91" t="s">
        <v>21</v>
      </c>
      <c r="E4213" s="91" t="s">
        <v>25</v>
      </c>
      <c r="F4213">
        <v>48</v>
      </c>
      <c r="G4213">
        <v>1</v>
      </c>
      <c r="H4213" s="89">
        <v>46291</v>
      </c>
      <c r="I4213" s="89">
        <v>46295</v>
      </c>
      <c r="J4213" s="91" t="s">
        <v>6738</v>
      </c>
      <c r="K4213" s="91" t="s">
        <v>6929</v>
      </c>
      <c r="L4213">
        <v>1</v>
      </c>
      <c r="M4213" s="91" t="s">
        <v>6930</v>
      </c>
      <c r="N4213" s="91" t="s">
        <v>6543</v>
      </c>
    </row>
    <row r="4214" spans="1:14" x14ac:dyDescent="0.25">
      <c r="A4214" s="91" t="s">
        <v>1315</v>
      </c>
      <c r="B4214" s="91" t="s">
        <v>1329</v>
      </c>
      <c r="C4214" s="91" t="s">
        <v>6798</v>
      </c>
      <c r="D4214" s="91" t="s">
        <v>21</v>
      </c>
      <c r="E4214" s="91" t="s">
        <v>19</v>
      </c>
      <c r="F4214">
        <v>75</v>
      </c>
      <c r="G4214" t="s">
        <v>1419</v>
      </c>
      <c r="H4214" s="89">
        <v>46291</v>
      </c>
      <c r="I4214" s="89">
        <v>46296</v>
      </c>
      <c r="J4214" s="91" t="s">
        <v>1656</v>
      </c>
      <c r="K4214" s="91" t="s">
        <v>6931</v>
      </c>
      <c r="L4214">
        <v>1</v>
      </c>
      <c r="M4214" s="91" t="s">
        <v>6932</v>
      </c>
      <c r="N4214" s="91" t="s">
        <v>6543</v>
      </c>
    </row>
    <row r="4215" spans="1:14" x14ac:dyDescent="0.25">
      <c r="A4215" s="91" t="s">
        <v>1313</v>
      </c>
      <c r="B4215" s="91" t="s">
        <v>1327</v>
      </c>
      <c r="C4215" s="91" t="s">
        <v>6761</v>
      </c>
      <c r="D4215" s="91" t="s">
        <v>15</v>
      </c>
      <c r="E4215" s="91" t="s">
        <v>18</v>
      </c>
      <c r="F4215">
        <v>336</v>
      </c>
      <c r="G4215">
        <v>7</v>
      </c>
      <c r="H4215" s="89">
        <v>46291</v>
      </c>
      <c r="I4215" s="89">
        <v>46295</v>
      </c>
      <c r="J4215" s="91" t="s">
        <v>6753</v>
      </c>
      <c r="K4215" s="91" t="s">
        <v>6846</v>
      </c>
      <c r="L4215">
        <v>1</v>
      </c>
      <c r="M4215" s="91" t="s">
        <v>6847</v>
      </c>
      <c r="N4215" s="91" t="s">
        <v>6543</v>
      </c>
    </row>
    <row r="4216" spans="1:14" x14ac:dyDescent="0.25">
      <c r="A4216" s="91" t="s">
        <v>1324</v>
      </c>
      <c r="B4216" s="91" t="s">
        <v>1338</v>
      </c>
      <c r="C4216" s="91" t="s">
        <v>6761</v>
      </c>
      <c r="D4216" s="91" t="s">
        <v>15</v>
      </c>
      <c r="E4216" s="91" t="s">
        <v>65</v>
      </c>
      <c r="F4216">
        <v>960</v>
      </c>
      <c r="G4216">
        <v>20</v>
      </c>
      <c r="H4216" s="89">
        <v>46291</v>
      </c>
      <c r="I4216" s="89">
        <v>46297</v>
      </c>
      <c r="J4216" s="91" t="s">
        <v>6799</v>
      </c>
      <c r="K4216" s="91" t="s">
        <v>6848</v>
      </c>
      <c r="L4216">
        <v>1</v>
      </c>
      <c r="M4216" s="91" t="s">
        <v>6849</v>
      </c>
      <c r="N4216" s="91" t="s">
        <v>6543</v>
      </c>
    </row>
    <row r="4217" spans="1:14" x14ac:dyDescent="0.25">
      <c r="A4217" s="91" t="s">
        <v>1313</v>
      </c>
      <c r="B4217" s="91" t="s">
        <v>1327</v>
      </c>
      <c r="C4217" s="91" t="s">
        <v>6761</v>
      </c>
      <c r="D4217" s="91" t="s">
        <v>15</v>
      </c>
      <c r="E4217" s="91" t="s">
        <v>17</v>
      </c>
      <c r="F4217">
        <v>48</v>
      </c>
      <c r="G4217">
        <v>1</v>
      </c>
      <c r="H4217" s="89">
        <v>46291</v>
      </c>
      <c r="I4217" s="89">
        <v>46296</v>
      </c>
      <c r="J4217" s="91" t="s">
        <v>6797</v>
      </c>
      <c r="K4217" s="91" t="s">
        <v>6850</v>
      </c>
      <c r="L4217">
        <v>1</v>
      </c>
      <c r="M4217" s="91" t="s">
        <v>6851</v>
      </c>
      <c r="N4217" s="91" t="s">
        <v>6543</v>
      </c>
    </row>
    <row r="4218" spans="1:14" x14ac:dyDescent="0.25">
      <c r="A4218" s="91" t="s">
        <v>1313</v>
      </c>
      <c r="B4218" s="91" t="s">
        <v>1327</v>
      </c>
      <c r="C4218" s="91" t="s">
        <v>6761</v>
      </c>
      <c r="D4218" s="91" t="s">
        <v>15</v>
      </c>
      <c r="E4218" s="91" t="s">
        <v>19</v>
      </c>
      <c r="F4218">
        <v>48</v>
      </c>
      <c r="G4218">
        <v>1</v>
      </c>
      <c r="H4218" s="89">
        <v>46291</v>
      </c>
      <c r="I4218" s="89">
        <v>46296</v>
      </c>
      <c r="J4218" s="91" t="s">
        <v>1656</v>
      </c>
      <c r="K4218" s="91" t="s">
        <v>6933</v>
      </c>
      <c r="L4218">
        <v>1</v>
      </c>
      <c r="M4218" s="91" t="s">
        <v>6934</v>
      </c>
      <c r="N4218" s="91" t="s">
        <v>6543</v>
      </c>
    </row>
    <row r="4219" spans="1:14" x14ac:dyDescent="0.25">
      <c r="A4219" s="91" t="s">
        <v>1315</v>
      </c>
      <c r="B4219" s="91" t="s">
        <v>1329</v>
      </c>
      <c r="C4219" s="91" t="s">
        <v>6761</v>
      </c>
      <c r="D4219" s="91" t="s">
        <v>15</v>
      </c>
      <c r="E4219" s="91" t="s">
        <v>19</v>
      </c>
      <c r="F4219">
        <v>28</v>
      </c>
      <c r="G4219" t="s">
        <v>1419</v>
      </c>
      <c r="H4219" s="89">
        <v>46291</v>
      </c>
      <c r="I4219" s="89">
        <v>46296</v>
      </c>
      <c r="J4219" s="91" t="s">
        <v>1656</v>
      </c>
      <c r="K4219" s="91" t="s">
        <v>6935</v>
      </c>
      <c r="L4219">
        <v>1</v>
      </c>
      <c r="M4219" s="91" t="s">
        <v>6936</v>
      </c>
      <c r="N4219" s="91" t="s">
        <v>6543</v>
      </c>
    </row>
    <row r="4220" spans="1:14" x14ac:dyDescent="0.25">
      <c r="A4220" s="91" t="s">
        <v>1321</v>
      </c>
      <c r="B4220" s="91" t="s">
        <v>1335</v>
      </c>
      <c r="C4220" s="91" t="s">
        <v>6801</v>
      </c>
      <c r="D4220" s="91" t="s">
        <v>143</v>
      </c>
      <c r="E4220" s="91" t="s">
        <v>65</v>
      </c>
      <c r="H4220" s="89">
        <v>46291</v>
      </c>
      <c r="I4220" s="89">
        <v>46298</v>
      </c>
      <c r="J4220" s="91" t="s">
        <v>1656</v>
      </c>
      <c r="K4220" s="91" t="s">
        <v>6802</v>
      </c>
      <c r="L4220">
        <v>1</v>
      </c>
      <c r="M4220" s="91" t="s">
        <v>6803</v>
      </c>
      <c r="N4220" s="91" t="s">
        <v>6543</v>
      </c>
    </row>
    <row r="4221" spans="1:14" x14ac:dyDescent="0.25">
      <c r="A4221" s="91" t="s">
        <v>1324</v>
      </c>
      <c r="B4221" s="91" t="s">
        <v>1338</v>
      </c>
      <c r="C4221" s="91" t="s">
        <v>6852</v>
      </c>
      <c r="D4221" s="91" t="s">
        <v>144</v>
      </c>
      <c r="E4221" s="91" t="s">
        <v>25</v>
      </c>
      <c r="H4221" s="89">
        <v>46291</v>
      </c>
      <c r="I4221" s="89">
        <v>46296</v>
      </c>
      <c r="J4221" s="91" t="s">
        <v>1656</v>
      </c>
      <c r="K4221" s="91" t="s">
        <v>6853</v>
      </c>
      <c r="L4221">
        <v>1</v>
      </c>
      <c r="M4221" s="91" t="s">
        <v>6854</v>
      </c>
      <c r="N4221" s="91" t="s">
        <v>6543</v>
      </c>
    </row>
    <row r="4222" spans="1:14" x14ac:dyDescent="0.25">
      <c r="A4222" s="91" t="s">
        <v>1324</v>
      </c>
      <c r="B4222" s="91" t="s">
        <v>1338</v>
      </c>
      <c r="C4222" s="91" t="s">
        <v>6800</v>
      </c>
      <c r="D4222" s="91" t="s">
        <v>119</v>
      </c>
      <c r="E4222" s="91" t="s">
        <v>65</v>
      </c>
      <c r="F4222">
        <v>48</v>
      </c>
      <c r="G4222">
        <v>1</v>
      </c>
      <c r="H4222" s="89">
        <v>46291</v>
      </c>
      <c r="I4222" s="89">
        <v>46297</v>
      </c>
      <c r="J4222" s="91" t="s">
        <v>6799</v>
      </c>
      <c r="K4222" s="91" t="s">
        <v>6937</v>
      </c>
      <c r="L4222">
        <v>1</v>
      </c>
      <c r="M4222" s="91" t="s">
        <v>6938</v>
      </c>
      <c r="N4222" s="91" t="s">
        <v>6543</v>
      </c>
    </row>
    <row r="4223" spans="1:14" x14ac:dyDescent="0.25">
      <c r="A4223" s="91" t="s">
        <v>1324</v>
      </c>
      <c r="B4223" s="91" t="s">
        <v>1338</v>
      </c>
      <c r="C4223" s="91" t="s">
        <v>6800</v>
      </c>
      <c r="D4223" s="91" t="s">
        <v>119</v>
      </c>
      <c r="E4223" s="91" t="s">
        <v>25</v>
      </c>
      <c r="F4223">
        <v>912</v>
      </c>
      <c r="G4223">
        <v>19</v>
      </c>
      <c r="H4223" s="89">
        <v>46291</v>
      </c>
      <c r="I4223" s="89">
        <v>46296</v>
      </c>
      <c r="J4223" s="91" t="s">
        <v>6804</v>
      </c>
      <c r="K4223" s="91" t="s">
        <v>6855</v>
      </c>
      <c r="L4223">
        <v>1</v>
      </c>
      <c r="M4223" s="91" t="s">
        <v>6856</v>
      </c>
      <c r="N4223" s="91" t="s">
        <v>6543</v>
      </c>
    </row>
    <row r="4224" spans="1:14" x14ac:dyDescent="0.25">
      <c r="A4224" s="91" t="s">
        <v>1324</v>
      </c>
      <c r="B4224" s="91" t="s">
        <v>1338</v>
      </c>
      <c r="C4224" s="91" t="s">
        <v>6857</v>
      </c>
      <c r="D4224" s="91" t="s">
        <v>144</v>
      </c>
      <c r="E4224" s="91" t="s">
        <v>65</v>
      </c>
      <c r="F4224">
        <v>960</v>
      </c>
      <c r="G4224">
        <v>20</v>
      </c>
      <c r="H4224" s="89">
        <v>46293</v>
      </c>
      <c r="I4224" s="89">
        <v>46298</v>
      </c>
      <c r="J4224" s="91" t="s">
        <v>6945</v>
      </c>
      <c r="K4224" s="91" t="s">
        <v>7056</v>
      </c>
      <c r="L4224">
        <v>1</v>
      </c>
      <c r="M4224" s="91" t="s">
        <v>7057</v>
      </c>
      <c r="N4224" s="91" t="s">
        <v>6858</v>
      </c>
    </row>
    <row r="4225" spans="1:14" x14ac:dyDescent="0.25">
      <c r="A4225" s="91" t="s">
        <v>1320</v>
      </c>
      <c r="B4225" s="91" t="s">
        <v>1334</v>
      </c>
      <c r="C4225" s="91" t="s">
        <v>6939</v>
      </c>
      <c r="D4225" s="91" t="s">
        <v>13</v>
      </c>
      <c r="E4225" s="91" t="s">
        <v>14</v>
      </c>
      <c r="F4225">
        <v>480</v>
      </c>
      <c r="G4225">
        <v>10</v>
      </c>
      <c r="H4225" s="89">
        <v>46293</v>
      </c>
      <c r="I4225" s="89">
        <v>46296</v>
      </c>
      <c r="J4225" s="91" t="s">
        <v>6762</v>
      </c>
      <c r="K4225" s="91" t="s">
        <v>6940</v>
      </c>
      <c r="L4225">
        <v>1</v>
      </c>
      <c r="M4225" s="91" t="s">
        <v>6941</v>
      </c>
      <c r="N4225" s="91" t="s">
        <v>6858</v>
      </c>
    </row>
    <row r="4226" spans="1:14" x14ac:dyDescent="0.25">
      <c r="A4226" s="91" t="s">
        <v>1320</v>
      </c>
      <c r="B4226" s="91" t="s">
        <v>1334</v>
      </c>
      <c r="C4226" s="91" t="s">
        <v>6939</v>
      </c>
      <c r="D4226" s="91" t="s">
        <v>13</v>
      </c>
      <c r="E4226" s="91" t="s">
        <v>14</v>
      </c>
      <c r="F4226">
        <v>96</v>
      </c>
      <c r="G4226">
        <v>2</v>
      </c>
      <c r="H4226" s="89">
        <v>46293</v>
      </c>
      <c r="I4226" s="89">
        <v>46297</v>
      </c>
      <c r="J4226" s="91" t="s">
        <v>7059</v>
      </c>
      <c r="K4226" s="91" t="s">
        <v>7144</v>
      </c>
      <c r="L4226">
        <v>1</v>
      </c>
      <c r="M4226" s="91" t="s">
        <v>7145</v>
      </c>
      <c r="N4226" s="91" t="s">
        <v>6858</v>
      </c>
    </row>
    <row r="4227" spans="1:14" x14ac:dyDescent="0.25">
      <c r="A4227" s="91" t="s">
        <v>1320</v>
      </c>
      <c r="B4227" s="91" t="s">
        <v>1334</v>
      </c>
      <c r="C4227" s="91" t="s">
        <v>6942</v>
      </c>
      <c r="D4227" s="91" t="s">
        <v>118</v>
      </c>
      <c r="E4227" s="91" t="s">
        <v>14</v>
      </c>
      <c r="F4227">
        <v>768</v>
      </c>
      <c r="G4227">
        <v>16</v>
      </c>
      <c r="H4227" s="89">
        <v>46293</v>
      </c>
      <c r="I4227" s="89">
        <v>46297</v>
      </c>
      <c r="J4227" s="91" t="s">
        <v>7059</v>
      </c>
      <c r="K4227" s="91" t="s">
        <v>6943</v>
      </c>
      <c r="L4227">
        <v>1</v>
      </c>
      <c r="M4227" s="91" t="s">
        <v>6944</v>
      </c>
      <c r="N4227" s="91" t="s">
        <v>6858</v>
      </c>
    </row>
    <row r="4228" spans="1:14" x14ac:dyDescent="0.25">
      <c r="A4228" s="91" t="s">
        <v>1320</v>
      </c>
      <c r="B4228" s="91" t="s">
        <v>1334</v>
      </c>
      <c r="C4228" s="91" t="s">
        <v>6859</v>
      </c>
      <c r="D4228" s="91" t="s">
        <v>23</v>
      </c>
      <c r="E4228" s="91" t="s">
        <v>14</v>
      </c>
      <c r="F4228">
        <v>480</v>
      </c>
      <c r="G4228">
        <v>10</v>
      </c>
      <c r="H4228" s="89">
        <v>46293</v>
      </c>
      <c r="I4228" s="89">
        <v>46297</v>
      </c>
      <c r="J4228" s="91" t="s">
        <v>7146</v>
      </c>
      <c r="K4228" s="91" t="s">
        <v>7147</v>
      </c>
      <c r="L4228">
        <v>1</v>
      </c>
      <c r="M4228" s="91" t="s">
        <v>7148</v>
      </c>
      <c r="N4228" s="91" t="s">
        <v>6858</v>
      </c>
    </row>
    <row r="4229" spans="1:14" x14ac:dyDescent="0.25">
      <c r="A4229" s="91" t="s">
        <v>1320</v>
      </c>
      <c r="B4229" s="91" t="s">
        <v>1334</v>
      </c>
      <c r="C4229" s="91" t="s">
        <v>6859</v>
      </c>
      <c r="D4229" s="91" t="s">
        <v>23</v>
      </c>
      <c r="E4229" s="91" t="s">
        <v>14</v>
      </c>
      <c r="F4229">
        <v>96</v>
      </c>
      <c r="G4229">
        <v>2</v>
      </c>
      <c r="H4229" s="89">
        <v>46293</v>
      </c>
      <c r="I4229" s="89">
        <v>46300</v>
      </c>
      <c r="J4229" s="91" t="s">
        <v>7058</v>
      </c>
      <c r="K4229" s="91" t="s">
        <v>7149</v>
      </c>
      <c r="L4229">
        <v>1</v>
      </c>
      <c r="M4229" s="91" t="s">
        <v>7150</v>
      </c>
      <c r="N4229" s="91" t="s">
        <v>6858</v>
      </c>
    </row>
    <row r="4230" spans="1:14" x14ac:dyDescent="0.25">
      <c r="A4230" s="91" t="s">
        <v>1324</v>
      </c>
      <c r="B4230" s="91" t="s">
        <v>1338</v>
      </c>
      <c r="C4230" s="91" t="s">
        <v>6860</v>
      </c>
      <c r="D4230" s="91" t="s">
        <v>21</v>
      </c>
      <c r="E4230" s="91" t="s">
        <v>25</v>
      </c>
      <c r="F4230">
        <v>960</v>
      </c>
      <c r="G4230">
        <v>20</v>
      </c>
      <c r="H4230" s="89">
        <v>46293</v>
      </c>
      <c r="I4230" s="89">
        <v>46296</v>
      </c>
      <c r="J4230" s="91" t="s">
        <v>6804</v>
      </c>
      <c r="K4230" s="91" t="s">
        <v>6946</v>
      </c>
      <c r="L4230">
        <v>1</v>
      </c>
      <c r="M4230" s="91" t="s">
        <v>6947</v>
      </c>
      <c r="N4230" s="91" t="s">
        <v>6858</v>
      </c>
    </row>
    <row r="4231" spans="1:14" x14ac:dyDescent="0.25">
      <c r="A4231" s="91" t="s">
        <v>1324</v>
      </c>
      <c r="B4231" s="91" t="s">
        <v>1338</v>
      </c>
      <c r="C4231" s="91" t="s">
        <v>6860</v>
      </c>
      <c r="D4231" s="91" t="s">
        <v>21</v>
      </c>
      <c r="E4231" s="91" t="s">
        <v>25</v>
      </c>
      <c r="F4231">
        <v>48</v>
      </c>
      <c r="G4231">
        <v>1</v>
      </c>
      <c r="H4231" s="89">
        <v>46293</v>
      </c>
      <c r="I4231" s="89">
        <v>46296</v>
      </c>
      <c r="J4231" s="91" t="s">
        <v>6804</v>
      </c>
      <c r="K4231" s="91" t="s">
        <v>6946</v>
      </c>
      <c r="L4231">
        <v>2</v>
      </c>
      <c r="M4231" s="91" t="s">
        <v>7060</v>
      </c>
      <c r="N4231" s="91" t="s">
        <v>6858</v>
      </c>
    </row>
    <row r="4232" spans="1:14" x14ac:dyDescent="0.25">
      <c r="A4232" s="91" t="s">
        <v>1313</v>
      </c>
      <c r="B4232" s="91" t="s">
        <v>1327</v>
      </c>
      <c r="C4232" s="91" t="s">
        <v>6860</v>
      </c>
      <c r="D4232" s="91" t="s">
        <v>21</v>
      </c>
      <c r="E4232" s="91" t="s">
        <v>16</v>
      </c>
      <c r="F4232">
        <v>432</v>
      </c>
      <c r="G4232">
        <v>9</v>
      </c>
      <c r="H4232" s="89">
        <v>46293</v>
      </c>
      <c r="I4232" s="89">
        <v>46296</v>
      </c>
      <c r="J4232" s="91" t="s">
        <v>6948</v>
      </c>
      <c r="K4232" s="91" t="s">
        <v>6881</v>
      </c>
      <c r="L4232">
        <v>1</v>
      </c>
      <c r="M4232" s="91" t="s">
        <v>6882</v>
      </c>
      <c r="N4232" s="91" t="s">
        <v>6858</v>
      </c>
    </row>
    <row r="4233" spans="1:14" x14ac:dyDescent="0.25">
      <c r="A4233" s="91" t="s">
        <v>1315</v>
      </c>
      <c r="B4233" s="91" t="s">
        <v>1329</v>
      </c>
      <c r="C4233" s="91" t="s">
        <v>6860</v>
      </c>
      <c r="D4233" s="91" t="s">
        <v>21</v>
      </c>
      <c r="E4233" s="91" t="s">
        <v>19</v>
      </c>
      <c r="F4233">
        <v>1</v>
      </c>
      <c r="G4233" t="s">
        <v>1419</v>
      </c>
      <c r="H4233" s="89">
        <v>46293</v>
      </c>
      <c r="I4233" s="89">
        <v>46295</v>
      </c>
      <c r="J4233" s="91" t="s">
        <v>1656</v>
      </c>
      <c r="K4233" s="91" t="s">
        <v>7151</v>
      </c>
      <c r="L4233">
        <v>1</v>
      </c>
      <c r="M4233" s="91" t="s">
        <v>7152</v>
      </c>
      <c r="N4233" s="91" t="s">
        <v>6858</v>
      </c>
    </row>
    <row r="4234" spans="1:14" x14ac:dyDescent="0.25">
      <c r="A4234" s="91" t="s">
        <v>1321</v>
      </c>
      <c r="B4234" s="91" t="s">
        <v>1335</v>
      </c>
      <c r="C4234" s="91" t="s">
        <v>6871</v>
      </c>
      <c r="D4234" s="91" t="s">
        <v>143</v>
      </c>
      <c r="E4234" s="91" t="s">
        <v>65</v>
      </c>
      <c r="F4234">
        <v>144</v>
      </c>
      <c r="G4234">
        <v>3</v>
      </c>
      <c r="H4234" s="89">
        <v>46293</v>
      </c>
      <c r="I4234" s="89">
        <v>46298</v>
      </c>
      <c r="J4234" s="91" t="s">
        <v>6945</v>
      </c>
      <c r="K4234" s="91" t="s">
        <v>6883</v>
      </c>
      <c r="L4234">
        <v>1</v>
      </c>
      <c r="M4234" s="91" t="s">
        <v>6884</v>
      </c>
      <c r="N4234" s="91" t="s">
        <v>6858</v>
      </c>
    </row>
    <row r="4235" spans="1:14" x14ac:dyDescent="0.25">
      <c r="A4235" s="91" t="s">
        <v>1325</v>
      </c>
      <c r="B4235" s="91" t="s">
        <v>1339</v>
      </c>
      <c r="C4235" s="91" t="s">
        <v>6871</v>
      </c>
      <c r="D4235" s="91" t="s">
        <v>143</v>
      </c>
      <c r="E4235" s="91" t="s">
        <v>19</v>
      </c>
      <c r="F4235">
        <v>144</v>
      </c>
      <c r="G4235">
        <v>3</v>
      </c>
      <c r="H4235" s="89">
        <v>46293</v>
      </c>
      <c r="I4235" s="89">
        <v>46296</v>
      </c>
      <c r="J4235" s="91" t="s">
        <v>1656</v>
      </c>
      <c r="K4235" s="91" t="s">
        <v>6885</v>
      </c>
      <c r="L4235">
        <v>1</v>
      </c>
      <c r="M4235" s="91" t="s">
        <v>6886</v>
      </c>
      <c r="N4235" s="91" t="s">
        <v>6858</v>
      </c>
    </row>
    <row r="4236" spans="1:14" x14ac:dyDescent="0.25">
      <c r="A4236" s="91" t="s">
        <v>56</v>
      </c>
      <c r="B4236" s="91" t="s">
        <v>7084</v>
      </c>
      <c r="C4236" s="91" t="s">
        <v>6872</v>
      </c>
      <c r="D4236" s="91" t="s">
        <v>20</v>
      </c>
      <c r="E4236" s="91" t="s">
        <v>56</v>
      </c>
      <c r="F4236">
        <v>960</v>
      </c>
      <c r="G4236">
        <v>20</v>
      </c>
      <c r="H4236" s="89">
        <v>46293</v>
      </c>
      <c r="I4236" s="89">
        <v>46296</v>
      </c>
      <c r="J4236" s="91" t="s">
        <v>7153</v>
      </c>
      <c r="K4236" s="91" t="s">
        <v>7085</v>
      </c>
      <c r="L4236">
        <v>1</v>
      </c>
      <c r="M4236" s="91" t="s">
        <v>7086</v>
      </c>
      <c r="N4236" s="91" t="s">
        <v>6858</v>
      </c>
    </row>
    <row r="4237" spans="1:14" x14ac:dyDescent="0.25">
      <c r="A4237" s="91" t="s">
        <v>1313</v>
      </c>
      <c r="B4237" s="91" t="s">
        <v>1327</v>
      </c>
      <c r="C4237" s="91" t="s">
        <v>6872</v>
      </c>
      <c r="D4237" s="91" t="s">
        <v>20</v>
      </c>
      <c r="E4237" s="91" t="s">
        <v>19</v>
      </c>
      <c r="F4237">
        <v>528</v>
      </c>
      <c r="G4237">
        <v>11</v>
      </c>
      <c r="H4237" s="89">
        <v>46293</v>
      </c>
      <c r="I4237" s="89">
        <v>46296</v>
      </c>
      <c r="J4237" s="91" t="s">
        <v>1656</v>
      </c>
      <c r="K4237" s="91" t="s">
        <v>6949</v>
      </c>
      <c r="L4237">
        <v>1</v>
      </c>
      <c r="M4237" s="91" t="s">
        <v>6950</v>
      </c>
      <c r="N4237" s="91" t="s">
        <v>6858</v>
      </c>
    </row>
    <row r="4238" spans="1:14" x14ac:dyDescent="0.25">
      <c r="A4238" s="91" t="s">
        <v>1315</v>
      </c>
      <c r="B4238" s="91" t="s">
        <v>1329</v>
      </c>
      <c r="C4238" s="91" t="s">
        <v>6872</v>
      </c>
      <c r="D4238" s="91" t="s">
        <v>20</v>
      </c>
      <c r="E4238" s="91" t="s">
        <v>19</v>
      </c>
      <c r="F4238">
        <v>35</v>
      </c>
      <c r="G4238" t="s">
        <v>1419</v>
      </c>
      <c r="H4238" s="89">
        <v>46293</v>
      </c>
      <c r="I4238" s="89">
        <v>46295</v>
      </c>
      <c r="J4238" s="91" t="s">
        <v>1656</v>
      </c>
      <c r="K4238" s="91" t="s">
        <v>7154</v>
      </c>
      <c r="L4238">
        <v>1</v>
      </c>
      <c r="M4238" s="91" t="s">
        <v>7155</v>
      </c>
      <c r="N4238" s="91" t="s">
        <v>6858</v>
      </c>
    </row>
    <row r="4239" spans="1:14" x14ac:dyDescent="0.25">
      <c r="A4239" s="91" t="s">
        <v>1315</v>
      </c>
      <c r="B4239" s="91" t="s">
        <v>1329</v>
      </c>
      <c r="C4239" s="91" t="s">
        <v>6861</v>
      </c>
      <c r="D4239" s="91" t="s">
        <v>15</v>
      </c>
      <c r="E4239" s="91" t="s">
        <v>19</v>
      </c>
      <c r="F4239">
        <v>12</v>
      </c>
      <c r="G4239" t="s">
        <v>1419</v>
      </c>
      <c r="H4239" s="89">
        <v>46293</v>
      </c>
      <c r="I4239" s="89">
        <v>46295</v>
      </c>
      <c r="J4239" s="91" t="s">
        <v>1656</v>
      </c>
      <c r="K4239" s="91" t="s">
        <v>7156</v>
      </c>
      <c r="L4239">
        <v>1</v>
      </c>
      <c r="M4239" s="91" t="s">
        <v>7157</v>
      </c>
      <c r="N4239" s="91" t="s">
        <v>6858</v>
      </c>
    </row>
    <row r="4240" spans="1:14" x14ac:dyDescent="0.25">
      <c r="A4240" s="91" t="s">
        <v>1324</v>
      </c>
      <c r="B4240" s="91" t="s">
        <v>1338</v>
      </c>
      <c r="C4240" s="91" t="s">
        <v>6861</v>
      </c>
      <c r="D4240" s="91" t="s">
        <v>15</v>
      </c>
      <c r="E4240" s="91" t="s">
        <v>25</v>
      </c>
      <c r="F4240">
        <v>144</v>
      </c>
      <c r="G4240">
        <v>3</v>
      </c>
      <c r="H4240" s="89">
        <v>46293</v>
      </c>
      <c r="I4240" s="89">
        <v>46300</v>
      </c>
      <c r="J4240" s="91" t="s">
        <v>7070</v>
      </c>
      <c r="K4240" s="91" t="s">
        <v>7087</v>
      </c>
      <c r="L4240">
        <v>1</v>
      </c>
      <c r="M4240" s="91" t="s">
        <v>7088</v>
      </c>
      <c r="N4240" s="91" t="s">
        <v>6858</v>
      </c>
    </row>
    <row r="4241" spans="1:14" x14ac:dyDescent="0.25">
      <c r="A4241" s="91" t="s">
        <v>1324</v>
      </c>
      <c r="B4241" s="91" t="s">
        <v>1338</v>
      </c>
      <c r="C4241" s="91" t="s">
        <v>6861</v>
      </c>
      <c r="D4241" s="91" t="s">
        <v>15</v>
      </c>
      <c r="E4241" s="91" t="s">
        <v>65</v>
      </c>
      <c r="F4241">
        <v>816</v>
      </c>
      <c r="G4241">
        <v>17</v>
      </c>
      <c r="H4241" s="89">
        <v>46293</v>
      </c>
      <c r="I4241" s="89">
        <v>46298</v>
      </c>
      <c r="J4241" s="91" t="s">
        <v>6945</v>
      </c>
      <c r="K4241" s="91" t="s">
        <v>6887</v>
      </c>
      <c r="L4241">
        <v>1</v>
      </c>
      <c r="M4241" s="91" t="s">
        <v>6888</v>
      </c>
      <c r="N4241" s="91" t="s">
        <v>6858</v>
      </c>
    </row>
    <row r="4242" spans="1:14" x14ac:dyDescent="0.25">
      <c r="A4242" s="91" t="s">
        <v>1313</v>
      </c>
      <c r="B4242" s="91" t="s">
        <v>1327</v>
      </c>
      <c r="C4242" s="91" t="s">
        <v>6861</v>
      </c>
      <c r="D4242" s="91" t="s">
        <v>15</v>
      </c>
      <c r="E4242" s="91" t="s">
        <v>19</v>
      </c>
      <c r="F4242">
        <v>48</v>
      </c>
      <c r="G4242">
        <v>1</v>
      </c>
      <c r="H4242" s="89">
        <v>46293</v>
      </c>
      <c r="I4242" s="89">
        <v>46296</v>
      </c>
      <c r="J4242" s="91" t="s">
        <v>1656</v>
      </c>
      <c r="K4242" s="91" t="s">
        <v>6951</v>
      </c>
      <c r="L4242">
        <v>1</v>
      </c>
      <c r="M4242" s="91" t="s">
        <v>6952</v>
      </c>
      <c r="N4242" s="91" t="s">
        <v>6858</v>
      </c>
    </row>
    <row r="4243" spans="1:14" x14ac:dyDescent="0.25">
      <c r="A4243" s="91" t="s">
        <v>1313</v>
      </c>
      <c r="B4243" s="91" t="s">
        <v>1327</v>
      </c>
      <c r="C4243" s="91" t="s">
        <v>6861</v>
      </c>
      <c r="D4243" s="91" t="s">
        <v>15</v>
      </c>
      <c r="E4243" s="91" t="s">
        <v>17</v>
      </c>
      <c r="F4243">
        <v>420</v>
      </c>
      <c r="G4243">
        <v>8.75</v>
      </c>
      <c r="H4243" s="89">
        <v>46293</v>
      </c>
      <c r="I4243" s="89">
        <v>46296</v>
      </c>
      <c r="J4243" s="91" t="s">
        <v>6797</v>
      </c>
      <c r="K4243" s="91" t="s">
        <v>6889</v>
      </c>
      <c r="L4243">
        <v>1</v>
      </c>
      <c r="M4243" s="91" t="s">
        <v>6890</v>
      </c>
      <c r="N4243" s="91" t="s">
        <v>6858</v>
      </c>
    </row>
    <row r="4244" spans="1:14" x14ac:dyDescent="0.25">
      <c r="A4244" s="91" t="s">
        <v>1319</v>
      </c>
      <c r="B4244" s="91" t="s">
        <v>1333</v>
      </c>
      <c r="C4244" s="91" t="s">
        <v>6861</v>
      </c>
      <c r="D4244" s="91" t="s">
        <v>15</v>
      </c>
      <c r="E4244" s="91" t="s">
        <v>17</v>
      </c>
      <c r="F4244">
        <v>60</v>
      </c>
      <c r="G4244">
        <v>1.25</v>
      </c>
      <c r="H4244" s="89">
        <v>46293</v>
      </c>
      <c r="I4244" s="89">
        <v>46296</v>
      </c>
      <c r="J4244" s="91" t="s">
        <v>6797</v>
      </c>
      <c r="K4244" s="91" t="s">
        <v>6891</v>
      </c>
      <c r="L4244">
        <v>1</v>
      </c>
      <c r="M4244" s="91" t="s">
        <v>6892</v>
      </c>
      <c r="N4244" s="91" t="s">
        <v>6858</v>
      </c>
    </row>
    <row r="4245" spans="1:14" x14ac:dyDescent="0.25">
      <c r="A4245" s="91" t="s">
        <v>1325</v>
      </c>
      <c r="B4245" s="91" t="s">
        <v>1339</v>
      </c>
      <c r="C4245" s="91" t="s">
        <v>6953</v>
      </c>
      <c r="D4245" s="91" t="s">
        <v>143</v>
      </c>
      <c r="E4245" s="91" t="s">
        <v>19</v>
      </c>
      <c r="F4245">
        <v>336</v>
      </c>
      <c r="G4245">
        <v>7</v>
      </c>
      <c r="H4245" s="89">
        <v>46294</v>
      </c>
      <c r="I4245" s="89">
        <v>46296</v>
      </c>
      <c r="J4245" s="91" t="s">
        <v>1656</v>
      </c>
      <c r="K4245" s="91" t="s">
        <v>6954</v>
      </c>
      <c r="L4245">
        <v>1</v>
      </c>
      <c r="M4245" s="91" t="s">
        <v>6955</v>
      </c>
      <c r="N4245" s="91" t="s">
        <v>6858</v>
      </c>
    </row>
    <row r="4246" spans="1:14" x14ac:dyDescent="0.25">
      <c r="A4246" s="91" t="s">
        <v>1320</v>
      </c>
      <c r="B4246" s="91" t="s">
        <v>1334</v>
      </c>
      <c r="C4246" s="91" t="s">
        <v>6956</v>
      </c>
      <c r="D4246" s="91" t="s">
        <v>13</v>
      </c>
      <c r="E4246" s="91" t="s">
        <v>14</v>
      </c>
      <c r="F4246">
        <v>384</v>
      </c>
      <c r="G4246">
        <v>8</v>
      </c>
      <c r="H4246" s="89">
        <v>46294</v>
      </c>
      <c r="I4246" s="89">
        <v>46297</v>
      </c>
      <c r="J4246" s="91" t="s">
        <v>7146</v>
      </c>
      <c r="K4246" s="91" t="s">
        <v>7158</v>
      </c>
      <c r="L4246">
        <v>1</v>
      </c>
      <c r="M4246" s="91" t="s">
        <v>7159</v>
      </c>
      <c r="N4246" s="91" t="s">
        <v>6858</v>
      </c>
    </row>
    <row r="4247" spans="1:14" x14ac:dyDescent="0.25">
      <c r="A4247" s="91" t="s">
        <v>1320</v>
      </c>
      <c r="B4247" s="91" t="s">
        <v>1334</v>
      </c>
      <c r="C4247" s="91" t="s">
        <v>6956</v>
      </c>
      <c r="D4247" s="91" t="s">
        <v>13</v>
      </c>
      <c r="E4247" s="91" t="s">
        <v>14</v>
      </c>
      <c r="F4247">
        <v>96</v>
      </c>
      <c r="G4247">
        <v>2</v>
      </c>
      <c r="H4247" s="89">
        <v>46294</v>
      </c>
      <c r="I4247" s="89">
        <v>46297</v>
      </c>
      <c r="J4247" s="91" t="s">
        <v>7146</v>
      </c>
      <c r="K4247" s="91" t="s">
        <v>7158</v>
      </c>
      <c r="L4247">
        <v>2</v>
      </c>
      <c r="M4247" s="91" t="s">
        <v>7160</v>
      </c>
      <c r="N4247" s="91" t="s">
        <v>6858</v>
      </c>
    </row>
    <row r="4248" spans="1:14" x14ac:dyDescent="0.25">
      <c r="A4248" s="91" t="s">
        <v>1320</v>
      </c>
      <c r="B4248" s="91" t="s">
        <v>1334</v>
      </c>
      <c r="C4248" s="91" t="s">
        <v>6956</v>
      </c>
      <c r="D4248" s="91" t="s">
        <v>13</v>
      </c>
      <c r="E4248" s="91" t="s">
        <v>14</v>
      </c>
      <c r="F4248">
        <v>96</v>
      </c>
      <c r="G4248">
        <v>2</v>
      </c>
      <c r="H4248" s="89">
        <v>46294</v>
      </c>
      <c r="I4248" s="89">
        <v>46297</v>
      </c>
      <c r="J4248" s="91" t="s">
        <v>7059</v>
      </c>
      <c r="K4248" s="91" t="s">
        <v>6957</v>
      </c>
      <c r="L4248">
        <v>1</v>
      </c>
      <c r="M4248" s="91" t="s">
        <v>6958</v>
      </c>
      <c r="N4248" s="91" t="s">
        <v>6858</v>
      </c>
    </row>
    <row r="4249" spans="1:14" x14ac:dyDescent="0.25">
      <c r="A4249" s="91" t="s">
        <v>1313</v>
      </c>
      <c r="B4249" s="91" t="s">
        <v>1327</v>
      </c>
      <c r="C4249" s="91" t="s">
        <v>6862</v>
      </c>
      <c r="D4249" s="91" t="s">
        <v>21</v>
      </c>
      <c r="E4249" s="91" t="s">
        <v>16</v>
      </c>
      <c r="F4249">
        <v>480</v>
      </c>
      <c r="G4249">
        <v>10</v>
      </c>
      <c r="H4249" s="89">
        <v>46294</v>
      </c>
      <c r="I4249" s="89">
        <v>46296</v>
      </c>
      <c r="J4249" s="91" t="s">
        <v>6948</v>
      </c>
      <c r="K4249" s="91" t="s">
        <v>6893</v>
      </c>
      <c r="L4249">
        <v>1</v>
      </c>
      <c r="M4249" s="91" t="s">
        <v>6894</v>
      </c>
      <c r="N4249" s="91" t="s">
        <v>6858</v>
      </c>
    </row>
    <row r="4250" spans="1:14" x14ac:dyDescent="0.25">
      <c r="A4250" s="91" t="s">
        <v>1320</v>
      </c>
      <c r="B4250" s="91" t="s">
        <v>1334</v>
      </c>
      <c r="C4250" s="91" t="s">
        <v>6862</v>
      </c>
      <c r="D4250" s="91" t="s">
        <v>21</v>
      </c>
      <c r="E4250" s="91" t="s">
        <v>14</v>
      </c>
      <c r="F4250">
        <v>960</v>
      </c>
      <c r="G4250">
        <v>20</v>
      </c>
      <c r="H4250" s="89">
        <v>46294</v>
      </c>
      <c r="I4250" s="89">
        <v>46298</v>
      </c>
      <c r="J4250" s="91" t="s">
        <v>7061</v>
      </c>
      <c r="K4250" s="91" t="s">
        <v>7161</v>
      </c>
      <c r="L4250">
        <v>1</v>
      </c>
      <c r="M4250" s="91" t="s">
        <v>7162</v>
      </c>
      <c r="N4250" s="91" t="s">
        <v>6858</v>
      </c>
    </row>
    <row r="4251" spans="1:14" x14ac:dyDescent="0.25">
      <c r="A4251" s="91" t="s">
        <v>1313</v>
      </c>
      <c r="B4251" s="91" t="s">
        <v>1327</v>
      </c>
      <c r="C4251" s="91" t="s">
        <v>6862</v>
      </c>
      <c r="D4251" s="91" t="s">
        <v>21</v>
      </c>
      <c r="E4251" s="91" t="s">
        <v>19</v>
      </c>
      <c r="F4251">
        <v>384</v>
      </c>
      <c r="G4251">
        <v>8</v>
      </c>
      <c r="H4251" s="89">
        <v>46294</v>
      </c>
      <c r="I4251" s="89">
        <v>46296</v>
      </c>
      <c r="J4251" s="91" t="s">
        <v>1656</v>
      </c>
      <c r="K4251" s="91" t="s">
        <v>6895</v>
      </c>
      <c r="L4251">
        <v>1</v>
      </c>
      <c r="M4251" s="91" t="s">
        <v>6896</v>
      </c>
      <c r="N4251" s="91" t="s">
        <v>6858</v>
      </c>
    </row>
    <row r="4252" spans="1:14" x14ac:dyDescent="0.25">
      <c r="A4252" s="91" t="s">
        <v>1315</v>
      </c>
      <c r="B4252" s="91" t="s">
        <v>1329</v>
      </c>
      <c r="C4252" s="91" t="s">
        <v>6862</v>
      </c>
      <c r="D4252" s="91" t="s">
        <v>21</v>
      </c>
      <c r="E4252" s="91" t="s">
        <v>19</v>
      </c>
      <c r="F4252">
        <v>51</v>
      </c>
      <c r="G4252" t="s">
        <v>1419</v>
      </c>
      <c r="H4252" s="89">
        <v>46294</v>
      </c>
      <c r="I4252" s="89">
        <v>46296</v>
      </c>
      <c r="J4252" s="91" t="s">
        <v>1656</v>
      </c>
      <c r="K4252" s="91" t="s">
        <v>7005</v>
      </c>
      <c r="L4252">
        <v>1</v>
      </c>
      <c r="M4252" s="91" t="s">
        <v>7006</v>
      </c>
      <c r="N4252" s="91" t="s">
        <v>6858</v>
      </c>
    </row>
    <row r="4253" spans="1:14" x14ac:dyDescent="0.25">
      <c r="A4253" s="91" t="s">
        <v>56</v>
      </c>
      <c r="B4253" s="91" t="s">
        <v>7084</v>
      </c>
      <c r="C4253" s="91" t="s">
        <v>6863</v>
      </c>
      <c r="D4253" s="91" t="s">
        <v>15</v>
      </c>
      <c r="E4253" s="91" t="s">
        <v>56</v>
      </c>
      <c r="F4253">
        <v>960</v>
      </c>
      <c r="G4253">
        <v>20</v>
      </c>
      <c r="H4253" s="89">
        <v>46294</v>
      </c>
      <c r="I4253" s="89">
        <v>46296</v>
      </c>
      <c r="J4253" s="91" t="s">
        <v>7153</v>
      </c>
      <c r="K4253" s="91" t="s">
        <v>7089</v>
      </c>
      <c r="L4253">
        <v>1</v>
      </c>
      <c r="M4253" s="91" t="s">
        <v>7090</v>
      </c>
      <c r="N4253" s="91" t="s">
        <v>6858</v>
      </c>
    </row>
    <row r="4254" spans="1:14" x14ac:dyDescent="0.25">
      <c r="A4254" s="91" t="s">
        <v>1314</v>
      </c>
      <c r="B4254" s="91" t="s">
        <v>1328</v>
      </c>
      <c r="C4254" s="91" t="s">
        <v>6863</v>
      </c>
      <c r="D4254" s="91" t="s">
        <v>15</v>
      </c>
      <c r="E4254" s="91" t="s">
        <v>16</v>
      </c>
      <c r="F4254">
        <v>240</v>
      </c>
      <c r="G4254">
        <v>5</v>
      </c>
      <c r="H4254" s="89">
        <v>46294</v>
      </c>
      <c r="I4254" s="89">
        <v>46296</v>
      </c>
      <c r="J4254" s="91" t="s">
        <v>6959</v>
      </c>
      <c r="K4254" s="91" t="s">
        <v>6897</v>
      </c>
      <c r="L4254">
        <v>1</v>
      </c>
      <c r="M4254" s="91" t="s">
        <v>6898</v>
      </c>
      <c r="N4254" s="91" t="s">
        <v>6858</v>
      </c>
    </row>
    <row r="4255" spans="1:14" x14ac:dyDescent="0.25">
      <c r="A4255" s="91" t="s">
        <v>1313</v>
      </c>
      <c r="B4255" s="91" t="s">
        <v>1327</v>
      </c>
      <c r="C4255" s="91" t="s">
        <v>6863</v>
      </c>
      <c r="D4255" s="91" t="s">
        <v>15</v>
      </c>
      <c r="E4255" s="91" t="s">
        <v>19</v>
      </c>
      <c r="F4255">
        <v>48</v>
      </c>
      <c r="G4255">
        <v>1</v>
      </c>
      <c r="H4255" s="89">
        <v>46294</v>
      </c>
      <c r="I4255" s="89">
        <v>46296</v>
      </c>
      <c r="J4255" s="91" t="s">
        <v>1656</v>
      </c>
      <c r="K4255" s="91" t="s">
        <v>6899</v>
      </c>
      <c r="L4255">
        <v>1</v>
      </c>
      <c r="M4255" s="91" t="s">
        <v>6900</v>
      </c>
      <c r="N4255" s="91" t="s">
        <v>6858</v>
      </c>
    </row>
    <row r="4256" spans="1:14" x14ac:dyDescent="0.25">
      <c r="A4256" s="91" t="s">
        <v>1315</v>
      </c>
      <c r="B4256" s="91" t="s">
        <v>1329</v>
      </c>
      <c r="C4256" s="91" t="s">
        <v>6863</v>
      </c>
      <c r="D4256" s="91" t="s">
        <v>15</v>
      </c>
      <c r="E4256" s="91" t="s">
        <v>19</v>
      </c>
      <c r="F4256">
        <v>23</v>
      </c>
      <c r="G4256" t="s">
        <v>1419</v>
      </c>
      <c r="H4256" s="89">
        <v>46294</v>
      </c>
      <c r="I4256" s="89">
        <v>46296</v>
      </c>
      <c r="J4256" s="91" t="s">
        <v>1656</v>
      </c>
      <c r="K4256" s="91" t="s">
        <v>7007</v>
      </c>
      <c r="L4256">
        <v>1</v>
      </c>
      <c r="M4256" s="91" t="s">
        <v>7008</v>
      </c>
      <c r="N4256" s="91" t="s">
        <v>6858</v>
      </c>
    </row>
    <row r="4257" spans="1:14" x14ac:dyDescent="0.25">
      <c r="A4257" s="91" t="s">
        <v>1320</v>
      </c>
      <c r="B4257" s="91" t="s">
        <v>1334</v>
      </c>
      <c r="C4257" s="91" t="s">
        <v>7091</v>
      </c>
      <c r="D4257" s="91" t="s">
        <v>105</v>
      </c>
      <c r="E4257" s="91" t="s">
        <v>14</v>
      </c>
      <c r="F4257">
        <v>960</v>
      </c>
      <c r="G4257">
        <v>20</v>
      </c>
      <c r="H4257" s="89">
        <v>46294</v>
      </c>
      <c r="I4257" s="89">
        <v>46298</v>
      </c>
      <c r="J4257" s="91" t="s">
        <v>7163</v>
      </c>
      <c r="K4257" s="91" t="s">
        <v>7164</v>
      </c>
      <c r="L4257">
        <v>1</v>
      </c>
      <c r="M4257" s="91" t="s">
        <v>7165</v>
      </c>
      <c r="N4257" s="91" t="s">
        <v>6858</v>
      </c>
    </row>
    <row r="4258" spans="1:14" x14ac:dyDescent="0.25">
      <c r="A4258" s="91" t="s">
        <v>1320</v>
      </c>
      <c r="B4258" s="91" t="s">
        <v>1334</v>
      </c>
      <c r="C4258" s="91" t="s">
        <v>6864</v>
      </c>
      <c r="D4258" s="91" t="s">
        <v>23</v>
      </c>
      <c r="E4258" s="91" t="s">
        <v>14</v>
      </c>
      <c r="F4258">
        <v>816</v>
      </c>
      <c r="G4258">
        <v>17</v>
      </c>
      <c r="H4258" s="89">
        <v>46294</v>
      </c>
      <c r="I4258" s="89">
        <v>46300</v>
      </c>
      <c r="J4258" s="91" t="s">
        <v>7058</v>
      </c>
      <c r="K4258" s="91" t="s">
        <v>7166</v>
      </c>
      <c r="L4258">
        <v>1</v>
      </c>
      <c r="M4258" s="91" t="s">
        <v>7167</v>
      </c>
      <c r="N4258" s="91" t="s">
        <v>6858</v>
      </c>
    </row>
    <row r="4259" spans="1:14" x14ac:dyDescent="0.25">
      <c r="A4259" s="91" t="s">
        <v>1322</v>
      </c>
      <c r="B4259" s="91" t="s">
        <v>1336</v>
      </c>
      <c r="C4259" s="91" t="s">
        <v>6865</v>
      </c>
      <c r="D4259" s="91" t="s">
        <v>20</v>
      </c>
      <c r="E4259" s="91" t="s">
        <v>26</v>
      </c>
      <c r="F4259">
        <v>324</v>
      </c>
      <c r="G4259">
        <v>6</v>
      </c>
      <c r="H4259" s="89">
        <v>46294</v>
      </c>
      <c r="I4259" s="89">
        <v>46298</v>
      </c>
      <c r="J4259" s="91" t="s">
        <v>6960</v>
      </c>
      <c r="K4259" s="91" t="s">
        <v>6901</v>
      </c>
      <c r="L4259">
        <v>1</v>
      </c>
      <c r="M4259" s="91" t="s">
        <v>6902</v>
      </c>
      <c r="N4259" s="91" t="s">
        <v>6858</v>
      </c>
    </row>
    <row r="4260" spans="1:14" x14ac:dyDescent="0.25">
      <c r="A4260" s="91" t="s">
        <v>1323</v>
      </c>
      <c r="B4260" s="91" t="s">
        <v>1337</v>
      </c>
      <c r="C4260" s="91" t="s">
        <v>6865</v>
      </c>
      <c r="D4260" s="91" t="s">
        <v>20</v>
      </c>
      <c r="E4260" s="91" t="s">
        <v>26</v>
      </c>
      <c r="F4260">
        <v>756</v>
      </c>
      <c r="G4260">
        <v>14</v>
      </c>
      <c r="H4260" s="89">
        <v>46294</v>
      </c>
      <c r="I4260" s="89">
        <v>46298</v>
      </c>
      <c r="J4260" s="91" t="s">
        <v>6960</v>
      </c>
      <c r="K4260" s="91" t="s">
        <v>6903</v>
      </c>
      <c r="L4260">
        <v>1</v>
      </c>
      <c r="M4260" s="91" t="s">
        <v>6904</v>
      </c>
      <c r="N4260" s="91" t="s">
        <v>6858</v>
      </c>
    </row>
    <row r="4261" spans="1:14" x14ac:dyDescent="0.25">
      <c r="A4261" s="91" t="s">
        <v>1315</v>
      </c>
      <c r="B4261" s="91" t="s">
        <v>1329</v>
      </c>
      <c r="C4261" s="91" t="s">
        <v>6865</v>
      </c>
      <c r="D4261" s="91" t="s">
        <v>20</v>
      </c>
      <c r="E4261" s="91" t="s">
        <v>19</v>
      </c>
      <c r="F4261">
        <v>370</v>
      </c>
      <c r="G4261" t="s">
        <v>1419</v>
      </c>
      <c r="H4261" s="89">
        <v>46294</v>
      </c>
      <c r="I4261" s="89">
        <v>46296</v>
      </c>
      <c r="J4261" s="91" t="s">
        <v>1656</v>
      </c>
      <c r="K4261" s="91" t="s">
        <v>7009</v>
      </c>
      <c r="L4261">
        <v>1</v>
      </c>
      <c r="M4261" s="91" t="s">
        <v>7010</v>
      </c>
      <c r="N4261" s="91" t="s">
        <v>6858</v>
      </c>
    </row>
    <row r="4262" spans="1:14" x14ac:dyDescent="0.25">
      <c r="A4262" s="91" t="s">
        <v>1324</v>
      </c>
      <c r="B4262" s="91" t="s">
        <v>1338</v>
      </c>
      <c r="C4262" s="91" t="s">
        <v>6866</v>
      </c>
      <c r="D4262" s="91" t="s">
        <v>119</v>
      </c>
      <c r="E4262" s="91" t="s">
        <v>25</v>
      </c>
      <c r="F4262">
        <v>816</v>
      </c>
      <c r="G4262">
        <v>17</v>
      </c>
      <c r="H4262" s="89">
        <v>46294</v>
      </c>
      <c r="I4262" s="89">
        <v>46300</v>
      </c>
      <c r="J4262" s="91" t="s">
        <v>7070</v>
      </c>
      <c r="K4262" s="91" t="s">
        <v>7168</v>
      </c>
      <c r="L4262">
        <v>1</v>
      </c>
      <c r="M4262" s="91" t="s">
        <v>7169</v>
      </c>
      <c r="N4262" s="91" t="s">
        <v>6858</v>
      </c>
    </row>
    <row r="4263" spans="1:14" x14ac:dyDescent="0.25">
      <c r="A4263" s="91" t="s">
        <v>1324</v>
      </c>
      <c r="B4263" s="91" t="s">
        <v>1338</v>
      </c>
      <c r="C4263" s="91" t="s">
        <v>6866</v>
      </c>
      <c r="D4263" s="91" t="s">
        <v>119</v>
      </c>
      <c r="E4263" s="91" t="s">
        <v>65</v>
      </c>
      <c r="F4263">
        <v>144</v>
      </c>
      <c r="G4263">
        <v>3</v>
      </c>
      <c r="H4263" s="89">
        <v>46294</v>
      </c>
      <c r="I4263" s="89">
        <v>46302</v>
      </c>
      <c r="J4263" s="91" t="s">
        <v>6965</v>
      </c>
      <c r="K4263" s="91" t="s">
        <v>7011</v>
      </c>
      <c r="L4263">
        <v>1</v>
      </c>
      <c r="M4263" s="91" t="s">
        <v>7012</v>
      </c>
      <c r="N4263" s="91" t="s">
        <v>6858</v>
      </c>
    </row>
    <row r="4264" spans="1:14" x14ac:dyDescent="0.25">
      <c r="A4264" s="91" t="s">
        <v>1324</v>
      </c>
      <c r="B4264" s="91" t="s">
        <v>1338</v>
      </c>
      <c r="C4264" s="91" t="s">
        <v>6873</v>
      </c>
      <c r="D4264" s="91" t="s">
        <v>24</v>
      </c>
      <c r="E4264" s="91" t="s">
        <v>65</v>
      </c>
      <c r="H4264" s="89">
        <v>46295</v>
      </c>
      <c r="I4264" s="89">
        <v>46300</v>
      </c>
      <c r="J4264" s="91" t="s">
        <v>1656</v>
      </c>
      <c r="K4264" s="91" t="s">
        <v>6961</v>
      </c>
      <c r="L4264">
        <v>1</v>
      </c>
      <c r="M4264" s="91" t="s">
        <v>6962</v>
      </c>
      <c r="N4264" s="91" t="s">
        <v>6858</v>
      </c>
    </row>
    <row r="4265" spans="1:14" x14ac:dyDescent="0.25">
      <c r="A4265" s="91" t="s">
        <v>1324</v>
      </c>
      <c r="B4265" s="91" t="s">
        <v>1338</v>
      </c>
      <c r="C4265" s="91" t="s">
        <v>6873</v>
      </c>
      <c r="D4265" s="91" t="s">
        <v>24</v>
      </c>
      <c r="E4265" s="91" t="s">
        <v>25</v>
      </c>
      <c r="F4265">
        <v>960</v>
      </c>
      <c r="G4265">
        <v>20</v>
      </c>
      <c r="H4265" s="89">
        <v>46295</v>
      </c>
      <c r="I4265" s="89">
        <v>46300</v>
      </c>
      <c r="J4265" s="91" t="s">
        <v>7070</v>
      </c>
      <c r="K4265" s="91" t="s">
        <v>7092</v>
      </c>
      <c r="L4265">
        <v>1</v>
      </c>
      <c r="M4265" s="91" t="s">
        <v>7093</v>
      </c>
      <c r="N4265" s="91" t="s">
        <v>6858</v>
      </c>
    </row>
    <row r="4266" spans="1:14" x14ac:dyDescent="0.25">
      <c r="A4266" s="91" t="s">
        <v>1324</v>
      </c>
      <c r="B4266" s="91" t="s">
        <v>1338</v>
      </c>
      <c r="C4266" s="91" t="s">
        <v>7094</v>
      </c>
      <c r="D4266" s="91" t="s">
        <v>119</v>
      </c>
      <c r="E4266" s="91" t="s">
        <v>65</v>
      </c>
      <c r="F4266">
        <v>48</v>
      </c>
      <c r="G4266">
        <v>1</v>
      </c>
      <c r="H4266" s="89">
        <v>46295</v>
      </c>
      <c r="I4266" s="89">
        <v>46302</v>
      </c>
      <c r="J4266" s="91" t="s">
        <v>6965</v>
      </c>
      <c r="K4266" s="91" t="s">
        <v>7170</v>
      </c>
      <c r="L4266">
        <v>1</v>
      </c>
      <c r="M4266" s="91" t="s">
        <v>7171</v>
      </c>
      <c r="N4266" s="91" t="s">
        <v>6858</v>
      </c>
    </row>
    <row r="4267" spans="1:14" x14ac:dyDescent="0.25">
      <c r="A4267" s="91" t="s">
        <v>1324</v>
      </c>
      <c r="B4267" s="91" t="s">
        <v>1338</v>
      </c>
      <c r="C4267" s="91" t="s">
        <v>7094</v>
      </c>
      <c r="D4267" s="91" t="s">
        <v>119</v>
      </c>
      <c r="E4267" s="91" t="s">
        <v>25</v>
      </c>
      <c r="F4267">
        <v>144</v>
      </c>
      <c r="G4267">
        <v>3</v>
      </c>
      <c r="H4267" s="89">
        <v>46295</v>
      </c>
      <c r="I4267" s="89">
        <v>46302</v>
      </c>
      <c r="J4267" s="91" t="s">
        <v>7172</v>
      </c>
      <c r="K4267" s="91" t="s">
        <v>7095</v>
      </c>
      <c r="L4267">
        <v>1</v>
      </c>
      <c r="M4267" s="91" t="s">
        <v>7096</v>
      </c>
      <c r="N4267" s="91" t="s">
        <v>6858</v>
      </c>
    </row>
    <row r="4268" spans="1:14" x14ac:dyDescent="0.25">
      <c r="A4268" s="91" t="s">
        <v>1320</v>
      </c>
      <c r="B4268" s="91" t="s">
        <v>1334</v>
      </c>
      <c r="C4268" s="91" t="s">
        <v>6867</v>
      </c>
      <c r="D4268" s="91" t="s">
        <v>23</v>
      </c>
      <c r="E4268" s="91" t="s">
        <v>14</v>
      </c>
      <c r="F4268">
        <v>48</v>
      </c>
      <c r="G4268">
        <v>1</v>
      </c>
      <c r="H4268" s="89">
        <v>46295</v>
      </c>
      <c r="I4268" s="89">
        <v>46300</v>
      </c>
      <c r="J4268" s="91" t="s">
        <v>7058</v>
      </c>
      <c r="K4268" s="91" t="s">
        <v>7173</v>
      </c>
      <c r="L4268">
        <v>1</v>
      </c>
      <c r="M4268" s="91" t="s">
        <v>7174</v>
      </c>
      <c r="N4268" s="91" t="s">
        <v>6858</v>
      </c>
    </row>
    <row r="4269" spans="1:14" x14ac:dyDescent="0.25">
      <c r="A4269" s="91" t="s">
        <v>1320</v>
      </c>
      <c r="B4269" s="91" t="s">
        <v>1334</v>
      </c>
      <c r="C4269" s="91" t="s">
        <v>6867</v>
      </c>
      <c r="D4269" s="91" t="s">
        <v>23</v>
      </c>
      <c r="E4269" s="91" t="s">
        <v>14</v>
      </c>
      <c r="F4269">
        <v>96</v>
      </c>
      <c r="G4269">
        <v>2</v>
      </c>
      <c r="H4269" s="89">
        <v>46295</v>
      </c>
      <c r="I4269" s="89">
        <v>46300</v>
      </c>
      <c r="J4269" s="91" t="s">
        <v>7062</v>
      </c>
      <c r="K4269" s="91" t="s">
        <v>7097</v>
      </c>
      <c r="L4269">
        <v>1</v>
      </c>
      <c r="M4269" s="91" t="s">
        <v>7098</v>
      </c>
      <c r="N4269" s="91" t="s">
        <v>6858</v>
      </c>
    </row>
    <row r="4270" spans="1:14" x14ac:dyDescent="0.25">
      <c r="A4270" s="91" t="s">
        <v>1313</v>
      </c>
      <c r="B4270" s="91" t="s">
        <v>1327</v>
      </c>
      <c r="C4270" s="91" t="s">
        <v>6867</v>
      </c>
      <c r="D4270" s="91" t="s">
        <v>23</v>
      </c>
      <c r="E4270" s="91" t="s">
        <v>16</v>
      </c>
      <c r="F4270">
        <v>480</v>
      </c>
      <c r="G4270">
        <v>10</v>
      </c>
      <c r="H4270" s="89">
        <v>46295</v>
      </c>
      <c r="I4270" s="89">
        <v>46298</v>
      </c>
      <c r="J4270" s="91" t="s">
        <v>6963</v>
      </c>
      <c r="K4270" s="91" t="s">
        <v>6905</v>
      </c>
      <c r="L4270">
        <v>1</v>
      </c>
      <c r="M4270" s="91" t="s">
        <v>6906</v>
      </c>
      <c r="N4270" s="91" t="s">
        <v>6858</v>
      </c>
    </row>
    <row r="4271" spans="1:14" x14ac:dyDescent="0.25">
      <c r="A4271" s="91" t="s">
        <v>1324</v>
      </c>
      <c r="B4271" s="91" t="s">
        <v>1338</v>
      </c>
      <c r="C4271" s="91" t="s">
        <v>6964</v>
      </c>
      <c r="D4271" s="91" t="s">
        <v>150</v>
      </c>
      <c r="E4271" s="91" t="s">
        <v>65</v>
      </c>
      <c r="F4271">
        <v>960</v>
      </c>
      <c r="G4271">
        <v>20</v>
      </c>
      <c r="H4271" s="89">
        <v>46295</v>
      </c>
      <c r="I4271" s="89">
        <v>46302</v>
      </c>
      <c r="J4271" s="91" t="s">
        <v>6965</v>
      </c>
      <c r="K4271" s="91" t="s">
        <v>6966</v>
      </c>
      <c r="L4271">
        <v>1</v>
      </c>
      <c r="M4271" s="91" t="s">
        <v>6967</v>
      </c>
      <c r="N4271" s="91" t="s">
        <v>6858</v>
      </c>
    </row>
    <row r="4272" spans="1:14" x14ac:dyDescent="0.25">
      <c r="A4272" s="91" t="s">
        <v>1320</v>
      </c>
      <c r="B4272" s="91" t="s">
        <v>1334</v>
      </c>
      <c r="C4272" s="91" t="s">
        <v>6964</v>
      </c>
      <c r="D4272" s="91" t="s">
        <v>150</v>
      </c>
      <c r="E4272" s="91" t="s">
        <v>14</v>
      </c>
      <c r="F4272">
        <v>432</v>
      </c>
      <c r="G4272">
        <v>9</v>
      </c>
      <c r="H4272" s="89">
        <v>46295</v>
      </c>
      <c r="I4272" s="89">
        <v>46302</v>
      </c>
      <c r="J4272" s="91" t="s">
        <v>7071</v>
      </c>
      <c r="K4272" s="91" t="s">
        <v>7175</v>
      </c>
      <c r="L4272">
        <v>1</v>
      </c>
      <c r="M4272" s="91" t="s">
        <v>7176</v>
      </c>
      <c r="N4272" s="91" t="s">
        <v>6858</v>
      </c>
    </row>
    <row r="4273" spans="1:14" x14ac:dyDescent="0.25">
      <c r="A4273" s="91" t="s">
        <v>1320</v>
      </c>
      <c r="B4273" s="91" t="s">
        <v>1334</v>
      </c>
      <c r="C4273" s="91" t="s">
        <v>6873</v>
      </c>
      <c r="D4273" s="91" t="s">
        <v>24</v>
      </c>
      <c r="E4273" s="91" t="s">
        <v>14</v>
      </c>
      <c r="F4273">
        <v>288</v>
      </c>
      <c r="G4273">
        <v>6</v>
      </c>
      <c r="H4273" s="89">
        <v>46295</v>
      </c>
      <c r="I4273" s="89">
        <v>46301</v>
      </c>
      <c r="J4273" s="91" t="s">
        <v>7063</v>
      </c>
      <c r="K4273" s="91" t="s">
        <v>7177</v>
      </c>
      <c r="L4273">
        <v>1</v>
      </c>
      <c r="M4273" s="91" t="s">
        <v>7178</v>
      </c>
      <c r="N4273" s="91" t="s">
        <v>6858</v>
      </c>
    </row>
    <row r="4274" spans="1:14" x14ac:dyDescent="0.25">
      <c r="A4274" s="91" t="s">
        <v>1313</v>
      </c>
      <c r="B4274" s="91" t="s">
        <v>1327</v>
      </c>
      <c r="C4274" s="91" t="s">
        <v>6969</v>
      </c>
      <c r="D4274" s="91" t="s">
        <v>103</v>
      </c>
      <c r="E4274" s="91" t="s">
        <v>16</v>
      </c>
      <c r="F4274">
        <v>624</v>
      </c>
      <c r="G4274">
        <v>13</v>
      </c>
      <c r="H4274" s="89">
        <v>46295</v>
      </c>
      <c r="I4274" s="89">
        <v>46299</v>
      </c>
      <c r="J4274" s="91" t="s">
        <v>7013</v>
      </c>
      <c r="K4274" s="91" t="s">
        <v>6970</v>
      </c>
      <c r="L4274">
        <v>1</v>
      </c>
      <c r="M4274" s="91" t="s">
        <v>6971</v>
      </c>
      <c r="N4274" s="91" t="s">
        <v>6858</v>
      </c>
    </row>
    <row r="4275" spans="1:14" x14ac:dyDescent="0.25">
      <c r="A4275" s="91" t="s">
        <v>56</v>
      </c>
      <c r="B4275" s="91" t="s">
        <v>7084</v>
      </c>
      <c r="C4275" s="91" t="s">
        <v>6968</v>
      </c>
      <c r="D4275" s="91" t="s">
        <v>28</v>
      </c>
      <c r="E4275" s="91" t="s">
        <v>56</v>
      </c>
      <c r="F4275">
        <v>960</v>
      </c>
      <c r="G4275">
        <v>20</v>
      </c>
      <c r="H4275" s="89">
        <v>46295</v>
      </c>
      <c r="I4275" s="89">
        <v>46296</v>
      </c>
      <c r="J4275" s="91" t="s">
        <v>7153</v>
      </c>
      <c r="K4275" s="91" t="s">
        <v>7099</v>
      </c>
      <c r="L4275">
        <v>1</v>
      </c>
      <c r="M4275" s="91" t="s">
        <v>7100</v>
      </c>
      <c r="N4275" s="91" t="s">
        <v>6858</v>
      </c>
    </row>
    <row r="4276" spans="1:14" x14ac:dyDescent="0.25">
      <c r="A4276" s="91" t="s">
        <v>1313</v>
      </c>
      <c r="B4276" s="91" t="s">
        <v>1327</v>
      </c>
      <c r="C4276" s="91" t="s">
        <v>6968</v>
      </c>
      <c r="D4276" s="91" t="s">
        <v>28</v>
      </c>
      <c r="E4276" s="91" t="s">
        <v>19</v>
      </c>
      <c r="F4276">
        <v>240</v>
      </c>
      <c r="G4276">
        <v>5</v>
      </c>
      <c r="H4276" s="89">
        <v>46295</v>
      </c>
      <c r="I4276" s="89">
        <v>46298</v>
      </c>
      <c r="J4276" s="91" t="s">
        <v>1656</v>
      </c>
      <c r="K4276" s="91" t="s">
        <v>7101</v>
      </c>
      <c r="L4276">
        <v>1</v>
      </c>
      <c r="M4276" s="91" t="s">
        <v>7102</v>
      </c>
      <c r="N4276" s="91" t="s">
        <v>6858</v>
      </c>
    </row>
    <row r="4277" spans="1:14" x14ac:dyDescent="0.25">
      <c r="A4277" s="91" t="s">
        <v>1315</v>
      </c>
      <c r="B4277" s="91" t="s">
        <v>1329</v>
      </c>
      <c r="C4277" s="91" t="s">
        <v>6968</v>
      </c>
      <c r="D4277" s="91" t="s">
        <v>28</v>
      </c>
      <c r="E4277" s="91" t="s">
        <v>19</v>
      </c>
      <c r="F4277">
        <v>8</v>
      </c>
      <c r="G4277" t="s">
        <v>1419</v>
      </c>
      <c r="H4277" s="89">
        <v>46295</v>
      </c>
      <c r="I4277" s="89">
        <v>46298</v>
      </c>
      <c r="J4277" s="91" t="s">
        <v>1656</v>
      </c>
      <c r="K4277" s="91" t="s">
        <v>7103</v>
      </c>
      <c r="L4277">
        <v>1</v>
      </c>
      <c r="M4277" s="91" t="s">
        <v>7104</v>
      </c>
      <c r="N4277" s="91" t="s">
        <v>6858</v>
      </c>
    </row>
    <row r="4278" spans="1:14" x14ac:dyDescent="0.25">
      <c r="A4278" s="91" t="s">
        <v>1313</v>
      </c>
      <c r="B4278" s="91" t="s">
        <v>1327</v>
      </c>
      <c r="C4278" s="91" t="s">
        <v>6874</v>
      </c>
      <c r="D4278" s="91" t="s">
        <v>20</v>
      </c>
      <c r="E4278" s="91" t="s">
        <v>16</v>
      </c>
      <c r="F4278">
        <v>432</v>
      </c>
      <c r="G4278">
        <v>9</v>
      </c>
      <c r="H4278" s="89">
        <v>46295</v>
      </c>
      <c r="I4278" s="89">
        <v>46298</v>
      </c>
      <c r="J4278" s="91" t="s">
        <v>6963</v>
      </c>
      <c r="K4278" s="91" t="s">
        <v>6907</v>
      </c>
      <c r="L4278">
        <v>1</v>
      </c>
      <c r="M4278" s="91" t="s">
        <v>6908</v>
      </c>
      <c r="N4278" s="91" t="s">
        <v>6858</v>
      </c>
    </row>
    <row r="4279" spans="1:14" x14ac:dyDescent="0.25">
      <c r="A4279" s="91" t="s">
        <v>1320</v>
      </c>
      <c r="B4279" s="91" t="s">
        <v>1334</v>
      </c>
      <c r="C4279" s="91" t="s">
        <v>6874</v>
      </c>
      <c r="D4279" s="91" t="s">
        <v>20</v>
      </c>
      <c r="E4279" s="91" t="s">
        <v>14</v>
      </c>
      <c r="F4279">
        <v>864</v>
      </c>
      <c r="G4279">
        <v>18</v>
      </c>
      <c r="H4279" s="89">
        <v>46295</v>
      </c>
      <c r="I4279" s="89">
        <v>46300</v>
      </c>
      <c r="J4279" s="91" t="s">
        <v>7062</v>
      </c>
      <c r="K4279" s="91" t="s">
        <v>7179</v>
      </c>
      <c r="L4279">
        <v>1</v>
      </c>
      <c r="M4279" s="91" t="s">
        <v>7180</v>
      </c>
      <c r="N4279" s="91" t="s">
        <v>6858</v>
      </c>
    </row>
    <row r="4280" spans="1:14" x14ac:dyDescent="0.25">
      <c r="A4280" s="91" t="s">
        <v>1315</v>
      </c>
      <c r="B4280" s="91" t="s">
        <v>1329</v>
      </c>
      <c r="C4280" s="91" t="s">
        <v>6874</v>
      </c>
      <c r="D4280" s="91" t="s">
        <v>20</v>
      </c>
      <c r="E4280" s="91" t="s">
        <v>19</v>
      </c>
      <c r="F4280">
        <v>212</v>
      </c>
      <c r="G4280" t="s">
        <v>1419</v>
      </c>
      <c r="H4280" s="89">
        <v>46295</v>
      </c>
      <c r="I4280" s="89">
        <v>46298</v>
      </c>
      <c r="J4280" s="91" t="s">
        <v>1656</v>
      </c>
      <c r="K4280" s="91" t="s">
        <v>7105</v>
      </c>
      <c r="L4280">
        <v>1</v>
      </c>
      <c r="M4280" s="91" t="s">
        <v>7106</v>
      </c>
      <c r="N4280" s="91" t="s">
        <v>6858</v>
      </c>
    </row>
    <row r="4281" spans="1:14" x14ac:dyDescent="0.25">
      <c r="A4281" s="91" t="s">
        <v>1319</v>
      </c>
      <c r="B4281" s="91" t="s">
        <v>1333</v>
      </c>
      <c r="C4281" s="91" t="s">
        <v>6868</v>
      </c>
      <c r="D4281" s="91" t="s">
        <v>15</v>
      </c>
      <c r="E4281" s="91" t="s">
        <v>17</v>
      </c>
      <c r="F4281">
        <v>96</v>
      </c>
      <c r="G4281">
        <v>2</v>
      </c>
      <c r="H4281" s="89">
        <v>46295</v>
      </c>
      <c r="I4281" s="89">
        <v>46300</v>
      </c>
      <c r="J4281" s="91" t="s">
        <v>6980</v>
      </c>
      <c r="K4281" s="91" t="s">
        <v>7014</v>
      </c>
      <c r="L4281">
        <v>1</v>
      </c>
      <c r="M4281" s="91" t="s">
        <v>7015</v>
      </c>
      <c r="N4281" s="91" t="s">
        <v>6858</v>
      </c>
    </row>
    <row r="4282" spans="1:14" x14ac:dyDescent="0.25">
      <c r="A4282" s="91" t="s">
        <v>1313</v>
      </c>
      <c r="B4282" s="91" t="s">
        <v>1327</v>
      </c>
      <c r="C4282" s="91" t="s">
        <v>6868</v>
      </c>
      <c r="D4282" s="91" t="s">
        <v>15</v>
      </c>
      <c r="E4282" s="91" t="s">
        <v>18</v>
      </c>
      <c r="F4282">
        <v>1056</v>
      </c>
      <c r="G4282">
        <v>22</v>
      </c>
      <c r="H4282" s="89">
        <v>46295</v>
      </c>
      <c r="I4282" s="89">
        <v>46300</v>
      </c>
      <c r="J4282" s="91" t="s">
        <v>6981</v>
      </c>
      <c r="K4282" s="91" t="s">
        <v>7016</v>
      </c>
      <c r="L4282">
        <v>1</v>
      </c>
      <c r="M4282" s="91" t="s">
        <v>7017</v>
      </c>
      <c r="N4282" s="91" t="s">
        <v>6858</v>
      </c>
    </row>
    <row r="4283" spans="1:14" x14ac:dyDescent="0.25">
      <c r="A4283" s="91" t="s">
        <v>1314</v>
      </c>
      <c r="B4283" s="91" t="s">
        <v>1328</v>
      </c>
      <c r="C4283" s="91" t="s">
        <v>6868</v>
      </c>
      <c r="D4283" s="91" t="s">
        <v>15</v>
      </c>
      <c r="E4283" s="91" t="s">
        <v>16</v>
      </c>
      <c r="F4283">
        <v>240</v>
      </c>
      <c r="G4283">
        <v>5</v>
      </c>
      <c r="H4283" s="89">
        <v>46295</v>
      </c>
      <c r="I4283" s="89">
        <v>46298</v>
      </c>
      <c r="J4283" s="91" t="s">
        <v>6972</v>
      </c>
      <c r="K4283" s="91" t="s">
        <v>6909</v>
      </c>
      <c r="L4283">
        <v>1</v>
      </c>
      <c r="M4283" s="91" t="s">
        <v>6910</v>
      </c>
      <c r="N4283" s="91" t="s">
        <v>6858</v>
      </c>
    </row>
    <row r="4284" spans="1:14" x14ac:dyDescent="0.25">
      <c r="A4284" s="91" t="s">
        <v>1313</v>
      </c>
      <c r="B4284" s="91" t="s">
        <v>1327</v>
      </c>
      <c r="C4284" s="91" t="s">
        <v>6868</v>
      </c>
      <c r="D4284" s="91" t="s">
        <v>15</v>
      </c>
      <c r="E4284" s="91" t="s">
        <v>19</v>
      </c>
      <c r="F4284">
        <v>48</v>
      </c>
      <c r="G4284">
        <v>1</v>
      </c>
      <c r="H4284" s="89">
        <v>46295</v>
      </c>
      <c r="I4284" s="89">
        <v>46297</v>
      </c>
      <c r="J4284" s="91" t="s">
        <v>1656</v>
      </c>
      <c r="K4284" s="91" t="s">
        <v>7064</v>
      </c>
      <c r="L4284">
        <v>1</v>
      </c>
      <c r="M4284" s="91" t="s">
        <v>7065</v>
      </c>
      <c r="N4284" s="91" t="s">
        <v>6858</v>
      </c>
    </row>
    <row r="4285" spans="1:14" x14ac:dyDescent="0.25">
      <c r="A4285" s="91" t="s">
        <v>1315</v>
      </c>
      <c r="B4285" s="91" t="s">
        <v>1329</v>
      </c>
      <c r="C4285" s="91" t="s">
        <v>6868</v>
      </c>
      <c r="D4285" s="91" t="s">
        <v>15</v>
      </c>
      <c r="E4285" s="91" t="s">
        <v>19</v>
      </c>
      <c r="F4285">
        <v>20</v>
      </c>
      <c r="G4285" t="s">
        <v>1419</v>
      </c>
      <c r="H4285" s="89">
        <v>46295</v>
      </c>
      <c r="I4285" s="89">
        <v>46297</v>
      </c>
      <c r="J4285" s="91" t="s">
        <v>1656</v>
      </c>
      <c r="K4285" s="91" t="s">
        <v>7066</v>
      </c>
      <c r="L4285">
        <v>1</v>
      </c>
      <c r="M4285" s="91" t="s">
        <v>7067</v>
      </c>
      <c r="N4285" s="91" t="s">
        <v>6858</v>
      </c>
    </row>
    <row r="4286" spans="1:14" x14ac:dyDescent="0.25">
      <c r="A4286" s="91" t="s">
        <v>1325</v>
      </c>
      <c r="B4286" s="91" t="s">
        <v>1339</v>
      </c>
      <c r="C4286" s="91" t="s">
        <v>6875</v>
      </c>
      <c r="D4286" s="91" t="s">
        <v>27</v>
      </c>
      <c r="E4286" s="91" t="s">
        <v>19</v>
      </c>
      <c r="F4286">
        <v>480</v>
      </c>
      <c r="G4286">
        <v>10</v>
      </c>
      <c r="H4286" s="89">
        <v>46296</v>
      </c>
      <c r="I4286" s="89">
        <v>46298</v>
      </c>
      <c r="J4286" s="91" t="s">
        <v>1656</v>
      </c>
      <c r="K4286" s="91" t="s">
        <v>6911</v>
      </c>
      <c r="L4286">
        <v>1</v>
      </c>
      <c r="M4286" s="91" t="s">
        <v>6912</v>
      </c>
      <c r="N4286" s="91" t="s">
        <v>6858</v>
      </c>
    </row>
    <row r="4287" spans="1:14" x14ac:dyDescent="0.25">
      <c r="A4287" s="91" t="s">
        <v>1321</v>
      </c>
      <c r="B4287" s="91" t="s">
        <v>1335</v>
      </c>
      <c r="C4287" s="91" t="s">
        <v>6875</v>
      </c>
      <c r="D4287" s="91" t="s">
        <v>27</v>
      </c>
      <c r="E4287" s="91" t="s">
        <v>19</v>
      </c>
      <c r="F4287">
        <v>144</v>
      </c>
      <c r="G4287">
        <v>3</v>
      </c>
      <c r="H4287" s="89">
        <v>46296</v>
      </c>
      <c r="I4287" s="89">
        <v>46298</v>
      </c>
      <c r="J4287" s="91" t="s">
        <v>3549</v>
      </c>
      <c r="K4287" s="91" t="s">
        <v>7181</v>
      </c>
      <c r="L4287">
        <v>1</v>
      </c>
      <c r="M4287" s="91" t="s">
        <v>7182</v>
      </c>
      <c r="N4287" s="91" t="s">
        <v>6858</v>
      </c>
    </row>
    <row r="4288" spans="1:14" x14ac:dyDescent="0.25">
      <c r="A4288" s="91" t="s">
        <v>1313</v>
      </c>
      <c r="B4288" s="91" t="s">
        <v>1327</v>
      </c>
      <c r="C4288" s="91" t="s">
        <v>6973</v>
      </c>
      <c r="D4288" s="91" t="s">
        <v>103</v>
      </c>
      <c r="E4288" s="91" t="s">
        <v>16</v>
      </c>
      <c r="F4288">
        <v>528</v>
      </c>
      <c r="G4288">
        <v>11</v>
      </c>
      <c r="H4288" s="89">
        <v>46296</v>
      </c>
      <c r="I4288" s="89">
        <v>46299</v>
      </c>
      <c r="J4288" s="91" t="s">
        <v>7013</v>
      </c>
      <c r="K4288" s="91" t="s">
        <v>6974</v>
      </c>
      <c r="L4288">
        <v>1</v>
      </c>
      <c r="M4288" s="91" t="s">
        <v>6975</v>
      </c>
      <c r="N4288" s="91" t="s">
        <v>6858</v>
      </c>
    </row>
    <row r="4289" spans="1:14" x14ac:dyDescent="0.25">
      <c r="A4289" s="91" t="s">
        <v>1320</v>
      </c>
      <c r="B4289" s="91" t="s">
        <v>1334</v>
      </c>
      <c r="C4289" s="91" t="s">
        <v>7018</v>
      </c>
      <c r="D4289" s="91" t="s">
        <v>129</v>
      </c>
      <c r="E4289" s="91" t="s">
        <v>14</v>
      </c>
      <c r="F4289">
        <v>960</v>
      </c>
      <c r="G4289">
        <v>20</v>
      </c>
      <c r="H4289" s="89">
        <v>46296</v>
      </c>
      <c r="I4289" s="89">
        <v>46301</v>
      </c>
      <c r="J4289" s="91" t="s">
        <v>7068</v>
      </c>
      <c r="K4289" s="91" t="s">
        <v>7019</v>
      </c>
      <c r="L4289">
        <v>1</v>
      </c>
      <c r="M4289" s="91" t="s">
        <v>7020</v>
      </c>
      <c r="N4289" s="91" t="s">
        <v>6858</v>
      </c>
    </row>
    <row r="4290" spans="1:14" x14ac:dyDescent="0.25">
      <c r="A4290" s="91" t="s">
        <v>1320</v>
      </c>
      <c r="B4290" s="91" t="s">
        <v>1334</v>
      </c>
      <c r="C4290" s="91" t="s">
        <v>7021</v>
      </c>
      <c r="D4290" s="91" t="s">
        <v>30</v>
      </c>
      <c r="E4290" s="91" t="s">
        <v>14</v>
      </c>
      <c r="F4290">
        <v>528</v>
      </c>
      <c r="G4290">
        <v>11</v>
      </c>
      <c r="H4290" s="89">
        <v>46296</v>
      </c>
      <c r="I4290" s="89">
        <v>46302</v>
      </c>
      <c r="J4290" s="91" t="s">
        <v>7071</v>
      </c>
      <c r="K4290" s="91" t="s">
        <v>7183</v>
      </c>
      <c r="L4290">
        <v>1</v>
      </c>
      <c r="M4290" s="91" t="s">
        <v>7184</v>
      </c>
      <c r="N4290" s="91" t="s">
        <v>6858</v>
      </c>
    </row>
    <row r="4291" spans="1:14" x14ac:dyDescent="0.25">
      <c r="A4291" s="91" t="s">
        <v>1320</v>
      </c>
      <c r="B4291" s="91" t="s">
        <v>1334</v>
      </c>
      <c r="C4291" s="91" t="s">
        <v>6876</v>
      </c>
      <c r="D4291" s="91" t="s">
        <v>24</v>
      </c>
      <c r="E4291" s="91" t="s">
        <v>14</v>
      </c>
      <c r="F4291">
        <v>672</v>
      </c>
      <c r="G4291">
        <v>14</v>
      </c>
      <c r="H4291" s="89">
        <v>46296</v>
      </c>
      <c r="I4291" s="89">
        <v>46301</v>
      </c>
      <c r="J4291" s="91" t="s">
        <v>7063</v>
      </c>
      <c r="K4291" s="91" t="s">
        <v>7185</v>
      </c>
      <c r="L4291">
        <v>1</v>
      </c>
      <c r="M4291" s="91" t="s">
        <v>7186</v>
      </c>
      <c r="N4291" s="91" t="s">
        <v>6858</v>
      </c>
    </row>
    <row r="4292" spans="1:14" x14ac:dyDescent="0.25">
      <c r="A4292" s="91" t="s">
        <v>1324</v>
      </c>
      <c r="B4292" s="91" t="s">
        <v>1338</v>
      </c>
      <c r="C4292" s="91" t="s">
        <v>7022</v>
      </c>
      <c r="D4292" s="91" t="s">
        <v>119</v>
      </c>
      <c r="E4292" s="91" t="s">
        <v>65</v>
      </c>
      <c r="F4292">
        <v>768</v>
      </c>
      <c r="G4292">
        <v>16</v>
      </c>
      <c r="H4292" s="89">
        <v>46296</v>
      </c>
      <c r="I4292" s="89">
        <v>46302</v>
      </c>
      <c r="J4292" s="91" t="s">
        <v>6965</v>
      </c>
      <c r="K4292" s="91" t="s">
        <v>7187</v>
      </c>
      <c r="L4292">
        <v>1</v>
      </c>
      <c r="M4292" s="91" t="s">
        <v>7188</v>
      </c>
      <c r="N4292" s="91" t="s">
        <v>6858</v>
      </c>
    </row>
    <row r="4293" spans="1:14" x14ac:dyDescent="0.25">
      <c r="A4293" s="91" t="s">
        <v>1324</v>
      </c>
      <c r="B4293" s="91" t="s">
        <v>1338</v>
      </c>
      <c r="C4293" s="91" t="s">
        <v>7022</v>
      </c>
      <c r="D4293" s="91" t="s">
        <v>119</v>
      </c>
      <c r="E4293" s="91" t="s">
        <v>25</v>
      </c>
      <c r="F4293">
        <v>192</v>
      </c>
      <c r="G4293">
        <v>4</v>
      </c>
      <c r="H4293" s="89">
        <v>46296</v>
      </c>
      <c r="I4293" s="89">
        <v>46302</v>
      </c>
      <c r="J4293" s="91" t="s">
        <v>7172</v>
      </c>
      <c r="K4293" s="91" t="s">
        <v>7107</v>
      </c>
      <c r="L4293">
        <v>1</v>
      </c>
      <c r="M4293" s="91" t="s">
        <v>7108</v>
      </c>
      <c r="N4293" s="91" t="s">
        <v>6858</v>
      </c>
    </row>
    <row r="4294" spans="1:14" x14ac:dyDescent="0.25">
      <c r="A4294" s="91" t="s">
        <v>1324</v>
      </c>
      <c r="B4294" s="91" t="s">
        <v>1338</v>
      </c>
      <c r="C4294" s="91" t="s">
        <v>6876</v>
      </c>
      <c r="D4294" s="91" t="s">
        <v>24</v>
      </c>
      <c r="E4294" s="91" t="s">
        <v>25</v>
      </c>
      <c r="F4294">
        <v>960</v>
      </c>
      <c r="G4294">
        <v>20</v>
      </c>
      <c r="H4294" s="89">
        <v>46296</v>
      </c>
      <c r="I4294" s="89">
        <v>46302</v>
      </c>
      <c r="J4294" s="91" t="s">
        <v>7172</v>
      </c>
      <c r="K4294" s="91" t="s">
        <v>7109</v>
      </c>
      <c r="L4294">
        <v>1</v>
      </c>
      <c r="M4294" s="91" t="s">
        <v>7110</v>
      </c>
      <c r="N4294" s="91" t="s">
        <v>6858</v>
      </c>
    </row>
    <row r="4295" spans="1:14" x14ac:dyDescent="0.25">
      <c r="A4295" s="91" t="s">
        <v>1320</v>
      </c>
      <c r="B4295" s="91" t="s">
        <v>1334</v>
      </c>
      <c r="C4295" s="91" t="s">
        <v>6976</v>
      </c>
      <c r="D4295" s="91" t="s">
        <v>150</v>
      </c>
      <c r="E4295" s="91" t="s">
        <v>14</v>
      </c>
      <c r="F4295">
        <v>528</v>
      </c>
      <c r="G4295">
        <v>11</v>
      </c>
      <c r="H4295" s="89">
        <v>46296</v>
      </c>
      <c r="I4295" s="89">
        <v>46302</v>
      </c>
      <c r="J4295" s="91" t="s">
        <v>7069</v>
      </c>
      <c r="K4295" s="91" t="s">
        <v>7023</v>
      </c>
      <c r="L4295">
        <v>1</v>
      </c>
      <c r="M4295" s="91" t="s">
        <v>7024</v>
      </c>
      <c r="N4295" s="91" t="s">
        <v>6858</v>
      </c>
    </row>
    <row r="4296" spans="1:14" x14ac:dyDescent="0.25">
      <c r="A4296" s="91" t="s">
        <v>1324</v>
      </c>
      <c r="B4296" s="91" t="s">
        <v>1338</v>
      </c>
      <c r="C4296" s="91" t="s">
        <v>6976</v>
      </c>
      <c r="D4296" s="91" t="s">
        <v>150</v>
      </c>
      <c r="E4296" s="91" t="s">
        <v>25</v>
      </c>
      <c r="F4296">
        <v>960</v>
      </c>
      <c r="G4296">
        <v>20</v>
      </c>
      <c r="H4296" s="89">
        <v>46296</v>
      </c>
      <c r="I4296" s="89">
        <v>46302</v>
      </c>
      <c r="J4296" s="91" t="s">
        <v>7189</v>
      </c>
      <c r="K4296" s="91" t="s">
        <v>7111</v>
      </c>
      <c r="L4296">
        <v>1</v>
      </c>
      <c r="M4296" s="91" t="s">
        <v>7112</v>
      </c>
      <c r="N4296" s="91" t="s">
        <v>6858</v>
      </c>
    </row>
    <row r="4297" spans="1:14" x14ac:dyDescent="0.25">
      <c r="A4297" s="91" t="s">
        <v>1313</v>
      </c>
      <c r="B4297" s="91" t="s">
        <v>1327</v>
      </c>
      <c r="C4297" s="91" t="s">
        <v>6973</v>
      </c>
      <c r="D4297" s="91" t="s">
        <v>103</v>
      </c>
      <c r="E4297" s="91" t="s">
        <v>17</v>
      </c>
      <c r="F4297">
        <v>864</v>
      </c>
      <c r="G4297">
        <v>18</v>
      </c>
      <c r="H4297" s="89">
        <v>46296</v>
      </c>
      <c r="I4297" s="89">
        <v>46303</v>
      </c>
      <c r="J4297" s="91" t="s">
        <v>7190</v>
      </c>
      <c r="K4297" s="91" t="s">
        <v>7113</v>
      </c>
      <c r="L4297">
        <v>1</v>
      </c>
      <c r="M4297" s="91" t="s">
        <v>7114</v>
      </c>
      <c r="N4297" s="91" t="s">
        <v>6858</v>
      </c>
    </row>
    <row r="4298" spans="1:14" x14ac:dyDescent="0.25">
      <c r="A4298" s="91" t="s">
        <v>1313</v>
      </c>
      <c r="B4298" s="91" t="s">
        <v>1327</v>
      </c>
      <c r="C4298" s="91" t="s">
        <v>7025</v>
      </c>
      <c r="D4298" s="91" t="s">
        <v>21</v>
      </c>
      <c r="E4298" s="91" t="s">
        <v>22</v>
      </c>
      <c r="F4298">
        <v>1152</v>
      </c>
      <c r="G4298">
        <v>24</v>
      </c>
      <c r="H4298" s="89">
        <v>46296</v>
      </c>
      <c r="I4298" s="89">
        <v>46301</v>
      </c>
      <c r="J4298" s="91" t="s">
        <v>7072</v>
      </c>
      <c r="K4298" s="91" t="s">
        <v>7026</v>
      </c>
      <c r="L4298">
        <v>1</v>
      </c>
      <c r="M4298" s="91" t="s">
        <v>7027</v>
      </c>
      <c r="N4298" s="91" t="s">
        <v>6858</v>
      </c>
    </row>
    <row r="4299" spans="1:14" x14ac:dyDescent="0.25">
      <c r="A4299" s="91" t="s">
        <v>1313</v>
      </c>
      <c r="B4299" s="91" t="s">
        <v>1327</v>
      </c>
      <c r="C4299" s="91" t="s">
        <v>7025</v>
      </c>
      <c r="D4299" s="91" t="s">
        <v>21</v>
      </c>
      <c r="E4299" s="91" t="s">
        <v>19</v>
      </c>
      <c r="F4299">
        <v>672</v>
      </c>
      <c r="G4299">
        <v>14</v>
      </c>
      <c r="H4299" s="89">
        <v>46296</v>
      </c>
      <c r="I4299" s="89">
        <v>46298</v>
      </c>
      <c r="J4299" s="91" t="s">
        <v>1656</v>
      </c>
      <c r="K4299" s="91" t="s">
        <v>7028</v>
      </c>
      <c r="L4299">
        <v>1</v>
      </c>
      <c r="M4299" s="91" t="s">
        <v>7029</v>
      </c>
      <c r="N4299" s="91" t="s">
        <v>6858</v>
      </c>
    </row>
    <row r="4300" spans="1:14" x14ac:dyDescent="0.25">
      <c r="A4300" s="91" t="s">
        <v>1315</v>
      </c>
      <c r="B4300" s="91" t="s">
        <v>1329</v>
      </c>
      <c r="C4300" s="91" t="s">
        <v>7025</v>
      </c>
      <c r="D4300" s="91" t="s">
        <v>21</v>
      </c>
      <c r="E4300" s="91" t="s">
        <v>19</v>
      </c>
      <c r="F4300">
        <v>20</v>
      </c>
      <c r="G4300" t="s">
        <v>1419</v>
      </c>
      <c r="H4300" s="89">
        <v>46296</v>
      </c>
      <c r="I4300" s="89">
        <v>46298</v>
      </c>
      <c r="J4300" s="91" t="s">
        <v>1656</v>
      </c>
      <c r="K4300" s="91" t="s">
        <v>7115</v>
      </c>
      <c r="L4300">
        <v>1</v>
      </c>
      <c r="M4300" s="91" t="s">
        <v>7116</v>
      </c>
      <c r="N4300" s="91" t="s">
        <v>6858</v>
      </c>
    </row>
    <row r="4301" spans="1:14" x14ac:dyDescent="0.25">
      <c r="A4301" s="91" t="s">
        <v>56</v>
      </c>
      <c r="B4301" s="91" t="s">
        <v>7084</v>
      </c>
      <c r="C4301" s="91" t="s">
        <v>6979</v>
      </c>
      <c r="D4301" s="91" t="s">
        <v>20</v>
      </c>
      <c r="E4301" s="91" t="s">
        <v>56</v>
      </c>
      <c r="F4301">
        <v>960</v>
      </c>
      <c r="G4301">
        <v>20</v>
      </c>
      <c r="H4301" s="89">
        <v>46296</v>
      </c>
      <c r="I4301" s="89">
        <v>46296</v>
      </c>
      <c r="J4301" s="91" t="s">
        <v>7153</v>
      </c>
      <c r="K4301" s="91" t="s">
        <v>7117</v>
      </c>
      <c r="L4301">
        <v>1</v>
      </c>
      <c r="M4301" s="91" t="s">
        <v>7118</v>
      </c>
      <c r="N4301" s="91" t="s">
        <v>6858</v>
      </c>
    </row>
    <row r="4302" spans="1:14" x14ac:dyDescent="0.25">
      <c r="A4302" s="91" t="s">
        <v>1313</v>
      </c>
      <c r="B4302" s="91" t="s">
        <v>1327</v>
      </c>
      <c r="C4302" s="91" t="s">
        <v>6979</v>
      </c>
      <c r="D4302" s="91" t="s">
        <v>20</v>
      </c>
      <c r="E4302" s="91" t="s">
        <v>19</v>
      </c>
      <c r="F4302">
        <v>96</v>
      </c>
      <c r="G4302">
        <v>2</v>
      </c>
      <c r="H4302" s="89">
        <v>46296</v>
      </c>
      <c r="I4302" s="89">
        <v>46300</v>
      </c>
      <c r="J4302" s="91" t="s">
        <v>1656</v>
      </c>
      <c r="K4302" s="91" t="s">
        <v>7073</v>
      </c>
      <c r="L4302">
        <v>1</v>
      </c>
      <c r="M4302" s="91" t="s">
        <v>7074</v>
      </c>
      <c r="N4302" s="91" t="s">
        <v>6858</v>
      </c>
    </row>
    <row r="4303" spans="1:14" x14ac:dyDescent="0.25">
      <c r="A4303" s="91" t="s">
        <v>1315</v>
      </c>
      <c r="B4303" s="91" t="s">
        <v>1329</v>
      </c>
      <c r="C4303" s="91" t="s">
        <v>6979</v>
      </c>
      <c r="D4303" s="91" t="s">
        <v>20</v>
      </c>
      <c r="E4303" s="91" t="s">
        <v>19</v>
      </c>
      <c r="F4303">
        <v>338</v>
      </c>
      <c r="G4303" t="s">
        <v>1419</v>
      </c>
      <c r="H4303" s="89">
        <v>46296</v>
      </c>
      <c r="I4303" s="89">
        <v>46300</v>
      </c>
      <c r="J4303" s="91" t="s">
        <v>1656</v>
      </c>
      <c r="K4303" s="91" t="s">
        <v>7119</v>
      </c>
      <c r="L4303">
        <v>1</v>
      </c>
      <c r="M4303" s="91" t="s">
        <v>7120</v>
      </c>
      <c r="N4303" s="91" t="s">
        <v>6858</v>
      </c>
    </row>
    <row r="4304" spans="1:14" x14ac:dyDescent="0.25">
      <c r="A4304" s="91" t="s">
        <v>1313</v>
      </c>
      <c r="B4304" s="91" t="s">
        <v>1327</v>
      </c>
      <c r="C4304" s="91" t="s">
        <v>6869</v>
      </c>
      <c r="D4304" s="91" t="s">
        <v>15</v>
      </c>
      <c r="E4304" s="91" t="s">
        <v>17</v>
      </c>
      <c r="F4304">
        <v>192</v>
      </c>
      <c r="G4304">
        <v>4</v>
      </c>
      <c r="H4304" s="89">
        <v>46296</v>
      </c>
      <c r="I4304" s="89">
        <v>46300</v>
      </c>
      <c r="J4304" s="91" t="s">
        <v>6980</v>
      </c>
      <c r="K4304" s="91" t="s">
        <v>6977</v>
      </c>
      <c r="L4304">
        <v>1</v>
      </c>
      <c r="M4304" s="91" t="s">
        <v>6978</v>
      </c>
      <c r="N4304" s="91" t="s">
        <v>6858</v>
      </c>
    </row>
    <row r="4305" spans="1:14" x14ac:dyDescent="0.25">
      <c r="A4305" s="91" t="s">
        <v>1313</v>
      </c>
      <c r="B4305" s="91" t="s">
        <v>1327</v>
      </c>
      <c r="C4305" s="91" t="s">
        <v>6869</v>
      </c>
      <c r="D4305" s="91" t="s">
        <v>15</v>
      </c>
      <c r="E4305" s="91" t="s">
        <v>17</v>
      </c>
      <c r="F4305">
        <v>864</v>
      </c>
      <c r="G4305">
        <v>18</v>
      </c>
      <c r="H4305" s="89">
        <v>46296</v>
      </c>
      <c r="I4305" s="89">
        <v>46300</v>
      </c>
      <c r="J4305" s="91" t="s">
        <v>6980</v>
      </c>
      <c r="K4305" s="91" t="s">
        <v>6977</v>
      </c>
      <c r="L4305">
        <v>2</v>
      </c>
      <c r="M4305" s="91" t="s">
        <v>7121</v>
      </c>
      <c r="N4305" s="91" t="s">
        <v>6858</v>
      </c>
    </row>
    <row r="4306" spans="1:14" x14ac:dyDescent="0.25">
      <c r="A4306" s="91" t="s">
        <v>1313</v>
      </c>
      <c r="B4306" s="91" t="s">
        <v>1327</v>
      </c>
      <c r="C4306" s="91" t="s">
        <v>6869</v>
      </c>
      <c r="D4306" s="91" t="s">
        <v>15</v>
      </c>
      <c r="E4306" s="91" t="s">
        <v>17</v>
      </c>
      <c r="F4306">
        <v>96</v>
      </c>
      <c r="G4306">
        <v>2</v>
      </c>
      <c r="H4306" s="89">
        <v>46296</v>
      </c>
      <c r="I4306" s="89">
        <v>46303</v>
      </c>
      <c r="J4306" s="91" t="s">
        <v>7190</v>
      </c>
      <c r="K4306" s="91" t="s">
        <v>7075</v>
      </c>
      <c r="L4306">
        <v>1</v>
      </c>
      <c r="M4306" s="91" t="s">
        <v>7076</v>
      </c>
      <c r="N4306" s="91" t="s">
        <v>6858</v>
      </c>
    </row>
    <row r="4307" spans="1:14" x14ac:dyDescent="0.25">
      <c r="A4307" s="91" t="s">
        <v>1314</v>
      </c>
      <c r="B4307" s="91" t="s">
        <v>1328</v>
      </c>
      <c r="C4307" s="91" t="s">
        <v>6869</v>
      </c>
      <c r="D4307" s="91" t="s">
        <v>15</v>
      </c>
      <c r="E4307" s="91" t="s">
        <v>18</v>
      </c>
      <c r="F4307">
        <v>96</v>
      </c>
      <c r="G4307">
        <v>2</v>
      </c>
      <c r="H4307" s="89">
        <v>46296</v>
      </c>
      <c r="I4307" s="89">
        <v>46300</v>
      </c>
      <c r="J4307" s="91" t="s">
        <v>6981</v>
      </c>
      <c r="K4307" s="91" t="s">
        <v>6913</v>
      </c>
      <c r="L4307">
        <v>1</v>
      </c>
      <c r="M4307" s="91" t="s">
        <v>6914</v>
      </c>
      <c r="N4307" s="91" t="s">
        <v>6858</v>
      </c>
    </row>
    <row r="4308" spans="1:14" x14ac:dyDescent="0.25">
      <c r="A4308" s="91" t="s">
        <v>1314</v>
      </c>
      <c r="B4308" s="91" t="s">
        <v>1328</v>
      </c>
      <c r="C4308" s="91" t="s">
        <v>6869</v>
      </c>
      <c r="D4308" s="91" t="s">
        <v>15</v>
      </c>
      <c r="E4308" s="91" t="s">
        <v>16</v>
      </c>
      <c r="F4308">
        <v>288</v>
      </c>
      <c r="G4308">
        <v>6</v>
      </c>
      <c r="H4308" s="89">
        <v>46296</v>
      </c>
      <c r="I4308" s="89">
        <v>46300</v>
      </c>
      <c r="J4308" s="91" t="s">
        <v>6982</v>
      </c>
      <c r="K4308" s="91" t="s">
        <v>6915</v>
      </c>
      <c r="L4308">
        <v>1</v>
      </c>
      <c r="M4308" s="91" t="s">
        <v>6916</v>
      </c>
      <c r="N4308" s="91" t="s">
        <v>6858</v>
      </c>
    </row>
    <row r="4309" spans="1:14" x14ac:dyDescent="0.25">
      <c r="A4309" s="91" t="s">
        <v>1315</v>
      </c>
      <c r="B4309" s="91" t="s">
        <v>1329</v>
      </c>
      <c r="C4309" s="91" t="s">
        <v>6869</v>
      </c>
      <c r="D4309" s="91" t="s">
        <v>15</v>
      </c>
      <c r="E4309" s="91" t="s">
        <v>19</v>
      </c>
      <c r="F4309">
        <v>26</v>
      </c>
      <c r="G4309" t="s">
        <v>1419</v>
      </c>
      <c r="H4309" s="89">
        <v>46296</v>
      </c>
      <c r="I4309" s="89">
        <v>46300</v>
      </c>
      <c r="J4309" s="91" t="s">
        <v>1656</v>
      </c>
      <c r="K4309" s="91" t="s">
        <v>7122</v>
      </c>
      <c r="L4309">
        <v>1</v>
      </c>
      <c r="M4309" s="91" t="s">
        <v>7123</v>
      </c>
      <c r="N4309" s="91" t="s">
        <v>6858</v>
      </c>
    </row>
    <row r="4310" spans="1:14" x14ac:dyDescent="0.25">
      <c r="A4310" s="91" t="s">
        <v>1313</v>
      </c>
      <c r="B4310" s="91" t="s">
        <v>1327</v>
      </c>
      <c r="C4310" s="91" t="s">
        <v>6983</v>
      </c>
      <c r="D4310" s="91" t="s">
        <v>103</v>
      </c>
      <c r="E4310" s="91" t="s">
        <v>16</v>
      </c>
      <c r="F4310">
        <v>864</v>
      </c>
      <c r="G4310">
        <v>18</v>
      </c>
      <c r="H4310" s="89">
        <v>46297</v>
      </c>
      <c r="I4310" s="89">
        <v>46300</v>
      </c>
      <c r="J4310" s="91" t="s">
        <v>7030</v>
      </c>
      <c r="K4310" s="91" t="s">
        <v>6984</v>
      </c>
      <c r="L4310">
        <v>1</v>
      </c>
      <c r="M4310" s="91" t="s">
        <v>6985</v>
      </c>
      <c r="N4310" s="91" t="s">
        <v>6858</v>
      </c>
    </row>
    <row r="4311" spans="1:14" x14ac:dyDescent="0.25">
      <c r="A4311" s="91" t="s">
        <v>1324</v>
      </c>
      <c r="B4311" s="91" t="s">
        <v>1338</v>
      </c>
      <c r="C4311" s="91" t="s">
        <v>7031</v>
      </c>
      <c r="D4311" s="91" t="s">
        <v>88</v>
      </c>
      <c r="E4311" s="91" t="s">
        <v>65</v>
      </c>
      <c r="F4311">
        <v>960</v>
      </c>
      <c r="G4311">
        <v>20</v>
      </c>
      <c r="H4311" s="89">
        <v>46297</v>
      </c>
      <c r="I4311" s="89">
        <v>46304</v>
      </c>
      <c r="J4311" s="91" t="s">
        <v>7191</v>
      </c>
      <c r="K4311" s="91" t="s">
        <v>7032</v>
      </c>
      <c r="L4311">
        <v>1</v>
      </c>
      <c r="M4311" s="91" t="s">
        <v>7033</v>
      </c>
      <c r="N4311" s="91" t="s">
        <v>6858</v>
      </c>
    </row>
    <row r="4312" spans="1:14" x14ac:dyDescent="0.25">
      <c r="A4312" s="91" t="s">
        <v>1324</v>
      </c>
      <c r="B4312" s="91" t="s">
        <v>1338</v>
      </c>
      <c r="C4312" s="91" t="s">
        <v>7124</v>
      </c>
      <c r="D4312" s="91" t="s">
        <v>106</v>
      </c>
      <c r="E4312" s="91" t="s">
        <v>25</v>
      </c>
      <c r="F4312">
        <v>768</v>
      </c>
      <c r="G4312">
        <v>16</v>
      </c>
      <c r="H4312" s="89">
        <v>46297</v>
      </c>
      <c r="I4312" s="89">
        <v>46302</v>
      </c>
      <c r="J4312" s="91" t="s">
        <v>7189</v>
      </c>
      <c r="K4312" s="91" t="s">
        <v>7125</v>
      </c>
      <c r="L4312">
        <v>1</v>
      </c>
      <c r="M4312" s="91" t="s">
        <v>7126</v>
      </c>
      <c r="N4312" s="91" t="s">
        <v>6858</v>
      </c>
    </row>
    <row r="4313" spans="1:14" x14ac:dyDescent="0.25">
      <c r="A4313" s="91" t="s">
        <v>1324</v>
      </c>
      <c r="B4313" s="91" t="s">
        <v>1338</v>
      </c>
      <c r="C4313" s="91" t="s">
        <v>7124</v>
      </c>
      <c r="D4313" s="91" t="s">
        <v>106</v>
      </c>
      <c r="E4313" s="91" t="s">
        <v>25</v>
      </c>
      <c r="F4313">
        <v>192</v>
      </c>
      <c r="G4313">
        <v>4</v>
      </c>
      <c r="H4313" s="89">
        <v>46297</v>
      </c>
      <c r="I4313" s="89">
        <v>46302</v>
      </c>
      <c r="J4313" s="91" t="s">
        <v>7189</v>
      </c>
      <c r="K4313" s="91" t="s">
        <v>7125</v>
      </c>
      <c r="L4313">
        <v>2</v>
      </c>
      <c r="M4313" s="91" t="s">
        <v>7127</v>
      </c>
      <c r="N4313" s="91" t="s">
        <v>6858</v>
      </c>
    </row>
    <row r="4314" spans="1:14" x14ac:dyDescent="0.25">
      <c r="A4314" s="91" t="s">
        <v>1320</v>
      </c>
      <c r="B4314" s="91" t="s">
        <v>1334</v>
      </c>
      <c r="C4314" s="91" t="s">
        <v>7034</v>
      </c>
      <c r="D4314" s="91" t="s">
        <v>30</v>
      </c>
      <c r="E4314" s="91" t="s">
        <v>14</v>
      </c>
      <c r="F4314">
        <v>432</v>
      </c>
      <c r="G4314">
        <v>9</v>
      </c>
      <c r="H4314" s="89">
        <v>46297</v>
      </c>
      <c r="I4314" s="89">
        <v>46302</v>
      </c>
      <c r="J4314" s="91" t="s">
        <v>7069</v>
      </c>
      <c r="K4314" s="91" t="s">
        <v>7192</v>
      </c>
      <c r="L4314">
        <v>1</v>
      </c>
      <c r="M4314" s="91" t="s">
        <v>7193</v>
      </c>
      <c r="N4314" s="91" t="s">
        <v>6858</v>
      </c>
    </row>
    <row r="4315" spans="1:14" x14ac:dyDescent="0.25">
      <c r="A4315" s="91" t="s">
        <v>1313</v>
      </c>
      <c r="B4315" s="91" t="s">
        <v>1327</v>
      </c>
      <c r="C4315" s="91" t="s">
        <v>6986</v>
      </c>
      <c r="D4315" s="91" t="s">
        <v>24</v>
      </c>
      <c r="E4315" s="91" t="s">
        <v>18</v>
      </c>
      <c r="F4315">
        <v>288</v>
      </c>
      <c r="G4315">
        <v>6</v>
      </c>
      <c r="H4315" s="89">
        <v>46297</v>
      </c>
      <c r="I4315" s="89">
        <v>46302</v>
      </c>
      <c r="J4315" s="91" t="s">
        <v>6987</v>
      </c>
      <c r="K4315" s="91" t="s">
        <v>6988</v>
      </c>
      <c r="L4315">
        <v>1</v>
      </c>
      <c r="M4315" s="91" t="s">
        <v>6989</v>
      </c>
      <c r="N4315" s="91" t="s">
        <v>6858</v>
      </c>
    </row>
    <row r="4316" spans="1:14" x14ac:dyDescent="0.25">
      <c r="A4316" s="91" t="s">
        <v>1320</v>
      </c>
      <c r="B4316" s="91" t="s">
        <v>1334</v>
      </c>
      <c r="C4316" s="91" t="s">
        <v>6877</v>
      </c>
      <c r="D4316" s="91" t="s">
        <v>23</v>
      </c>
      <c r="E4316" s="91" t="s">
        <v>14</v>
      </c>
      <c r="F4316">
        <v>960</v>
      </c>
      <c r="G4316">
        <v>20</v>
      </c>
      <c r="H4316" s="89">
        <v>46297</v>
      </c>
      <c r="I4316" s="89">
        <v>46303</v>
      </c>
      <c r="J4316" s="91" t="s">
        <v>7078</v>
      </c>
      <c r="K4316" s="91" t="s">
        <v>7194</v>
      </c>
      <c r="L4316">
        <v>1</v>
      </c>
      <c r="M4316" s="91" t="s">
        <v>7195</v>
      </c>
      <c r="N4316" s="91" t="s">
        <v>6858</v>
      </c>
    </row>
    <row r="4317" spans="1:14" x14ac:dyDescent="0.25">
      <c r="A4317" s="91" t="s">
        <v>1326</v>
      </c>
      <c r="B4317" s="91" t="s">
        <v>1340</v>
      </c>
      <c r="C4317" s="91" t="s">
        <v>6878</v>
      </c>
      <c r="D4317" s="91" t="s">
        <v>32</v>
      </c>
      <c r="E4317" s="91" t="s">
        <v>14</v>
      </c>
      <c r="F4317">
        <v>840</v>
      </c>
      <c r="G4317">
        <v>20</v>
      </c>
      <c r="H4317" s="89">
        <v>46297</v>
      </c>
      <c r="I4317" s="89">
        <v>46301</v>
      </c>
      <c r="J4317" s="91" t="s">
        <v>6991</v>
      </c>
      <c r="K4317" s="91" t="s">
        <v>6917</v>
      </c>
      <c r="L4317">
        <v>1</v>
      </c>
      <c r="M4317" s="91" t="s">
        <v>6918</v>
      </c>
      <c r="N4317" s="91" t="s">
        <v>6858</v>
      </c>
    </row>
    <row r="4318" spans="1:14" x14ac:dyDescent="0.25">
      <c r="A4318" s="91" t="s">
        <v>1313</v>
      </c>
      <c r="B4318" s="91" t="s">
        <v>1327</v>
      </c>
      <c r="C4318" s="91" t="s">
        <v>7035</v>
      </c>
      <c r="D4318" s="91" t="s">
        <v>20</v>
      </c>
      <c r="E4318" s="91" t="s">
        <v>22</v>
      </c>
      <c r="F4318">
        <v>192</v>
      </c>
      <c r="G4318">
        <v>4</v>
      </c>
      <c r="H4318" s="89">
        <v>46297</v>
      </c>
      <c r="I4318" s="89">
        <v>46303</v>
      </c>
      <c r="J4318" s="91" t="s">
        <v>7077</v>
      </c>
      <c r="K4318" s="91" t="s">
        <v>7036</v>
      </c>
      <c r="L4318">
        <v>1</v>
      </c>
      <c r="M4318" s="91" t="s">
        <v>7037</v>
      </c>
      <c r="N4318" s="91" t="s">
        <v>6858</v>
      </c>
    </row>
    <row r="4319" spans="1:14" x14ac:dyDescent="0.25">
      <c r="A4319" s="91" t="s">
        <v>1313</v>
      </c>
      <c r="B4319" s="91" t="s">
        <v>1327</v>
      </c>
      <c r="C4319" s="91" t="s">
        <v>7035</v>
      </c>
      <c r="D4319" s="91" t="s">
        <v>20</v>
      </c>
      <c r="E4319" s="91" t="s">
        <v>17</v>
      </c>
      <c r="F4319">
        <v>240</v>
      </c>
      <c r="G4319">
        <v>5</v>
      </c>
      <c r="H4319" s="89">
        <v>46297</v>
      </c>
      <c r="I4319" s="89">
        <v>46302</v>
      </c>
      <c r="J4319" s="91" t="s">
        <v>6997</v>
      </c>
      <c r="K4319" s="91" t="s">
        <v>7128</v>
      </c>
      <c r="L4319">
        <v>1</v>
      </c>
      <c r="M4319" s="91" t="s">
        <v>7129</v>
      </c>
      <c r="N4319" s="91" t="s">
        <v>6858</v>
      </c>
    </row>
    <row r="4320" spans="1:14" x14ac:dyDescent="0.25">
      <c r="A4320" s="91" t="s">
        <v>1320</v>
      </c>
      <c r="B4320" s="91" t="s">
        <v>1334</v>
      </c>
      <c r="C4320" s="91" t="s">
        <v>7035</v>
      </c>
      <c r="D4320" s="91" t="s">
        <v>20</v>
      </c>
      <c r="E4320" s="91" t="s">
        <v>14</v>
      </c>
      <c r="F4320">
        <v>816</v>
      </c>
      <c r="G4320">
        <v>17</v>
      </c>
      <c r="H4320" s="89">
        <v>46297</v>
      </c>
      <c r="I4320" s="89">
        <v>46303</v>
      </c>
      <c r="J4320" s="91" t="s">
        <v>7083</v>
      </c>
      <c r="K4320" s="91" t="s">
        <v>7196</v>
      </c>
      <c r="L4320">
        <v>1</v>
      </c>
      <c r="M4320" s="91" t="s">
        <v>7197</v>
      </c>
      <c r="N4320" s="91" t="s">
        <v>6858</v>
      </c>
    </row>
    <row r="4321" spans="1:14" x14ac:dyDescent="0.25">
      <c r="A4321" s="91" t="s">
        <v>1315</v>
      </c>
      <c r="B4321" s="91" t="s">
        <v>1329</v>
      </c>
      <c r="C4321" s="91" t="s">
        <v>7035</v>
      </c>
      <c r="D4321" s="91" t="s">
        <v>20</v>
      </c>
      <c r="E4321" s="91" t="s">
        <v>19</v>
      </c>
      <c r="F4321">
        <v>85</v>
      </c>
      <c r="G4321" t="s">
        <v>1419</v>
      </c>
      <c r="H4321" s="89">
        <v>46297</v>
      </c>
      <c r="I4321" s="89">
        <v>46303</v>
      </c>
      <c r="J4321" s="91" t="s">
        <v>3549</v>
      </c>
      <c r="K4321" s="91" t="s">
        <v>7198</v>
      </c>
      <c r="L4321">
        <v>1</v>
      </c>
      <c r="M4321" s="91" t="s">
        <v>7199</v>
      </c>
      <c r="N4321" s="91" t="s">
        <v>6858</v>
      </c>
    </row>
    <row r="4322" spans="1:14" x14ac:dyDescent="0.25">
      <c r="A4322" s="91" t="s">
        <v>56</v>
      </c>
      <c r="B4322" s="91" t="s">
        <v>7084</v>
      </c>
      <c r="C4322" s="91" t="s">
        <v>6990</v>
      </c>
      <c r="D4322" s="91" t="s">
        <v>28</v>
      </c>
      <c r="E4322" s="91" t="s">
        <v>56</v>
      </c>
      <c r="F4322">
        <v>960</v>
      </c>
      <c r="G4322">
        <v>20</v>
      </c>
      <c r="H4322" s="89">
        <v>46297</v>
      </c>
      <c r="I4322" s="89">
        <v>46297</v>
      </c>
      <c r="J4322" s="91" t="s">
        <v>7153</v>
      </c>
      <c r="K4322" s="91" t="s">
        <v>7130</v>
      </c>
      <c r="L4322">
        <v>1</v>
      </c>
      <c r="M4322" s="91" t="s">
        <v>7131</v>
      </c>
      <c r="N4322" s="91" t="s">
        <v>6858</v>
      </c>
    </row>
    <row r="4323" spans="1:14" x14ac:dyDescent="0.25">
      <c r="A4323" s="91" t="s">
        <v>1313</v>
      </c>
      <c r="B4323" s="91" t="s">
        <v>1327</v>
      </c>
      <c r="C4323" s="91" t="s">
        <v>6990</v>
      </c>
      <c r="D4323" s="91" t="s">
        <v>28</v>
      </c>
      <c r="E4323" s="91" t="s">
        <v>19</v>
      </c>
      <c r="F4323">
        <v>96</v>
      </c>
      <c r="G4323">
        <v>2</v>
      </c>
      <c r="H4323" s="89">
        <v>46297</v>
      </c>
      <c r="I4323" s="89">
        <v>46303</v>
      </c>
      <c r="J4323" s="91" t="s">
        <v>3549</v>
      </c>
      <c r="K4323" s="91" t="s">
        <v>7200</v>
      </c>
      <c r="L4323">
        <v>1</v>
      </c>
      <c r="M4323" s="91" t="s">
        <v>7201</v>
      </c>
      <c r="N4323" s="91" t="s">
        <v>6858</v>
      </c>
    </row>
    <row r="4324" spans="1:14" x14ac:dyDescent="0.25">
      <c r="A4324" s="91" t="s">
        <v>1315</v>
      </c>
      <c r="B4324" s="91" t="s">
        <v>1329</v>
      </c>
      <c r="C4324" s="91" t="s">
        <v>6990</v>
      </c>
      <c r="D4324" s="91" t="s">
        <v>28</v>
      </c>
      <c r="E4324" s="91" t="s">
        <v>19</v>
      </c>
      <c r="F4324">
        <v>40</v>
      </c>
      <c r="G4324" t="s">
        <v>1419</v>
      </c>
      <c r="H4324" s="89">
        <v>46297</v>
      </c>
      <c r="I4324" s="89">
        <v>46303</v>
      </c>
      <c r="J4324" s="91" t="s">
        <v>3549</v>
      </c>
      <c r="K4324" s="91" t="s">
        <v>7202</v>
      </c>
      <c r="L4324">
        <v>1</v>
      </c>
      <c r="M4324" s="91" t="s">
        <v>7203</v>
      </c>
      <c r="N4324" s="91" t="s">
        <v>6858</v>
      </c>
    </row>
    <row r="4325" spans="1:14" x14ac:dyDescent="0.25">
      <c r="A4325" s="91" t="s">
        <v>1319</v>
      </c>
      <c r="B4325" s="91" t="s">
        <v>1333</v>
      </c>
      <c r="C4325" s="91" t="s">
        <v>6879</v>
      </c>
      <c r="D4325" s="91" t="s">
        <v>15</v>
      </c>
      <c r="E4325" s="91" t="s">
        <v>17</v>
      </c>
      <c r="F4325">
        <v>60</v>
      </c>
      <c r="G4325">
        <v>1.25</v>
      </c>
      <c r="H4325" s="89">
        <v>46297</v>
      </c>
      <c r="I4325" s="89">
        <v>46303</v>
      </c>
      <c r="J4325" s="91" t="s">
        <v>7190</v>
      </c>
      <c r="K4325" s="91" t="s">
        <v>7079</v>
      </c>
      <c r="L4325">
        <v>1</v>
      </c>
      <c r="M4325" s="91" t="s">
        <v>7080</v>
      </c>
      <c r="N4325" s="91" t="s">
        <v>6858</v>
      </c>
    </row>
    <row r="4326" spans="1:14" x14ac:dyDescent="0.25">
      <c r="A4326" s="91" t="s">
        <v>1313</v>
      </c>
      <c r="B4326" s="91" t="s">
        <v>1327</v>
      </c>
      <c r="C4326" s="91" t="s">
        <v>6879</v>
      </c>
      <c r="D4326" s="91" t="s">
        <v>15</v>
      </c>
      <c r="E4326" s="91" t="s">
        <v>17</v>
      </c>
      <c r="F4326">
        <v>132</v>
      </c>
      <c r="G4326">
        <v>2.75</v>
      </c>
      <c r="H4326" s="89">
        <v>46297</v>
      </c>
      <c r="I4326" s="89">
        <v>46303</v>
      </c>
      <c r="J4326" s="91" t="s">
        <v>7190</v>
      </c>
      <c r="K4326" s="91" t="s">
        <v>7081</v>
      </c>
      <c r="L4326">
        <v>1</v>
      </c>
      <c r="M4326" s="91" t="s">
        <v>7082</v>
      </c>
      <c r="N4326" s="91" t="s">
        <v>6858</v>
      </c>
    </row>
    <row r="4327" spans="1:14" x14ac:dyDescent="0.25">
      <c r="A4327" s="91" t="s">
        <v>1324</v>
      </c>
      <c r="B4327" s="91" t="s">
        <v>1338</v>
      </c>
      <c r="C4327" s="91" t="s">
        <v>6879</v>
      </c>
      <c r="D4327" s="91" t="s">
        <v>15</v>
      </c>
      <c r="E4327" s="91" t="s">
        <v>25</v>
      </c>
      <c r="F4327">
        <v>624</v>
      </c>
      <c r="G4327">
        <v>13</v>
      </c>
      <c r="H4327" s="89">
        <v>46297</v>
      </c>
      <c r="I4327" s="89">
        <v>46302</v>
      </c>
      <c r="J4327" s="91" t="s">
        <v>7172</v>
      </c>
      <c r="K4327" s="91" t="s">
        <v>7132</v>
      </c>
      <c r="L4327">
        <v>1</v>
      </c>
      <c r="M4327" s="91" t="s">
        <v>7133</v>
      </c>
      <c r="N4327" s="91" t="s">
        <v>6858</v>
      </c>
    </row>
    <row r="4328" spans="1:14" x14ac:dyDescent="0.25">
      <c r="A4328" s="91" t="s">
        <v>1313</v>
      </c>
      <c r="B4328" s="91" t="s">
        <v>1327</v>
      </c>
      <c r="C4328" s="91" t="s">
        <v>6879</v>
      </c>
      <c r="D4328" s="91" t="s">
        <v>15</v>
      </c>
      <c r="E4328" s="91" t="s">
        <v>22</v>
      </c>
      <c r="F4328">
        <v>336</v>
      </c>
      <c r="G4328">
        <v>7</v>
      </c>
      <c r="H4328" s="89">
        <v>46297</v>
      </c>
      <c r="I4328" s="89">
        <v>46303</v>
      </c>
      <c r="J4328" s="91" t="s">
        <v>7077</v>
      </c>
      <c r="K4328" s="91" t="s">
        <v>7038</v>
      </c>
      <c r="L4328">
        <v>1</v>
      </c>
      <c r="M4328" s="91" t="s">
        <v>7039</v>
      </c>
      <c r="N4328" s="91" t="s">
        <v>6858</v>
      </c>
    </row>
    <row r="4329" spans="1:14" x14ac:dyDescent="0.25">
      <c r="A4329" s="91" t="s">
        <v>1313</v>
      </c>
      <c r="B4329" s="91" t="s">
        <v>1327</v>
      </c>
      <c r="C4329" s="91" t="s">
        <v>6879</v>
      </c>
      <c r="D4329" s="91" t="s">
        <v>15</v>
      </c>
      <c r="E4329" s="91" t="s">
        <v>19</v>
      </c>
      <c r="F4329">
        <v>432</v>
      </c>
      <c r="G4329">
        <v>9</v>
      </c>
      <c r="H4329" s="89">
        <v>46297</v>
      </c>
      <c r="I4329" s="89">
        <v>46299</v>
      </c>
      <c r="J4329" s="91" t="s">
        <v>1656</v>
      </c>
      <c r="K4329" s="91" t="s">
        <v>7134</v>
      </c>
      <c r="L4329">
        <v>1</v>
      </c>
      <c r="M4329" s="91" t="s">
        <v>7135</v>
      </c>
      <c r="N4329" s="91" t="s">
        <v>6858</v>
      </c>
    </row>
    <row r="4330" spans="1:14" x14ac:dyDescent="0.25">
      <c r="A4330" s="91" t="s">
        <v>1315</v>
      </c>
      <c r="B4330" s="91" t="s">
        <v>1329</v>
      </c>
      <c r="C4330" s="91" t="s">
        <v>6879</v>
      </c>
      <c r="D4330" s="91" t="s">
        <v>15</v>
      </c>
      <c r="E4330" s="91" t="s">
        <v>19</v>
      </c>
      <c r="F4330">
        <v>11</v>
      </c>
      <c r="G4330" t="s">
        <v>1419</v>
      </c>
      <c r="H4330" s="89">
        <v>46297</v>
      </c>
      <c r="I4330" s="89">
        <v>46299</v>
      </c>
      <c r="J4330" s="91" t="s">
        <v>3549</v>
      </c>
      <c r="K4330" s="91" t="s">
        <v>7204</v>
      </c>
      <c r="L4330">
        <v>1</v>
      </c>
      <c r="M4330" s="91" t="s">
        <v>7205</v>
      </c>
      <c r="N4330" s="91" t="s">
        <v>6858</v>
      </c>
    </row>
    <row r="4331" spans="1:14" x14ac:dyDescent="0.25">
      <c r="A4331" s="91" t="s">
        <v>1320</v>
      </c>
      <c r="B4331" s="91" t="s">
        <v>1334</v>
      </c>
      <c r="C4331" s="91" t="s">
        <v>6880</v>
      </c>
      <c r="D4331" s="91" t="s">
        <v>20</v>
      </c>
      <c r="E4331" s="91" t="s">
        <v>14</v>
      </c>
      <c r="F4331">
        <v>144</v>
      </c>
      <c r="G4331">
        <v>3</v>
      </c>
      <c r="H4331" s="89">
        <v>46298</v>
      </c>
      <c r="I4331" s="89">
        <v>46303</v>
      </c>
      <c r="J4331" s="91" t="s">
        <v>7083</v>
      </c>
      <c r="K4331" s="91" t="s">
        <v>7206</v>
      </c>
      <c r="L4331">
        <v>1</v>
      </c>
      <c r="M4331" s="91" t="s">
        <v>7207</v>
      </c>
      <c r="N4331" s="91" t="s">
        <v>6858</v>
      </c>
    </row>
    <row r="4332" spans="1:14" x14ac:dyDescent="0.25">
      <c r="A4332" s="91" t="s">
        <v>1313</v>
      </c>
      <c r="B4332" s="91" t="s">
        <v>1327</v>
      </c>
      <c r="C4332" s="91" t="s">
        <v>6880</v>
      </c>
      <c r="D4332" s="91" t="s">
        <v>20</v>
      </c>
      <c r="E4332" s="91" t="s">
        <v>16</v>
      </c>
      <c r="F4332">
        <v>96</v>
      </c>
      <c r="G4332">
        <v>2</v>
      </c>
      <c r="H4332" s="89">
        <v>46298</v>
      </c>
      <c r="I4332" s="89">
        <v>46303</v>
      </c>
      <c r="J4332" s="91" t="s">
        <v>6992</v>
      </c>
      <c r="K4332" s="91" t="s">
        <v>7136</v>
      </c>
      <c r="L4332">
        <v>1</v>
      </c>
      <c r="M4332" s="91" t="s">
        <v>7137</v>
      </c>
      <c r="N4332" s="91" t="s">
        <v>6858</v>
      </c>
    </row>
    <row r="4333" spans="1:14" x14ac:dyDescent="0.25">
      <c r="A4333" s="91" t="s">
        <v>1313</v>
      </c>
      <c r="B4333" s="91" t="s">
        <v>1327</v>
      </c>
      <c r="C4333" s="91" t="s">
        <v>6880</v>
      </c>
      <c r="D4333" s="91" t="s">
        <v>20</v>
      </c>
      <c r="E4333" s="91" t="s">
        <v>17</v>
      </c>
      <c r="F4333">
        <v>186</v>
      </c>
      <c r="G4333">
        <v>4</v>
      </c>
      <c r="H4333" s="89">
        <v>46298</v>
      </c>
      <c r="I4333" s="89">
        <v>46302</v>
      </c>
      <c r="J4333" s="91" t="s">
        <v>6997</v>
      </c>
      <c r="K4333" s="91" t="s">
        <v>7043</v>
      </c>
      <c r="L4333">
        <v>1</v>
      </c>
      <c r="M4333" s="91" t="s">
        <v>7044</v>
      </c>
      <c r="N4333" s="91" t="s">
        <v>6858</v>
      </c>
    </row>
    <row r="4334" spans="1:14" x14ac:dyDescent="0.25">
      <c r="A4334" s="91" t="s">
        <v>1319</v>
      </c>
      <c r="B4334" s="91" t="s">
        <v>1333</v>
      </c>
      <c r="C4334" s="91" t="s">
        <v>6880</v>
      </c>
      <c r="D4334" s="91" t="s">
        <v>20</v>
      </c>
      <c r="E4334" s="91" t="s">
        <v>17</v>
      </c>
      <c r="F4334">
        <v>54</v>
      </c>
      <c r="G4334">
        <v>1.125</v>
      </c>
      <c r="H4334" s="89">
        <v>46298</v>
      </c>
      <c r="I4334" s="89">
        <v>46302</v>
      </c>
      <c r="J4334" s="91" t="s">
        <v>6997</v>
      </c>
      <c r="K4334" s="91" t="s">
        <v>7045</v>
      </c>
      <c r="L4334">
        <v>1</v>
      </c>
      <c r="M4334" s="91" t="s">
        <v>7046</v>
      </c>
      <c r="N4334" s="91" t="s">
        <v>6858</v>
      </c>
    </row>
    <row r="4335" spans="1:14" x14ac:dyDescent="0.25">
      <c r="A4335" s="91" t="s">
        <v>1313</v>
      </c>
      <c r="B4335" s="91" t="s">
        <v>1327</v>
      </c>
      <c r="C4335" s="91" t="s">
        <v>6880</v>
      </c>
      <c r="D4335" s="91" t="s">
        <v>20</v>
      </c>
      <c r="E4335" s="91" t="s">
        <v>19</v>
      </c>
      <c r="F4335">
        <v>720</v>
      </c>
      <c r="G4335">
        <v>15</v>
      </c>
      <c r="H4335" s="89">
        <v>46298</v>
      </c>
      <c r="I4335" s="89">
        <v>46302</v>
      </c>
      <c r="J4335" s="91" t="s">
        <v>1656</v>
      </c>
      <c r="K4335" s="91" t="s">
        <v>7138</v>
      </c>
      <c r="L4335">
        <v>1</v>
      </c>
      <c r="M4335" s="91" t="s">
        <v>7139</v>
      </c>
      <c r="N4335" s="91" t="s">
        <v>6858</v>
      </c>
    </row>
    <row r="4336" spans="1:14" x14ac:dyDescent="0.25">
      <c r="A4336" s="91" t="s">
        <v>1324</v>
      </c>
      <c r="B4336" s="91" t="s">
        <v>1338</v>
      </c>
      <c r="C4336" s="91" t="s">
        <v>7040</v>
      </c>
      <c r="D4336" s="91" t="s">
        <v>21</v>
      </c>
      <c r="E4336" s="91" t="s">
        <v>65</v>
      </c>
      <c r="F4336">
        <v>960</v>
      </c>
      <c r="G4336">
        <v>20</v>
      </c>
      <c r="H4336" s="89">
        <v>46298</v>
      </c>
      <c r="I4336" s="89">
        <v>46304</v>
      </c>
      <c r="J4336" s="91" t="s">
        <v>7191</v>
      </c>
      <c r="K4336" s="91" t="s">
        <v>7041</v>
      </c>
      <c r="L4336">
        <v>1</v>
      </c>
      <c r="M4336" s="91" t="s">
        <v>7042</v>
      </c>
      <c r="N4336" s="91" t="s">
        <v>6858</v>
      </c>
    </row>
    <row r="4337" spans="1:14" x14ac:dyDescent="0.25">
      <c r="A4337" s="91" t="s">
        <v>1313</v>
      </c>
      <c r="B4337" s="91" t="s">
        <v>1327</v>
      </c>
      <c r="C4337" s="91" t="s">
        <v>7040</v>
      </c>
      <c r="D4337" s="91" t="s">
        <v>21</v>
      </c>
      <c r="E4337" s="91" t="s">
        <v>22</v>
      </c>
      <c r="F4337">
        <v>384</v>
      </c>
      <c r="G4337">
        <v>8</v>
      </c>
      <c r="H4337" s="89">
        <v>46298</v>
      </c>
      <c r="I4337" s="89">
        <v>46303</v>
      </c>
      <c r="J4337" s="91" t="s">
        <v>7077</v>
      </c>
      <c r="K4337" s="91" t="s">
        <v>7140</v>
      </c>
      <c r="L4337">
        <v>1</v>
      </c>
      <c r="M4337" s="91" t="s">
        <v>7141</v>
      </c>
      <c r="N4337" s="91" t="s">
        <v>6858</v>
      </c>
    </row>
    <row r="4338" spans="1:14" x14ac:dyDescent="0.25">
      <c r="A4338" s="91" t="s">
        <v>1313</v>
      </c>
      <c r="B4338" s="91" t="s">
        <v>1327</v>
      </c>
      <c r="C4338" s="91" t="s">
        <v>6870</v>
      </c>
      <c r="D4338" s="91" t="s">
        <v>15</v>
      </c>
      <c r="E4338" s="91" t="s">
        <v>22</v>
      </c>
      <c r="F4338">
        <v>240</v>
      </c>
      <c r="G4338">
        <v>5</v>
      </c>
      <c r="H4338" s="89">
        <v>46298</v>
      </c>
      <c r="I4338" s="89">
        <v>46303</v>
      </c>
      <c r="J4338" s="91" t="s">
        <v>7077</v>
      </c>
      <c r="K4338" s="91" t="s">
        <v>7142</v>
      </c>
      <c r="L4338">
        <v>1</v>
      </c>
      <c r="M4338" s="91" t="s">
        <v>7143</v>
      </c>
      <c r="N4338" s="91" t="s">
        <v>6858</v>
      </c>
    </row>
    <row r="4339" spans="1:14" x14ac:dyDescent="0.25">
      <c r="A4339" s="91" t="s">
        <v>1313</v>
      </c>
      <c r="B4339" s="91" t="s">
        <v>1327</v>
      </c>
      <c r="C4339" s="91" t="s">
        <v>6870</v>
      </c>
      <c r="D4339" s="91" t="s">
        <v>15</v>
      </c>
      <c r="E4339" s="91" t="s">
        <v>16</v>
      </c>
      <c r="F4339">
        <v>816</v>
      </c>
      <c r="G4339">
        <v>17</v>
      </c>
      <c r="H4339" s="89">
        <v>46298</v>
      </c>
      <c r="I4339" s="89">
        <v>46303</v>
      </c>
      <c r="J4339" s="91" t="s">
        <v>6992</v>
      </c>
      <c r="K4339" s="91" t="s">
        <v>6919</v>
      </c>
      <c r="L4339">
        <v>1</v>
      </c>
      <c r="M4339" s="91" t="s">
        <v>6920</v>
      </c>
      <c r="N4339" s="91" t="s">
        <v>6858</v>
      </c>
    </row>
    <row r="4340" spans="1:14" x14ac:dyDescent="0.25">
      <c r="A4340" s="91" t="s">
        <v>1314</v>
      </c>
      <c r="B4340" s="91" t="s">
        <v>1328</v>
      </c>
      <c r="C4340" s="91" t="s">
        <v>6870</v>
      </c>
      <c r="D4340" s="91" t="s">
        <v>15</v>
      </c>
      <c r="E4340" s="91" t="s">
        <v>16</v>
      </c>
      <c r="F4340">
        <v>240</v>
      </c>
      <c r="G4340">
        <v>5</v>
      </c>
      <c r="H4340" s="89">
        <v>46298</v>
      </c>
      <c r="I4340" s="89">
        <v>46303</v>
      </c>
      <c r="J4340" s="91" t="s">
        <v>6993</v>
      </c>
      <c r="K4340" s="91" t="s">
        <v>6921</v>
      </c>
      <c r="L4340">
        <v>1</v>
      </c>
      <c r="M4340" s="91" t="s">
        <v>6922</v>
      </c>
      <c r="N4340" s="91" t="s">
        <v>6858</v>
      </c>
    </row>
    <row r="4341" spans="1:14" x14ac:dyDescent="0.25">
      <c r="A4341" s="91" t="s">
        <v>1314</v>
      </c>
      <c r="B4341" s="91" t="s">
        <v>1328</v>
      </c>
      <c r="C4341" s="91" t="s">
        <v>6870</v>
      </c>
      <c r="D4341" s="91" t="s">
        <v>15</v>
      </c>
      <c r="E4341" s="91" t="s">
        <v>18</v>
      </c>
      <c r="F4341">
        <v>96</v>
      </c>
      <c r="G4341">
        <v>2</v>
      </c>
      <c r="H4341" s="89">
        <v>46298</v>
      </c>
      <c r="I4341" s="89">
        <v>46302</v>
      </c>
      <c r="J4341" s="91" t="s">
        <v>6987</v>
      </c>
      <c r="K4341" s="91" t="s">
        <v>6923</v>
      </c>
      <c r="L4341">
        <v>1</v>
      </c>
      <c r="M4341" s="91" t="s">
        <v>6924</v>
      </c>
      <c r="N4341" s="91" t="s">
        <v>6858</v>
      </c>
    </row>
    <row r="4342" spans="1:14" x14ac:dyDescent="0.25">
      <c r="A4342" s="91" t="s">
        <v>1313</v>
      </c>
      <c r="B4342" s="91" t="s">
        <v>1327</v>
      </c>
      <c r="C4342" s="91" t="s">
        <v>6994</v>
      </c>
      <c r="D4342" s="91" t="s">
        <v>24</v>
      </c>
      <c r="E4342" s="91" t="s">
        <v>18</v>
      </c>
      <c r="F4342">
        <v>768</v>
      </c>
      <c r="G4342">
        <v>16</v>
      </c>
      <c r="H4342" s="89">
        <v>46298</v>
      </c>
      <c r="I4342" s="89">
        <v>46302</v>
      </c>
      <c r="J4342" s="91" t="s">
        <v>6987</v>
      </c>
      <c r="K4342" s="91" t="s">
        <v>6995</v>
      </c>
      <c r="L4342">
        <v>1</v>
      </c>
      <c r="M4342" s="91" t="s">
        <v>6996</v>
      </c>
      <c r="N4342" s="91" t="s">
        <v>6858</v>
      </c>
    </row>
    <row r="4343" spans="1:14" x14ac:dyDescent="0.25">
      <c r="A4343" s="91" t="s">
        <v>1313</v>
      </c>
      <c r="B4343" s="91" t="s">
        <v>1327</v>
      </c>
      <c r="C4343" s="91" t="s">
        <v>6994</v>
      </c>
      <c r="D4343" s="91" t="s">
        <v>24</v>
      </c>
      <c r="E4343" s="91" t="s">
        <v>17</v>
      </c>
      <c r="F4343">
        <v>672</v>
      </c>
      <c r="G4343">
        <v>14</v>
      </c>
      <c r="H4343" s="89">
        <v>46298</v>
      </c>
      <c r="I4343" s="89">
        <v>46302</v>
      </c>
      <c r="J4343" s="91" t="s">
        <v>6997</v>
      </c>
      <c r="K4343" s="91" t="s">
        <v>6998</v>
      </c>
      <c r="L4343">
        <v>1</v>
      </c>
      <c r="M4343" s="91" t="s">
        <v>6999</v>
      </c>
      <c r="N4343" s="91" t="s">
        <v>6858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86081-BF6C-483A-B6B1-9AA4B669E9A1}">
  <dimension ref="A1:H468"/>
  <sheetViews>
    <sheetView workbookViewId="0">
      <pane ySplit="1" topLeftCell="A2" activePane="bottomLeft" state="frozen"/>
      <selection pane="bottomLeft" activeCell="A4" sqref="A4"/>
    </sheetView>
  </sheetViews>
  <sheetFormatPr baseColWidth="10" defaultRowHeight="15" x14ac:dyDescent="0.25"/>
  <cols>
    <col min="1" max="1" width="55.28515625" bestFit="1" customWidth="1"/>
    <col min="2" max="2" width="35.42578125" customWidth="1"/>
    <col min="3" max="3" width="11.28515625" bestFit="1" customWidth="1"/>
    <col min="4" max="4" width="31.140625" bestFit="1" customWidth="1"/>
    <col min="5" max="5" width="20.5703125" bestFit="1" customWidth="1"/>
    <col min="6" max="6" width="35.42578125" bestFit="1" customWidth="1"/>
    <col min="7" max="7" width="32.85546875" customWidth="1"/>
    <col min="8" max="8" width="9.140625" bestFit="1" customWidth="1"/>
  </cols>
  <sheetData>
    <row r="1" spans="1:8" x14ac:dyDescent="0.25">
      <c r="A1" s="12" t="s">
        <v>69</v>
      </c>
      <c r="B1" s="21" t="s">
        <v>522</v>
      </c>
      <c r="C1" s="21" t="s">
        <v>523</v>
      </c>
      <c r="D1" s="22" t="s">
        <v>524</v>
      </c>
      <c r="E1" s="23" t="s">
        <v>525</v>
      </c>
      <c r="F1" s="24" t="s">
        <v>526</v>
      </c>
      <c r="G1" s="24" t="s">
        <v>527</v>
      </c>
      <c r="H1" s="21" t="s">
        <v>528</v>
      </c>
    </row>
    <row r="2" spans="1:8" x14ac:dyDescent="0.25">
      <c r="A2" t="s">
        <v>33</v>
      </c>
      <c r="B2" s="25" t="s">
        <v>540</v>
      </c>
      <c r="C2" s="25" t="s">
        <v>530</v>
      </c>
      <c r="D2" s="26" t="s">
        <v>541</v>
      </c>
      <c r="E2" s="27">
        <v>30670</v>
      </c>
      <c r="F2" s="27" t="s">
        <v>542</v>
      </c>
      <c r="G2" s="27" t="s">
        <v>543</v>
      </c>
      <c r="H2" s="25"/>
    </row>
    <row r="3" spans="1:8" x14ac:dyDescent="0.25">
      <c r="A3" t="s">
        <v>43</v>
      </c>
      <c r="B3" s="25" t="s">
        <v>535</v>
      </c>
      <c r="C3" s="25" t="s">
        <v>536</v>
      </c>
      <c r="D3" s="26" t="s">
        <v>537</v>
      </c>
      <c r="E3" s="27">
        <v>30650</v>
      </c>
      <c r="F3" s="27" t="s">
        <v>538</v>
      </c>
      <c r="G3" s="27" t="s">
        <v>539</v>
      </c>
      <c r="H3" s="25"/>
    </row>
    <row r="4" spans="1:8" x14ac:dyDescent="0.25">
      <c r="A4" t="s">
        <v>20</v>
      </c>
      <c r="B4" s="25" t="s">
        <v>529</v>
      </c>
      <c r="C4" s="25" t="s">
        <v>530</v>
      </c>
      <c r="D4" s="26" t="s">
        <v>531</v>
      </c>
      <c r="E4" s="27">
        <v>30846</v>
      </c>
      <c r="F4" s="27" t="s">
        <v>532</v>
      </c>
      <c r="G4" s="27" t="s">
        <v>533</v>
      </c>
      <c r="H4" s="28" t="s">
        <v>534</v>
      </c>
    </row>
    <row r="5" spans="1:8" x14ac:dyDescent="0.25">
      <c r="A5" t="s">
        <v>15</v>
      </c>
      <c r="B5" s="25" t="s">
        <v>535</v>
      </c>
      <c r="C5" s="25" t="s">
        <v>536</v>
      </c>
      <c r="D5" s="26" t="s">
        <v>537</v>
      </c>
      <c r="E5" s="27">
        <v>30650</v>
      </c>
      <c r="F5" s="27" t="s">
        <v>538</v>
      </c>
      <c r="G5" s="27" t="s">
        <v>539</v>
      </c>
      <c r="H5" s="25"/>
    </row>
    <row r="6" spans="1:8" x14ac:dyDescent="0.25">
      <c r="A6" t="s">
        <v>21</v>
      </c>
      <c r="B6" s="25" t="s">
        <v>540</v>
      </c>
      <c r="C6" s="25" t="s">
        <v>530</v>
      </c>
      <c r="D6" s="26" t="s">
        <v>541</v>
      </c>
      <c r="E6" s="27">
        <v>30670</v>
      </c>
      <c r="F6" s="27" t="s">
        <v>542</v>
      </c>
      <c r="G6" s="27" t="s">
        <v>543</v>
      </c>
      <c r="H6" s="25"/>
    </row>
    <row r="7" spans="1:8" x14ac:dyDescent="0.25">
      <c r="A7" t="s">
        <v>28</v>
      </c>
      <c r="B7" s="25" t="s">
        <v>544</v>
      </c>
      <c r="C7" s="25" t="s">
        <v>530</v>
      </c>
      <c r="D7" s="26" t="s">
        <v>541</v>
      </c>
      <c r="E7" s="27">
        <v>30673</v>
      </c>
      <c r="F7" s="27" t="s">
        <v>545</v>
      </c>
      <c r="G7" s="27" t="s">
        <v>546</v>
      </c>
      <c r="H7" s="25"/>
    </row>
    <row r="8" spans="1:8" x14ac:dyDescent="0.25">
      <c r="A8" t="s">
        <v>71</v>
      </c>
      <c r="B8" s="25" t="s">
        <v>547</v>
      </c>
      <c r="C8" s="25" t="s">
        <v>536</v>
      </c>
      <c r="D8" s="26" t="s">
        <v>548</v>
      </c>
      <c r="E8" s="27">
        <v>30837</v>
      </c>
      <c r="F8" s="27" t="s">
        <v>549</v>
      </c>
      <c r="G8" s="27" t="s">
        <v>550</v>
      </c>
      <c r="H8" s="25"/>
    </row>
    <row r="9" spans="1:8" x14ac:dyDescent="0.25">
      <c r="A9" t="s">
        <v>72</v>
      </c>
      <c r="B9" s="25" t="s">
        <v>551</v>
      </c>
      <c r="C9" s="25" t="s">
        <v>530</v>
      </c>
      <c r="D9" s="26" t="s">
        <v>548</v>
      </c>
      <c r="E9" s="27">
        <v>30847</v>
      </c>
      <c r="F9" s="27" t="s">
        <v>552</v>
      </c>
      <c r="G9" s="27" t="s">
        <v>553</v>
      </c>
      <c r="H9" s="25"/>
    </row>
    <row r="10" spans="1:8" x14ac:dyDescent="0.25">
      <c r="A10" t="s">
        <v>73</v>
      </c>
      <c r="B10" s="25" t="s">
        <v>535</v>
      </c>
      <c r="C10" s="25" t="s">
        <v>536</v>
      </c>
      <c r="D10" s="26" t="s">
        <v>537</v>
      </c>
      <c r="E10" s="27">
        <v>30650</v>
      </c>
      <c r="F10" s="27" t="s">
        <v>554</v>
      </c>
      <c r="G10" s="27" t="s">
        <v>555</v>
      </c>
      <c r="H10" s="25"/>
    </row>
    <row r="11" spans="1:8" x14ac:dyDescent="0.25">
      <c r="A11" t="s">
        <v>74</v>
      </c>
      <c r="B11" s="25" t="s">
        <v>556</v>
      </c>
      <c r="C11" s="25" t="s">
        <v>536</v>
      </c>
      <c r="D11" s="26" t="s">
        <v>557</v>
      </c>
      <c r="E11" s="27">
        <v>30583</v>
      </c>
      <c r="F11" s="27" t="s">
        <v>558</v>
      </c>
      <c r="G11" s="27" t="s">
        <v>559</v>
      </c>
      <c r="H11" s="25"/>
    </row>
    <row r="12" spans="1:8" x14ac:dyDescent="0.25">
      <c r="A12" t="s">
        <v>75</v>
      </c>
      <c r="B12" s="25" t="s">
        <v>560</v>
      </c>
      <c r="C12" s="25" t="s">
        <v>530</v>
      </c>
      <c r="D12" s="26" t="s">
        <v>557</v>
      </c>
      <c r="E12" s="27">
        <v>30583</v>
      </c>
      <c r="F12" s="27" t="s">
        <v>561</v>
      </c>
      <c r="G12" s="27" t="s">
        <v>562</v>
      </c>
      <c r="H12" s="25"/>
    </row>
    <row r="13" spans="1:8" x14ac:dyDescent="0.25">
      <c r="A13" t="s">
        <v>76</v>
      </c>
      <c r="B13" s="25" t="s">
        <v>548</v>
      </c>
      <c r="C13" s="25" t="s">
        <v>530</v>
      </c>
      <c r="D13" s="26" t="s">
        <v>548</v>
      </c>
      <c r="E13" s="27">
        <v>30840</v>
      </c>
      <c r="F13" s="27" t="s">
        <v>563</v>
      </c>
      <c r="G13" s="27" t="s">
        <v>564</v>
      </c>
      <c r="H13" s="25"/>
    </row>
    <row r="14" spans="1:8" x14ac:dyDescent="0.25">
      <c r="A14" t="s">
        <v>77</v>
      </c>
      <c r="B14" s="25" t="s">
        <v>565</v>
      </c>
      <c r="C14" s="25" t="s">
        <v>530</v>
      </c>
      <c r="D14" s="26" t="s">
        <v>537</v>
      </c>
      <c r="E14" s="27">
        <v>30820</v>
      </c>
      <c r="F14" s="27" t="s">
        <v>566</v>
      </c>
      <c r="G14" s="27" t="s">
        <v>567</v>
      </c>
      <c r="H14" s="25"/>
    </row>
    <row r="15" spans="1:8" x14ac:dyDescent="0.25">
      <c r="A15" t="s">
        <v>78</v>
      </c>
      <c r="B15" s="25" t="s">
        <v>568</v>
      </c>
      <c r="C15" s="25" t="s">
        <v>530</v>
      </c>
      <c r="D15" s="26" t="s">
        <v>548</v>
      </c>
      <c r="E15" s="27">
        <v>30800</v>
      </c>
      <c r="F15" s="27" t="s">
        <v>569</v>
      </c>
      <c r="G15" s="27" t="s">
        <v>570</v>
      </c>
      <c r="H15" s="25"/>
    </row>
    <row r="16" spans="1:8" x14ac:dyDescent="0.25">
      <c r="A16" t="s">
        <v>79</v>
      </c>
      <c r="B16" s="25" t="s">
        <v>571</v>
      </c>
      <c r="C16" s="25" t="s">
        <v>530</v>
      </c>
      <c r="D16" s="26" t="s">
        <v>548</v>
      </c>
      <c r="E16" s="27">
        <v>30844</v>
      </c>
      <c r="F16" s="27" t="s">
        <v>572</v>
      </c>
      <c r="G16" s="27" t="s">
        <v>573</v>
      </c>
      <c r="H16" s="25"/>
    </row>
    <row r="17" spans="1:8" x14ac:dyDescent="0.25">
      <c r="A17" t="s">
        <v>80</v>
      </c>
      <c r="B17" s="25" t="s">
        <v>574</v>
      </c>
      <c r="C17" s="25" t="s">
        <v>530</v>
      </c>
      <c r="D17" s="26" t="s">
        <v>537</v>
      </c>
      <c r="E17" s="27">
        <v>30655</v>
      </c>
      <c r="F17" s="27" t="s">
        <v>575</v>
      </c>
      <c r="G17" s="27" t="s">
        <v>576</v>
      </c>
      <c r="H17" s="25"/>
    </row>
    <row r="18" spans="1:8" x14ac:dyDescent="0.25">
      <c r="A18" t="s">
        <v>81</v>
      </c>
      <c r="B18" s="25" t="s">
        <v>535</v>
      </c>
      <c r="C18" s="25" t="s">
        <v>530</v>
      </c>
      <c r="D18" s="26" t="s">
        <v>537</v>
      </c>
      <c r="E18" s="27">
        <v>30650</v>
      </c>
      <c r="F18" s="27" t="s">
        <v>577</v>
      </c>
      <c r="G18" s="27" t="s">
        <v>578</v>
      </c>
      <c r="H18" s="25"/>
    </row>
    <row r="19" spans="1:8" x14ac:dyDescent="0.25">
      <c r="A19" t="s">
        <v>82</v>
      </c>
      <c r="B19" s="25" t="s">
        <v>579</v>
      </c>
      <c r="C19" s="25" t="s">
        <v>536</v>
      </c>
      <c r="D19" s="26" t="s">
        <v>548</v>
      </c>
      <c r="E19" s="27">
        <v>30844</v>
      </c>
      <c r="F19" s="27" t="s">
        <v>580</v>
      </c>
      <c r="G19" s="27" t="s">
        <v>581</v>
      </c>
      <c r="H19" s="25"/>
    </row>
    <row r="20" spans="1:8" x14ac:dyDescent="0.25">
      <c r="A20" t="s">
        <v>83</v>
      </c>
      <c r="B20" s="25" t="s">
        <v>582</v>
      </c>
      <c r="C20" s="25" t="s">
        <v>530</v>
      </c>
      <c r="D20" s="26" t="s">
        <v>548</v>
      </c>
      <c r="E20" s="27">
        <v>30847</v>
      </c>
      <c r="F20" s="27" t="s">
        <v>583</v>
      </c>
      <c r="G20" s="27" t="s">
        <v>584</v>
      </c>
      <c r="H20" s="25"/>
    </row>
    <row r="21" spans="1:8" x14ac:dyDescent="0.25">
      <c r="A21" t="s">
        <v>84</v>
      </c>
      <c r="B21" s="25" t="s">
        <v>571</v>
      </c>
      <c r="C21" s="25" t="s">
        <v>536</v>
      </c>
      <c r="D21" s="26" t="s">
        <v>548</v>
      </c>
      <c r="E21" s="27">
        <v>30844</v>
      </c>
      <c r="F21" s="27" t="s">
        <v>585</v>
      </c>
      <c r="G21" s="27" t="s">
        <v>586</v>
      </c>
      <c r="H21" s="25"/>
    </row>
    <row r="22" spans="1:8" x14ac:dyDescent="0.25">
      <c r="A22" t="s">
        <v>85</v>
      </c>
      <c r="B22" s="25" t="s">
        <v>535</v>
      </c>
      <c r="C22" s="25" t="s">
        <v>530</v>
      </c>
      <c r="D22" s="26" t="s">
        <v>537</v>
      </c>
      <c r="E22" s="27">
        <v>30650</v>
      </c>
      <c r="F22" s="27" t="s">
        <v>587</v>
      </c>
      <c r="G22" s="27" t="s">
        <v>588</v>
      </c>
      <c r="H22" s="25"/>
    </row>
    <row r="23" spans="1:8" x14ac:dyDescent="0.25">
      <c r="A23" t="s">
        <v>86</v>
      </c>
      <c r="B23" s="25" t="s">
        <v>568</v>
      </c>
      <c r="C23" s="25" t="s">
        <v>530</v>
      </c>
      <c r="D23" s="26" t="s">
        <v>548</v>
      </c>
      <c r="E23" s="27">
        <v>30800</v>
      </c>
      <c r="F23" s="27" t="s">
        <v>589</v>
      </c>
      <c r="G23" s="27" t="s">
        <v>590</v>
      </c>
      <c r="H23" s="25"/>
    </row>
    <row r="24" spans="1:8" x14ac:dyDescent="0.25">
      <c r="A24" t="s">
        <v>87</v>
      </c>
      <c r="B24" s="25" t="s">
        <v>591</v>
      </c>
      <c r="C24" s="25" t="s">
        <v>536</v>
      </c>
      <c r="D24" s="26" t="s">
        <v>537</v>
      </c>
      <c r="E24" s="27">
        <v>30657</v>
      </c>
      <c r="F24" s="27" t="s">
        <v>592</v>
      </c>
      <c r="G24" s="27" t="s">
        <v>593</v>
      </c>
      <c r="H24" s="25"/>
    </row>
    <row r="25" spans="1:8" x14ac:dyDescent="0.25">
      <c r="A25" t="s">
        <v>88</v>
      </c>
      <c r="B25" s="25" t="s">
        <v>574</v>
      </c>
      <c r="C25" s="25" t="s">
        <v>530</v>
      </c>
      <c r="D25" s="26" t="s">
        <v>537</v>
      </c>
      <c r="E25" s="27">
        <v>30655</v>
      </c>
      <c r="F25" s="27" t="s">
        <v>594</v>
      </c>
      <c r="G25" s="27" t="s">
        <v>595</v>
      </c>
      <c r="H25" s="25"/>
    </row>
    <row r="26" spans="1:8" x14ac:dyDescent="0.25">
      <c r="A26" t="s">
        <v>89</v>
      </c>
      <c r="B26" s="25" t="s">
        <v>596</v>
      </c>
      <c r="C26" s="25" t="s">
        <v>530</v>
      </c>
      <c r="D26" s="26" t="s">
        <v>531</v>
      </c>
      <c r="E26" s="27">
        <v>30832</v>
      </c>
      <c r="F26" s="27" t="s">
        <v>597</v>
      </c>
      <c r="G26" s="27" t="s">
        <v>598</v>
      </c>
      <c r="H26" s="25"/>
    </row>
    <row r="27" spans="1:8" x14ac:dyDescent="0.25">
      <c r="A27" t="s">
        <v>90</v>
      </c>
      <c r="B27" s="25"/>
      <c r="C27" s="25" t="s">
        <v>530</v>
      </c>
      <c r="D27" s="26" t="s">
        <v>531</v>
      </c>
      <c r="E27" s="27"/>
      <c r="F27" s="29"/>
      <c r="G27" s="29"/>
      <c r="H27" s="30"/>
    </row>
    <row r="28" spans="1:8" x14ac:dyDescent="0.25">
      <c r="A28" t="s">
        <v>91</v>
      </c>
      <c r="B28" s="25" t="s">
        <v>599</v>
      </c>
      <c r="C28" s="25" t="s">
        <v>530</v>
      </c>
      <c r="D28" s="26" t="s">
        <v>531</v>
      </c>
      <c r="E28" s="27">
        <v>30814</v>
      </c>
      <c r="F28" s="27" t="s">
        <v>600</v>
      </c>
      <c r="G28" s="27" t="s">
        <v>601</v>
      </c>
      <c r="H28" s="25"/>
    </row>
    <row r="29" spans="1:8" x14ac:dyDescent="0.25">
      <c r="A29" t="s">
        <v>92</v>
      </c>
      <c r="B29" s="25" t="s">
        <v>602</v>
      </c>
      <c r="C29" s="25" t="s">
        <v>530</v>
      </c>
      <c r="D29" s="26" t="s">
        <v>548</v>
      </c>
      <c r="E29" s="27">
        <v>30844</v>
      </c>
      <c r="F29" s="27" t="s">
        <v>603</v>
      </c>
      <c r="G29" s="27" t="s">
        <v>604</v>
      </c>
      <c r="H29" s="25"/>
    </row>
    <row r="30" spans="1:8" x14ac:dyDescent="0.25">
      <c r="A30" t="s">
        <v>93</v>
      </c>
      <c r="B30" s="25" t="s">
        <v>605</v>
      </c>
      <c r="C30" s="25" t="s">
        <v>530</v>
      </c>
      <c r="D30" s="26" t="s">
        <v>531</v>
      </c>
      <c r="E30" s="27">
        <v>30838</v>
      </c>
      <c r="F30" s="27" t="s">
        <v>606</v>
      </c>
      <c r="G30" s="27" t="s">
        <v>607</v>
      </c>
      <c r="H30" s="25"/>
    </row>
    <row r="31" spans="1:8" x14ac:dyDescent="0.25">
      <c r="A31" t="s">
        <v>94</v>
      </c>
      <c r="B31" s="25" t="s">
        <v>608</v>
      </c>
      <c r="C31" s="25" t="s">
        <v>536</v>
      </c>
      <c r="D31" s="26" t="s">
        <v>531</v>
      </c>
      <c r="E31" s="27">
        <v>30790</v>
      </c>
      <c r="F31" s="27" t="s">
        <v>609</v>
      </c>
      <c r="G31" s="27" t="s">
        <v>610</v>
      </c>
      <c r="H31" s="25"/>
    </row>
    <row r="32" spans="1:8" x14ac:dyDescent="0.25">
      <c r="A32" t="s">
        <v>95</v>
      </c>
      <c r="B32" s="25" t="s">
        <v>611</v>
      </c>
      <c r="C32" s="25" t="s">
        <v>530</v>
      </c>
      <c r="D32" s="26" t="s">
        <v>548</v>
      </c>
      <c r="E32" s="27">
        <v>30844</v>
      </c>
      <c r="F32" s="27" t="s">
        <v>612</v>
      </c>
      <c r="G32" s="27" t="s">
        <v>613</v>
      </c>
      <c r="H32" s="25"/>
    </row>
    <row r="33" spans="1:8" x14ac:dyDescent="0.25">
      <c r="A33" t="s">
        <v>96</v>
      </c>
      <c r="B33" s="25" t="s">
        <v>614</v>
      </c>
      <c r="C33" s="25" t="s">
        <v>530</v>
      </c>
      <c r="D33" s="26" t="s">
        <v>531</v>
      </c>
      <c r="E33" s="27">
        <v>30828</v>
      </c>
      <c r="F33" s="27" t="s">
        <v>615</v>
      </c>
      <c r="G33" s="27" t="s">
        <v>616</v>
      </c>
      <c r="H33" s="25"/>
    </row>
    <row r="34" spans="1:8" x14ac:dyDescent="0.25">
      <c r="A34" t="s">
        <v>97</v>
      </c>
      <c r="B34" s="25" t="s">
        <v>617</v>
      </c>
      <c r="C34" s="25" t="s">
        <v>530</v>
      </c>
      <c r="D34" s="26" t="s">
        <v>548</v>
      </c>
      <c r="E34" s="27">
        <v>30844</v>
      </c>
      <c r="F34" s="27" t="s">
        <v>618</v>
      </c>
      <c r="G34" s="27" t="s">
        <v>619</v>
      </c>
      <c r="H34" s="25"/>
    </row>
    <row r="35" spans="1:8" x14ac:dyDescent="0.25">
      <c r="A35" t="s">
        <v>98</v>
      </c>
      <c r="B35" s="25" t="s">
        <v>620</v>
      </c>
      <c r="C35" s="25" t="s">
        <v>530</v>
      </c>
      <c r="D35" s="26" t="s">
        <v>537</v>
      </c>
      <c r="E35" s="27">
        <v>30650</v>
      </c>
      <c r="F35" s="27" t="s">
        <v>621</v>
      </c>
      <c r="G35" s="27" t="s">
        <v>622</v>
      </c>
      <c r="H35" s="25"/>
    </row>
    <row r="36" spans="1:8" x14ac:dyDescent="0.25">
      <c r="A36" t="s">
        <v>99</v>
      </c>
      <c r="B36" s="25" t="s">
        <v>623</v>
      </c>
      <c r="C36" s="25" t="s">
        <v>536</v>
      </c>
      <c r="D36" s="26" t="s">
        <v>531</v>
      </c>
      <c r="E36" s="27">
        <v>30807</v>
      </c>
      <c r="F36" s="27" t="s">
        <v>624</v>
      </c>
      <c r="G36" s="27" t="s">
        <v>625</v>
      </c>
      <c r="H36" s="25"/>
    </row>
    <row r="37" spans="1:8" x14ac:dyDescent="0.25">
      <c r="A37" t="s">
        <v>100</v>
      </c>
      <c r="B37" s="25" t="s">
        <v>626</v>
      </c>
      <c r="C37" s="25" t="s">
        <v>530</v>
      </c>
      <c r="D37" s="26" t="s">
        <v>531</v>
      </c>
      <c r="E37" s="27">
        <v>30833</v>
      </c>
      <c r="F37" s="27" t="s">
        <v>627</v>
      </c>
      <c r="G37" s="27" t="s">
        <v>628</v>
      </c>
      <c r="H37" s="25"/>
    </row>
    <row r="38" spans="1:8" x14ac:dyDescent="0.25">
      <c r="A38" t="s">
        <v>101</v>
      </c>
      <c r="B38" s="25" t="s">
        <v>629</v>
      </c>
      <c r="C38" s="25" t="s">
        <v>530</v>
      </c>
      <c r="D38" s="26" t="s">
        <v>548</v>
      </c>
      <c r="E38" s="27">
        <v>30840</v>
      </c>
      <c r="F38" s="27" t="s">
        <v>630</v>
      </c>
      <c r="G38" s="27" t="s">
        <v>631</v>
      </c>
      <c r="H38" s="25"/>
    </row>
    <row r="39" spans="1:8" x14ac:dyDescent="0.25">
      <c r="A39" t="s">
        <v>102</v>
      </c>
      <c r="B39" s="25" t="s">
        <v>632</v>
      </c>
      <c r="C39" s="25" t="s">
        <v>530</v>
      </c>
      <c r="D39" s="26" t="s">
        <v>531</v>
      </c>
      <c r="E39" s="27">
        <v>30832</v>
      </c>
      <c r="F39" s="27" t="s">
        <v>633</v>
      </c>
      <c r="G39" s="27" t="s">
        <v>634</v>
      </c>
      <c r="H39" s="25"/>
    </row>
    <row r="40" spans="1:8" x14ac:dyDescent="0.25">
      <c r="A40" t="s">
        <v>29</v>
      </c>
      <c r="B40" s="25" t="s">
        <v>635</v>
      </c>
      <c r="C40" s="25" t="s">
        <v>530</v>
      </c>
      <c r="D40" s="26" t="s">
        <v>548</v>
      </c>
      <c r="E40" s="27">
        <v>30844</v>
      </c>
      <c r="F40" s="27" t="s">
        <v>636</v>
      </c>
      <c r="G40" s="27" t="s">
        <v>637</v>
      </c>
      <c r="H40" s="25"/>
    </row>
    <row r="41" spans="1:8" x14ac:dyDescent="0.25">
      <c r="A41" t="s">
        <v>103</v>
      </c>
      <c r="B41" s="25" t="s">
        <v>638</v>
      </c>
      <c r="C41" s="25" t="s">
        <v>530</v>
      </c>
      <c r="D41" s="26" t="s">
        <v>548</v>
      </c>
      <c r="E41" s="27">
        <v>30844</v>
      </c>
      <c r="F41" s="27" t="s">
        <v>639</v>
      </c>
      <c r="G41" s="27" t="s">
        <v>640</v>
      </c>
      <c r="H41" s="25"/>
    </row>
    <row r="42" spans="1:8" x14ac:dyDescent="0.25">
      <c r="A42" t="s">
        <v>24</v>
      </c>
      <c r="B42" s="25" t="s">
        <v>602</v>
      </c>
      <c r="C42" s="25" t="s">
        <v>530</v>
      </c>
      <c r="D42" s="26" t="s">
        <v>548</v>
      </c>
      <c r="E42" s="27">
        <v>30844</v>
      </c>
      <c r="F42" s="27" t="s">
        <v>641</v>
      </c>
      <c r="G42" s="27" t="s">
        <v>642</v>
      </c>
      <c r="H42" s="25"/>
    </row>
    <row r="43" spans="1:8" x14ac:dyDescent="0.25">
      <c r="A43" t="s">
        <v>104</v>
      </c>
      <c r="B43" s="25" t="s">
        <v>638</v>
      </c>
      <c r="C43" s="25" t="s">
        <v>530</v>
      </c>
      <c r="D43" s="26" t="s">
        <v>548</v>
      </c>
      <c r="E43" s="27">
        <v>30844</v>
      </c>
      <c r="F43" s="27" t="s">
        <v>643</v>
      </c>
      <c r="G43" s="31" t="s">
        <v>644</v>
      </c>
      <c r="H43" s="25"/>
    </row>
    <row r="44" spans="1:8" x14ac:dyDescent="0.25">
      <c r="A44" t="s">
        <v>105</v>
      </c>
      <c r="B44" s="25" t="s">
        <v>645</v>
      </c>
      <c r="C44" s="25" t="s">
        <v>530</v>
      </c>
      <c r="D44" s="26" t="s">
        <v>548</v>
      </c>
      <c r="E44" s="27">
        <v>30844</v>
      </c>
      <c r="F44" s="27" t="s">
        <v>646</v>
      </c>
      <c r="G44" s="27" t="s">
        <v>647</v>
      </c>
      <c r="H44" s="25"/>
    </row>
    <row r="45" spans="1:8" x14ac:dyDescent="0.25">
      <c r="A45" t="s">
        <v>106</v>
      </c>
      <c r="B45" s="25" t="s">
        <v>548</v>
      </c>
      <c r="C45" s="25" t="s">
        <v>530</v>
      </c>
      <c r="D45" s="26" t="s">
        <v>548</v>
      </c>
      <c r="E45" s="27">
        <v>30843</v>
      </c>
      <c r="F45" s="27" t="s">
        <v>648</v>
      </c>
      <c r="G45" s="27" t="s">
        <v>649</v>
      </c>
      <c r="H45" s="25"/>
    </row>
    <row r="46" spans="1:8" x14ac:dyDescent="0.25">
      <c r="A46" t="s">
        <v>30</v>
      </c>
      <c r="B46" s="25" t="s">
        <v>620</v>
      </c>
      <c r="C46" s="25" t="s">
        <v>530</v>
      </c>
      <c r="D46" s="26" t="s">
        <v>537</v>
      </c>
      <c r="E46" s="27">
        <v>30650</v>
      </c>
      <c r="F46" s="27" t="s">
        <v>650</v>
      </c>
      <c r="G46" s="27" t="s">
        <v>651</v>
      </c>
      <c r="H46" s="25"/>
    </row>
    <row r="47" spans="1:8" x14ac:dyDescent="0.25">
      <c r="A47" t="s">
        <v>107</v>
      </c>
      <c r="B47" s="25" t="s">
        <v>620</v>
      </c>
      <c r="C47" s="25" t="s">
        <v>530</v>
      </c>
      <c r="D47" s="26" t="s">
        <v>537</v>
      </c>
      <c r="E47" s="27">
        <v>30650</v>
      </c>
      <c r="F47" s="27" t="s">
        <v>652</v>
      </c>
      <c r="G47" s="27" t="s">
        <v>653</v>
      </c>
      <c r="H47" s="25"/>
    </row>
    <row r="48" spans="1:8" x14ac:dyDescent="0.25">
      <c r="A48" t="s">
        <v>13</v>
      </c>
      <c r="B48" s="25" t="s">
        <v>654</v>
      </c>
      <c r="C48" s="25" t="s">
        <v>530</v>
      </c>
      <c r="D48" s="26" t="s">
        <v>537</v>
      </c>
      <c r="E48" s="27">
        <v>30650</v>
      </c>
      <c r="F48" s="27" t="s">
        <v>655</v>
      </c>
      <c r="G48" s="27" t="s">
        <v>656</v>
      </c>
      <c r="H48" s="25"/>
    </row>
    <row r="49" spans="1:8" x14ac:dyDescent="0.25">
      <c r="A49" t="s">
        <v>108</v>
      </c>
      <c r="B49" s="25" t="s">
        <v>605</v>
      </c>
      <c r="C49" s="25" t="s">
        <v>530</v>
      </c>
      <c r="D49" s="26" t="s">
        <v>531</v>
      </c>
      <c r="E49" s="27">
        <v>30838</v>
      </c>
      <c r="F49" s="27" t="s">
        <v>657</v>
      </c>
      <c r="G49" s="27" t="s">
        <v>658</v>
      </c>
      <c r="H49" s="25"/>
    </row>
    <row r="50" spans="1:8" x14ac:dyDescent="0.25">
      <c r="A50" t="s">
        <v>109</v>
      </c>
      <c r="B50" s="25" t="s">
        <v>547</v>
      </c>
      <c r="C50" s="25" t="s">
        <v>530</v>
      </c>
      <c r="D50" s="26" t="s">
        <v>531</v>
      </c>
      <c r="E50" s="27">
        <v>30837</v>
      </c>
      <c r="F50" s="27" t="s">
        <v>659</v>
      </c>
      <c r="G50" s="27" t="s">
        <v>660</v>
      </c>
      <c r="H50" s="25"/>
    </row>
    <row r="51" spans="1:8" x14ac:dyDescent="0.25">
      <c r="A51" t="s">
        <v>110</v>
      </c>
      <c r="B51" s="25" t="s">
        <v>632</v>
      </c>
      <c r="C51" s="25" t="s">
        <v>530</v>
      </c>
      <c r="D51" s="26" t="s">
        <v>531</v>
      </c>
      <c r="E51" s="27">
        <v>30832</v>
      </c>
      <c r="F51" s="27" t="s">
        <v>661</v>
      </c>
      <c r="G51" s="27" t="s">
        <v>662</v>
      </c>
      <c r="H51" s="25"/>
    </row>
    <row r="52" spans="1:8" x14ac:dyDescent="0.25">
      <c r="A52" t="s">
        <v>111</v>
      </c>
      <c r="B52" s="25" t="s">
        <v>663</v>
      </c>
      <c r="C52" s="25" t="s">
        <v>530</v>
      </c>
      <c r="D52" s="26" t="s">
        <v>531</v>
      </c>
      <c r="E52" s="27">
        <v>30835</v>
      </c>
      <c r="F52" s="27" t="s">
        <v>664</v>
      </c>
      <c r="G52" s="27" t="s">
        <v>665</v>
      </c>
      <c r="H52" s="25"/>
    </row>
    <row r="53" spans="1:8" x14ac:dyDescent="0.25">
      <c r="A53" t="s">
        <v>112</v>
      </c>
      <c r="B53" s="25" t="s">
        <v>666</v>
      </c>
      <c r="C53" s="25" t="s">
        <v>530</v>
      </c>
      <c r="D53" s="26" t="s">
        <v>548</v>
      </c>
      <c r="E53" s="27">
        <v>30845</v>
      </c>
      <c r="F53" s="27" t="s">
        <v>667</v>
      </c>
      <c r="G53" s="27" t="s">
        <v>668</v>
      </c>
      <c r="H53" s="25"/>
    </row>
    <row r="54" spans="1:8" x14ac:dyDescent="0.25">
      <c r="A54" t="s">
        <v>113</v>
      </c>
      <c r="B54" s="25" t="s">
        <v>669</v>
      </c>
      <c r="C54" s="25" t="s">
        <v>530</v>
      </c>
      <c r="D54" s="26" t="s">
        <v>548</v>
      </c>
      <c r="E54" s="27">
        <v>30844</v>
      </c>
      <c r="F54" s="27" t="s">
        <v>670</v>
      </c>
      <c r="G54" s="27" t="s">
        <v>671</v>
      </c>
      <c r="H54" s="25"/>
    </row>
    <row r="55" spans="1:8" x14ac:dyDescent="0.25">
      <c r="A55" t="s">
        <v>114</v>
      </c>
      <c r="B55" s="25" t="s">
        <v>669</v>
      </c>
      <c r="C55" s="25" t="s">
        <v>530</v>
      </c>
      <c r="D55" s="26" t="s">
        <v>548</v>
      </c>
      <c r="E55" s="27">
        <v>30844</v>
      </c>
      <c r="F55" s="27" t="s">
        <v>672</v>
      </c>
      <c r="G55" s="27" t="s">
        <v>673</v>
      </c>
      <c r="H55" s="25"/>
    </row>
    <row r="56" spans="1:8" x14ac:dyDescent="0.25">
      <c r="A56" t="s">
        <v>115</v>
      </c>
      <c r="B56" s="25" t="s">
        <v>674</v>
      </c>
      <c r="C56" s="25" t="s">
        <v>530</v>
      </c>
      <c r="D56" s="26" t="s">
        <v>548</v>
      </c>
      <c r="E56" s="27">
        <v>30845</v>
      </c>
      <c r="F56" s="27" t="s">
        <v>675</v>
      </c>
      <c r="G56" s="27" t="s">
        <v>676</v>
      </c>
      <c r="H56" s="25"/>
    </row>
    <row r="57" spans="1:8" x14ac:dyDescent="0.25">
      <c r="A57" t="s">
        <v>116</v>
      </c>
      <c r="B57" s="25" t="s">
        <v>677</v>
      </c>
      <c r="C57" s="25" t="s">
        <v>530</v>
      </c>
      <c r="D57" s="26" t="s">
        <v>548</v>
      </c>
      <c r="E57" s="27">
        <v>30845</v>
      </c>
      <c r="F57" s="27" t="s">
        <v>678</v>
      </c>
      <c r="G57" s="27" t="s">
        <v>679</v>
      </c>
      <c r="H57" s="25"/>
    </row>
    <row r="58" spans="1:8" x14ac:dyDescent="0.25">
      <c r="A58" t="s">
        <v>117</v>
      </c>
      <c r="B58" s="25" t="s">
        <v>654</v>
      </c>
      <c r="C58" s="25" t="s">
        <v>530</v>
      </c>
      <c r="D58" s="26" t="s">
        <v>537</v>
      </c>
      <c r="E58" s="27">
        <v>30650</v>
      </c>
      <c r="F58" s="27" t="s">
        <v>680</v>
      </c>
      <c r="G58" s="27" t="s">
        <v>681</v>
      </c>
      <c r="H58" s="25"/>
    </row>
    <row r="59" spans="1:8" x14ac:dyDescent="0.25">
      <c r="A59" t="s">
        <v>118</v>
      </c>
      <c r="B59" s="25" t="s">
        <v>682</v>
      </c>
      <c r="C59" s="25" t="s">
        <v>530</v>
      </c>
      <c r="D59" s="26" t="s">
        <v>537</v>
      </c>
      <c r="E59" s="27">
        <v>30837</v>
      </c>
      <c r="F59" s="27" t="s">
        <v>683</v>
      </c>
      <c r="G59" s="27" t="s">
        <v>684</v>
      </c>
      <c r="H59" s="25"/>
    </row>
    <row r="60" spans="1:8" x14ac:dyDescent="0.25">
      <c r="A60" t="s">
        <v>119</v>
      </c>
      <c r="B60" s="25" t="s">
        <v>685</v>
      </c>
      <c r="C60" s="25" t="s">
        <v>530</v>
      </c>
      <c r="D60" s="26" t="s">
        <v>537</v>
      </c>
      <c r="E60" s="27">
        <v>30656</v>
      </c>
      <c r="F60" s="27" t="s">
        <v>686</v>
      </c>
      <c r="G60" s="27" t="s">
        <v>687</v>
      </c>
      <c r="H60" s="25"/>
    </row>
    <row r="61" spans="1:8" x14ac:dyDescent="0.25">
      <c r="A61" t="s">
        <v>120</v>
      </c>
      <c r="B61" s="25" t="s">
        <v>688</v>
      </c>
      <c r="C61" s="25" t="s">
        <v>530</v>
      </c>
      <c r="D61" s="26" t="s">
        <v>537</v>
      </c>
      <c r="E61" s="27">
        <v>30837</v>
      </c>
      <c r="F61" s="27" t="s">
        <v>689</v>
      </c>
      <c r="G61" s="27" t="s">
        <v>690</v>
      </c>
      <c r="H61" s="25"/>
    </row>
    <row r="62" spans="1:8" x14ac:dyDescent="0.25">
      <c r="A62" t="s">
        <v>121</v>
      </c>
      <c r="B62" s="25"/>
      <c r="C62" s="25"/>
      <c r="D62" s="26" t="s">
        <v>537</v>
      </c>
      <c r="E62" s="27"/>
      <c r="F62" s="29"/>
      <c r="G62" s="29"/>
      <c r="H62" s="25"/>
    </row>
    <row r="63" spans="1:8" x14ac:dyDescent="0.25">
      <c r="A63" t="s">
        <v>122</v>
      </c>
      <c r="B63" s="25"/>
      <c r="C63" s="25"/>
      <c r="D63" s="26" t="s">
        <v>537</v>
      </c>
      <c r="E63" s="27"/>
      <c r="F63" s="29"/>
      <c r="G63" s="29"/>
      <c r="H63" s="25"/>
    </row>
    <row r="64" spans="1:8" x14ac:dyDescent="0.25">
      <c r="A64" t="s">
        <v>123</v>
      </c>
      <c r="B64" s="25" t="s">
        <v>691</v>
      </c>
      <c r="C64" s="25" t="s">
        <v>530</v>
      </c>
      <c r="D64" s="26" t="s">
        <v>541</v>
      </c>
      <c r="E64" s="27">
        <v>30656</v>
      </c>
      <c r="F64" s="27" t="s">
        <v>692</v>
      </c>
      <c r="G64" s="27" t="s">
        <v>693</v>
      </c>
      <c r="H64" s="25"/>
    </row>
    <row r="65" spans="1:8" x14ac:dyDescent="0.25">
      <c r="A65" t="s">
        <v>124</v>
      </c>
      <c r="B65" s="25" t="s">
        <v>674</v>
      </c>
      <c r="C65" s="25" t="s">
        <v>530</v>
      </c>
      <c r="D65" s="26" t="s">
        <v>548</v>
      </c>
      <c r="E65" s="27">
        <v>30845</v>
      </c>
      <c r="F65" s="27" t="s">
        <v>694</v>
      </c>
      <c r="G65" s="27" t="s">
        <v>695</v>
      </c>
      <c r="H65" s="25"/>
    </row>
    <row r="66" spans="1:8" x14ac:dyDescent="0.25">
      <c r="A66" t="s">
        <v>125</v>
      </c>
      <c r="B66" s="25" t="s">
        <v>696</v>
      </c>
      <c r="C66" s="25" t="s">
        <v>530</v>
      </c>
      <c r="D66" s="26" t="s">
        <v>548</v>
      </c>
      <c r="E66" s="27">
        <v>30845</v>
      </c>
      <c r="F66" s="27" t="s">
        <v>697</v>
      </c>
      <c r="G66" s="27" t="s">
        <v>698</v>
      </c>
      <c r="H66" s="25"/>
    </row>
    <row r="67" spans="1:8" x14ac:dyDescent="0.25">
      <c r="A67" t="s">
        <v>126</v>
      </c>
      <c r="B67" s="25" t="s">
        <v>699</v>
      </c>
      <c r="C67" s="25" t="s">
        <v>530</v>
      </c>
      <c r="D67" s="26" t="s">
        <v>537</v>
      </c>
      <c r="E67" s="27">
        <v>30656</v>
      </c>
      <c r="F67" s="27" t="s">
        <v>700</v>
      </c>
      <c r="G67" s="27" t="s">
        <v>701</v>
      </c>
      <c r="H67" s="25"/>
    </row>
    <row r="68" spans="1:8" x14ac:dyDescent="0.25">
      <c r="A68" t="s">
        <v>127</v>
      </c>
      <c r="B68" s="25"/>
      <c r="C68" s="25"/>
      <c r="D68" s="26" t="s">
        <v>541</v>
      </c>
      <c r="E68" s="27"/>
      <c r="F68" s="29"/>
      <c r="G68" s="29"/>
      <c r="H68" s="25"/>
    </row>
    <row r="69" spans="1:8" x14ac:dyDescent="0.25">
      <c r="A69" t="s">
        <v>128</v>
      </c>
      <c r="B69" s="25" t="s">
        <v>702</v>
      </c>
      <c r="C69" s="25" t="s">
        <v>530</v>
      </c>
      <c r="D69" s="26" t="s">
        <v>548</v>
      </c>
      <c r="E69" s="27">
        <v>30845</v>
      </c>
      <c r="F69" s="27" t="s">
        <v>703</v>
      </c>
      <c r="G69" s="27" t="s">
        <v>704</v>
      </c>
      <c r="H69" s="25"/>
    </row>
    <row r="70" spans="1:8" x14ac:dyDescent="0.25">
      <c r="A70" t="s">
        <v>129</v>
      </c>
      <c r="B70" s="25" t="s">
        <v>705</v>
      </c>
      <c r="C70" s="25" t="s">
        <v>530</v>
      </c>
      <c r="D70" s="26" t="s">
        <v>531</v>
      </c>
      <c r="E70" s="27">
        <v>30827</v>
      </c>
      <c r="F70" s="27" t="s">
        <v>706</v>
      </c>
      <c r="G70" s="27" t="s">
        <v>707</v>
      </c>
      <c r="H70" s="25"/>
    </row>
    <row r="71" spans="1:8" x14ac:dyDescent="0.25">
      <c r="A71" t="s">
        <v>130</v>
      </c>
      <c r="B71" s="25" t="s">
        <v>708</v>
      </c>
      <c r="C71" s="25" t="s">
        <v>530</v>
      </c>
      <c r="D71" s="26" t="s">
        <v>537</v>
      </c>
      <c r="E71" s="27">
        <v>30656</v>
      </c>
      <c r="F71" s="27" t="s">
        <v>709</v>
      </c>
      <c r="G71" s="27" t="s">
        <v>710</v>
      </c>
      <c r="H71" s="25"/>
    </row>
    <row r="72" spans="1:8" x14ac:dyDescent="0.25">
      <c r="A72" t="s">
        <v>131</v>
      </c>
      <c r="B72" s="25" t="s">
        <v>711</v>
      </c>
      <c r="C72" s="25" t="s">
        <v>530</v>
      </c>
      <c r="D72" s="26" t="s">
        <v>548</v>
      </c>
      <c r="E72" s="27">
        <v>30844</v>
      </c>
      <c r="F72" s="27" t="s">
        <v>712</v>
      </c>
      <c r="G72" s="27" t="s">
        <v>713</v>
      </c>
      <c r="H72" s="25"/>
    </row>
    <row r="73" spans="1:8" x14ac:dyDescent="0.25">
      <c r="A73" t="s">
        <v>132</v>
      </c>
      <c r="B73" s="25" t="s">
        <v>714</v>
      </c>
      <c r="C73" s="25" t="s">
        <v>530</v>
      </c>
      <c r="D73" s="26" t="s">
        <v>537</v>
      </c>
      <c r="E73" s="27">
        <v>30650</v>
      </c>
      <c r="F73" s="27" t="s">
        <v>715</v>
      </c>
      <c r="G73" s="27" t="s">
        <v>716</v>
      </c>
      <c r="H73" s="25"/>
    </row>
    <row r="74" spans="1:8" x14ac:dyDescent="0.25">
      <c r="A74" t="s">
        <v>133</v>
      </c>
      <c r="B74" s="25" t="s">
        <v>717</v>
      </c>
      <c r="C74" s="25" t="s">
        <v>530</v>
      </c>
      <c r="D74" s="26" t="s">
        <v>548</v>
      </c>
      <c r="E74" s="27">
        <v>30847</v>
      </c>
      <c r="F74" s="27" t="s">
        <v>718</v>
      </c>
      <c r="G74" s="27" t="s">
        <v>719</v>
      </c>
      <c r="H74" s="25"/>
    </row>
    <row r="75" spans="1:8" x14ac:dyDescent="0.25">
      <c r="A75" s="13" t="s">
        <v>134</v>
      </c>
      <c r="B75" s="32" t="s">
        <v>720</v>
      </c>
      <c r="C75" s="32" t="s">
        <v>530</v>
      </c>
      <c r="D75" s="33" t="s">
        <v>548</v>
      </c>
      <c r="E75" s="34">
        <v>30843</v>
      </c>
      <c r="F75" s="34" t="s">
        <v>721</v>
      </c>
      <c r="G75" s="34" t="s">
        <v>722</v>
      </c>
      <c r="H75" s="32"/>
    </row>
    <row r="76" spans="1:8" x14ac:dyDescent="0.25">
      <c r="A76" t="s">
        <v>32</v>
      </c>
      <c r="B76" s="25" t="s">
        <v>548</v>
      </c>
      <c r="C76" s="25" t="s">
        <v>530</v>
      </c>
      <c r="D76" s="26" t="s">
        <v>548</v>
      </c>
      <c r="E76" s="27">
        <v>30843</v>
      </c>
      <c r="F76" s="27" t="s">
        <v>723</v>
      </c>
      <c r="G76" s="27" t="s">
        <v>724</v>
      </c>
      <c r="H76" s="25" t="s">
        <v>725</v>
      </c>
    </row>
    <row r="77" spans="1:8" x14ac:dyDescent="0.25">
      <c r="A77" t="s">
        <v>135</v>
      </c>
      <c r="B77" s="25" t="s">
        <v>726</v>
      </c>
      <c r="C77" s="25" t="s">
        <v>530</v>
      </c>
      <c r="D77" s="26" t="s">
        <v>537</v>
      </c>
      <c r="E77" s="27">
        <v>30843</v>
      </c>
      <c r="F77" s="27" t="s">
        <v>727</v>
      </c>
      <c r="G77" s="27" t="s">
        <v>728</v>
      </c>
      <c r="H77" s="25" t="s">
        <v>725</v>
      </c>
    </row>
    <row r="78" spans="1:8" x14ac:dyDescent="0.25">
      <c r="A78" t="s">
        <v>136</v>
      </c>
      <c r="B78" s="25" t="s">
        <v>608</v>
      </c>
      <c r="C78" s="25" t="s">
        <v>530</v>
      </c>
      <c r="D78" s="26" t="s">
        <v>548</v>
      </c>
      <c r="E78" s="27">
        <v>30843</v>
      </c>
      <c r="F78" s="27" t="s">
        <v>729</v>
      </c>
      <c r="G78" s="27" t="s">
        <v>730</v>
      </c>
      <c r="H78" s="25" t="s">
        <v>725</v>
      </c>
    </row>
    <row r="79" spans="1:8" x14ac:dyDescent="0.25">
      <c r="A79" t="s">
        <v>137</v>
      </c>
      <c r="B79" s="25"/>
      <c r="C79" s="25"/>
      <c r="D79" s="26" t="s">
        <v>548</v>
      </c>
      <c r="E79" s="27"/>
      <c r="F79" s="29"/>
      <c r="G79" s="29"/>
      <c r="H79" s="30"/>
    </row>
    <row r="80" spans="1:8" x14ac:dyDescent="0.25">
      <c r="A80" t="s">
        <v>138</v>
      </c>
      <c r="B80" s="25" t="s">
        <v>731</v>
      </c>
      <c r="C80" s="25" t="s">
        <v>530</v>
      </c>
      <c r="D80" s="26" t="s">
        <v>548</v>
      </c>
      <c r="E80" s="27">
        <v>30845</v>
      </c>
      <c r="F80" s="27" t="s">
        <v>732</v>
      </c>
      <c r="G80" s="27" t="s">
        <v>733</v>
      </c>
      <c r="H80" s="25" t="s">
        <v>725</v>
      </c>
    </row>
    <row r="81" spans="1:8" x14ac:dyDescent="0.25">
      <c r="A81" t="s">
        <v>139</v>
      </c>
      <c r="B81" s="25" t="s">
        <v>734</v>
      </c>
      <c r="C81" s="25" t="s">
        <v>530</v>
      </c>
      <c r="D81" s="26" t="s">
        <v>537</v>
      </c>
      <c r="E81" s="27">
        <v>30820</v>
      </c>
      <c r="F81" s="27" t="s">
        <v>735</v>
      </c>
      <c r="G81" s="27" t="s">
        <v>736</v>
      </c>
      <c r="H81" s="25" t="s">
        <v>725</v>
      </c>
    </row>
    <row r="82" spans="1:8" x14ac:dyDescent="0.25">
      <c r="A82" t="s">
        <v>140</v>
      </c>
      <c r="B82" s="25" t="s">
        <v>737</v>
      </c>
      <c r="C82" s="25" t="s">
        <v>530</v>
      </c>
      <c r="D82" s="26" t="s">
        <v>531</v>
      </c>
      <c r="E82" s="27">
        <v>30810</v>
      </c>
      <c r="F82" s="27" t="s">
        <v>738</v>
      </c>
      <c r="G82" s="27" t="s">
        <v>739</v>
      </c>
      <c r="H82" s="25"/>
    </row>
    <row r="83" spans="1:8" x14ac:dyDescent="0.25">
      <c r="A83" t="s">
        <v>141</v>
      </c>
      <c r="B83" s="25" t="s">
        <v>599</v>
      </c>
      <c r="C83" s="25" t="s">
        <v>530</v>
      </c>
      <c r="D83" s="26" t="s">
        <v>531</v>
      </c>
      <c r="E83" s="27">
        <v>30814</v>
      </c>
      <c r="F83" s="27" t="s">
        <v>740</v>
      </c>
      <c r="G83" s="27" t="s">
        <v>741</v>
      </c>
      <c r="H83" s="25" t="s">
        <v>725</v>
      </c>
    </row>
    <row r="84" spans="1:8" x14ac:dyDescent="0.25">
      <c r="A84" t="s">
        <v>142</v>
      </c>
      <c r="B84" s="25"/>
      <c r="C84" s="25"/>
      <c r="D84" s="26" t="s">
        <v>531</v>
      </c>
      <c r="E84" s="27"/>
      <c r="F84" s="29"/>
      <c r="G84" s="29"/>
      <c r="H84" s="30" t="s">
        <v>725</v>
      </c>
    </row>
    <row r="85" spans="1:8" x14ac:dyDescent="0.25">
      <c r="A85" t="s">
        <v>143</v>
      </c>
      <c r="B85" s="25" t="s">
        <v>742</v>
      </c>
      <c r="C85" s="25" t="s">
        <v>530</v>
      </c>
      <c r="D85" s="26" t="s">
        <v>548</v>
      </c>
      <c r="E85" s="27">
        <v>30844</v>
      </c>
      <c r="F85" s="27" t="s">
        <v>743</v>
      </c>
      <c r="G85" s="27" t="s">
        <v>744</v>
      </c>
      <c r="H85" s="25" t="s">
        <v>725</v>
      </c>
    </row>
    <row r="86" spans="1:8" x14ac:dyDescent="0.25">
      <c r="A86" t="s">
        <v>144</v>
      </c>
      <c r="B86" s="25" t="s">
        <v>737</v>
      </c>
      <c r="C86" s="25" t="s">
        <v>530</v>
      </c>
      <c r="D86" s="26" t="s">
        <v>531</v>
      </c>
      <c r="E86" s="27">
        <v>30810</v>
      </c>
      <c r="F86" s="27" t="s">
        <v>745</v>
      </c>
      <c r="G86" s="27" t="s">
        <v>746</v>
      </c>
      <c r="H86" s="25"/>
    </row>
    <row r="87" spans="1:8" x14ac:dyDescent="0.25">
      <c r="A87" t="s">
        <v>23</v>
      </c>
      <c r="B87" s="25" t="s">
        <v>632</v>
      </c>
      <c r="C87" s="25" t="s">
        <v>530</v>
      </c>
      <c r="D87" s="26" t="s">
        <v>531</v>
      </c>
      <c r="E87" s="27">
        <v>30832</v>
      </c>
      <c r="F87" s="27" t="s">
        <v>747</v>
      </c>
      <c r="G87" s="31" t="s">
        <v>748</v>
      </c>
      <c r="H87" s="25"/>
    </row>
    <row r="88" spans="1:8" x14ac:dyDescent="0.25">
      <c r="A88" t="s">
        <v>145</v>
      </c>
      <c r="B88" s="19"/>
      <c r="C88" s="25" t="s">
        <v>530</v>
      </c>
      <c r="D88" s="26" t="s">
        <v>557</v>
      </c>
      <c r="E88" s="27"/>
      <c r="F88" s="29"/>
      <c r="G88" s="29"/>
      <c r="H88" s="30"/>
    </row>
    <row r="89" spans="1:8" x14ac:dyDescent="0.25">
      <c r="A89" t="s">
        <v>146</v>
      </c>
      <c r="B89" s="25" t="s">
        <v>632</v>
      </c>
      <c r="C89" s="25" t="s">
        <v>530</v>
      </c>
      <c r="D89" s="26" t="s">
        <v>531</v>
      </c>
      <c r="E89" s="27">
        <v>30832</v>
      </c>
      <c r="F89" s="27" t="s">
        <v>749</v>
      </c>
      <c r="G89" s="27" t="s">
        <v>750</v>
      </c>
      <c r="H89" s="25"/>
    </row>
    <row r="90" spans="1:8" x14ac:dyDescent="0.25">
      <c r="A90" t="s">
        <v>147</v>
      </c>
      <c r="B90" s="25" t="s">
        <v>751</v>
      </c>
      <c r="C90" s="25" t="s">
        <v>530</v>
      </c>
      <c r="D90" s="26" t="s">
        <v>537</v>
      </c>
      <c r="E90" s="27">
        <v>30656</v>
      </c>
      <c r="F90" s="27" t="s">
        <v>752</v>
      </c>
      <c r="G90" s="35" t="s">
        <v>753</v>
      </c>
      <c r="H90" s="25"/>
    </row>
    <row r="91" spans="1:8" x14ac:dyDescent="0.25">
      <c r="A91" t="s">
        <v>148</v>
      </c>
      <c r="B91" s="25" t="s">
        <v>751</v>
      </c>
      <c r="C91" s="25" t="s">
        <v>530</v>
      </c>
      <c r="D91" s="26" t="s">
        <v>548</v>
      </c>
      <c r="E91" s="27">
        <v>30656</v>
      </c>
      <c r="F91" s="27" t="s">
        <v>752</v>
      </c>
      <c r="G91" s="35" t="s">
        <v>753</v>
      </c>
      <c r="H91" s="25"/>
    </row>
    <row r="92" spans="1:8" x14ac:dyDescent="0.25">
      <c r="A92" t="s">
        <v>149</v>
      </c>
      <c r="B92" s="25" t="s">
        <v>751</v>
      </c>
      <c r="C92" s="25" t="s">
        <v>530</v>
      </c>
      <c r="D92" s="26" t="s">
        <v>548</v>
      </c>
      <c r="E92" s="27">
        <v>30656</v>
      </c>
      <c r="F92" s="27" t="s">
        <v>752</v>
      </c>
      <c r="G92" s="35" t="s">
        <v>753</v>
      </c>
      <c r="H92" s="25"/>
    </row>
    <row r="93" spans="1:8" x14ac:dyDescent="0.25">
      <c r="A93" t="s">
        <v>150</v>
      </c>
      <c r="B93" s="25" t="s">
        <v>714</v>
      </c>
      <c r="C93" s="25" t="s">
        <v>530</v>
      </c>
      <c r="D93" s="26" t="s">
        <v>537</v>
      </c>
      <c r="E93" s="27">
        <v>30650</v>
      </c>
      <c r="F93" s="27" t="s">
        <v>754</v>
      </c>
      <c r="G93" s="35" t="s">
        <v>755</v>
      </c>
      <c r="H93" s="25"/>
    </row>
    <row r="94" spans="1:8" x14ac:dyDescent="0.25">
      <c r="A94" t="s">
        <v>151</v>
      </c>
      <c r="B94" s="25" t="s">
        <v>756</v>
      </c>
      <c r="C94" s="25" t="s">
        <v>530</v>
      </c>
      <c r="D94" s="26" t="s">
        <v>531</v>
      </c>
      <c r="E94" s="27">
        <v>30805</v>
      </c>
      <c r="F94" s="27" t="s">
        <v>757</v>
      </c>
      <c r="G94" s="27" t="s">
        <v>758</v>
      </c>
      <c r="H94" s="25"/>
    </row>
    <row r="95" spans="1:8" x14ac:dyDescent="0.25">
      <c r="A95" t="s">
        <v>152</v>
      </c>
      <c r="B95" s="25" t="s">
        <v>654</v>
      </c>
      <c r="C95" s="25" t="s">
        <v>530</v>
      </c>
      <c r="D95" s="26" t="s">
        <v>537</v>
      </c>
      <c r="E95" s="27">
        <v>30650</v>
      </c>
      <c r="F95" s="27" t="s">
        <v>759</v>
      </c>
      <c r="G95" s="35" t="s">
        <v>760</v>
      </c>
      <c r="H95" s="25"/>
    </row>
    <row r="96" spans="1:8" x14ac:dyDescent="0.25">
      <c r="A96" t="s">
        <v>153</v>
      </c>
      <c r="B96" s="25" t="s">
        <v>761</v>
      </c>
      <c r="C96" s="25" t="s">
        <v>530</v>
      </c>
      <c r="D96" s="26" t="s">
        <v>548</v>
      </c>
      <c r="E96" s="27">
        <v>30847</v>
      </c>
      <c r="F96" s="27" t="s">
        <v>762</v>
      </c>
      <c r="G96" s="35"/>
      <c r="H96" s="25" t="s">
        <v>725</v>
      </c>
    </row>
    <row r="97" spans="1:8" x14ac:dyDescent="0.25">
      <c r="A97" t="s">
        <v>154</v>
      </c>
      <c r="B97" s="25" t="s">
        <v>763</v>
      </c>
      <c r="C97" s="25" t="s">
        <v>530</v>
      </c>
      <c r="D97" s="26" t="s">
        <v>531</v>
      </c>
      <c r="E97" s="27">
        <v>30828</v>
      </c>
      <c r="F97" s="27" t="s">
        <v>764</v>
      </c>
      <c r="G97" s="35" t="s">
        <v>765</v>
      </c>
      <c r="H97" s="25" t="s">
        <v>725</v>
      </c>
    </row>
    <row r="98" spans="1:8" x14ac:dyDescent="0.25">
      <c r="A98" t="s">
        <v>155</v>
      </c>
      <c r="B98" s="25" t="s">
        <v>766</v>
      </c>
      <c r="C98" s="25" t="s">
        <v>530</v>
      </c>
      <c r="D98" s="26" t="s">
        <v>537</v>
      </c>
      <c r="E98" s="27">
        <v>30827</v>
      </c>
      <c r="F98" s="27" t="s">
        <v>767</v>
      </c>
      <c r="G98" s="35" t="s">
        <v>768</v>
      </c>
      <c r="H98" s="25" t="s">
        <v>725</v>
      </c>
    </row>
    <row r="99" spans="1:8" x14ac:dyDescent="0.25">
      <c r="A99" t="s">
        <v>156</v>
      </c>
      <c r="B99" s="36" t="s">
        <v>611</v>
      </c>
      <c r="C99" s="25" t="s">
        <v>530</v>
      </c>
      <c r="D99" s="26" t="s">
        <v>548</v>
      </c>
      <c r="E99" s="27">
        <v>30844</v>
      </c>
      <c r="F99" s="27" t="s">
        <v>769</v>
      </c>
      <c r="G99" s="35" t="s">
        <v>770</v>
      </c>
      <c r="H99" s="25" t="s">
        <v>725</v>
      </c>
    </row>
    <row r="100" spans="1:8" x14ac:dyDescent="0.25">
      <c r="A100" t="s">
        <v>157</v>
      </c>
      <c r="B100" s="25"/>
      <c r="C100" s="25" t="s">
        <v>530</v>
      </c>
      <c r="D100" s="26" t="s">
        <v>541</v>
      </c>
      <c r="E100" s="27"/>
      <c r="F100" s="27"/>
      <c r="G100" s="35"/>
      <c r="H100" s="25" t="s">
        <v>725</v>
      </c>
    </row>
    <row r="101" spans="1:8" x14ac:dyDescent="0.25">
      <c r="A101" t="s">
        <v>158</v>
      </c>
      <c r="B101" s="25" t="s">
        <v>771</v>
      </c>
      <c r="C101" s="25" t="s">
        <v>530</v>
      </c>
      <c r="D101" s="26" t="s">
        <v>531</v>
      </c>
      <c r="E101" s="27">
        <v>30820</v>
      </c>
      <c r="F101" s="27" t="s">
        <v>772</v>
      </c>
      <c r="G101" s="35" t="s">
        <v>773</v>
      </c>
      <c r="H101" s="25" t="s">
        <v>774</v>
      </c>
    </row>
    <row r="102" spans="1:8" x14ac:dyDescent="0.25">
      <c r="A102" t="s">
        <v>159</v>
      </c>
      <c r="B102" s="25" t="s">
        <v>775</v>
      </c>
      <c r="C102" s="25" t="s">
        <v>530</v>
      </c>
      <c r="D102" s="26" t="s">
        <v>548</v>
      </c>
      <c r="E102" s="27"/>
      <c r="F102" s="27" t="s">
        <v>776</v>
      </c>
      <c r="G102" s="35" t="s">
        <v>777</v>
      </c>
      <c r="H102" s="25" t="s">
        <v>725</v>
      </c>
    </row>
    <row r="103" spans="1:8" ht="15.75" thickBot="1" x14ac:dyDescent="0.3">
      <c r="A103" s="14" t="s">
        <v>27</v>
      </c>
      <c r="B103" s="37"/>
      <c r="C103" s="37" t="s">
        <v>530</v>
      </c>
      <c r="D103" s="38" t="s">
        <v>531</v>
      </c>
      <c r="E103" s="39"/>
      <c r="F103" s="39" t="s">
        <v>778</v>
      </c>
      <c r="G103" s="40" t="s">
        <v>779</v>
      </c>
      <c r="H103" s="37" t="s">
        <v>725</v>
      </c>
    </row>
    <row r="104" spans="1:8" ht="15.75" thickTop="1" x14ac:dyDescent="0.25">
      <c r="A104" t="s">
        <v>160</v>
      </c>
      <c r="B104" s="41" t="s">
        <v>780</v>
      </c>
      <c r="C104" s="42" t="s">
        <v>781</v>
      </c>
      <c r="D104" s="26" t="s">
        <v>782</v>
      </c>
      <c r="E104" s="27"/>
      <c r="F104" s="27" t="s">
        <v>783</v>
      </c>
      <c r="G104" s="27"/>
      <c r="H104" s="25"/>
    </row>
    <row r="105" spans="1:8" x14ac:dyDescent="0.25">
      <c r="A105" t="s">
        <v>161</v>
      </c>
      <c r="B105" s="43" t="s">
        <v>784</v>
      </c>
      <c r="C105" s="42"/>
      <c r="D105" s="26" t="s">
        <v>782</v>
      </c>
      <c r="E105" s="27"/>
      <c r="F105" s="27" t="s">
        <v>785</v>
      </c>
      <c r="G105" s="27" t="s">
        <v>786</v>
      </c>
      <c r="H105" s="25"/>
    </row>
    <row r="106" spans="1:8" x14ac:dyDescent="0.25">
      <c r="A106" t="s">
        <v>162</v>
      </c>
      <c r="B106" s="42" t="s">
        <v>787</v>
      </c>
      <c r="C106" s="42" t="s">
        <v>781</v>
      </c>
      <c r="D106" s="26" t="s">
        <v>782</v>
      </c>
      <c r="E106" s="27">
        <v>60805</v>
      </c>
      <c r="F106" s="27" t="s">
        <v>788</v>
      </c>
      <c r="G106" s="27" t="s">
        <v>789</v>
      </c>
      <c r="H106" s="25"/>
    </row>
    <row r="107" spans="1:8" x14ac:dyDescent="0.25">
      <c r="A107" t="s">
        <v>163</v>
      </c>
      <c r="B107" s="42" t="s">
        <v>790</v>
      </c>
      <c r="C107" s="42" t="s">
        <v>781</v>
      </c>
      <c r="D107" s="26" t="s">
        <v>791</v>
      </c>
      <c r="E107" s="27">
        <v>60804</v>
      </c>
      <c r="F107" s="27" t="s">
        <v>792</v>
      </c>
      <c r="G107" s="27" t="s">
        <v>793</v>
      </c>
      <c r="H107" s="25"/>
    </row>
    <row r="108" spans="1:8" x14ac:dyDescent="0.25">
      <c r="A108" t="s">
        <v>164</v>
      </c>
      <c r="B108" s="30"/>
      <c r="C108" s="44"/>
      <c r="D108" s="45"/>
      <c r="E108" s="29"/>
      <c r="F108" s="29"/>
      <c r="G108" s="29"/>
      <c r="H108" s="30"/>
    </row>
    <row r="109" spans="1:8" x14ac:dyDescent="0.25">
      <c r="A109" t="s">
        <v>165</v>
      </c>
      <c r="B109" s="42" t="s">
        <v>794</v>
      </c>
      <c r="C109" s="42" t="s">
        <v>781</v>
      </c>
      <c r="D109" s="26" t="s">
        <v>782</v>
      </c>
      <c r="E109" s="27">
        <v>60800</v>
      </c>
      <c r="F109" s="27" t="s">
        <v>795</v>
      </c>
      <c r="G109" s="27" t="s">
        <v>796</v>
      </c>
      <c r="H109" s="25"/>
    </row>
    <row r="110" spans="1:8" x14ac:dyDescent="0.25">
      <c r="A110" t="s">
        <v>166</v>
      </c>
      <c r="B110" s="26" t="s">
        <v>782</v>
      </c>
      <c r="C110" s="42" t="s">
        <v>781</v>
      </c>
      <c r="D110" s="26" t="s">
        <v>782</v>
      </c>
      <c r="E110" s="27">
        <v>60800</v>
      </c>
      <c r="F110" s="27" t="s">
        <v>797</v>
      </c>
      <c r="G110" s="31" t="s">
        <v>798</v>
      </c>
      <c r="H110" s="25"/>
    </row>
    <row r="111" spans="1:8" x14ac:dyDescent="0.25">
      <c r="A111" t="s">
        <v>167</v>
      </c>
      <c r="B111" s="30"/>
      <c r="C111" s="44"/>
      <c r="D111" s="45" t="s">
        <v>782</v>
      </c>
      <c r="E111" s="29"/>
      <c r="F111" s="29"/>
      <c r="G111" s="29"/>
      <c r="H111" s="30"/>
    </row>
    <row r="112" spans="1:8" x14ac:dyDescent="0.25">
      <c r="A112" t="s">
        <v>168</v>
      </c>
      <c r="B112" s="25"/>
      <c r="C112" s="42"/>
      <c r="D112" s="26" t="s">
        <v>782</v>
      </c>
      <c r="E112" s="27"/>
      <c r="F112" s="27"/>
      <c r="G112" s="27"/>
      <c r="H112" s="25"/>
    </row>
    <row r="113" spans="1:8" x14ac:dyDescent="0.25">
      <c r="A113" t="s">
        <v>169</v>
      </c>
      <c r="B113" s="30"/>
      <c r="C113" s="30"/>
      <c r="D113" s="45"/>
      <c r="E113" s="29"/>
      <c r="F113" s="29"/>
      <c r="G113" s="29"/>
      <c r="H113" s="30"/>
    </row>
    <row r="114" spans="1:8" x14ac:dyDescent="0.25">
      <c r="A114" t="s">
        <v>170</v>
      </c>
      <c r="B114" s="30"/>
      <c r="C114" s="30"/>
      <c r="D114" s="45"/>
      <c r="E114" s="29"/>
      <c r="F114" s="29"/>
      <c r="G114" s="29"/>
      <c r="H114" s="30"/>
    </row>
    <row r="115" spans="1:8" x14ac:dyDescent="0.25">
      <c r="A115" t="s">
        <v>171</v>
      </c>
      <c r="B115" s="30"/>
      <c r="C115" s="30"/>
      <c r="D115" s="45"/>
      <c r="E115" s="29"/>
      <c r="F115" s="29"/>
      <c r="G115" s="29"/>
      <c r="H115" s="30"/>
    </row>
    <row r="116" spans="1:8" x14ac:dyDescent="0.25">
      <c r="A116" t="s">
        <v>172</v>
      </c>
      <c r="B116" s="30"/>
      <c r="C116" s="30"/>
      <c r="D116" s="45"/>
      <c r="E116" s="29"/>
      <c r="F116" s="29"/>
      <c r="G116" s="29"/>
      <c r="H116" s="30"/>
    </row>
    <row r="117" spans="1:8" x14ac:dyDescent="0.25">
      <c r="A117" t="s">
        <v>173</v>
      </c>
      <c r="B117" s="25" t="s">
        <v>799</v>
      </c>
      <c r="C117" s="25" t="s">
        <v>781</v>
      </c>
      <c r="D117" s="26" t="s">
        <v>782</v>
      </c>
      <c r="E117" s="27">
        <v>60800</v>
      </c>
      <c r="F117" s="27" t="s">
        <v>800</v>
      </c>
      <c r="G117" s="27" t="s">
        <v>801</v>
      </c>
      <c r="H117" s="25"/>
    </row>
    <row r="118" spans="1:8" x14ac:dyDescent="0.25">
      <c r="A118" t="s">
        <v>174</v>
      </c>
      <c r="B118" s="25" t="s">
        <v>802</v>
      </c>
      <c r="C118" s="25" t="s">
        <v>58</v>
      </c>
      <c r="D118" s="26" t="s">
        <v>803</v>
      </c>
      <c r="E118" s="27">
        <v>28048</v>
      </c>
      <c r="F118" s="27" t="s">
        <v>804</v>
      </c>
      <c r="G118" s="27" t="s">
        <v>805</v>
      </c>
      <c r="H118" s="25"/>
    </row>
    <row r="119" spans="1:8" x14ac:dyDescent="0.25">
      <c r="A119" t="s">
        <v>175</v>
      </c>
      <c r="B119" s="25" t="s">
        <v>806</v>
      </c>
      <c r="C119" s="25" t="s">
        <v>781</v>
      </c>
      <c r="D119" s="26" t="s">
        <v>782</v>
      </c>
      <c r="E119" s="27">
        <v>60807</v>
      </c>
      <c r="F119" s="27" t="s">
        <v>807</v>
      </c>
      <c r="G119" s="27" t="s">
        <v>808</v>
      </c>
      <c r="H119" s="25"/>
    </row>
    <row r="120" spans="1:8" x14ac:dyDescent="0.25">
      <c r="A120" t="s">
        <v>176</v>
      </c>
      <c r="B120" s="25"/>
      <c r="C120" s="25"/>
      <c r="D120" s="26" t="s">
        <v>809</v>
      </c>
      <c r="E120" s="27"/>
      <c r="F120" s="27"/>
      <c r="G120" s="27"/>
      <c r="H120" s="25"/>
    </row>
    <row r="121" spans="1:8" x14ac:dyDescent="0.25">
      <c r="A121" t="s">
        <v>177</v>
      </c>
      <c r="B121" s="25"/>
      <c r="C121" s="25"/>
      <c r="D121" s="26" t="s">
        <v>782</v>
      </c>
      <c r="E121" s="27"/>
      <c r="F121" s="27"/>
      <c r="G121" s="27"/>
      <c r="H121" s="25"/>
    </row>
    <row r="122" spans="1:8" x14ac:dyDescent="0.25">
      <c r="A122" t="s">
        <v>178</v>
      </c>
      <c r="B122" t="s">
        <v>810</v>
      </c>
      <c r="C122" s="25" t="s">
        <v>811</v>
      </c>
      <c r="D122" s="26" t="s">
        <v>782</v>
      </c>
      <c r="E122" s="27">
        <v>60805</v>
      </c>
      <c r="F122" t="s">
        <v>812</v>
      </c>
      <c r="G122" s="27"/>
      <c r="H122" s="25"/>
    </row>
    <row r="123" spans="1:8" x14ac:dyDescent="0.25">
      <c r="A123" t="s">
        <v>179</v>
      </c>
      <c r="B123" s="25" t="s">
        <v>813</v>
      </c>
      <c r="C123" s="25" t="s">
        <v>811</v>
      </c>
      <c r="D123" s="26" t="s">
        <v>782</v>
      </c>
      <c r="E123" s="27"/>
      <c r="F123" s="27" t="s">
        <v>814</v>
      </c>
      <c r="G123" s="27"/>
      <c r="H123" s="25"/>
    </row>
    <row r="124" spans="1:8" x14ac:dyDescent="0.25">
      <c r="A124" t="s">
        <v>180</v>
      </c>
      <c r="B124" s="30"/>
      <c r="C124" s="30"/>
      <c r="D124" s="45"/>
      <c r="E124" s="29"/>
      <c r="F124" s="29"/>
      <c r="G124" s="29"/>
      <c r="H124" s="30"/>
    </row>
    <row r="125" spans="1:8" x14ac:dyDescent="0.25">
      <c r="A125" t="s">
        <v>181</v>
      </c>
      <c r="B125" s="25" t="s">
        <v>815</v>
      </c>
      <c r="C125" s="25" t="s">
        <v>816</v>
      </c>
      <c r="D125" s="26" t="s">
        <v>782</v>
      </c>
      <c r="E125" s="27"/>
      <c r="F125" s="27" t="s">
        <v>817</v>
      </c>
      <c r="G125" s="27" t="s">
        <v>818</v>
      </c>
      <c r="H125" s="25"/>
    </row>
    <row r="126" spans="1:8" x14ac:dyDescent="0.25">
      <c r="A126" s="15" t="s">
        <v>182</v>
      </c>
      <c r="B126" s="30"/>
      <c r="C126" s="30"/>
      <c r="D126" s="45" t="s">
        <v>782</v>
      </c>
      <c r="E126" s="29"/>
      <c r="F126" s="29"/>
      <c r="G126" s="29"/>
      <c r="H126" s="30"/>
    </row>
    <row r="127" spans="1:8" x14ac:dyDescent="0.25">
      <c r="A127" s="16" t="s">
        <v>183</v>
      </c>
      <c r="B127" s="46"/>
      <c r="C127" s="46"/>
      <c r="D127" s="47"/>
      <c r="E127" s="48"/>
      <c r="F127" s="48"/>
      <c r="G127" s="48"/>
      <c r="H127" s="46"/>
    </row>
    <row r="128" spans="1:8" x14ac:dyDescent="0.25">
      <c r="A128" t="s">
        <v>184</v>
      </c>
      <c r="B128" s="25" t="s">
        <v>819</v>
      </c>
      <c r="C128" s="25" t="s">
        <v>58</v>
      </c>
      <c r="D128" s="26" t="s">
        <v>803</v>
      </c>
      <c r="E128" s="27">
        <v>28904</v>
      </c>
      <c r="F128" s="27" t="s">
        <v>820</v>
      </c>
      <c r="G128" s="27" t="s">
        <v>821</v>
      </c>
      <c r="H128" s="25"/>
    </row>
    <row r="129" spans="1:8" x14ac:dyDescent="0.25">
      <c r="A129" t="s">
        <v>185</v>
      </c>
      <c r="B129" s="25" t="s">
        <v>822</v>
      </c>
      <c r="C129" s="25" t="s">
        <v>781</v>
      </c>
      <c r="D129" s="26" t="s">
        <v>782</v>
      </c>
      <c r="E129" s="27">
        <v>60804</v>
      </c>
      <c r="F129" s="27" t="s">
        <v>823</v>
      </c>
      <c r="G129" s="49" t="s">
        <v>824</v>
      </c>
      <c r="H129" s="25"/>
    </row>
    <row r="130" spans="1:8" x14ac:dyDescent="0.25">
      <c r="A130" t="s">
        <v>186</v>
      </c>
      <c r="B130" s="25" t="s">
        <v>825</v>
      </c>
      <c r="C130" s="25" t="s">
        <v>58</v>
      </c>
      <c r="D130" s="26" t="s">
        <v>826</v>
      </c>
      <c r="E130" s="27">
        <v>28900</v>
      </c>
      <c r="F130" s="27" t="s">
        <v>827</v>
      </c>
      <c r="G130" s="27" t="s">
        <v>828</v>
      </c>
      <c r="H130" s="25"/>
    </row>
    <row r="131" spans="1:8" x14ac:dyDescent="0.25">
      <c r="A131" t="s">
        <v>187</v>
      </c>
      <c r="B131" s="25"/>
      <c r="C131" s="25"/>
      <c r="D131" s="26" t="s">
        <v>782</v>
      </c>
      <c r="E131" s="27"/>
      <c r="F131" s="27"/>
      <c r="G131" s="27"/>
      <c r="H131" s="25"/>
    </row>
    <row r="132" spans="1:8" x14ac:dyDescent="0.25">
      <c r="A132" t="s">
        <v>188</v>
      </c>
      <c r="B132" s="30"/>
      <c r="C132" s="30"/>
      <c r="D132" s="45"/>
      <c r="E132" s="29"/>
      <c r="F132" s="29"/>
      <c r="G132" s="29"/>
      <c r="H132" s="30"/>
    </row>
    <row r="133" spans="1:8" x14ac:dyDescent="0.25">
      <c r="A133" t="s">
        <v>189</v>
      </c>
      <c r="B133" s="25" t="s">
        <v>829</v>
      </c>
      <c r="C133" s="25" t="s">
        <v>58</v>
      </c>
      <c r="D133" s="26" t="s">
        <v>58</v>
      </c>
      <c r="E133" s="50">
        <v>28900</v>
      </c>
      <c r="F133" s="27" t="s">
        <v>830</v>
      </c>
      <c r="G133" s="27" t="s">
        <v>831</v>
      </c>
      <c r="H133" s="25"/>
    </row>
    <row r="134" spans="1:8" x14ac:dyDescent="0.25">
      <c r="A134" t="s">
        <v>190</v>
      </c>
      <c r="B134" s="30"/>
      <c r="C134" s="30"/>
      <c r="D134" s="45"/>
      <c r="E134" s="29"/>
      <c r="F134" s="29"/>
      <c r="G134" s="29"/>
      <c r="H134" s="30"/>
    </row>
    <row r="135" spans="1:8" x14ac:dyDescent="0.25">
      <c r="A135" t="s">
        <v>191</v>
      </c>
      <c r="B135" s="25" t="s">
        <v>822</v>
      </c>
      <c r="C135" s="25" t="s">
        <v>781</v>
      </c>
      <c r="D135" s="26" t="s">
        <v>782</v>
      </c>
      <c r="E135" s="27">
        <v>60804</v>
      </c>
      <c r="F135" s="27" t="s">
        <v>832</v>
      </c>
      <c r="G135" s="27" t="s">
        <v>833</v>
      </c>
      <c r="H135" s="25"/>
    </row>
    <row r="136" spans="1:8" x14ac:dyDescent="0.25">
      <c r="A136" t="s">
        <v>192</v>
      </c>
      <c r="B136" s="25" t="s">
        <v>819</v>
      </c>
      <c r="C136" s="25" t="s">
        <v>58</v>
      </c>
      <c r="D136" s="26" t="s">
        <v>826</v>
      </c>
      <c r="E136" s="27">
        <v>28904</v>
      </c>
      <c r="F136" s="27" t="s">
        <v>834</v>
      </c>
      <c r="G136" s="27" t="s">
        <v>835</v>
      </c>
      <c r="H136" s="25"/>
    </row>
    <row r="137" spans="1:8" x14ac:dyDescent="0.25">
      <c r="A137" t="s">
        <v>193</v>
      </c>
      <c r="B137" s="25" t="s">
        <v>825</v>
      </c>
      <c r="C137" s="25" t="s">
        <v>58</v>
      </c>
      <c r="D137" s="26" t="s">
        <v>826</v>
      </c>
      <c r="E137" s="27">
        <v>28900</v>
      </c>
      <c r="F137" s="27" t="s">
        <v>836</v>
      </c>
      <c r="G137" s="27" t="s">
        <v>837</v>
      </c>
      <c r="H137" s="25"/>
    </row>
    <row r="138" spans="1:8" x14ac:dyDescent="0.25">
      <c r="A138" t="s">
        <v>194</v>
      </c>
      <c r="B138" s="30"/>
      <c r="C138" s="30"/>
      <c r="D138" s="45"/>
      <c r="E138" s="29"/>
      <c r="F138" s="29"/>
      <c r="G138" s="29"/>
      <c r="H138" s="30"/>
    </row>
    <row r="139" spans="1:8" x14ac:dyDescent="0.25">
      <c r="A139" t="s">
        <v>195</v>
      </c>
      <c r="B139" s="25" t="s">
        <v>838</v>
      </c>
      <c r="C139" s="25" t="s">
        <v>781</v>
      </c>
      <c r="D139" s="26" t="s">
        <v>782</v>
      </c>
      <c r="E139" s="27">
        <v>60804</v>
      </c>
      <c r="F139" s="27" t="s">
        <v>839</v>
      </c>
      <c r="G139" s="27" t="s">
        <v>840</v>
      </c>
      <c r="H139" s="25"/>
    </row>
    <row r="140" spans="1:8" x14ac:dyDescent="0.25">
      <c r="A140" t="s">
        <v>196</v>
      </c>
      <c r="B140" s="51" t="s">
        <v>841</v>
      </c>
      <c r="C140" s="51" t="s">
        <v>58</v>
      </c>
      <c r="D140" s="26" t="s">
        <v>826</v>
      </c>
      <c r="E140" s="27"/>
      <c r="F140" s="27" t="s">
        <v>842</v>
      </c>
      <c r="G140" s="31" t="s">
        <v>843</v>
      </c>
      <c r="H140" s="25"/>
    </row>
    <row r="141" spans="1:8" x14ac:dyDescent="0.25">
      <c r="A141" t="s">
        <v>197</v>
      </c>
      <c r="B141" s="25" t="s">
        <v>844</v>
      </c>
      <c r="C141" s="25" t="s">
        <v>58</v>
      </c>
      <c r="D141" s="26" t="s">
        <v>826</v>
      </c>
      <c r="E141" s="27">
        <v>28900</v>
      </c>
      <c r="F141" s="27" t="s">
        <v>845</v>
      </c>
      <c r="G141" s="27" t="s">
        <v>846</v>
      </c>
      <c r="H141" s="25"/>
    </row>
    <row r="142" spans="1:8" x14ac:dyDescent="0.25">
      <c r="A142" t="s">
        <v>198</v>
      </c>
      <c r="B142" s="25" t="s">
        <v>847</v>
      </c>
      <c r="C142" s="25" t="s">
        <v>58</v>
      </c>
      <c r="D142" s="26" t="s">
        <v>803</v>
      </c>
      <c r="E142" s="27">
        <v>28935</v>
      </c>
      <c r="F142" s="27" t="s">
        <v>848</v>
      </c>
      <c r="G142" s="27" t="s">
        <v>849</v>
      </c>
      <c r="H142" s="25"/>
    </row>
    <row r="143" spans="1:8" x14ac:dyDescent="0.25">
      <c r="A143" t="s">
        <v>199</v>
      </c>
      <c r="B143" s="51" t="s">
        <v>850</v>
      </c>
      <c r="C143" s="51" t="s">
        <v>816</v>
      </c>
      <c r="D143" s="27" t="s">
        <v>851</v>
      </c>
      <c r="E143" s="27"/>
      <c r="F143" s="27" t="s">
        <v>852</v>
      </c>
      <c r="G143" s="27" t="s">
        <v>853</v>
      </c>
      <c r="H143" s="25"/>
    </row>
    <row r="144" spans="1:8" x14ac:dyDescent="0.25">
      <c r="A144" t="s">
        <v>200</v>
      </c>
      <c r="B144" s="25" t="s">
        <v>854</v>
      </c>
      <c r="C144" s="25" t="s">
        <v>58</v>
      </c>
      <c r="D144" s="26" t="s">
        <v>803</v>
      </c>
      <c r="E144" s="27">
        <v>28944</v>
      </c>
      <c r="F144" s="27" t="s">
        <v>855</v>
      </c>
      <c r="G144" s="27" t="s">
        <v>856</v>
      </c>
      <c r="H144" s="25"/>
    </row>
    <row r="145" spans="1:8" x14ac:dyDescent="0.25">
      <c r="A145" t="s">
        <v>201</v>
      </c>
      <c r="B145" s="25" t="s">
        <v>854</v>
      </c>
      <c r="C145" s="25" t="s">
        <v>58</v>
      </c>
      <c r="D145" s="26" t="s">
        <v>803</v>
      </c>
      <c r="E145" s="27">
        <v>28944</v>
      </c>
      <c r="F145" s="27" t="s">
        <v>857</v>
      </c>
      <c r="G145" s="27" t="s">
        <v>858</v>
      </c>
      <c r="H145" s="25"/>
    </row>
    <row r="146" spans="1:8" x14ac:dyDescent="0.25">
      <c r="A146" t="s">
        <v>202</v>
      </c>
      <c r="B146" s="25" t="s">
        <v>854</v>
      </c>
      <c r="C146" s="25" t="s">
        <v>58</v>
      </c>
      <c r="D146" s="26" t="s">
        <v>803</v>
      </c>
      <c r="E146" s="27">
        <v>28944</v>
      </c>
      <c r="F146" s="27" t="s">
        <v>859</v>
      </c>
      <c r="G146" s="27" t="s">
        <v>860</v>
      </c>
      <c r="H146" s="25"/>
    </row>
    <row r="147" spans="1:8" x14ac:dyDescent="0.25">
      <c r="A147" t="s">
        <v>203</v>
      </c>
      <c r="B147" s="51" t="s">
        <v>854</v>
      </c>
      <c r="C147" s="51" t="s">
        <v>58</v>
      </c>
      <c r="D147" s="27" t="s">
        <v>803</v>
      </c>
      <c r="E147" s="27"/>
      <c r="F147" s="27" t="s">
        <v>861</v>
      </c>
      <c r="G147" s="27" t="s">
        <v>862</v>
      </c>
      <c r="H147" s="25"/>
    </row>
    <row r="148" spans="1:8" x14ac:dyDescent="0.25">
      <c r="A148" t="s">
        <v>204</v>
      </c>
      <c r="B148" s="25" t="s">
        <v>863</v>
      </c>
      <c r="C148" s="25" t="s">
        <v>58</v>
      </c>
      <c r="D148" s="26" t="s">
        <v>803</v>
      </c>
      <c r="E148" s="27">
        <v>28900</v>
      </c>
      <c r="F148" s="27" t="s">
        <v>864</v>
      </c>
      <c r="G148" s="27" t="s">
        <v>865</v>
      </c>
      <c r="H148" s="25"/>
    </row>
    <row r="149" spans="1:8" x14ac:dyDescent="0.25">
      <c r="A149" t="s">
        <v>205</v>
      </c>
      <c r="B149" s="25" t="s">
        <v>863</v>
      </c>
      <c r="C149" s="25" t="s">
        <v>58</v>
      </c>
      <c r="D149" s="26" t="s">
        <v>803</v>
      </c>
      <c r="E149" s="27">
        <v>28900</v>
      </c>
      <c r="F149" s="27" t="s">
        <v>866</v>
      </c>
      <c r="G149" s="27" t="s">
        <v>867</v>
      </c>
      <c r="H149" s="25"/>
    </row>
    <row r="150" spans="1:8" x14ac:dyDescent="0.25">
      <c r="A150" t="s">
        <v>206</v>
      </c>
      <c r="B150" s="25" t="s">
        <v>868</v>
      </c>
      <c r="C150" s="25" t="s">
        <v>58</v>
      </c>
      <c r="D150" s="26" t="s">
        <v>803</v>
      </c>
      <c r="E150" s="27">
        <v>28300</v>
      </c>
      <c r="F150" s="27" t="s">
        <v>869</v>
      </c>
      <c r="G150" s="27" t="s">
        <v>870</v>
      </c>
      <c r="H150" s="25"/>
    </row>
    <row r="151" spans="1:8" x14ac:dyDescent="0.25">
      <c r="A151" t="s">
        <v>207</v>
      </c>
      <c r="B151" s="51" t="s">
        <v>871</v>
      </c>
      <c r="C151" s="51" t="s">
        <v>58</v>
      </c>
      <c r="D151" s="27" t="s">
        <v>803</v>
      </c>
      <c r="E151" s="27"/>
      <c r="F151" s="27" t="s">
        <v>872</v>
      </c>
      <c r="G151" s="27" t="s">
        <v>873</v>
      </c>
      <c r="H151" s="25"/>
    </row>
    <row r="152" spans="1:8" x14ac:dyDescent="0.25">
      <c r="A152" t="s">
        <v>208</v>
      </c>
      <c r="B152" s="30"/>
      <c r="C152" s="30"/>
      <c r="D152" s="45"/>
      <c r="E152" s="29"/>
      <c r="F152" s="29"/>
      <c r="G152" s="29"/>
      <c r="H152" s="30"/>
    </row>
    <row r="153" spans="1:8" x14ac:dyDescent="0.25">
      <c r="A153" t="s">
        <v>209</v>
      </c>
      <c r="B153" s="30"/>
      <c r="C153" s="30"/>
      <c r="D153" s="45"/>
      <c r="E153" s="29"/>
      <c r="F153" s="29"/>
      <c r="G153" s="29"/>
      <c r="H153" s="30"/>
    </row>
    <row r="154" spans="1:8" x14ac:dyDescent="0.25">
      <c r="A154" t="s">
        <v>210</v>
      </c>
      <c r="B154" s="25" t="s">
        <v>874</v>
      </c>
      <c r="C154" s="25" t="s">
        <v>781</v>
      </c>
      <c r="D154" s="26" t="s">
        <v>875</v>
      </c>
      <c r="E154" s="27">
        <v>60800</v>
      </c>
      <c r="F154" s="27" t="s">
        <v>876</v>
      </c>
      <c r="G154" s="27" t="s">
        <v>877</v>
      </c>
      <c r="H154" s="25"/>
    </row>
    <row r="155" spans="1:8" x14ac:dyDescent="0.25">
      <c r="A155" t="s">
        <v>211</v>
      </c>
      <c r="B155" s="42" t="s">
        <v>787</v>
      </c>
      <c r="C155" s="25" t="s">
        <v>781</v>
      </c>
      <c r="D155" s="26" t="s">
        <v>782</v>
      </c>
      <c r="E155" s="27">
        <v>60805</v>
      </c>
      <c r="F155" s="27" t="s">
        <v>878</v>
      </c>
      <c r="G155" s="27" t="s">
        <v>879</v>
      </c>
      <c r="H155" s="25"/>
    </row>
    <row r="156" spans="1:8" x14ac:dyDescent="0.25">
      <c r="A156" t="s">
        <v>212</v>
      </c>
      <c r="B156" s="42" t="s">
        <v>787</v>
      </c>
      <c r="C156" s="25" t="s">
        <v>781</v>
      </c>
      <c r="D156" s="26" t="s">
        <v>803</v>
      </c>
      <c r="E156" s="27">
        <v>60805</v>
      </c>
      <c r="F156" s="27" t="s">
        <v>880</v>
      </c>
      <c r="G156" s="27" t="s">
        <v>881</v>
      </c>
      <c r="H156" s="28"/>
    </row>
    <row r="157" spans="1:8" x14ac:dyDescent="0.25">
      <c r="A157" t="s">
        <v>213</v>
      </c>
      <c r="B157" s="30"/>
      <c r="C157" s="30"/>
      <c r="D157" s="45"/>
      <c r="E157" s="29"/>
      <c r="F157" s="29"/>
      <c r="G157" s="29"/>
      <c r="H157" s="30"/>
    </row>
    <row r="158" spans="1:8" x14ac:dyDescent="0.25">
      <c r="A158" t="s">
        <v>214</v>
      </c>
      <c r="B158" s="25" t="s">
        <v>882</v>
      </c>
      <c r="C158" s="25" t="s">
        <v>58</v>
      </c>
      <c r="D158" s="26" t="s">
        <v>803</v>
      </c>
      <c r="E158" s="27">
        <v>28930</v>
      </c>
      <c r="F158" s="27" t="s">
        <v>883</v>
      </c>
      <c r="G158" s="27" t="s">
        <v>884</v>
      </c>
      <c r="H158" s="28"/>
    </row>
    <row r="159" spans="1:8" x14ac:dyDescent="0.25">
      <c r="A159" t="s">
        <v>215</v>
      </c>
      <c r="B159" s="25"/>
      <c r="C159" s="25"/>
      <c r="D159" s="26" t="s">
        <v>885</v>
      </c>
      <c r="E159" s="27"/>
      <c r="F159" s="27"/>
      <c r="G159" s="27"/>
      <c r="H159" s="25"/>
    </row>
    <row r="160" spans="1:8" x14ac:dyDescent="0.25">
      <c r="A160" t="s">
        <v>216</v>
      </c>
      <c r="B160" s="25" t="s">
        <v>886</v>
      </c>
      <c r="C160" s="25" t="s">
        <v>58</v>
      </c>
      <c r="D160" s="26" t="s">
        <v>885</v>
      </c>
      <c r="E160" s="27">
        <v>28803</v>
      </c>
      <c r="F160" s="27" t="s">
        <v>887</v>
      </c>
      <c r="G160" s="31" t="s">
        <v>888</v>
      </c>
      <c r="H160" s="25"/>
    </row>
    <row r="161" spans="1:8" x14ac:dyDescent="0.25">
      <c r="A161" t="s">
        <v>217</v>
      </c>
      <c r="B161" s="25" t="s">
        <v>889</v>
      </c>
      <c r="C161" s="25" t="s">
        <v>58</v>
      </c>
      <c r="D161" s="26" t="s">
        <v>890</v>
      </c>
      <c r="E161" s="27">
        <v>28834</v>
      </c>
      <c r="F161" s="27" t="s">
        <v>891</v>
      </c>
      <c r="G161" s="27" t="s">
        <v>892</v>
      </c>
      <c r="H161" s="25"/>
    </row>
    <row r="162" spans="1:8" x14ac:dyDescent="0.25">
      <c r="A162" t="s">
        <v>218</v>
      </c>
      <c r="B162" s="25"/>
      <c r="C162" s="25"/>
      <c r="D162" s="26" t="s">
        <v>890</v>
      </c>
      <c r="E162" s="27"/>
      <c r="F162" s="27"/>
      <c r="G162" s="27"/>
      <c r="H162" s="25"/>
    </row>
    <row r="163" spans="1:8" x14ac:dyDescent="0.25">
      <c r="A163" t="s">
        <v>219</v>
      </c>
      <c r="B163" s="25"/>
      <c r="C163" s="25"/>
      <c r="D163" s="26" t="s">
        <v>885</v>
      </c>
      <c r="E163" s="27"/>
      <c r="F163" s="27"/>
      <c r="G163" s="27"/>
      <c r="H163" s="25"/>
    </row>
    <row r="164" spans="1:8" ht="24.75" x14ac:dyDescent="0.25">
      <c r="A164" t="s">
        <v>220</v>
      </c>
      <c r="B164" s="52" t="s">
        <v>893</v>
      </c>
      <c r="C164" s="25" t="s">
        <v>58</v>
      </c>
      <c r="D164" s="26" t="s">
        <v>890</v>
      </c>
      <c r="E164" s="27">
        <v>28838</v>
      </c>
      <c r="F164" t="s">
        <v>894</v>
      </c>
      <c r="G164" s="27"/>
      <c r="H164" s="25"/>
    </row>
    <row r="165" spans="1:8" x14ac:dyDescent="0.25">
      <c r="A165" t="s">
        <v>221</v>
      </c>
      <c r="B165" s="25" t="s">
        <v>886</v>
      </c>
      <c r="C165" s="25" t="s">
        <v>58</v>
      </c>
      <c r="D165" s="26" t="s">
        <v>885</v>
      </c>
      <c r="E165" s="27">
        <v>28803</v>
      </c>
      <c r="F165" s="27" t="s">
        <v>895</v>
      </c>
      <c r="G165" s="27" t="s">
        <v>896</v>
      </c>
      <c r="H165" s="25"/>
    </row>
    <row r="166" spans="1:8" x14ac:dyDescent="0.25">
      <c r="A166" t="s">
        <v>222</v>
      </c>
      <c r="B166" s="25" t="s">
        <v>897</v>
      </c>
      <c r="C166" s="25" t="s">
        <v>898</v>
      </c>
      <c r="D166" s="26" t="s">
        <v>890</v>
      </c>
      <c r="E166" s="27">
        <v>48995</v>
      </c>
      <c r="F166" s="27" t="s">
        <v>899</v>
      </c>
      <c r="G166" s="27" t="s">
        <v>900</v>
      </c>
      <c r="H166" s="25"/>
    </row>
    <row r="167" spans="1:8" x14ac:dyDescent="0.25">
      <c r="A167" t="s">
        <v>223</v>
      </c>
      <c r="B167" s="25"/>
      <c r="C167" s="25"/>
      <c r="D167" s="26"/>
      <c r="E167" s="27"/>
      <c r="F167" s="27"/>
      <c r="G167" s="27"/>
      <c r="H167" s="25"/>
    </row>
    <row r="168" spans="1:8" x14ac:dyDescent="0.25">
      <c r="A168" t="s">
        <v>224</v>
      </c>
      <c r="B168" s="25" t="s">
        <v>897</v>
      </c>
      <c r="C168" s="25" t="s">
        <v>898</v>
      </c>
      <c r="D168" s="26" t="s">
        <v>890</v>
      </c>
      <c r="E168" s="27">
        <v>48995</v>
      </c>
      <c r="F168" s="27" t="s">
        <v>901</v>
      </c>
      <c r="G168" s="27" t="s">
        <v>902</v>
      </c>
      <c r="H168" s="25"/>
    </row>
    <row r="169" spans="1:8" x14ac:dyDescent="0.25">
      <c r="A169" t="s">
        <v>225</v>
      </c>
      <c r="B169" s="30"/>
      <c r="C169" s="30"/>
      <c r="D169" s="45"/>
      <c r="E169" s="29"/>
      <c r="F169" s="29"/>
      <c r="G169" s="29"/>
      <c r="H169" s="30"/>
    </row>
    <row r="170" spans="1:8" x14ac:dyDescent="0.25">
      <c r="A170" t="s">
        <v>226</v>
      </c>
      <c r="B170" s="30" t="s">
        <v>903</v>
      </c>
      <c r="C170" s="30"/>
      <c r="D170" s="45"/>
      <c r="E170" s="29"/>
      <c r="F170" s="29"/>
      <c r="G170" s="29"/>
      <c r="H170" s="30"/>
    </row>
    <row r="171" spans="1:8" x14ac:dyDescent="0.25">
      <c r="A171" t="s">
        <v>227</v>
      </c>
      <c r="B171" s="30"/>
      <c r="C171" s="30"/>
      <c r="D171" s="45"/>
      <c r="E171" s="29"/>
      <c r="F171" s="29"/>
      <c r="G171" s="29"/>
      <c r="H171" s="30"/>
    </row>
    <row r="172" spans="1:8" x14ac:dyDescent="0.25">
      <c r="A172" t="s">
        <v>228</v>
      </c>
      <c r="B172" s="42" t="s">
        <v>787</v>
      </c>
      <c r="C172" s="25" t="s">
        <v>781</v>
      </c>
      <c r="D172" s="26" t="s">
        <v>782</v>
      </c>
      <c r="E172" s="27">
        <v>60806</v>
      </c>
      <c r="F172" s="27" t="s">
        <v>880</v>
      </c>
      <c r="G172" s="27" t="s">
        <v>904</v>
      </c>
      <c r="H172" s="25"/>
    </row>
    <row r="173" spans="1:8" x14ac:dyDescent="0.25">
      <c r="A173" t="s">
        <v>229</v>
      </c>
      <c r="B173" s="42" t="s">
        <v>787</v>
      </c>
      <c r="C173" s="25" t="s">
        <v>781</v>
      </c>
      <c r="D173" s="26" t="s">
        <v>782</v>
      </c>
      <c r="E173" s="53">
        <v>60805</v>
      </c>
      <c r="F173" s="27" t="s">
        <v>905</v>
      </c>
      <c r="G173" s="31" t="s">
        <v>906</v>
      </c>
      <c r="H173" s="25"/>
    </row>
    <row r="174" spans="1:8" x14ac:dyDescent="0.25">
      <c r="A174" t="s">
        <v>230</v>
      </c>
      <c r="B174" s="25" t="s">
        <v>907</v>
      </c>
      <c r="C174" s="25" t="s">
        <v>58</v>
      </c>
      <c r="D174" s="26" t="s">
        <v>907</v>
      </c>
      <c r="E174" s="27">
        <v>28834</v>
      </c>
      <c r="F174" s="27" t="s">
        <v>908</v>
      </c>
      <c r="G174" s="31" t="s">
        <v>909</v>
      </c>
      <c r="H174" s="54"/>
    </row>
    <row r="175" spans="1:8" x14ac:dyDescent="0.25">
      <c r="A175" t="s">
        <v>231</v>
      </c>
      <c r="B175" s="30"/>
      <c r="C175" s="30"/>
      <c r="D175" s="45"/>
      <c r="E175" s="29"/>
      <c r="F175" s="29"/>
      <c r="G175" s="29"/>
      <c r="H175" s="30"/>
    </row>
    <row r="176" spans="1:8" x14ac:dyDescent="0.25">
      <c r="A176" t="s">
        <v>232</v>
      </c>
      <c r="B176" s="25"/>
      <c r="C176" s="25"/>
      <c r="D176" s="26" t="s">
        <v>826</v>
      </c>
      <c r="E176" s="27"/>
      <c r="F176" s="27"/>
      <c r="G176" s="27"/>
      <c r="H176" s="25"/>
    </row>
    <row r="177" spans="1:8" x14ac:dyDescent="0.25">
      <c r="A177" t="s">
        <v>233</v>
      </c>
      <c r="B177" s="25" t="s">
        <v>910</v>
      </c>
      <c r="C177" s="25" t="s">
        <v>58</v>
      </c>
      <c r="D177" s="26" t="s">
        <v>826</v>
      </c>
      <c r="E177" s="27">
        <v>28940</v>
      </c>
      <c r="F177" s="27" t="s">
        <v>911</v>
      </c>
      <c r="G177" s="27" t="s">
        <v>912</v>
      </c>
      <c r="H177" s="25"/>
    </row>
    <row r="178" spans="1:8" x14ac:dyDescent="0.25">
      <c r="A178" s="17" t="s">
        <v>234</v>
      </c>
      <c r="B178" s="30" t="s">
        <v>910</v>
      </c>
      <c r="C178" s="30" t="s">
        <v>58</v>
      </c>
      <c r="D178" s="45" t="s">
        <v>826</v>
      </c>
      <c r="E178" s="29">
        <v>28940</v>
      </c>
      <c r="F178" s="29" t="s">
        <v>913</v>
      </c>
      <c r="G178" s="29" t="s">
        <v>914</v>
      </c>
      <c r="H178" s="30"/>
    </row>
    <row r="179" spans="1:8" x14ac:dyDescent="0.25">
      <c r="A179" t="s">
        <v>235</v>
      </c>
      <c r="B179" s="51" t="s">
        <v>915</v>
      </c>
      <c r="C179" s="51" t="s">
        <v>816</v>
      </c>
      <c r="D179" s="27" t="s">
        <v>916</v>
      </c>
      <c r="E179" s="27"/>
      <c r="F179" s="27" t="s">
        <v>917</v>
      </c>
      <c r="G179" s="27" t="s">
        <v>918</v>
      </c>
      <c r="H179" s="25"/>
    </row>
    <row r="180" spans="1:8" x14ac:dyDescent="0.25">
      <c r="A180" t="s">
        <v>236</v>
      </c>
      <c r="B180" s="25" t="s">
        <v>919</v>
      </c>
      <c r="C180" s="25" t="s">
        <v>816</v>
      </c>
      <c r="D180" s="26" t="s">
        <v>782</v>
      </c>
      <c r="E180" s="27"/>
      <c r="F180" s="27" t="s">
        <v>920</v>
      </c>
      <c r="G180" s="27"/>
      <c r="H180" s="25"/>
    </row>
    <row r="181" spans="1:8" x14ac:dyDescent="0.25">
      <c r="A181" t="s">
        <v>237</v>
      </c>
      <c r="B181" s="25" t="s">
        <v>822</v>
      </c>
      <c r="C181" s="25" t="s">
        <v>781</v>
      </c>
      <c r="D181" s="26" t="s">
        <v>782</v>
      </c>
      <c r="E181" s="27">
        <v>60804</v>
      </c>
      <c r="F181" s="27" t="s">
        <v>921</v>
      </c>
      <c r="G181" s="27" t="s">
        <v>922</v>
      </c>
      <c r="H181" s="25"/>
    </row>
    <row r="182" spans="1:8" x14ac:dyDescent="0.25">
      <c r="A182" t="s">
        <v>238</v>
      </c>
      <c r="B182" s="25" t="s">
        <v>923</v>
      </c>
      <c r="C182" s="25" t="s">
        <v>781</v>
      </c>
      <c r="D182" s="26" t="s">
        <v>782</v>
      </c>
      <c r="E182" s="27">
        <v>60800</v>
      </c>
      <c r="F182" s="27" t="s">
        <v>924</v>
      </c>
      <c r="G182" s="27" t="s">
        <v>925</v>
      </c>
      <c r="H182" s="25"/>
    </row>
    <row r="183" spans="1:8" x14ac:dyDescent="0.25">
      <c r="A183" t="s">
        <v>239</v>
      </c>
      <c r="B183" s="25" t="s">
        <v>926</v>
      </c>
      <c r="C183" s="25" t="s">
        <v>781</v>
      </c>
      <c r="D183" s="26" t="s">
        <v>927</v>
      </c>
      <c r="E183" s="27">
        <v>60807</v>
      </c>
      <c r="F183" s="27" t="s">
        <v>928</v>
      </c>
      <c r="G183" s="27" t="s">
        <v>929</v>
      </c>
      <c r="H183" s="25"/>
    </row>
    <row r="184" spans="1:8" x14ac:dyDescent="0.25">
      <c r="A184" t="s">
        <v>240</v>
      </c>
      <c r="B184" s="25" t="s">
        <v>930</v>
      </c>
      <c r="C184" s="25" t="s">
        <v>781</v>
      </c>
      <c r="D184" s="26" t="s">
        <v>927</v>
      </c>
      <c r="E184" s="27">
        <v>60807</v>
      </c>
      <c r="F184" s="27" t="s">
        <v>931</v>
      </c>
      <c r="G184" s="27" t="s">
        <v>932</v>
      </c>
      <c r="H184" s="25"/>
    </row>
    <row r="185" spans="1:8" x14ac:dyDescent="0.25">
      <c r="A185" t="s">
        <v>241</v>
      </c>
      <c r="B185" s="25" t="s">
        <v>923</v>
      </c>
      <c r="C185" s="25" t="s">
        <v>781</v>
      </c>
      <c r="D185" s="26" t="s">
        <v>782</v>
      </c>
      <c r="E185" s="27">
        <v>60800</v>
      </c>
      <c r="F185" s="27" t="s">
        <v>933</v>
      </c>
      <c r="G185" s="27" t="s">
        <v>934</v>
      </c>
      <c r="H185" s="25"/>
    </row>
    <row r="186" spans="1:8" x14ac:dyDescent="0.25">
      <c r="A186" t="s">
        <v>242</v>
      </c>
      <c r="B186" s="25" t="s">
        <v>923</v>
      </c>
      <c r="C186" s="25" t="s">
        <v>781</v>
      </c>
      <c r="D186" s="26" t="s">
        <v>782</v>
      </c>
      <c r="E186" s="27">
        <v>60800</v>
      </c>
      <c r="F186" s="27" t="s">
        <v>935</v>
      </c>
      <c r="G186" s="27" t="s">
        <v>936</v>
      </c>
      <c r="H186" s="25"/>
    </row>
    <row r="187" spans="1:8" x14ac:dyDescent="0.25">
      <c r="A187" t="s">
        <v>243</v>
      </c>
      <c r="B187" s="42" t="s">
        <v>787</v>
      </c>
      <c r="C187" s="25" t="s">
        <v>781</v>
      </c>
      <c r="D187" s="26" t="s">
        <v>782</v>
      </c>
      <c r="E187" s="27">
        <v>60380</v>
      </c>
      <c r="F187" s="27" t="s">
        <v>937</v>
      </c>
      <c r="G187" s="31" t="s">
        <v>938</v>
      </c>
      <c r="H187" s="25"/>
    </row>
    <row r="188" spans="1:8" x14ac:dyDescent="0.25">
      <c r="A188" t="s">
        <v>244</v>
      </c>
      <c r="B188" s="30"/>
      <c r="C188" s="30"/>
      <c r="D188" s="45"/>
      <c r="E188" s="29"/>
      <c r="F188" s="29"/>
      <c r="G188" s="29"/>
      <c r="H188" s="30"/>
    </row>
    <row r="189" spans="1:8" x14ac:dyDescent="0.25">
      <c r="A189" t="s">
        <v>245</v>
      </c>
      <c r="B189" s="25" t="s">
        <v>939</v>
      </c>
      <c r="C189" s="25"/>
      <c r="D189" s="26" t="s">
        <v>782</v>
      </c>
      <c r="E189" s="53">
        <v>60805</v>
      </c>
      <c r="F189" s="27" t="s">
        <v>940</v>
      </c>
      <c r="G189" s="27"/>
      <c r="H189" s="25"/>
    </row>
    <row r="190" spans="1:8" x14ac:dyDescent="0.25">
      <c r="A190" t="s">
        <v>246</v>
      </c>
      <c r="B190" s="30"/>
      <c r="C190" s="30"/>
      <c r="D190" s="45"/>
      <c r="E190" s="29"/>
      <c r="F190" s="29"/>
      <c r="G190" s="29"/>
      <c r="H190" s="30"/>
    </row>
    <row r="191" spans="1:8" x14ac:dyDescent="0.25">
      <c r="A191" t="s">
        <v>247</v>
      </c>
      <c r="B191" s="30"/>
      <c r="C191" s="30"/>
      <c r="D191" s="45"/>
      <c r="E191" s="29"/>
      <c r="F191" s="29"/>
      <c r="G191" s="29"/>
      <c r="H191" s="30"/>
    </row>
    <row r="192" spans="1:8" x14ac:dyDescent="0.25">
      <c r="A192" t="s">
        <v>248</v>
      </c>
      <c r="B192" s="55" t="s">
        <v>841</v>
      </c>
      <c r="C192" s="55" t="s">
        <v>58</v>
      </c>
      <c r="D192" s="26" t="s">
        <v>826</v>
      </c>
      <c r="E192" s="27">
        <v>28900</v>
      </c>
      <c r="F192" s="27" t="s">
        <v>941</v>
      </c>
      <c r="G192" s="27" t="s">
        <v>942</v>
      </c>
      <c r="H192" s="25"/>
    </row>
    <row r="193" spans="1:8" x14ac:dyDescent="0.25">
      <c r="A193" t="s">
        <v>249</v>
      </c>
      <c r="B193" s="19" t="s">
        <v>844</v>
      </c>
      <c r="C193" s="25" t="s">
        <v>58</v>
      </c>
      <c r="D193" s="26" t="s">
        <v>826</v>
      </c>
      <c r="E193" s="27">
        <v>28900</v>
      </c>
      <c r="F193" s="27"/>
      <c r="G193" s="27"/>
      <c r="H193" s="25"/>
    </row>
    <row r="194" spans="1:8" x14ac:dyDescent="0.25">
      <c r="A194" s="17" t="s">
        <v>250</v>
      </c>
      <c r="B194" s="32"/>
      <c r="C194" s="32"/>
      <c r="D194" s="33" t="s">
        <v>782</v>
      </c>
      <c r="E194" s="34"/>
      <c r="F194" s="34"/>
      <c r="G194" s="34"/>
      <c r="H194" s="32"/>
    </row>
    <row r="195" spans="1:8" x14ac:dyDescent="0.25">
      <c r="A195" t="s">
        <v>251</v>
      </c>
      <c r="B195" s="30"/>
      <c r="C195" s="30"/>
      <c r="D195" s="45"/>
      <c r="E195" s="29"/>
      <c r="F195" s="29"/>
      <c r="G195" s="29"/>
      <c r="H195" s="30"/>
    </row>
    <row r="196" spans="1:8" ht="36.75" x14ac:dyDescent="0.25">
      <c r="A196" t="s">
        <v>252</v>
      </c>
      <c r="B196" s="52" t="s">
        <v>943</v>
      </c>
      <c r="C196" s="25" t="s">
        <v>781</v>
      </c>
      <c r="D196" s="26" t="s">
        <v>782</v>
      </c>
      <c r="E196" s="27"/>
      <c r="F196" t="s">
        <v>944</v>
      </c>
      <c r="G196" s="27"/>
      <c r="H196" s="25"/>
    </row>
    <row r="197" spans="1:8" x14ac:dyDescent="0.25">
      <c r="A197" t="s">
        <v>253</v>
      </c>
      <c r="B197" s="25"/>
      <c r="C197" s="25"/>
      <c r="D197" s="26" t="s">
        <v>927</v>
      </c>
      <c r="E197" s="27"/>
      <c r="F197" s="27"/>
      <c r="G197" s="27"/>
      <c r="H197" s="25"/>
    </row>
    <row r="198" spans="1:8" x14ac:dyDescent="0.25">
      <c r="A198" t="s">
        <v>254</v>
      </c>
      <c r="B198" s="25"/>
      <c r="C198" s="25"/>
      <c r="D198" s="26" t="s">
        <v>782</v>
      </c>
      <c r="E198" s="27"/>
      <c r="F198" s="27"/>
      <c r="G198" s="27"/>
      <c r="H198" s="25"/>
    </row>
    <row r="199" spans="1:8" x14ac:dyDescent="0.25">
      <c r="A199" t="s">
        <v>255</v>
      </c>
      <c r="B199" s="25" t="s">
        <v>923</v>
      </c>
      <c r="C199" s="25" t="s">
        <v>781</v>
      </c>
      <c r="D199" s="26" t="s">
        <v>945</v>
      </c>
      <c r="E199" s="27">
        <v>61800</v>
      </c>
      <c r="F199" s="27" t="s">
        <v>946</v>
      </c>
      <c r="G199" s="27" t="s">
        <v>947</v>
      </c>
      <c r="H199" s="25"/>
    </row>
    <row r="200" spans="1:8" x14ac:dyDescent="0.25">
      <c r="A200" t="s">
        <v>256</v>
      </c>
      <c r="B200" s="25" t="s">
        <v>815</v>
      </c>
      <c r="C200" s="25" t="s">
        <v>816</v>
      </c>
      <c r="D200" s="26" t="s">
        <v>782</v>
      </c>
      <c r="E200" s="27"/>
      <c r="F200" s="27" t="s">
        <v>948</v>
      </c>
      <c r="G200" s="27"/>
      <c r="H200" s="25"/>
    </row>
    <row r="201" spans="1:8" x14ac:dyDescent="0.25">
      <c r="A201" t="s">
        <v>257</v>
      </c>
      <c r="B201" s="25" t="s">
        <v>949</v>
      </c>
      <c r="C201" s="25" t="s">
        <v>781</v>
      </c>
      <c r="D201" s="26" t="s">
        <v>851</v>
      </c>
      <c r="E201" s="27">
        <v>60727</v>
      </c>
      <c r="F201" s="27" t="s">
        <v>950</v>
      </c>
      <c r="G201" s="27" t="s">
        <v>951</v>
      </c>
      <c r="H201" s="25"/>
    </row>
    <row r="202" spans="1:8" ht="15.75" thickBot="1" x14ac:dyDescent="0.3">
      <c r="A202" t="s">
        <v>258</v>
      </c>
      <c r="B202" s="56"/>
      <c r="C202" s="25"/>
      <c r="D202" s="26" t="s">
        <v>782</v>
      </c>
      <c r="E202" s="27"/>
      <c r="F202" s="27"/>
      <c r="G202" s="27"/>
      <c r="H202" s="25"/>
    </row>
    <row r="203" spans="1:8" x14ac:dyDescent="0.25">
      <c r="A203" t="s">
        <v>259</v>
      </c>
      <c r="B203" s="25" t="s">
        <v>841</v>
      </c>
      <c r="C203" s="25" t="s">
        <v>58</v>
      </c>
      <c r="D203" s="26" t="s">
        <v>826</v>
      </c>
      <c r="E203" s="27">
        <v>28900</v>
      </c>
      <c r="F203" s="27" t="s">
        <v>952</v>
      </c>
      <c r="G203" s="27" t="s">
        <v>953</v>
      </c>
      <c r="H203" s="25"/>
    </row>
    <row r="204" spans="1:8" x14ac:dyDescent="0.25">
      <c r="A204" t="s">
        <v>260</v>
      </c>
      <c r="B204" s="30" t="s">
        <v>954</v>
      </c>
      <c r="C204" s="30" t="s">
        <v>58</v>
      </c>
      <c r="D204" s="45" t="s">
        <v>955</v>
      </c>
      <c r="E204" s="29">
        <v>28936</v>
      </c>
      <c r="F204" s="29" t="s">
        <v>956</v>
      </c>
      <c r="G204" s="29" t="s">
        <v>957</v>
      </c>
      <c r="H204" s="30"/>
    </row>
    <row r="205" spans="1:8" x14ac:dyDescent="0.25">
      <c r="A205" t="s">
        <v>261</v>
      </c>
      <c r="B205" s="43" t="s">
        <v>958</v>
      </c>
      <c r="C205" s="25" t="s">
        <v>816</v>
      </c>
      <c r="D205" s="26" t="s">
        <v>782</v>
      </c>
      <c r="E205" s="27"/>
      <c r="F205" s="27" t="s">
        <v>959</v>
      </c>
      <c r="G205" s="27"/>
      <c r="H205" s="25"/>
    </row>
    <row r="206" spans="1:8" x14ac:dyDescent="0.25">
      <c r="A206" s="17" t="s">
        <v>262</v>
      </c>
      <c r="B206" s="30"/>
      <c r="C206" s="30"/>
      <c r="D206" s="45" t="s">
        <v>782</v>
      </c>
      <c r="E206" s="29"/>
      <c r="F206" s="29"/>
      <c r="G206" s="29"/>
      <c r="H206" s="30"/>
    </row>
    <row r="207" spans="1:8" x14ac:dyDescent="0.25">
      <c r="A207" t="s">
        <v>263</v>
      </c>
      <c r="B207" s="30"/>
      <c r="C207" s="25"/>
      <c r="D207" s="26" t="s">
        <v>782</v>
      </c>
      <c r="E207" s="27"/>
      <c r="F207" s="27" t="s">
        <v>960</v>
      </c>
      <c r="G207" s="27"/>
      <c r="H207" s="25"/>
    </row>
    <row r="208" spans="1:8" x14ac:dyDescent="0.25">
      <c r="A208" t="s">
        <v>264</v>
      </c>
      <c r="B208" s="57" t="s">
        <v>813</v>
      </c>
      <c r="C208" s="25" t="s">
        <v>781</v>
      </c>
      <c r="D208" s="26" t="s">
        <v>782</v>
      </c>
      <c r="E208" s="27"/>
      <c r="F208" s="27" t="s">
        <v>961</v>
      </c>
      <c r="G208" s="27"/>
      <c r="H208" s="25"/>
    </row>
    <row r="209" spans="1:8" x14ac:dyDescent="0.25">
      <c r="A209" t="s">
        <v>265</v>
      </c>
      <c r="B209" s="42" t="s">
        <v>787</v>
      </c>
      <c r="C209" s="25" t="s">
        <v>781</v>
      </c>
      <c r="D209" s="26" t="s">
        <v>782</v>
      </c>
      <c r="E209" s="27">
        <v>60805</v>
      </c>
      <c r="F209" s="27" t="s">
        <v>962</v>
      </c>
      <c r="G209" s="27" t="s">
        <v>963</v>
      </c>
      <c r="H209" s="25"/>
    </row>
    <row r="210" spans="1:8" x14ac:dyDescent="0.25">
      <c r="A210" t="s">
        <v>266</v>
      </c>
      <c r="B210" s="42" t="s">
        <v>787</v>
      </c>
      <c r="C210" s="25" t="s">
        <v>781</v>
      </c>
      <c r="D210" s="26" t="s">
        <v>782</v>
      </c>
      <c r="E210" s="27">
        <v>60805</v>
      </c>
      <c r="F210" s="27" t="s">
        <v>964</v>
      </c>
      <c r="G210" s="27" t="s">
        <v>965</v>
      </c>
      <c r="H210" s="25"/>
    </row>
    <row r="211" spans="1:8" x14ac:dyDescent="0.25">
      <c r="A211" t="s">
        <v>267</v>
      </c>
      <c r="B211" s="25"/>
      <c r="C211" s="25"/>
      <c r="D211" s="26" t="s">
        <v>782</v>
      </c>
      <c r="E211" s="27"/>
      <c r="F211" s="27"/>
      <c r="G211" s="27"/>
      <c r="H211" s="25"/>
    </row>
    <row r="212" spans="1:8" x14ac:dyDescent="0.25">
      <c r="A212" t="s">
        <v>268</v>
      </c>
      <c r="B212" s="30"/>
      <c r="C212" s="30"/>
      <c r="D212" s="45" t="s">
        <v>966</v>
      </c>
      <c r="E212" s="29"/>
      <c r="F212" s="29"/>
      <c r="G212" s="29"/>
      <c r="H212" s="30"/>
    </row>
    <row r="213" spans="1:8" x14ac:dyDescent="0.25">
      <c r="A213" t="s">
        <v>269</v>
      </c>
      <c r="B213" s="25" t="s">
        <v>967</v>
      </c>
      <c r="C213" s="25" t="s">
        <v>58</v>
      </c>
      <c r="D213" s="26" t="s">
        <v>803</v>
      </c>
      <c r="E213" s="27">
        <v>28130</v>
      </c>
      <c r="F213" s="27" t="s">
        <v>968</v>
      </c>
      <c r="G213" s="27" t="s">
        <v>969</v>
      </c>
      <c r="H213" s="28"/>
    </row>
    <row r="214" spans="1:8" x14ac:dyDescent="0.25">
      <c r="A214" t="s">
        <v>270</v>
      </c>
      <c r="B214" s="25" t="s">
        <v>970</v>
      </c>
      <c r="C214" s="25" t="s">
        <v>816</v>
      </c>
      <c r="D214" s="26" t="s">
        <v>782</v>
      </c>
      <c r="E214" s="53">
        <v>60805</v>
      </c>
      <c r="F214" s="27" t="s">
        <v>971</v>
      </c>
      <c r="G214" s="27"/>
      <c r="H214" s="25"/>
    </row>
    <row r="215" spans="1:8" x14ac:dyDescent="0.25">
      <c r="A215" t="s">
        <v>271</v>
      </c>
      <c r="B215" s="25" t="s">
        <v>871</v>
      </c>
      <c r="C215" s="25" t="s">
        <v>58</v>
      </c>
      <c r="D215" s="26" t="s">
        <v>803</v>
      </c>
      <c r="E215" s="50">
        <v>28930</v>
      </c>
      <c r="F215" s="27" t="s">
        <v>972</v>
      </c>
      <c r="G215" s="27" t="s">
        <v>973</v>
      </c>
      <c r="H215" s="25"/>
    </row>
    <row r="216" spans="1:8" x14ac:dyDescent="0.25">
      <c r="A216" t="s">
        <v>272</v>
      </c>
      <c r="B216" s="30"/>
      <c r="C216" s="30"/>
      <c r="D216" s="45"/>
      <c r="E216" s="29"/>
      <c r="F216" s="29"/>
      <c r="G216" s="29"/>
      <c r="H216" s="30"/>
    </row>
    <row r="217" spans="1:8" x14ac:dyDescent="0.25">
      <c r="A217" t="s">
        <v>273</v>
      </c>
      <c r="B217" s="25" t="s">
        <v>974</v>
      </c>
      <c r="C217" s="25" t="s">
        <v>816</v>
      </c>
      <c r="D217" s="26" t="s">
        <v>782</v>
      </c>
      <c r="E217" s="27"/>
      <c r="F217" s="27" t="s">
        <v>975</v>
      </c>
      <c r="G217" s="27" t="s">
        <v>976</v>
      </c>
      <c r="H217" s="25"/>
    </row>
    <row r="218" spans="1:8" x14ac:dyDescent="0.25">
      <c r="A218" t="s">
        <v>274</v>
      </c>
      <c r="B218" s="25" t="s">
        <v>977</v>
      </c>
      <c r="C218" s="25" t="s">
        <v>58</v>
      </c>
      <c r="D218" s="26" t="s">
        <v>803</v>
      </c>
      <c r="E218" s="27"/>
      <c r="F218" s="27" t="s">
        <v>978</v>
      </c>
      <c r="G218" s="27" t="s">
        <v>979</v>
      </c>
      <c r="H218" s="28"/>
    </row>
    <row r="219" spans="1:8" x14ac:dyDescent="0.25">
      <c r="A219" t="s">
        <v>275</v>
      </c>
      <c r="B219" s="25"/>
      <c r="C219" s="25"/>
      <c r="D219" s="26" t="s">
        <v>826</v>
      </c>
      <c r="E219" s="27"/>
      <c r="F219" s="27"/>
      <c r="G219" s="27"/>
      <c r="H219" s="25"/>
    </row>
    <row r="220" spans="1:8" x14ac:dyDescent="0.25">
      <c r="A220" t="s">
        <v>276</v>
      </c>
      <c r="B220" s="25"/>
      <c r="C220" s="25"/>
      <c r="D220" s="26" t="s">
        <v>782</v>
      </c>
      <c r="E220" s="27"/>
      <c r="F220" s="27"/>
      <c r="G220" s="27"/>
      <c r="H220" s="25"/>
    </row>
    <row r="221" spans="1:8" x14ac:dyDescent="0.25">
      <c r="A221" s="17" t="s">
        <v>277</v>
      </c>
      <c r="B221" s="30"/>
      <c r="C221" s="30"/>
      <c r="D221" s="45" t="s">
        <v>782</v>
      </c>
      <c r="E221" s="29"/>
      <c r="F221" s="29"/>
      <c r="G221" s="29"/>
      <c r="H221" s="30"/>
    </row>
    <row r="222" spans="1:8" x14ac:dyDescent="0.25">
      <c r="A222" t="s">
        <v>278</v>
      </c>
      <c r="B222" s="25" t="s">
        <v>980</v>
      </c>
      <c r="C222" s="25" t="s">
        <v>781</v>
      </c>
      <c r="D222" s="26" t="s">
        <v>875</v>
      </c>
      <c r="E222" s="27">
        <v>58000</v>
      </c>
      <c r="F222" s="27" t="s">
        <v>981</v>
      </c>
      <c r="G222" s="31" t="s">
        <v>982</v>
      </c>
      <c r="H222" s="25"/>
    </row>
    <row r="223" spans="1:8" x14ac:dyDescent="0.25">
      <c r="A223" t="s">
        <v>279</v>
      </c>
      <c r="B223" s="51" t="s">
        <v>841</v>
      </c>
      <c r="C223" s="51" t="s">
        <v>58</v>
      </c>
      <c r="D223" s="26" t="s">
        <v>826</v>
      </c>
      <c r="E223" s="27"/>
      <c r="F223" s="27" t="s">
        <v>983</v>
      </c>
      <c r="G223" s="27" t="s">
        <v>984</v>
      </c>
      <c r="H223" s="25"/>
    </row>
    <row r="224" spans="1:8" x14ac:dyDescent="0.25">
      <c r="A224" t="s">
        <v>280</v>
      </c>
      <c r="B224" s="25"/>
      <c r="C224" s="25"/>
      <c r="D224" s="26" t="s">
        <v>826</v>
      </c>
      <c r="E224" s="50">
        <v>28930</v>
      </c>
      <c r="F224" s="27"/>
      <c r="G224" s="27"/>
      <c r="H224" s="25"/>
    </row>
    <row r="225" spans="1:8" x14ac:dyDescent="0.25">
      <c r="A225" t="s">
        <v>281</v>
      </c>
      <c r="B225" s="30"/>
      <c r="C225" s="30"/>
      <c r="D225" s="45"/>
      <c r="E225" s="29"/>
      <c r="F225" s="29"/>
      <c r="G225" s="29"/>
      <c r="H225" s="30"/>
    </row>
    <row r="226" spans="1:8" x14ac:dyDescent="0.25">
      <c r="A226" t="s">
        <v>282</v>
      </c>
      <c r="B226" s="27" t="s">
        <v>985</v>
      </c>
      <c r="C226" s="25" t="s">
        <v>781</v>
      </c>
      <c r="D226" s="26" t="s">
        <v>782</v>
      </c>
      <c r="E226" s="27">
        <v>60804</v>
      </c>
      <c r="F226" s="27" t="s">
        <v>986</v>
      </c>
      <c r="G226" s="27" t="s">
        <v>987</v>
      </c>
      <c r="H226" s="25"/>
    </row>
    <row r="227" spans="1:8" x14ac:dyDescent="0.25">
      <c r="A227" t="s">
        <v>283</v>
      </c>
      <c r="B227" s="25"/>
      <c r="C227" s="25"/>
      <c r="D227" s="58"/>
      <c r="E227" s="59"/>
      <c r="F227" s="27"/>
      <c r="G227" s="27"/>
      <c r="H227" s="25"/>
    </row>
    <row r="228" spans="1:8" ht="15.75" thickBot="1" x14ac:dyDescent="0.3">
      <c r="A228" t="s">
        <v>284</v>
      </c>
      <c r="B228" s="56" t="s">
        <v>988</v>
      </c>
      <c r="C228" s="25" t="s">
        <v>816</v>
      </c>
      <c r="D228" s="26" t="s">
        <v>875</v>
      </c>
      <c r="E228" s="27"/>
      <c r="F228" s="27" t="s">
        <v>989</v>
      </c>
      <c r="G228" s="27" t="s">
        <v>990</v>
      </c>
      <c r="H228" s="25"/>
    </row>
    <row r="229" spans="1:8" x14ac:dyDescent="0.25">
      <c r="A229" t="s">
        <v>285</v>
      </c>
      <c r="B229" s="25"/>
      <c r="C229" s="25"/>
      <c r="D229" s="26" t="s">
        <v>875</v>
      </c>
      <c r="E229" s="27"/>
      <c r="F229" s="27"/>
      <c r="G229" s="27"/>
      <c r="H229" s="25"/>
    </row>
    <row r="230" spans="1:8" x14ac:dyDescent="0.25">
      <c r="A230" t="s">
        <v>286</v>
      </c>
      <c r="B230" s="30"/>
      <c r="C230" s="30"/>
      <c r="D230" s="45"/>
      <c r="E230" s="29"/>
      <c r="F230" s="29"/>
      <c r="G230" s="29"/>
      <c r="H230" s="30"/>
    </row>
    <row r="231" spans="1:8" x14ac:dyDescent="0.25">
      <c r="A231" t="s">
        <v>287</v>
      </c>
      <c r="B231" s="30"/>
      <c r="C231" s="30"/>
      <c r="D231" s="45"/>
      <c r="E231" s="29"/>
      <c r="F231" s="29"/>
      <c r="G231" s="29"/>
      <c r="H231" s="30"/>
    </row>
    <row r="232" spans="1:8" x14ac:dyDescent="0.25">
      <c r="A232" t="s">
        <v>288</v>
      </c>
      <c r="B232" s="19"/>
      <c r="C232" s="19"/>
      <c r="D232" s="26" t="s">
        <v>782</v>
      </c>
      <c r="E232" s="27"/>
      <c r="F232" s="27"/>
      <c r="G232" s="27"/>
      <c r="H232" s="25"/>
    </row>
    <row r="233" spans="1:8" x14ac:dyDescent="0.25">
      <c r="A233" t="s">
        <v>289</v>
      </c>
      <c r="B233" s="19"/>
      <c r="C233" s="19"/>
      <c r="D233" s="26" t="s">
        <v>782</v>
      </c>
      <c r="E233" s="27"/>
      <c r="F233" s="27"/>
      <c r="G233" s="27"/>
      <c r="H233" s="25"/>
    </row>
    <row r="234" spans="1:8" x14ac:dyDescent="0.25">
      <c r="A234" t="s">
        <v>290</v>
      </c>
      <c r="B234" s="25" t="s">
        <v>991</v>
      </c>
      <c r="C234" s="25" t="s">
        <v>898</v>
      </c>
      <c r="D234" s="26" t="s">
        <v>890</v>
      </c>
      <c r="E234" s="27">
        <v>48983</v>
      </c>
      <c r="F234" s="27" t="s">
        <v>992</v>
      </c>
      <c r="G234" s="27" t="s">
        <v>993</v>
      </c>
      <c r="H234" s="25"/>
    </row>
    <row r="235" spans="1:8" x14ac:dyDescent="0.25">
      <c r="A235" t="s">
        <v>291</v>
      </c>
      <c r="B235" s="19"/>
      <c r="C235" s="19"/>
      <c r="D235" s="26" t="s">
        <v>875</v>
      </c>
      <c r="E235" s="27"/>
      <c r="F235" s="27"/>
      <c r="G235" s="27"/>
      <c r="H235" s="25"/>
    </row>
    <row r="236" spans="1:8" x14ac:dyDescent="0.25">
      <c r="A236" t="s">
        <v>292</v>
      </c>
      <c r="B236" s="19"/>
      <c r="C236" s="19"/>
      <c r="D236" s="58" t="s">
        <v>994</v>
      </c>
      <c r="E236" s="59"/>
      <c r="F236" s="27"/>
      <c r="G236" s="27"/>
      <c r="H236" s="25"/>
    </row>
    <row r="237" spans="1:8" x14ac:dyDescent="0.25">
      <c r="A237" t="s">
        <v>293</v>
      </c>
      <c r="B237" s="19"/>
      <c r="C237" s="19"/>
      <c r="D237" s="26" t="s">
        <v>782</v>
      </c>
      <c r="E237" s="27"/>
      <c r="F237" s="27"/>
      <c r="G237" s="27"/>
      <c r="H237" s="25"/>
    </row>
    <row r="238" spans="1:8" x14ac:dyDescent="0.25">
      <c r="A238" t="s">
        <v>294</v>
      </c>
      <c r="B238" s="60" t="s">
        <v>995</v>
      </c>
      <c r="C238" s="60" t="s">
        <v>781</v>
      </c>
      <c r="D238" s="33" t="s">
        <v>994</v>
      </c>
      <c r="E238" s="34">
        <v>60806</v>
      </c>
      <c r="F238" s="34" t="s">
        <v>989</v>
      </c>
      <c r="G238" s="61" t="s">
        <v>996</v>
      </c>
      <c r="H238" s="32"/>
    </row>
    <row r="239" spans="1:8" x14ac:dyDescent="0.25">
      <c r="A239" t="s">
        <v>295</v>
      </c>
      <c r="B239" s="19"/>
      <c r="C239" s="19"/>
      <c r="D239" s="58"/>
      <c r="E239" s="59"/>
      <c r="F239" s="27"/>
      <c r="G239" s="27"/>
      <c r="H239" s="25"/>
    </row>
    <row r="240" spans="1:8" x14ac:dyDescent="0.25">
      <c r="A240" t="s">
        <v>296</v>
      </c>
      <c r="B240" s="19"/>
      <c r="C240" s="19"/>
      <c r="D240" s="58"/>
      <c r="E240" s="59"/>
      <c r="F240" s="27"/>
      <c r="G240" s="27"/>
      <c r="H240" s="25"/>
    </row>
    <row r="241" spans="1:8" x14ac:dyDescent="0.25">
      <c r="A241" t="s">
        <v>297</v>
      </c>
      <c r="B241" s="43" t="s">
        <v>997</v>
      </c>
      <c r="C241" s="19" t="s">
        <v>816</v>
      </c>
      <c r="D241" s="26" t="s">
        <v>875</v>
      </c>
      <c r="E241" s="27">
        <v>60806</v>
      </c>
      <c r="F241" s="27" t="s">
        <v>998</v>
      </c>
      <c r="G241" s="27"/>
      <c r="H241" s="25"/>
    </row>
    <row r="242" spans="1:8" x14ac:dyDescent="0.25">
      <c r="A242" t="s">
        <v>298</v>
      </c>
      <c r="B242" s="19"/>
      <c r="C242" s="19"/>
      <c r="D242" s="26" t="s">
        <v>803</v>
      </c>
      <c r="E242" s="27"/>
      <c r="F242" s="27"/>
      <c r="G242" s="27"/>
      <c r="H242" s="28"/>
    </row>
    <row r="243" spans="1:8" x14ac:dyDescent="0.25">
      <c r="A243" t="s">
        <v>299</v>
      </c>
      <c r="B243" s="25" t="s">
        <v>954</v>
      </c>
      <c r="C243" s="25" t="s">
        <v>58</v>
      </c>
      <c r="D243" s="26" t="s">
        <v>803</v>
      </c>
      <c r="E243" s="27">
        <v>28936</v>
      </c>
      <c r="F243" s="27" t="s">
        <v>956</v>
      </c>
      <c r="G243" s="27" t="s">
        <v>957</v>
      </c>
      <c r="H243" s="25"/>
    </row>
    <row r="244" spans="1:8" x14ac:dyDescent="0.25">
      <c r="A244" t="s">
        <v>300</v>
      </c>
      <c r="B244" s="19"/>
      <c r="C244" s="19"/>
      <c r="D244" s="26" t="s">
        <v>782</v>
      </c>
      <c r="E244" s="27"/>
      <c r="F244" s="27"/>
      <c r="G244" s="27"/>
      <c r="H244" s="25"/>
    </row>
    <row r="245" spans="1:8" x14ac:dyDescent="0.25">
      <c r="A245" t="s">
        <v>301</v>
      </c>
      <c r="B245" s="42" t="s">
        <v>787</v>
      </c>
      <c r="C245" s="19" t="s">
        <v>781</v>
      </c>
      <c r="D245" s="26" t="s">
        <v>782</v>
      </c>
      <c r="E245" s="27">
        <v>60805</v>
      </c>
      <c r="F245" s="27" t="s">
        <v>999</v>
      </c>
      <c r="G245" s="31" t="s">
        <v>1000</v>
      </c>
      <c r="H245" s="25"/>
    </row>
    <row r="246" spans="1:8" x14ac:dyDescent="0.25">
      <c r="A246" t="s">
        <v>302</v>
      </c>
      <c r="B246" s="19"/>
      <c r="C246" s="19"/>
      <c r="D246" s="26" t="s">
        <v>826</v>
      </c>
      <c r="E246" s="27"/>
      <c r="F246" s="27"/>
      <c r="G246" s="27"/>
      <c r="H246" s="25"/>
    </row>
    <row r="247" spans="1:8" x14ac:dyDescent="0.25">
      <c r="A247" t="s">
        <v>303</v>
      </c>
      <c r="B247" s="19"/>
      <c r="C247" s="19"/>
      <c r="D247" s="26" t="s">
        <v>803</v>
      </c>
      <c r="E247" s="27"/>
      <c r="F247" s="27"/>
      <c r="G247" s="27"/>
      <c r="H247" s="25"/>
    </row>
    <row r="248" spans="1:8" x14ac:dyDescent="0.25">
      <c r="A248" t="s">
        <v>304</v>
      </c>
      <c r="B248" s="19"/>
      <c r="C248" s="19"/>
      <c r="D248" s="26" t="s">
        <v>875</v>
      </c>
      <c r="E248" s="27"/>
      <c r="F248" s="27"/>
      <c r="G248" s="27"/>
      <c r="H248" s="25"/>
    </row>
    <row r="249" spans="1:8" x14ac:dyDescent="0.25">
      <c r="A249" t="s">
        <v>305</v>
      </c>
      <c r="B249" s="19"/>
      <c r="C249" s="19"/>
      <c r="D249" s="26" t="s">
        <v>782</v>
      </c>
      <c r="E249" s="27"/>
      <c r="F249" s="27"/>
      <c r="G249" s="27"/>
      <c r="H249" s="25"/>
    </row>
    <row r="250" spans="1:8" x14ac:dyDescent="0.25">
      <c r="A250" t="s">
        <v>306</v>
      </c>
      <c r="B250" s="42" t="s">
        <v>787</v>
      </c>
      <c r="C250" s="19" t="s">
        <v>781</v>
      </c>
      <c r="D250" s="26" t="s">
        <v>782</v>
      </c>
      <c r="E250" s="27">
        <v>60805</v>
      </c>
      <c r="F250" s="27" t="s">
        <v>1001</v>
      </c>
      <c r="G250" s="31" t="s">
        <v>1002</v>
      </c>
      <c r="H250" s="25"/>
    </row>
    <row r="251" spans="1:8" x14ac:dyDescent="0.25">
      <c r="A251" t="s">
        <v>307</v>
      </c>
      <c r="B251" s="19"/>
      <c r="C251" s="19"/>
      <c r="D251" s="26" t="s">
        <v>782</v>
      </c>
      <c r="E251" s="27"/>
      <c r="F251" s="27"/>
      <c r="G251" s="27"/>
      <c r="H251" s="25"/>
    </row>
    <row r="252" spans="1:8" x14ac:dyDescent="0.25">
      <c r="A252" t="s">
        <v>308</v>
      </c>
      <c r="B252" s="60"/>
      <c r="C252" s="60"/>
      <c r="D252" s="33" t="s">
        <v>803</v>
      </c>
      <c r="E252" s="34"/>
      <c r="F252" s="34"/>
      <c r="G252" s="34"/>
      <c r="H252" s="32"/>
    </row>
    <row r="253" spans="1:8" x14ac:dyDescent="0.25">
      <c r="A253" t="s">
        <v>309</v>
      </c>
      <c r="B253" s="43" t="s">
        <v>1003</v>
      </c>
      <c r="C253" s="19" t="s">
        <v>58</v>
      </c>
      <c r="D253" s="26" t="s">
        <v>803</v>
      </c>
      <c r="E253" s="27"/>
      <c r="F253" s="27" t="s">
        <v>1004</v>
      </c>
      <c r="G253" s="27" t="s">
        <v>1005</v>
      </c>
      <c r="H253" s="28"/>
    </row>
    <row r="254" spans="1:8" x14ac:dyDescent="0.25">
      <c r="A254" t="s">
        <v>310</v>
      </c>
      <c r="B254" s="19" t="s">
        <v>1006</v>
      </c>
      <c r="C254" s="19" t="s">
        <v>58</v>
      </c>
      <c r="D254" s="26" t="s">
        <v>803</v>
      </c>
      <c r="E254" s="27">
        <v>28906</v>
      </c>
      <c r="F254" s="27" t="s">
        <v>1007</v>
      </c>
      <c r="G254" s="27" t="s">
        <v>1008</v>
      </c>
      <c r="H254" s="25"/>
    </row>
    <row r="255" spans="1:8" x14ac:dyDescent="0.25">
      <c r="A255" t="s">
        <v>311</v>
      </c>
      <c r="B255" s="19" t="s">
        <v>790</v>
      </c>
      <c r="C255" s="19" t="s">
        <v>781</v>
      </c>
      <c r="D255" s="26" t="s">
        <v>791</v>
      </c>
      <c r="E255" s="27">
        <v>60804</v>
      </c>
      <c r="F255" s="27" t="s">
        <v>1009</v>
      </c>
      <c r="G255" s="27" t="s">
        <v>1010</v>
      </c>
      <c r="H255" s="25"/>
    </row>
    <row r="256" spans="1:8" x14ac:dyDescent="0.25">
      <c r="A256" t="s">
        <v>312</v>
      </c>
      <c r="B256" s="19" t="s">
        <v>1011</v>
      </c>
      <c r="C256" s="19" t="s">
        <v>816</v>
      </c>
      <c r="D256" s="26" t="s">
        <v>782</v>
      </c>
      <c r="E256" s="27"/>
      <c r="F256" s="27" t="s">
        <v>1012</v>
      </c>
      <c r="G256" s="27"/>
      <c r="H256" s="25"/>
    </row>
    <row r="257" spans="1:8" x14ac:dyDescent="0.25">
      <c r="A257" t="s">
        <v>313</v>
      </c>
      <c r="B257" s="19"/>
      <c r="C257" s="19"/>
      <c r="D257" s="26" t="s">
        <v>782</v>
      </c>
      <c r="E257" s="27"/>
      <c r="F257" s="27"/>
      <c r="G257" s="27"/>
      <c r="H257" s="25"/>
    </row>
    <row r="258" spans="1:8" x14ac:dyDescent="0.25">
      <c r="A258" t="s">
        <v>314</v>
      </c>
      <c r="B258" s="19"/>
      <c r="C258" s="19"/>
      <c r="D258" s="26" t="s">
        <v>782</v>
      </c>
      <c r="E258" s="27"/>
      <c r="F258" s="27"/>
      <c r="G258" s="27"/>
      <c r="H258" s="25"/>
    </row>
    <row r="259" spans="1:8" x14ac:dyDescent="0.25">
      <c r="A259" t="s">
        <v>315</v>
      </c>
      <c r="B259" s="19"/>
      <c r="C259" s="19"/>
      <c r="D259" s="26" t="s">
        <v>1013</v>
      </c>
      <c r="E259" s="27"/>
      <c r="F259" s="27"/>
      <c r="G259" s="27"/>
      <c r="H259" s="25"/>
    </row>
    <row r="260" spans="1:8" x14ac:dyDescent="0.25">
      <c r="A260" t="s">
        <v>316</v>
      </c>
      <c r="B260" s="19"/>
      <c r="C260" s="19"/>
      <c r="D260" s="62"/>
      <c r="E260" s="19"/>
      <c r="F260" s="19"/>
      <c r="G260" s="19"/>
      <c r="H260" s="28"/>
    </row>
    <row r="261" spans="1:8" x14ac:dyDescent="0.25">
      <c r="A261" t="s">
        <v>317</v>
      </c>
      <c r="B261" s="63"/>
      <c r="C261" s="63"/>
      <c r="D261" s="64"/>
      <c r="E261" s="63"/>
      <c r="F261" s="63"/>
      <c r="G261" s="63"/>
      <c r="H261" s="25"/>
    </row>
    <row r="262" spans="1:8" x14ac:dyDescent="0.25">
      <c r="A262" t="s">
        <v>318</v>
      </c>
      <c r="B262" s="19"/>
      <c r="C262" s="19"/>
      <c r="D262" s="26" t="s">
        <v>782</v>
      </c>
      <c r="E262" s="27"/>
      <c r="F262" s="27"/>
      <c r="G262" s="27"/>
      <c r="H262" s="25"/>
    </row>
    <row r="263" spans="1:8" x14ac:dyDescent="0.25">
      <c r="A263" t="s">
        <v>319</v>
      </c>
      <c r="B263" s="43" t="s">
        <v>1014</v>
      </c>
      <c r="C263" s="19" t="s">
        <v>898</v>
      </c>
      <c r="D263" s="26" t="s">
        <v>890</v>
      </c>
      <c r="E263" s="27"/>
      <c r="F263" s="27" t="s">
        <v>1015</v>
      </c>
      <c r="G263" s="27"/>
      <c r="H263" s="25"/>
    </row>
    <row r="264" spans="1:8" ht="24.75" x14ac:dyDescent="0.25">
      <c r="A264" t="s">
        <v>320</v>
      </c>
      <c r="B264" s="63" t="s">
        <v>1016</v>
      </c>
      <c r="C264" s="19" t="s">
        <v>816</v>
      </c>
      <c r="D264" s="26" t="s">
        <v>1013</v>
      </c>
      <c r="E264" s="27">
        <v>60804</v>
      </c>
      <c r="F264" s="27" t="s">
        <v>1017</v>
      </c>
      <c r="G264" s="27"/>
      <c r="H264" s="25"/>
    </row>
    <row r="265" spans="1:8" ht="24.75" x14ac:dyDescent="0.25">
      <c r="A265" s="17" t="s">
        <v>321</v>
      </c>
      <c r="B265" s="52" t="s">
        <v>1018</v>
      </c>
      <c r="C265" s="65" t="s">
        <v>58</v>
      </c>
      <c r="D265" s="45" t="s">
        <v>803</v>
      </c>
      <c r="E265" s="29"/>
      <c r="F265" s="29"/>
      <c r="G265" s="29"/>
      <c r="H265" s="30"/>
    </row>
    <row r="266" spans="1:8" x14ac:dyDescent="0.25">
      <c r="A266" t="s">
        <v>322</v>
      </c>
      <c r="B266" s="19"/>
      <c r="C266" s="19"/>
      <c r="D266" s="26" t="s">
        <v>782</v>
      </c>
      <c r="E266" s="27"/>
      <c r="F266" s="27"/>
      <c r="G266" s="27"/>
      <c r="H266" s="54"/>
    </row>
    <row r="267" spans="1:8" x14ac:dyDescent="0.25">
      <c r="A267" s="17" t="s">
        <v>323</v>
      </c>
      <c r="B267" s="65"/>
      <c r="C267" s="65"/>
      <c r="D267" s="45" t="s">
        <v>1019</v>
      </c>
      <c r="E267" s="29"/>
      <c r="F267" s="29"/>
      <c r="G267" s="29"/>
      <c r="H267" s="30"/>
    </row>
    <row r="268" spans="1:8" x14ac:dyDescent="0.25">
      <c r="A268" t="s">
        <v>324</v>
      </c>
      <c r="B268" s="19" t="s">
        <v>1020</v>
      </c>
      <c r="C268" s="19" t="s">
        <v>58</v>
      </c>
      <c r="D268" s="26" t="s">
        <v>803</v>
      </c>
      <c r="E268" s="27">
        <v>28944</v>
      </c>
      <c r="F268" s="27" t="s">
        <v>1021</v>
      </c>
      <c r="G268" s="27" t="s">
        <v>1022</v>
      </c>
      <c r="H268" s="25"/>
    </row>
    <row r="269" spans="1:8" x14ac:dyDescent="0.25">
      <c r="A269" t="s">
        <v>325</v>
      </c>
      <c r="B269" s="19"/>
      <c r="C269" s="19"/>
      <c r="D269" s="26" t="s">
        <v>826</v>
      </c>
      <c r="E269" s="27"/>
      <c r="F269" s="27"/>
      <c r="G269" s="27"/>
      <c r="H269" s="25"/>
    </row>
    <row r="270" spans="1:8" x14ac:dyDescent="0.25">
      <c r="A270" t="s">
        <v>326</v>
      </c>
      <c r="B270" s="19" t="s">
        <v>1023</v>
      </c>
      <c r="C270" s="19" t="s">
        <v>58</v>
      </c>
      <c r="D270" s="26" t="s">
        <v>826</v>
      </c>
      <c r="E270" s="27">
        <v>28129</v>
      </c>
      <c r="F270" s="66" t="s">
        <v>1024</v>
      </c>
      <c r="G270" s="31" t="s">
        <v>1025</v>
      </c>
      <c r="H270" s="25"/>
    </row>
    <row r="271" spans="1:8" x14ac:dyDescent="0.25">
      <c r="A271" t="s">
        <v>327</v>
      </c>
      <c r="B271" s="65"/>
      <c r="C271" s="65"/>
      <c r="D271" s="45" t="s">
        <v>782</v>
      </c>
      <c r="E271" s="29"/>
      <c r="F271" s="29"/>
      <c r="G271" s="29"/>
      <c r="H271" s="30"/>
    </row>
    <row r="272" spans="1:8" x14ac:dyDescent="0.25">
      <c r="A272" t="s">
        <v>328</v>
      </c>
      <c r="B272" s="19" t="s">
        <v>1026</v>
      </c>
      <c r="C272" s="19" t="s">
        <v>58</v>
      </c>
      <c r="D272" s="26" t="s">
        <v>826</v>
      </c>
      <c r="E272" s="27">
        <v>28209</v>
      </c>
      <c r="F272" s="66" t="s">
        <v>1027</v>
      </c>
      <c r="G272" s="31" t="s">
        <v>1028</v>
      </c>
      <c r="H272" s="25"/>
    </row>
    <row r="273" spans="1:8" x14ac:dyDescent="0.25">
      <c r="A273" t="s">
        <v>329</v>
      </c>
      <c r="B273" s="67" t="s">
        <v>854</v>
      </c>
      <c r="C273" s="67" t="s">
        <v>58</v>
      </c>
      <c r="D273" s="27" t="s">
        <v>803</v>
      </c>
      <c r="E273" s="27"/>
      <c r="F273" s="27" t="s">
        <v>1029</v>
      </c>
      <c r="G273" s="27" t="s">
        <v>1030</v>
      </c>
      <c r="H273" s="25"/>
    </row>
    <row r="274" spans="1:8" x14ac:dyDescent="0.25">
      <c r="A274" t="s">
        <v>330</v>
      </c>
      <c r="B274" s="19" t="s">
        <v>1031</v>
      </c>
      <c r="C274" s="19" t="s">
        <v>781</v>
      </c>
      <c r="D274" s="26" t="s">
        <v>782</v>
      </c>
      <c r="E274" s="27">
        <v>60810</v>
      </c>
      <c r="F274" s="27" t="s">
        <v>1032</v>
      </c>
      <c r="G274" s="27" t="s">
        <v>1033</v>
      </c>
      <c r="H274" s="25"/>
    </row>
    <row r="275" spans="1:8" x14ac:dyDescent="0.25">
      <c r="A275" t="s">
        <v>331</v>
      </c>
      <c r="B275" s="19" t="s">
        <v>1034</v>
      </c>
      <c r="C275" s="19" t="s">
        <v>58</v>
      </c>
      <c r="D275" s="26" t="s">
        <v>1035</v>
      </c>
      <c r="E275" s="27">
        <v>28906</v>
      </c>
      <c r="F275" s="27" t="s">
        <v>1036</v>
      </c>
      <c r="G275" s="27" t="s">
        <v>1037</v>
      </c>
      <c r="H275" s="25"/>
    </row>
    <row r="276" spans="1:8" x14ac:dyDescent="0.25">
      <c r="A276" t="s">
        <v>332</v>
      </c>
      <c r="B276" s="19" t="s">
        <v>1038</v>
      </c>
      <c r="C276" s="19" t="s">
        <v>58</v>
      </c>
      <c r="D276" s="26" t="s">
        <v>1039</v>
      </c>
      <c r="E276" s="50">
        <v>28930</v>
      </c>
      <c r="F276" s="27" t="s">
        <v>1040</v>
      </c>
      <c r="G276" s="27"/>
      <c r="H276" s="25"/>
    </row>
    <row r="277" spans="1:8" x14ac:dyDescent="0.25">
      <c r="A277" t="s">
        <v>333</v>
      </c>
      <c r="B277" s="19" t="s">
        <v>1041</v>
      </c>
      <c r="C277" s="19" t="s">
        <v>58</v>
      </c>
      <c r="D277" s="26" t="s">
        <v>1042</v>
      </c>
      <c r="E277" s="27"/>
      <c r="F277" s="27" t="s">
        <v>1043</v>
      </c>
      <c r="G277" s="31" t="s">
        <v>1044</v>
      </c>
      <c r="H277" s="25"/>
    </row>
    <row r="278" spans="1:8" x14ac:dyDescent="0.25">
      <c r="A278" t="s">
        <v>334</v>
      </c>
      <c r="B278" s="19" t="s">
        <v>1045</v>
      </c>
      <c r="C278" s="19" t="s">
        <v>58</v>
      </c>
      <c r="D278" s="26" t="s">
        <v>1046</v>
      </c>
      <c r="E278" s="27">
        <v>28915</v>
      </c>
      <c r="F278" s="27" t="s">
        <v>1047</v>
      </c>
      <c r="G278" s="27" t="s">
        <v>1048</v>
      </c>
      <c r="H278" s="25"/>
    </row>
    <row r="279" spans="1:8" x14ac:dyDescent="0.25">
      <c r="A279" t="s">
        <v>335</v>
      </c>
      <c r="B279" s="19"/>
      <c r="C279" s="19"/>
      <c r="D279" s="26" t="s">
        <v>890</v>
      </c>
      <c r="E279" s="27"/>
      <c r="F279" s="27"/>
      <c r="G279" s="27"/>
      <c r="H279" s="25"/>
    </row>
    <row r="280" spans="1:8" x14ac:dyDescent="0.25">
      <c r="A280" t="s">
        <v>336</v>
      </c>
      <c r="B280" s="19" t="s">
        <v>1049</v>
      </c>
      <c r="C280" s="19" t="s">
        <v>781</v>
      </c>
      <c r="D280" s="26" t="s">
        <v>782</v>
      </c>
      <c r="E280" s="27">
        <v>60805</v>
      </c>
      <c r="F280" s="27" t="s">
        <v>1050</v>
      </c>
      <c r="G280" s="27"/>
      <c r="H280" s="25"/>
    </row>
    <row r="281" spans="1:8" x14ac:dyDescent="0.25">
      <c r="A281" t="s">
        <v>337</v>
      </c>
      <c r="B281" s="42" t="s">
        <v>787</v>
      </c>
      <c r="C281" s="67" t="s">
        <v>816</v>
      </c>
      <c r="D281" s="26" t="s">
        <v>782</v>
      </c>
      <c r="E281" s="27">
        <v>60970</v>
      </c>
      <c r="F281" s="27" t="s">
        <v>1051</v>
      </c>
      <c r="G281" s="31" t="s">
        <v>1052</v>
      </c>
      <c r="H281" s="25"/>
    </row>
    <row r="282" spans="1:8" x14ac:dyDescent="0.25">
      <c r="A282" t="s">
        <v>338</v>
      </c>
      <c r="B282" s="19"/>
      <c r="C282" s="19"/>
      <c r="D282" s="26" t="s">
        <v>1053</v>
      </c>
      <c r="E282" s="27"/>
      <c r="F282" s="27"/>
      <c r="G282" s="27"/>
      <c r="H282" s="25"/>
    </row>
    <row r="283" spans="1:8" x14ac:dyDescent="0.25">
      <c r="A283" t="s">
        <v>339</v>
      </c>
      <c r="B283" s="19" t="s">
        <v>844</v>
      </c>
      <c r="C283" s="25" t="s">
        <v>58</v>
      </c>
      <c r="D283" s="26" t="s">
        <v>826</v>
      </c>
      <c r="E283" s="27">
        <v>28900</v>
      </c>
      <c r="F283" s="27"/>
      <c r="G283" s="27"/>
      <c r="H283" s="25"/>
    </row>
    <row r="284" spans="1:8" x14ac:dyDescent="0.25">
      <c r="A284" t="s">
        <v>340</v>
      </c>
      <c r="B284" t="s">
        <v>810</v>
      </c>
      <c r="C284" s="67" t="s">
        <v>816</v>
      </c>
      <c r="D284" s="26" t="s">
        <v>782</v>
      </c>
      <c r="E284" s="27"/>
      <c r="F284" s="27"/>
      <c r="G284" s="27"/>
      <c r="H284" s="25"/>
    </row>
    <row r="285" spans="1:8" x14ac:dyDescent="0.25">
      <c r="A285" s="17" t="s">
        <v>341</v>
      </c>
      <c r="B285" s="65"/>
      <c r="C285" s="65"/>
      <c r="D285" s="45" t="s">
        <v>1054</v>
      </c>
      <c r="E285" s="29"/>
      <c r="F285" s="29"/>
      <c r="G285" s="29"/>
      <c r="H285" s="30"/>
    </row>
    <row r="286" spans="1:8" x14ac:dyDescent="0.25">
      <c r="A286" t="s">
        <v>342</v>
      </c>
      <c r="B286" s="67" t="s">
        <v>841</v>
      </c>
      <c r="C286" s="67" t="s">
        <v>58</v>
      </c>
      <c r="D286" s="26" t="s">
        <v>826</v>
      </c>
      <c r="E286" s="27"/>
      <c r="F286" s="27" t="s">
        <v>1055</v>
      </c>
      <c r="G286" s="27" t="s">
        <v>1056</v>
      </c>
      <c r="H286" s="25"/>
    </row>
    <row r="287" spans="1:8" x14ac:dyDescent="0.25">
      <c r="A287" t="s">
        <v>343</v>
      </c>
      <c r="B287" s="19"/>
      <c r="C287" s="19"/>
      <c r="D287" s="26" t="s">
        <v>1042</v>
      </c>
      <c r="E287" s="27"/>
      <c r="F287" s="27"/>
      <c r="G287" s="27"/>
      <c r="H287" s="25"/>
    </row>
    <row r="288" spans="1:8" x14ac:dyDescent="0.25">
      <c r="A288" t="s">
        <v>344</v>
      </c>
      <c r="B288" s="19" t="s">
        <v>1057</v>
      </c>
      <c r="C288" s="19" t="s">
        <v>58</v>
      </c>
      <c r="D288" s="26" t="s">
        <v>803</v>
      </c>
      <c r="E288" s="50">
        <v>28940</v>
      </c>
      <c r="F288" s="27" t="s">
        <v>1058</v>
      </c>
      <c r="G288" s="27"/>
      <c r="H288" s="25"/>
    </row>
    <row r="289" spans="1:8" x14ac:dyDescent="0.25">
      <c r="A289" t="s">
        <v>345</v>
      </c>
      <c r="B289" s="43" t="s">
        <v>813</v>
      </c>
      <c r="C289" s="19" t="s">
        <v>816</v>
      </c>
      <c r="D289" s="26" t="s">
        <v>782</v>
      </c>
      <c r="E289" s="27"/>
      <c r="F289" s="27" t="s">
        <v>1059</v>
      </c>
      <c r="G289" s="27"/>
      <c r="H289" s="25"/>
    </row>
    <row r="290" spans="1:8" x14ac:dyDescent="0.25">
      <c r="A290" t="s">
        <v>346</v>
      </c>
      <c r="B290" s="67" t="s">
        <v>874</v>
      </c>
      <c r="C290" s="67" t="s">
        <v>816</v>
      </c>
      <c r="D290" s="27" t="s">
        <v>1060</v>
      </c>
      <c r="E290" s="27"/>
      <c r="F290" s="27" t="s">
        <v>1061</v>
      </c>
      <c r="G290" s="27" t="s">
        <v>1062</v>
      </c>
      <c r="H290" s="25"/>
    </row>
    <row r="291" spans="1:8" x14ac:dyDescent="0.25">
      <c r="A291" t="s">
        <v>347</v>
      </c>
      <c r="B291" s="19" t="s">
        <v>871</v>
      </c>
      <c r="C291" s="19" t="s">
        <v>58</v>
      </c>
      <c r="D291" s="26" t="s">
        <v>1042</v>
      </c>
      <c r="E291" s="27">
        <v>28930</v>
      </c>
      <c r="F291" s="27" t="s">
        <v>972</v>
      </c>
      <c r="G291" s="31" t="s">
        <v>1063</v>
      </c>
      <c r="H291" s="25"/>
    </row>
    <row r="292" spans="1:8" x14ac:dyDescent="0.25">
      <c r="A292" s="18" t="s">
        <v>348</v>
      </c>
      <c r="B292" s="19" t="s">
        <v>1064</v>
      </c>
      <c r="C292" s="19" t="s">
        <v>781</v>
      </c>
      <c r="D292" s="26" t="s">
        <v>782</v>
      </c>
      <c r="E292" s="27"/>
      <c r="F292" s="19" t="s">
        <v>1065</v>
      </c>
      <c r="G292" s="27"/>
      <c r="H292" s="25"/>
    </row>
    <row r="293" spans="1:8" x14ac:dyDescent="0.25">
      <c r="A293" t="s">
        <v>349</v>
      </c>
      <c r="B293" s="19"/>
      <c r="C293" s="19"/>
      <c r="D293" s="26" t="s">
        <v>782</v>
      </c>
      <c r="E293" s="27"/>
      <c r="F293" s="27"/>
      <c r="G293" s="27"/>
      <c r="H293" s="25"/>
    </row>
    <row r="294" spans="1:8" x14ac:dyDescent="0.25">
      <c r="A294" t="s">
        <v>350</v>
      </c>
      <c r="B294" s="42" t="s">
        <v>787</v>
      </c>
      <c r="C294" s="67" t="s">
        <v>816</v>
      </c>
      <c r="D294" s="27" t="s">
        <v>782</v>
      </c>
      <c r="E294" s="27">
        <v>60805</v>
      </c>
      <c r="F294" s="27" t="s">
        <v>1066</v>
      </c>
      <c r="G294" s="31" t="s">
        <v>1067</v>
      </c>
      <c r="H294" s="25"/>
    </row>
    <row r="295" spans="1:8" x14ac:dyDescent="0.25">
      <c r="A295" t="s">
        <v>351</v>
      </c>
      <c r="B295" s="19"/>
      <c r="C295" s="19"/>
      <c r="D295" s="26" t="s">
        <v>875</v>
      </c>
      <c r="E295" s="27"/>
      <c r="F295" s="27"/>
      <c r="G295" s="27"/>
      <c r="H295" s="25"/>
    </row>
    <row r="296" spans="1:8" x14ac:dyDescent="0.25">
      <c r="A296" t="s">
        <v>352</v>
      </c>
      <c r="B296" s="19" t="s">
        <v>790</v>
      </c>
      <c r="C296" s="19" t="s">
        <v>781</v>
      </c>
      <c r="D296" s="26" t="s">
        <v>782</v>
      </c>
      <c r="E296" s="53">
        <v>60958</v>
      </c>
      <c r="F296" s="27" t="s">
        <v>1068</v>
      </c>
      <c r="G296" s="31" t="s">
        <v>1069</v>
      </c>
      <c r="H296" s="25"/>
    </row>
    <row r="297" spans="1:8" x14ac:dyDescent="0.25">
      <c r="A297" t="s">
        <v>353</v>
      </c>
      <c r="B297" s="19" t="s">
        <v>1070</v>
      </c>
      <c r="C297" s="19" t="s">
        <v>58</v>
      </c>
      <c r="D297" s="26" t="s">
        <v>907</v>
      </c>
      <c r="E297" s="27">
        <v>28834</v>
      </c>
      <c r="F297" s="27" t="s">
        <v>1071</v>
      </c>
      <c r="G297" s="27" t="s">
        <v>1072</v>
      </c>
      <c r="H297" s="25"/>
    </row>
    <row r="298" spans="1:8" x14ac:dyDescent="0.25">
      <c r="A298" t="s">
        <v>354</v>
      </c>
      <c r="B298" s="19"/>
      <c r="C298" s="19"/>
      <c r="D298" s="26" t="s">
        <v>890</v>
      </c>
      <c r="E298" s="27"/>
      <c r="F298" s="27"/>
      <c r="G298" s="27"/>
      <c r="H298" s="25"/>
    </row>
    <row r="299" spans="1:8" x14ac:dyDescent="0.25">
      <c r="A299" t="s">
        <v>355</v>
      </c>
      <c r="B299" t="s">
        <v>1073</v>
      </c>
      <c r="C299" s="19" t="s">
        <v>781</v>
      </c>
      <c r="D299" s="26" t="s">
        <v>782</v>
      </c>
      <c r="E299" s="27">
        <v>60805</v>
      </c>
      <c r="F299" t="s">
        <v>1074</v>
      </c>
      <c r="G299" s="27"/>
      <c r="H299" s="25"/>
    </row>
    <row r="300" spans="1:8" x14ac:dyDescent="0.25">
      <c r="A300" t="s">
        <v>356</v>
      </c>
      <c r="B300" s="67" t="s">
        <v>1075</v>
      </c>
      <c r="C300" s="67" t="s">
        <v>58</v>
      </c>
      <c r="D300" s="26" t="s">
        <v>826</v>
      </c>
      <c r="E300" s="27"/>
      <c r="F300" s="27" t="s">
        <v>1076</v>
      </c>
      <c r="G300" s="31" t="s">
        <v>1077</v>
      </c>
      <c r="H300" s="25"/>
    </row>
    <row r="301" spans="1:8" x14ac:dyDescent="0.25">
      <c r="A301" t="s">
        <v>357</v>
      </c>
      <c r="B301" s="19" t="s">
        <v>844</v>
      </c>
      <c r="C301" s="19" t="s">
        <v>58</v>
      </c>
      <c r="D301" s="26" t="s">
        <v>826</v>
      </c>
      <c r="E301" s="27">
        <v>28900</v>
      </c>
      <c r="F301" s="27" t="s">
        <v>1078</v>
      </c>
      <c r="G301" s="27"/>
      <c r="H301" s="25"/>
    </row>
    <row r="302" spans="1:8" ht="24.75" x14ac:dyDescent="0.25">
      <c r="A302" t="s">
        <v>358</v>
      </c>
      <c r="B302" s="52" t="s">
        <v>1079</v>
      </c>
      <c r="C302" s="19" t="s">
        <v>58</v>
      </c>
      <c r="D302" s="26" t="s">
        <v>1039</v>
      </c>
      <c r="E302" s="50">
        <v>28930</v>
      </c>
      <c r="F302" t="s">
        <v>1080</v>
      </c>
      <c r="G302" s="27"/>
      <c r="H302" s="25"/>
    </row>
    <row r="303" spans="1:8" x14ac:dyDescent="0.25">
      <c r="A303" t="s">
        <v>359</v>
      </c>
      <c r="B303" s="19"/>
      <c r="C303" s="19"/>
      <c r="D303" s="26" t="s">
        <v>1039</v>
      </c>
      <c r="E303" s="27"/>
      <c r="F303" s="27"/>
      <c r="G303" s="27"/>
      <c r="H303" s="25"/>
    </row>
    <row r="304" spans="1:8" x14ac:dyDescent="0.25">
      <c r="A304" t="s">
        <v>360</v>
      </c>
      <c r="B304" s="19" t="s">
        <v>910</v>
      </c>
      <c r="C304" s="19" t="s">
        <v>58</v>
      </c>
      <c r="D304" s="27" t="s">
        <v>1039</v>
      </c>
      <c r="E304" s="27">
        <v>28940</v>
      </c>
      <c r="F304" s="27" t="s">
        <v>1081</v>
      </c>
      <c r="G304" s="27" t="s">
        <v>1082</v>
      </c>
      <c r="H304" s="25"/>
    </row>
    <row r="305" spans="1:8" x14ac:dyDescent="0.25">
      <c r="A305" s="17" t="s">
        <v>361</v>
      </c>
      <c r="B305" s="65" t="s">
        <v>844</v>
      </c>
      <c r="C305" s="65" t="s">
        <v>58</v>
      </c>
      <c r="D305" s="45" t="s">
        <v>826</v>
      </c>
      <c r="E305" s="29">
        <v>28900</v>
      </c>
      <c r="F305" s="68" t="s">
        <v>1078</v>
      </c>
      <c r="G305" s="69" t="s">
        <v>1083</v>
      </c>
      <c r="H305" s="30"/>
    </row>
    <row r="306" spans="1:8" x14ac:dyDescent="0.25">
      <c r="A306" s="17" t="s">
        <v>362</v>
      </c>
      <c r="B306" s="65"/>
      <c r="C306" s="65"/>
      <c r="D306" s="45" t="s">
        <v>1042</v>
      </c>
      <c r="E306" s="29"/>
      <c r="F306" s="29"/>
      <c r="G306" s="29"/>
      <c r="H306" s="30"/>
    </row>
    <row r="307" spans="1:8" x14ac:dyDescent="0.25">
      <c r="A307" s="17" t="s">
        <v>363</v>
      </c>
      <c r="B307" s="65"/>
      <c r="C307" s="65"/>
      <c r="D307" s="45" t="s">
        <v>1039</v>
      </c>
      <c r="E307" s="29"/>
      <c r="F307" s="29"/>
      <c r="G307" s="29"/>
      <c r="H307" s="30"/>
    </row>
    <row r="308" spans="1:8" x14ac:dyDescent="0.25">
      <c r="A308" t="s">
        <v>364</v>
      </c>
      <c r="B308" s="19" t="s">
        <v>1084</v>
      </c>
      <c r="C308" s="19" t="s">
        <v>58</v>
      </c>
      <c r="D308" s="26" t="s">
        <v>1085</v>
      </c>
      <c r="E308" s="27">
        <v>28903</v>
      </c>
      <c r="F308" s="27" t="s">
        <v>1086</v>
      </c>
      <c r="G308" s="31" t="s">
        <v>1087</v>
      </c>
      <c r="H308" s="25"/>
    </row>
    <row r="309" spans="1:8" x14ac:dyDescent="0.25">
      <c r="A309" s="19">
        <v>206</v>
      </c>
      <c r="B309" s="19" t="s">
        <v>784</v>
      </c>
      <c r="C309" s="19" t="s">
        <v>816</v>
      </c>
      <c r="D309" s="26" t="s">
        <v>782</v>
      </c>
      <c r="E309" s="27" t="s">
        <v>1088</v>
      </c>
      <c r="F309" s="27" t="s">
        <v>1089</v>
      </c>
      <c r="G309" s="25"/>
    </row>
    <row r="310" spans="1:8" x14ac:dyDescent="0.25">
      <c r="A310" t="s">
        <v>365</v>
      </c>
      <c r="B310" s="19" t="s">
        <v>1090</v>
      </c>
      <c r="C310" s="19" t="s">
        <v>58</v>
      </c>
      <c r="D310" s="26" t="s">
        <v>803</v>
      </c>
      <c r="E310" s="27">
        <v>28930</v>
      </c>
      <c r="F310" s="27" t="s">
        <v>1091</v>
      </c>
      <c r="G310" s="27" t="s">
        <v>1092</v>
      </c>
      <c r="H310" s="25"/>
    </row>
    <row r="311" spans="1:8" x14ac:dyDescent="0.25">
      <c r="A311" t="s">
        <v>366</v>
      </c>
      <c r="B311" s="19"/>
      <c r="C311" s="19"/>
      <c r="D311" s="26" t="s">
        <v>782</v>
      </c>
      <c r="E311" s="27"/>
      <c r="F311" s="27"/>
      <c r="G311" s="27"/>
      <c r="H311" s="25"/>
    </row>
    <row r="312" spans="1:8" x14ac:dyDescent="0.25">
      <c r="A312" t="s">
        <v>367</v>
      </c>
      <c r="B312" s="19" t="s">
        <v>1093</v>
      </c>
      <c r="C312" s="19" t="s">
        <v>816</v>
      </c>
      <c r="D312" s="26" t="s">
        <v>851</v>
      </c>
      <c r="E312" s="27">
        <v>60804</v>
      </c>
      <c r="F312" t="s">
        <v>1094</v>
      </c>
      <c r="G312" s="27"/>
      <c r="H312" s="25"/>
    </row>
    <row r="313" spans="1:8" x14ac:dyDescent="0.25">
      <c r="A313" t="s">
        <v>368</v>
      </c>
      <c r="B313" s="42" t="s">
        <v>787</v>
      </c>
      <c r="C313" s="19" t="s">
        <v>781</v>
      </c>
      <c r="D313" s="26" t="s">
        <v>782</v>
      </c>
      <c r="E313" s="27"/>
      <c r="F313" s="27" t="s">
        <v>1095</v>
      </c>
      <c r="G313" s="27"/>
      <c r="H313" s="25"/>
    </row>
    <row r="314" spans="1:8" x14ac:dyDescent="0.25">
      <c r="A314" t="s">
        <v>369</v>
      </c>
      <c r="B314" s="27" t="s">
        <v>844</v>
      </c>
      <c r="C314" s="27" t="s">
        <v>58</v>
      </c>
      <c r="D314" s="26" t="s">
        <v>826</v>
      </c>
      <c r="E314" s="27">
        <v>28900</v>
      </c>
      <c r="F314" s="27" t="s">
        <v>1096</v>
      </c>
      <c r="G314" s="27" t="s">
        <v>1097</v>
      </c>
      <c r="H314" s="25"/>
    </row>
    <row r="315" spans="1:8" x14ac:dyDescent="0.25">
      <c r="A315" t="s">
        <v>370</v>
      </c>
      <c r="B315" s="65"/>
      <c r="C315" s="65"/>
      <c r="D315" s="26" t="s">
        <v>826</v>
      </c>
      <c r="E315" s="29"/>
      <c r="F315" s="29"/>
      <c r="G315" s="29"/>
      <c r="H315" s="30"/>
    </row>
    <row r="316" spans="1:8" x14ac:dyDescent="0.25">
      <c r="A316" t="s">
        <v>371</v>
      </c>
      <c r="B316" s="65"/>
      <c r="C316" s="65"/>
      <c r="D316" s="45" t="s">
        <v>782</v>
      </c>
      <c r="E316" s="29"/>
      <c r="F316" s="29"/>
      <c r="G316" s="29"/>
      <c r="H316" s="30"/>
    </row>
    <row r="317" spans="1:8" x14ac:dyDescent="0.25">
      <c r="A317" t="s">
        <v>372</v>
      </c>
      <c r="B317" s="19" t="s">
        <v>1064</v>
      </c>
      <c r="C317" s="19" t="s">
        <v>816</v>
      </c>
      <c r="D317" s="26" t="s">
        <v>782</v>
      </c>
      <c r="E317" s="27"/>
      <c r="F317" s="27" t="s">
        <v>1098</v>
      </c>
      <c r="G317" s="27"/>
      <c r="H317" s="25"/>
    </row>
    <row r="318" spans="1:8" x14ac:dyDescent="0.25">
      <c r="A318" t="s">
        <v>373</v>
      </c>
      <c r="B318" s="19"/>
      <c r="C318" s="19"/>
      <c r="D318" s="26" t="s">
        <v>875</v>
      </c>
      <c r="E318" s="27"/>
      <c r="F318" s="27"/>
      <c r="G318" s="27"/>
      <c r="H318" s="25"/>
    </row>
    <row r="319" spans="1:8" x14ac:dyDescent="0.25">
      <c r="A319" t="s">
        <v>374</v>
      </c>
      <c r="B319" s="43" t="s">
        <v>1099</v>
      </c>
      <c r="C319" s="19" t="s">
        <v>58</v>
      </c>
      <c r="D319" s="26" t="s">
        <v>826</v>
      </c>
      <c r="E319" s="27"/>
      <c r="F319" s="27" t="s">
        <v>1100</v>
      </c>
      <c r="G319" s="27"/>
      <c r="H319" s="25"/>
    </row>
    <row r="320" spans="1:8" x14ac:dyDescent="0.25">
      <c r="A320" t="s">
        <v>375</v>
      </c>
      <c r="B320" s="19" t="s">
        <v>844</v>
      </c>
      <c r="C320" s="19" t="s">
        <v>58</v>
      </c>
      <c r="D320" s="26" t="s">
        <v>826</v>
      </c>
      <c r="E320" s="27">
        <v>28900</v>
      </c>
      <c r="F320" s="27" t="s">
        <v>1101</v>
      </c>
      <c r="G320" s="31" t="s">
        <v>1102</v>
      </c>
      <c r="H320" s="25"/>
    </row>
    <row r="321" spans="1:8" x14ac:dyDescent="0.25">
      <c r="A321" t="s">
        <v>376</v>
      </c>
      <c r="B321" s="19" t="s">
        <v>1310</v>
      </c>
      <c r="C321" s="19" t="s">
        <v>816</v>
      </c>
      <c r="D321" s="26" t="s">
        <v>782</v>
      </c>
      <c r="E321" s="27">
        <v>60805</v>
      </c>
      <c r="F321" t="s">
        <v>1103</v>
      </c>
      <c r="G321" s="27"/>
      <c r="H321" s="25"/>
    </row>
    <row r="322" spans="1:8" x14ac:dyDescent="0.25">
      <c r="A322" t="s">
        <v>377</v>
      </c>
      <c r="B322" s="19"/>
      <c r="C322" s="19"/>
      <c r="D322" s="26" t="s">
        <v>782</v>
      </c>
      <c r="E322" s="27"/>
      <c r="F322" s="27"/>
      <c r="G322" s="27"/>
      <c r="H322" s="25"/>
    </row>
    <row r="323" spans="1:8" x14ac:dyDescent="0.25">
      <c r="A323" t="s">
        <v>378</v>
      </c>
      <c r="B323" s="19"/>
      <c r="C323" s="19"/>
      <c r="D323" s="26" t="s">
        <v>782</v>
      </c>
      <c r="E323" s="27"/>
      <c r="F323" s="27"/>
      <c r="G323" s="27"/>
      <c r="H323" s="25"/>
    </row>
    <row r="324" spans="1:8" x14ac:dyDescent="0.25">
      <c r="A324" t="s">
        <v>379</v>
      </c>
      <c r="B324" s="19" t="s">
        <v>844</v>
      </c>
      <c r="C324" s="19" t="s">
        <v>58</v>
      </c>
      <c r="D324" s="26" t="s">
        <v>826</v>
      </c>
      <c r="E324" s="27">
        <v>28900</v>
      </c>
      <c r="F324" s="27"/>
      <c r="G324" s="27"/>
      <c r="H324" s="25"/>
    </row>
    <row r="325" spans="1:8" x14ac:dyDescent="0.25">
      <c r="A325" t="s">
        <v>380</v>
      </c>
      <c r="B325" s="52" t="s">
        <v>1104</v>
      </c>
      <c r="C325" s="19" t="s">
        <v>816</v>
      </c>
      <c r="D325" s="26" t="s">
        <v>782</v>
      </c>
      <c r="E325" s="70">
        <v>60807</v>
      </c>
      <c r="F325" t="s">
        <v>1105</v>
      </c>
      <c r="G325" s="27"/>
      <c r="H325" s="25"/>
    </row>
    <row r="326" spans="1:8" x14ac:dyDescent="0.25">
      <c r="A326" t="s">
        <v>381</v>
      </c>
      <c r="B326" s="52" t="s">
        <v>1106</v>
      </c>
      <c r="C326" s="27" t="s">
        <v>58</v>
      </c>
      <c r="D326" s="26" t="s">
        <v>803</v>
      </c>
      <c r="E326" s="27">
        <v>28900</v>
      </c>
      <c r="F326" t="s">
        <v>1107</v>
      </c>
      <c r="G326" s="27"/>
      <c r="H326" s="25"/>
    </row>
    <row r="327" spans="1:8" x14ac:dyDescent="0.25">
      <c r="A327" t="s">
        <v>382</v>
      </c>
      <c r="B327" s="19"/>
      <c r="C327" s="27"/>
      <c r="D327" s="26"/>
      <c r="E327" s="27"/>
      <c r="F327" s="27"/>
      <c r="G327" s="27"/>
      <c r="H327" s="25"/>
    </row>
    <row r="328" spans="1:8" x14ac:dyDescent="0.25">
      <c r="A328" t="s">
        <v>383</v>
      </c>
      <c r="B328" s="19" t="s">
        <v>1090</v>
      </c>
      <c r="C328" s="19" t="s">
        <v>58</v>
      </c>
      <c r="D328" s="26" t="s">
        <v>1108</v>
      </c>
      <c r="E328" s="27">
        <v>28930</v>
      </c>
      <c r="F328" s="27" t="s">
        <v>1109</v>
      </c>
      <c r="G328" s="31" t="s">
        <v>1110</v>
      </c>
      <c r="H328" s="25"/>
    </row>
    <row r="329" spans="1:8" x14ac:dyDescent="0.25">
      <c r="A329" t="s">
        <v>384</v>
      </c>
      <c r="B329" s="19" t="s">
        <v>1111</v>
      </c>
      <c r="C329" s="19" t="s">
        <v>781</v>
      </c>
      <c r="D329" s="26" t="s">
        <v>994</v>
      </c>
      <c r="E329" s="27">
        <v>60806</v>
      </c>
      <c r="F329" s="27" t="s">
        <v>1112</v>
      </c>
      <c r="G329" s="27" t="s">
        <v>1113</v>
      </c>
      <c r="H329" s="25"/>
    </row>
    <row r="330" spans="1:8" x14ac:dyDescent="0.25">
      <c r="A330" t="s">
        <v>385</v>
      </c>
      <c r="B330" s="19" t="s">
        <v>910</v>
      </c>
      <c r="C330" s="25" t="s">
        <v>58</v>
      </c>
      <c r="D330" s="27" t="s">
        <v>1039</v>
      </c>
      <c r="E330" s="27">
        <v>28940</v>
      </c>
      <c r="F330" s="27"/>
      <c r="G330" s="27"/>
      <c r="H330" s="25"/>
    </row>
    <row r="331" spans="1:8" x14ac:dyDescent="0.25">
      <c r="A331" t="s">
        <v>386</v>
      </c>
      <c r="B331" t="s">
        <v>1114</v>
      </c>
      <c r="C331" s="27" t="s">
        <v>816</v>
      </c>
      <c r="D331" s="26" t="s">
        <v>782</v>
      </c>
      <c r="E331" s="27">
        <v>60804</v>
      </c>
      <c r="F331" t="s">
        <v>1115</v>
      </c>
      <c r="G331" s="27"/>
      <c r="H331" s="25"/>
    </row>
    <row r="332" spans="1:8" x14ac:dyDescent="0.25">
      <c r="A332" t="s">
        <v>387</v>
      </c>
      <c r="B332" s="19" t="s">
        <v>1116</v>
      </c>
      <c r="C332" s="27"/>
      <c r="D332" s="26"/>
      <c r="E332" s="27"/>
      <c r="F332" s="27"/>
      <c r="G332" s="27"/>
      <c r="H332" s="25"/>
    </row>
    <row r="333" spans="1:8" x14ac:dyDescent="0.25">
      <c r="A333" s="17" t="s">
        <v>388</v>
      </c>
      <c r="B333" s="71" t="s">
        <v>1117</v>
      </c>
      <c r="C333" s="29"/>
      <c r="D333" s="45" t="s">
        <v>782</v>
      </c>
      <c r="E333" s="29"/>
      <c r="F333" s="29"/>
      <c r="G333" s="29"/>
      <c r="H333" s="30"/>
    </row>
    <row r="334" spans="1:8" x14ac:dyDescent="0.25">
      <c r="A334" t="s">
        <v>389</v>
      </c>
      <c r="B334" s="19" t="s">
        <v>822</v>
      </c>
      <c r="C334" s="19" t="s">
        <v>781</v>
      </c>
      <c r="D334" s="58" t="s">
        <v>1019</v>
      </c>
      <c r="E334" s="27">
        <v>60804</v>
      </c>
      <c r="F334" s="27" t="s">
        <v>1118</v>
      </c>
      <c r="G334" s="31" t="s">
        <v>1119</v>
      </c>
      <c r="H334" s="25"/>
    </row>
    <row r="335" spans="1:8" x14ac:dyDescent="0.25">
      <c r="A335" t="s">
        <v>390</v>
      </c>
      <c r="B335" s="25" t="s">
        <v>838</v>
      </c>
      <c r="C335" s="72" t="s">
        <v>781</v>
      </c>
      <c r="D335" s="26" t="s">
        <v>782</v>
      </c>
      <c r="E335" s="27">
        <v>60804</v>
      </c>
      <c r="F335" s="27" t="s">
        <v>1120</v>
      </c>
      <c r="G335" s="31" t="s">
        <v>1121</v>
      </c>
      <c r="H335" s="25"/>
    </row>
    <row r="336" spans="1:8" x14ac:dyDescent="0.25">
      <c r="A336" t="s">
        <v>391</v>
      </c>
      <c r="B336" s="19" t="s">
        <v>1122</v>
      </c>
      <c r="C336" s="27" t="s">
        <v>58</v>
      </c>
      <c r="D336" s="26" t="s">
        <v>803</v>
      </c>
      <c r="E336" s="27">
        <v>28865</v>
      </c>
      <c r="F336" s="27" t="s">
        <v>1123</v>
      </c>
      <c r="G336" s="31" t="s">
        <v>1124</v>
      </c>
      <c r="H336" s="25"/>
    </row>
    <row r="337" spans="1:8" x14ac:dyDescent="0.25">
      <c r="A337" t="s">
        <v>392</v>
      </c>
      <c r="B337" s="19" t="s">
        <v>1125</v>
      </c>
      <c r="C337" s="27" t="s">
        <v>58</v>
      </c>
      <c r="D337" s="26" t="s">
        <v>826</v>
      </c>
      <c r="E337" s="27">
        <v>28935</v>
      </c>
      <c r="F337" s="27" t="s">
        <v>1126</v>
      </c>
      <c r="G337" s="31" t="s">
        <v>1127</v>
      </c>
      <c r="H337" s="25"/>
    </row>
    <row r="338" spans="1:8" x14ac:dyDescent="0.25">
      <c r="A338" t="s">
        <v>393</v>
      </c>
      <c r="B338" s="19" t="s">
        <v>1084</v>
      </c>
      <c r="C338" s="27" t="s">
        <v>58</v>
      </c>
      <c r="D338" s="26" t="s">
        <v>803</v>
      </c>
      <c r="E338" s="50">
        <v>28903</v>
      </c>
      <c r="F338" s="27" t="s">
        <v>1128</v>
      </c>
      <c r="G338" s="31" t="s">
        <v>1129</v>
      </c>
      <c r="H338" s="25"/>
    </row>
    <row r="339" spans="1:8" x14ac:dyDescent="0.25">
      <c r="A339" t="s">
        <v>394</v>
      </c>
      <c r="B339" s="27" t="s">
        <v>985</v>
      </c>
      <c r="C339" s="27" t="s">
        <v>781</v>
      </c>
      <c r="D339" s="26" t="s">
        <v>782</v>
      </c>
      <c r="E339" s="27">
        <v>60804</v>
      </c>
      <c r="F339" s="27" t="s">
        <v>1130</v>
      </c>
      <c r="G339" s="31" t="s">
        <v>1131</v>
      </c>
      <c r="H339" s="25"/>
    </row>
    <row r="340" spans="1:8" x14ac:dyDescent="0.25">
      <c r="A340" t="s">
        <v>395</v>
      </c>
      <c r="B340" s="27" t="s">
        <v>1132</v>
      </c>
      <c r="C340" s="27" t="s">
        <v>816</v>
      </c>
      <c r="D340" s="26" t="s">
        <v>782</v>
      </c>
      <c r="E340" s="27"/>
      <c r="F340" s="27" t="s">
        <v>1133</v>
      </c>
      <c r="G340" s="27" t="s">
        <v>1134</v>
      </c>
      <c r="H340" s="25"/>
    </row>
    <row r="341" spans="1:8" ht="30" x14ac:dyDescent="0.25">
      <c r="A341" t="s">
        <v>396</v>
      </c>
      <c r="B341" s="73" t="s">
        <v>1135</v>
      </c>
      <c r="C341" s="27" t="s">
        <v>816</v>
      </c>
      <c r="D341" s="26" t="s">
        <v>875</v>
      </c>
      <c r="E341" s="27"/>
      <c r="F341" t="s">
        <v>1136</v>
      </c>
      <c r="G341" s="27"/>
      <c r="H341" s="25"/>
    </row>
    <row r="342" spans="1:8" x14ac:dyDescent="0.25">
      <c r="A342" t="s">
        <v>397</v>
      </c>
      <c r="B342" s="27"/>
      <c r="C342" s="27"/>
      <c r="D342" s="26" t="s">
        <v>782</v>
      </c>
      <c r="E342" s="27"/>
      <c r="F342" s="27" t="s">
        <v>1137</v>
      </c>
      <c r="G342" s="31" t="s">
        <v>1138</v>
      </c>
      <c r="H342" s="25"/>
    </row>
    <row r="343" spans="1:8" x14ac:dyDescent="0.25">
      <c r="A343" t="s">
        <v>398</v>
      </c>
      <c r="B343" s="26" t="s">
        <v>875</v>
      </c>
      <c r="C343" s="27" t="s">
        <v>816</v>
      </c>
      <c r="D343" s="26" t="s">
        <v>875</v>
      </c>
      <c r="E343" s="27">
        <v>58110</v>
      </c>
      <c r="F343" s="27" t="s">
        <v>1139</v>
      </c>
      <c r="G343" s="31" t="s">
        <v>1140</v>
      </c>
      <c r="H343" s="25"/>
    </row>
    <row r="344" spans="1:8" x14ac:dyDescent="0.25">
      <c r="A344" t="s">
        <v>399</v>
      </c>
      <c r="B344" s="27"/>
      <c r="C344" s="27" t="s">
        <v>58</v>
      </c>
      <c r="D344" s="26" t="s">
        <v>826</v>
      </c>
      <c r="E344" s="50">
        <v>28903</v>
      </c>
      <c r="F344" s="27"/>
      <c r="G344" s="27"/>
      <c r="H344" s="25"/>
    </row>
    <row r="345" spans="1:8" x14ac:dyDescent="0.25">
      <c r="A345" t="s">
        <v>400</v>
      </c>
      <c r="B345" s="27" t="s">
        <v>1141</v>
      </c>
      <c r="C345" s="27" t="s">
        <v>58</v>
      </c>
      <c r="D345" s="26"/>
      <c r="E345" s="27">
        <v>28944</v>
      </c>
      <c r="F345" s="27"/>
      <c r="G345" s="27"/>
      <c r="H345" s="25"/>
    </row>
    <row r="346" spans="1:8" ht="36.75" x14ac:dyDescent="0.25">
      <c r="A346" t="s">
        <v>401</v>
      </c>
      <c r="B346" s="52" t="s">
        <v>1142</v>
      </c>
      <c r="C346" s="27" t="s">
        <v>58</v>
      </c>
      <c r="D346" s="26" t="s">
        <v>803</v>
      </c>
      <c r="E346" s="27"/>
      <c r="F346" t="s">
        <v>1143</v>
      </c>
      <c r="G346" s="27"/>
      <c r="H346" s="25"/>
    </row>
    <row r="347" spans="1:8" ht="36.75" x14ac:dyDescent="0.25">
      <c r="A347" t="s">
        <v>402</v>
      </c>
      <c r="B347" s="74" t="s">
        <v>1142</v>
      </c>
      <c r="C347" s="27" t="s">
        <v>58</v>
      </c>
      <c r="D347" s="26" t="s">
        <v>803</v>
      </c>
      <c r="E347" s="27"/>
      <c r="F347" t="s">
        <v>1144</v>
      </c>
      <c r="G347" s="27"/>
      <c r="H347" s="25"/>
    </row>
    <row r="348" spans="1:8" ht="36.75" x14ac:dyDescent="0.25">
      <c r="A348" t="s">
        <v>403</v>
      </c>
      <c r="B348" s="74" t="s">
        <v>1142</v>
      </c>
      <c r="C348" s="27" t="s">
        <v>58</v>
      </c>
      <c r="D348" s="26" t="s">
        <v>803</v>
      </c>
      <c r="E348" s="27"/>
      <c r="F348" t="s">
        <v>1145</v>
      </c>
      <c r="G348" s="27"/>
      <c r="H348" s="25"/>
    </row>
    <row r="349" spans="1:8" x14ac:dyDescent="0.25">
      <c r="A349" t="s">
        <v>404</v>
      </c>
      <c r="B349" s="27"/>
      <c r="C349" s="27"/>
      <c r="D349" s="26"/>
      <c r="E349" s="27"/>
      <c r="F349" s="27"/>
      <c r="G349" s="27"/>
      <c r="H349" s="25"/>
    </row>
    <row r="350" spans="1:8" x14ac:dyDescent="0.25">
      <c r="A350" t="s">
        <v>405</v>
      </c>
      <c r="B350" s="27" t="s">
        <v>1026</v>
      </c>
      <c r="C350" s="27" t="s">
        <v>58</v>
      </c>
      <c r="D350" s="62" t="s">
        <v>1039</v>
      </c>
      <c r="E350" s="27"/>
      <c r="F350" s="27" t="s">
        <v>1146</v>
      </c>
      <c r="G350" s="27"/>
      <c r="H350" s="25"/>
    </row>
    <row r="351" spans="1:8" x14ac:dyDescent="0.25">
      <c r="A351" t="s">
        <v>406</v>
      </c>
      <c r="B351" t="s">
        <v>1147</v>
      </c>
      <c r="C351" s="27" t="s">
        <v>1148</v>
      </c>
      <c r="D351" s="26" t="s">
        <v>782</v>
      </c>
      <c r="E351" s="27"/>
      <c r="F351" t="s">
        <v>1149</v>
      </c>
      <c r="G351" s="27"/>
      <c r="H351" s="25"/>
    </row>
    <row r="352" spans="1:8" x14ac:dyDescent="0.25">
      <c r="A352" t="s">
        <v>407</v>
      </c>
      <c r="B352" s="27" t="s">
        <v>1026</v>
      </c>
      <c r="C352" s="27" t="s">
        <v>58</v>
      </c>
      <c r="D352" s="26" t="s">
        <v>803</v>
      </c>
      <c r="E352" s="27">
        <v>28219</v>
      </c>
      <c r="F352" s="27" t="s">
        <v>1150</v>
      </c>
      <c r="G352" s="27" t="s">
        <v>1151</v>
      </c>
      <c r="H352" s="25"/>
    </row>
    <row r="353" spans="1:8" x14ac:dyDescent="0.25">
      <c r="A353" t="s">
        <v>408</v>
      </c>
      <c r="B353" s="73" t="s">
        <v>1152</v>
      </c>
      <c r="C353" s="27" t="s">
        <v>58</v>
      </c>
      <c r="D353" s="26" t="s">
        <v>803</v>
      </c>
      <c r="E353" s="27">
        <v>28189</v>
      </c>
      <c r="F353" t="s">
        <v>1153</v>
      </c>
      <c r="G353" s="27"/>
      <c r="H353" s="25"/>
    </row>
    <row r="354" spans="1:8" x14ac:dyDescent="0.25">
      <c r="A354" t="s">
        <v>409</v>
      </c>
      <c r="B354" s="27" t="s">
        <v>923</v>
      </c>
      <c r="C354" s="27" t="s">
        <v>816</v>
      </c>
      <c r="D354" s="26" t="s">
        <v>782</v>
      </c>
      <c r="E354" s="27">
        <v>60805</v>
      </c>
      <c r="F354" s="19" t="s">
        <v>1154</v>
      </c>
      <c r="G354" s="27"/>
      <c r="H354" s="25"/>
    </row>
    <row r="355" spans="1:8" x14ac:dyDescent="0.25">
      <c r="A355" t="s">
        <v>410</v>
      </c>
      <c r="B355" s="27"/>
      <c r="C355" s="27"/>
      <c r="D355" s="26"/>
      <c r="E355" s="27"/>
      <c r="F355" s="27"/>
      <c r="G355" s="27"/>
      <c r="H355" s="25"/>
    </row>
    <row r="356" spans="1:8" ht="36.75" x14ac:dyDescent="0.25">
      <c r="A356" t="s">
        <v>411</v>
      </c>
      <c r="B356" s="52" t="s">
        <v>1155</v>
      </c>
      <c r="C356" s="27" t="s">
        <v>58</v>
      </c>
      <c r="D356" s="26" t="s">
        <v>803</v>
      </c>
      <c r="E356" s="27"/>
      <c r="F356" t="s">
        <v>1156</v>
      </c>
      <c r="G356" s="27"/>
      <c r="H356" s="25"/>
    </row>
    <row r="357" spans="1:8" x14ac:dyDescent="0.25">
      <c r="A357" t="s">
        <v>412</v>
      </c>
      <c r="B357" s="52" t="s">
        <v>1157</v>
      </c>
      <c r="C357" s="27" t="s">
        <v>816</v>
      </c>
      <c r="D357" s="26" t="s">
        <v>1158</v>
      </c>
      <c r="E357" s="27">
        <v>60807</v>
      </c>
      <c r="F357" t="s">
        <v>1159</v>
      </c>
      <c r="G357" s="27"/>
      <c r="H357" s="25"/>
    </row>
    <row r="358" spans="1:8" x14ac:dyDescent="0.25">
      <c r="A358" t="s">
        <v>413</v>
      </c>
      <c r="B358" s="27"/>
      <c r="C358" s="27"/>
      <c r="D358" s="26"/>
      <c r="E358" s="27"/>
      <c r="F358" s="27"/>
      <c r="G358" s="27"/>
      <c r="H358" s="25"/>
    </row>
    <row r="359" spans="1:8" ht="36.75" x14ac:dyDescent="0.25">
      <c r="A359" t="s">
        <v>414</v>
      </c>
      <c r="B359" s="52" t="s">
        <v>1160</v>
      </c>
      <c r="C359" s="27" t="s">
        <v>898</v>
      </c>
      <c r="D359" s="26" t="s">
        <v>890</v>
      </c>
      <c r="E359" s="27">
        <v>48995</v>
      </c>
      <c r="F359" t="s">
        <v>1161</v>
      </c>
      <c r="G359" s="27"/>
      <c r="H359" s="25"/>
    </row>
    <row r="360" spans="1:8" x14ac:dyDescent="0.25">
      <c r="A360" t="s">
        <v>415</v>
      </c>
      <c r="B360" s="27" t="s">
        <v>1162</v>
      </c>
      <c r="C360" s="27" t="s">
        <v>58</v>
      </c>
      <c r="D360" s="26" t="s">
        <v>1163</v>
      </c>
      <c r="E360" s="27">
        <v>28943</v>
      </c>
      <c r="F360" s="27" t="s">
        <v>1164</v>
      </c>
      <c r="G360" s="27" t="s">
        <v>1165</v>
      </c>
      <c r="H360" s="25"/>
    </row>
    <row r="361" spans="1:8" x14ac:dyDescent="0.25">
      <c r="A361" t="s">
        <v>416</v>
      </c>
      <c r="B361" s="27" t="s">
        <v>1166</v>
      </c>
      <c r="C361" s="27" t="s">
        <v>58</v>
      </c>
      <c r="D361" s="26" t="s">
        <v>1167</v>
      </c>
      <c r="E361" s="27">
        <v>28906</v>
      </c>
      <c r="F361" s="27" t="s">
        <v>1168</v>
      </c>
      <c r="G361" s="27"/>
      <c r="H361" s="25"/>
    </row>
    <row r="362" spans="1:8" x14ac:dyDescent="0.25">
      <c r="A362" t="s">
        <v>417</v>
      </c>
      <c r="B362" s="27"/>
      <c r="C362" s="27"/>
      <c r="D362" s="26"/>
      <c r="E362" s="27"/>
      <c r="F362" s="27"/>
      <c r="G362" s="27"/>
      <c r="H362" s="25"/>
    </row>
    <row r="363" spans="1:8" x14ac:dyDescent="0.25">
      <c r="A363" t="s">
        <v>418</v>
      </c>
      <c r="B363" s="27" t="s">
        <v>1049</v>
      </c>
      <c r="C363" s="27"/>
      <c r="D363" s="26" t="s">
        <v>782</v>
      </c>
      <c r="E363" s="27">
        <v>60805</v>
      </c>
      <c r="F363" s="27" t="s">
        <v>1169</v>
      </c>
      <c r="G363" s="27"/>
      <c r="H363" s="25"/>
    </row>
    <row r="364" spans="1:8" x14ac:dyDescent="0.25">
      <c r="A364" t="s">
        <v>419</v>
      </c>
      <c r="B364" s="27" t="s">
        <v>1170</v>
      </c>
      <c r="C364" s="27" t="s">
        <v>816</v>
      </c>
      <c r="D364" s="26" t="s">
        <v>782</v>
      </c>
      <c r="E364" s="27"/>
      <c r="F364" s="27" t="s">
        <v>1171</v>
      </c>
      <c r="G364" s="27"/>
      <c r="H364" s="25"/>
    </row>
    <row r="365" spans="1:8" x14ac:dyDescent="0.25">
      <c r="A365" t="s">
        <v>420</v>
      </c>
      <c r="B365" s="27" t="s">
        <v>1166</v>
      </c>
      <c r="C365" s="27" t="s">
        <v>58</v>
      </c>
      <c r="D365" s="26" t="s">
        <v>826</v>
      </c>
      <c r="E365" s="27">
        <v>28900</v>
      </c>
      <c r="F365" s="27" t="s">
        <v>1172</v>
      </c>
      <c r="G365" s="27" t="s">
        <v>1173</v>
      </c>
      <c r="H365" s="25"/>
    </row>
    <row r="366" spans="1:8" x14ac:dyDescent="0.25">
      <c r="A366" t="s">
        <v>421</v>
      </c>
      <c r="B366" s="27" t="s">
        <v>1174</v>
      </c>
      <c r="C366" s="27" t="s">
        <v>58</v>
      </c>
      <c r="D366" s="26" t="s">
        <v>826</v>
      </c>
      <c r="E366" s="27">
        <v>28900</v>
      </c>
      <c r="F366" s="27" t="s">
        <v>1175</v>
      </c>
      <c r="G366" s="27" t="s">
        <v>1173</v>
      </c>
      <c r="H366" s="25"/>
    </row>
    <row r="367" spans="1:8" x14ac:dyDescent="0.25">
      <c r="A367" t="s">
        <v>422</v>
      </c>
      <c r="B367" s="27" t="s">
        <v>1031</v>
      </c>
      <c r="C367" s="27" t="s">
        <v>816</v>
      </c>
      <c r="D367" s="26" t="s">
        <v>782</v>
      </c>
      <c r="E367" s="27">
        <v>60990</v>
      </c>
      <c r="F367" s="27" t="s">
        <v>1176</v>
      </c>
      <c r="G367" s="27" t="s">
        <v>1177</v>
      </c>
      <c r="H367" s="25"/>
    </row>
    <row r="368" spans="1:8" x14ac:dyDescent="0.25">
      <c r="A368" t="s">
        <v>423</v>
      </c>
      <c r="B368" s="27" t="s">
        <v>1178</v>
      </c>
      <c r="C368" s="27" t="s">
        <v>58</v>
      </c>
      <c r="D368" s="26" t="s">
        <v>803</v>
      </c>
      <c r="E368" s="27">
        <v>28110</v>
      </c>
      <c r="F368" s="27" t="s">
        <v>1179</v>
      </c>
      <c r="G368" s="27" t="s">
        <v>1180</v>
      </c>
      <c r="H368" s="25"/>
    </row>
    <row r="369" spans="1:8" x14ac:dyDescent="0.25">
      <c r="A369" t="s">
        <v>424</v>
      </c>
      <c r="B369" s="27" t="s">
        <v>1181</v>
      </c>
      <c r="C369" s="27" t="s">
        <v>898</v>
      </c>
      <c r="D369" s="26" t="s">
        <v>890</v>
      </c>
      <c r="E369" s="27">
        <v>48990</v>
      </c>
      <c r="F369" s="27" t="s">
        <v>1182</v>
      </c>
      <c r="G369" s="27"/>
      <c r="H369" s="25"/>
    </row>
    <row r="370" spans="1:8" x14ac:dyDescent="0.25">
      <c r="A370" t="s">
        <v>425</v>
      </c>
      <c r="B370" s="27" t="s">
        <v>1183</v>
      </c>
      <c r="C370" s="27" t="s">
        <v>816</v>
      </c>
      <c r="D370" s="26" t="s">
        <v>782</v>
      </c>
      <c r="E370" s="27">
        <v>60806</v>
      </c>
      <c r="F370" s="27" t="s">
        <v>1184</v>
      </c>
      <c r="G370" s="27"/>
      <c r="H370" s="25"/>
    </row>
    <row r="371" spans="1:8" x14ac:dyDescent="0.25">
      <c r="A371" t="s">
        <v>426</v>
      </c>
      <c r="B371" s="27"/>
      <c r="C371" s="27"/>
      <c r="D371" s="26"/>
      <c r="E371" s="27"/>
      <c r="F371" s="27"/>
      <c r="G371" s="27"/>
      <c r="H371" s="25"/>
    </row>
    <row r="372" spans="1:8" x14ac:dyDescent="0.25">
      <c r="A372" t="s">
        <v>427</v>
      </c>
      <c r="B372" s="27" t="s">
        <v>1170</v>
      </c>
      <c r="C372" s="27" t="s">
        <v>816</v>
      </c>
      <c r="D372" s="26" t="s">
        <v>782</v>
      </c>
      <c r="E372" s="27"/>
      <c r="F372" s="27" t="s">
        <v>1185</v>
      </c>
      <c r="G372" s="27"/>
      <c r="H372" s="25"/>
    </row>
    <row r="373" spans="1:8" x14ac:dyDescent="0.25">
      <c r="A373" t="s">
        <v>428</v>
      </c>
      <c r="B373" s="27" t="s">
        <v>1186</v>
      </c>
      <c r="C373" s="27" t="s">
        <v>58</v>
      </c>
      <c r="D373" s="26" t="s">
        <v>803</v>
      </c>
      <c r="E373" s="27"/>
      <c r="F373" s="27" t="s">
        <v>1187</v>
      </c>
      <c r="G373" s="27"/>
      <c r="H373" s="25"/>
    </row>
    <row r="374" spans="1:8" x14ac:dyDescent="0.25">
      <c r="A374" t="s">
        <v>429</v>
      </c>
      <c r="B374" s="43" t="s">
        <v>1188</v>
      </c>
      <c r="C374" s="27" t="s">
        <v>58</v>
      </c>
      <c r="D374" s="26" t="s">
        <v>803</v>
      </c>
      <c r="E374" s="27"/>
      <c r="F374" s="27" t="s">
        <v>1189</v>
      </c>
      <c r="G374" s="27"/>
      <c r="H374" s="25"/>
    </row>
    <row r="375" spans="1:8" x14ac:dyDescent="0.25">
      <c r="A375" t="s">
        <v>430</v>
      </c>
      <c r="B375" s="43" t="s">
        <v>1099</v>
      </c>
      <c r="C375" s="27" t="s">
        <v>816</v>
      </c>
      <c r="D375" s="26" t="s">
        <v>826</v>
      </c>
      <c r="E375" s="27">
        <v>28900</v>
      </c>
      <c r="F375" s="27" t="s">
        <v>1190</v>
      </c>
      <c r="G375" s="27" t="s">
        <v>1191</v>
      </c>
      <c r="H375" s="25"/>
    </row>
    <row r="376" spans="1:8" x14ac:dyDescent="0.25">
      <c r="A376" t="s">
        <v>431</v>
      </c>
      <c r="B376" s="43" t="s">
        <v>1192</v>
      </c>
      <c r="C376" s="27"/>
      <c r="D376" s="26" t="s">
        <v>58</v>
      </c>
      <c r="E376" s="27">
        <v>28110</v>
      </c>
      <c r="F376" s="27" t="s">
        <v>1193</v>
      </c>
      <c r="G376" s="27" t="s">
        <v>1194</v>
      </c>
      <c r="H376" s="25"/>
    </row>
    <row r="377" spans="1:8" x14ac:dyDescent="0.25">
      <c r="A377" t="s">
        <v>70</v>
      </c>
      <c r="B377" s="43" t="s">
        <v>1195</v>
      </c>
      <c r="C377" s="27" t="s">
        <v>816</v>
      </c>
      <c r="D377" s="26" t="s">
        <v>782</v>
      </c>
      <c r="E377" s="27"/>
      <c r="F377" s="27" t="s">
        <v>1196</v>
      </c>
      <c r="G377" s="27"/>
      <c r="H377" s="25"/>
    </row>
    <row r="378" spans="1:8" x14ac:dyDescent="0.25">
      <c r="A378" t="s">
        <v>432</v>
      </c>
      <c r="B378" s="27" t="s">
        <v>1197</v>
      </c>
      <c r="C378" s="27" t="s">
        <v>816</v>
      </c>
      <c r="D378" s="26" t="s">
        <v>782</v>
      </c>
      <c r="E378" s="27"/>
      <c r="F378" s="27" t="s">
        <v>1198</v>
      </c>
      <c r="G378" s="27"/>
      <c r="H378" s="25"/>
    </row>
    <row r="379" spans="1:8" x14ac:dyDescent="0.25">
      <c r="A379" t="s">
        <v>433</v>
      </c>
      <c r="B379" s="43" t="s">
        <v>784</v>
      </c>
      <c r="C379" s="27" t="s">
        <v>816</v>
      </c>
      <c r="D379" s="26" t="s">
        <v>782</v>
      </c>
      <c r="E379" s="27"/>
      <c r="F379" s="27" t="s">
        <v>1199</v>
      </c>
      <c r="G379" s="27"/>
      <c r="H379" s="25"/>
    </row>
    <row r="380" spans="1:8" x14ac:dyDescent="0.25">
      <c r="A380" t="s">
        <v>434</v>
      </c>
      <c r="B380" s="43" t="s">
        <v>1200</v>
      </c>
      <c r="C380" s="27" t="s">
        <v>58</v>
      </c>
      <c r="D380" s="26" t="s">
        <v>1039</v>
      </c>
      <c r="E380" s="27"/>
      <c r="F380" s="27" t="s">
        <v>1201</v>
      </c>
      <c r="G380" s="27"/>
      <c r="H380" s="25"/>
    </row>
    <row r="381" spans="1:8" x14ac:dyDescent="0.25">
      <c r="A381" t="s">
        <v>435</v>
      </c>
      <c r="B381" s="43" t="s">
        <v>1197</v>
      </c>
      <c r="C381" s="27" t="s">
        <v>816</v>
      </c>
      <c r="D381" s="26" t="s">
        <v>1019</v>
      </c>
      <c r="E381" s="27">
        <v>60804</v>
      </c>
      <c r="F381" s="27" t="s">
        <v>1202</v>
      </c>
      <c r="G381" s="27"/>
      <c r="H381" s="25"/>
    </row>
    <row r="382" spans="1:8" x14ac:dyDescent="0.25">
      <c r="A382" t="s">
        <v>436</v>
      </c>
      <c r="B382" s="43" t="s">
        <v>974</v>
      </c>
      <c r="C382" s="27" t="s">
        <v>816</v>
      </c>
      <c r="D382" s="26" t="s">
        <v>1203</v>
      </c>
      <c r="E382" s="27"/>
      <c r="F382" s="27" t="s">
        <v>1204</v>
      </c>
      <c r="G382" s="27"/>
      <c r="H382" s="25"/>
    </row>
    <row r="383" spans="1:8" x14ac:dyDescent="0.25">
      <c r="A383" t="s">
        <v>437</v>
      </c>
      <c r="B383" s="43" t="s">
        <v>1205</v>
      </c>
      <c r="C383" s="27" t="s">
        <v>58</v>
      </c>
      <c r="D383" s="26" t="s">
        <v>826</v>
      </c>
      <c r="E383" s="27"/>
      <c r="F383" s="27" t="s">
        <v>1206</v>
      </c>
      <c r="G383" s="27"/>
      <c r="H383" s="25"/>
    </row>
    <row r="384" spans="1:8" x14ac:dyDescent="0.25">
      <c r="A384" t="s">
        <v>438</v>
      </c>
      <c r="B384" s="43" t="s">
        <v>1207</v>
      </c>
      <c r="C384" s="27" t="s">
        <v>816</v>
      </c>
      <c r="D384" s="26" t="s">
        <v>851</v>
      </c>
      <c r="E384" s="27"/>
      <c r="F384" s="27" t="s">
        <v>1208</v>
      </c>
      <c r="G384" s="27" t="s">
        <v>1209</v>
      </c>
      <c r="H384" s="25"/>
    </row>
    <row r="385" spans="1:8" x14ac:dyDescent="0.25">
      <c r="A385" t="s">
        <v>439</v>
      </c>
      <c r="B385" s="27"/>
      <c r="C385" s="27"/>
      <c r="D385" s="26"/>
      <c r="E385" s="27"/>
      <c r="F385" s="27"/>
      <c r="G385" s="27"/>
      <c r="H385" s="25"/>
    </row>
    <row r="386" spans="1:8" x14ac:dyDescent="0.25">
      <c r="A386" t="s">
        <v>440</v>
      </c>
      <c r="B386" s="27" t="s">
        <v>1210</v>
      </c>
      <c r="C386" s="27" t="s">
        <v>58</v>
      </c>
      <c r="D386" s="26" t="s">
        <v>1042</v>
      </c>
      <c r="E386" s="27">
        <v>28945</v>
      </c>
      <c r="F386" s="27" t="s">
        <v>1211</v>
      </c>
      <c r="G386" s="27"/>
      <c r="H386" s="25"/>
    </row>
    <row r="387" spans="1:8" x14ac:dyDescent="0.25">
      <c r="A387" t="s">
        <v>441</v>
      </c>
      <c r="B387" s="25" t="s">
        <v>813</v>
      </c>
      <c r="C387" s="25" t="s">
        <v>816</v>
      </c>
      <c r="D387" s="26" t="s">
        <v>782</v>
      </c>
      <c r="E387" s="27"/>
      <c r="F387" s="27" t="s">
        <v>1212</v>
      </c>
      <c r="G387" s="35"/>
      <c r="H387" s="25"/>
    </row>
    <row r="388" spans="1:8" x14ac:dyDescent="0.25">
      <c r="A388" t="s">
        <v>442</v>
      </c>
      <c r="B388" s="25" t="s">
        <v>1132</v>
      </c>
      <c r="C388" s="25" t="s">
        <v>816</v>
      </c>
      <c r="D388" s="26" t="s">
        <v>782</v>
      </c>
      <c r="E388" s="27"/>
      <c r="F388" s="27" t="s">
        <v>1213</v>
      </c>
      <c r="G388" s="35"/>
      <c r="H388" s="25"/>
    </row>
    <row r="389" spans="1:8" x14ac:dyDescent="0.25">
      <c r="A389" t="s">
        <v>443</v>
      </c>
      <c r="B389" s="25" t="s">
        <v>813</v>
      </c>
      <c r="C389" s="25" t="s">
        <v>816</v>
      </c>
      <c r="D389" s="26" t="s">
        <v>782</v>
      </c>
      <c r="E389" s="27"/>
      <c r="F389" s="25" t="s">
        <v>1214</v>
      </c>
      <c r="G389" s="35" t="s">
        <v>1215</v>
      </c>
      <c r="H389" s="25"/>
    </row>
    <row r="390" spans="1:8" x14ac:dyDescent="0.25">
      <c r="A390" t="s">
        <v>444</v>
      </c>
      <c r="B390" s="25" t="s">
        <v>1216</v>
      </c>
      <c r="C390" s="25" t="s">
        <v>58</v>
      </c>
      <c r="D390" s="26" t="s">
        <v>1217</v>
      </c>
      <c r="E390" s="27"/>
      <c r="F390" s="27" t="s">
        <v>1218</v>
      </c>
      <c r="G390" s="35" t="s">
        <v>1219</v>
      </c>
      <c r="H390" s="25"/>
    </row>
    <row r="391" spans="1:8" x14ac:dyDescent="0.25">
      <c r="A391" t="s">
        <v>445</v>
      </c>
      <c r="B391" s="25" t="s">
        <v>1125</v>
      </c>
      <c r="C391" s="25" t="s">
        <v>58</v>
      </c>
      <c r="D391" s="26" t="s">
        <v>803</v>
      </c>
      <c r="E391" s="27"/>
      <c r="F391" s="27" t="s">
        <v>1220</v>
      </c>
      <c r="G391" s="35" t="s">
        <v>1221</v>
      </c>
      <c r="H391" s="25"/>
    </row>
    <row r="392" spans="1:8" x14ac:dyDescent="0.25">
      <c r="A392" t="s">
        <v>446</v>
      </c>
      <c r="B392" s="25" t="s">
        <v>1222</v>
      </c>
      <c r="C392" s="27" t="s">
        <v>816</v>
      </c>
      <c r="D392" s="26" t="s">
        <v>782</v>
      </c>
      <c r="E392" s="27"/>
      <c r="F392" s="27" t="s">
        <v>1223</v>
      </c>
      <c r="G392" s="27" t="s">
        <v>1224</v>
      </c>
      <c r="H392" s="25"/>
    </row>
    <row r="393" spans="1:8" x14ac:dyDescent="0.25">
      <c r="A393" t="s">
        <v>447</v>
      </c>
      <c r="B393" s="25" t="s">
        <v>1225</v>
      </c>
      <c r="C393" s="27" t="s">
        <v>816</v>
      </c>
      <c r="D393" s="26" t="s">
        <v>782</v>
      </c>
      <c r="E393" s="27"/>
      <c r="F393" s="27" t="s">
        <v>1226</v>
      </c>
      <c r="G393" s="27" t="s">
        <v>1227</v>
      </c>
      <c r="H393" s="25"/>
    </row>
    <row r="394" spans="1:8" x14ac:dyDescent="0.25">
      <c r="A394" t="s">
        <v>448</v>
      </c>
      <c r="B394" s="25" t="s">
        <v>1228</v>
      </c>
      <c r="C394" s="27" t="s">
        <v>816</v>
      </c>
      <c r="D394" s="26" t="s">
        <v>782</v>
      </c>
      <c r="E394" s="27"/>
      <c r="F394" s="27" t="s">
        <v>1229</v>
      </c>
      <c r="G394" s="35" t="s">
        <v>1230</v>
      </c>
      <c r="H394" s="25"/>
    </row>
    <row r="395" spans="1:8" x14ac:dyDescent="0.25">
      <c r="A395" t="s">
        <v>449</v>
      </c>
      <c r="B395" s="43" t="s">
        <v>958</v>
      </c>
      <c r="C395" s="27" t="s">
        <v>816</v>
      </c>
      <c r="D395" s="26" t="s">
        <v>782</v>
      </c>
      <c r="E395" s="27"/>
      <c r="F395" s="27" t="s">
        <v>1231</v>
      </c>
      <c r="G395" s="27" t="s">
        <v>1232</v>
      </c>
      <c r="H395" s="25"/>
    </row>
    <row r="396" spans="1:8" x14ac:dyDescent="0.25">
      <c r="A396" t="s">
        <v>450</v>
      </c>
      <c r="B396" s="43"/>
      <c r="C396" s="27" t="s">
        <v>58</v>
      </c>
      <c r="D396" s="26" t="s">
        <v>803</v>
      </c>
      <c r="E396" s="27"/>
      <c r="F396" s="75" t="s">
        <v>1233</v>
      </c>
      <c r="G396" s="27" t="s">
        <v>1234</v>
      </c>
      <c r="H396" s="25"/>
    </row>
    <row r="397" spans="1:8" x14ac:dyDescent="0.25">
      <c r="A397" t="s">
        <v>451</v>
      </c>
      <c r="B397" s="25" t="s">
        <v>813</v>
      </c>
      <c r="C397" s="27" t="s">
        <v>816</v>
      </c>
      <c r="D397" s="76" t="s">
        <v>782</v>
      </c>
      <c r="E397" s="25"/>
      <c r="F397" s="27" t="s">
        <v>1235</v>
      </c>
      <c r="G397" s="31" t="s">
        <v>1236</v>
      </c>
    </row>
    <row r="398" spans="1:8" x14ac:dyDescent="0.25">
      <c r="A398" t="s">
        <v>452</v>
      </c>
      <c r="B398" s="25" t="s">
        <v>1237</v>
      </c>
      <c r="C398" s="25" t="s">
        <v>816</v>
      </c>
      <c r="D398" s="26" t="s">
        <v>994</v>
      </c>
      <c r="E398" s="27"/>
      <c r="F398" s="27" t="s">
        <v>1238</v>
      </c>
      <c r="G398" s="35" t="s">
        <v>1239</v>
      </c>
      <c r="H398" s="25"/>
    </row>
    <row r="399" spans="1:8" x14ac:dyDescent="0.25">
      <c r="A399" t="s">
        <v>453</v>
      </c>
      <c r="B399" s="25" t="s">
        <v>826</v>
      </c>
      <c r="C399" s="25" t="s">
        <v>58</v>
      </c>
      <c r="D399" s="76" t="s">
        <v>826</v>
      </c>
      <c r="E399" s="27"/>
      <c r="F399" s="25" t="s">
        <v>1240</v>
      </c>
      <c r="G399" s="77" t="s">
        <v>1241</v>
      </c>
      <c r="H399" s="25"/>
    </row>
    <row r="400" spans="1:8" x14ac:dyDescent="0.25">
      <c r="A400" t="s">
        <v>454</v>
      </c>
      <c r="B400" s="43" t="s">
        <v>1197</v>
      </c>
      <c r="C400" s="27" t="s">
        <v>1148</v>
      </c>
      <c r="D400" s="26" t="s">
        <v>1242</v>
      </c>
      <c r="E400" s="27"/>
      <c r="F400" s="25" t="s">
        <v>1243</v>
      </c>
      <c r="G400" s="77" t="s">
        <v>1244</v>
      </c>
      <c r="H400" s="25"/>
    </row>
    <row r="401" spans="1:8" x14ac:dyDescent="0.25">
      <c r="A401" t="s">
        <v>455</v>
      </c>
      <c r="B401" s="43" t="s">
        <v>1245</v>
      </c>
      <c r="C401" s="27" t="s">
        <v>1148</v>
      </c>
      <c r="D401" s="76" t="s">
        <v>1245</v>
      </c>
      <c r="E401" s="27"/>
      <c r="F401" s="25" t="s">
        <v>1246</v>
      </c>
      <c r="G401" s="25" t="s">
        <v>1247</v>
      </c>
      <c r="H401" s="25"/>
    </row>
    <row r="402" spans="1:8" x14ac:dyDescent="0.25">
      <c r="A402" t="s">
        <v>456</v>
      </c>
      <c r="B402" s="43" t="s">
        <v>1248</v>
      </c>
      <c r="C402" s="27" t="s">
        <v>816</v>
      </c>
      <c r="D402" s="76" t="s">
        <v>1013</v>
      </c>
      <c r="E402" s="27"/>
      <c r="F402" s="25" t="s">
        <v>1249</v>
      </c>
      <c r="G402" s="25" t="s">
        <v>1250</v>
      </c>
      <c r="H402" s="25"/>
    </row>
    <row r="403" spans="1:8" x14ac:dyDescent="0.25">
      <c r="A403" t="s">
        <v>457</v>
      </c>
      <c r="B403" s="25" t="s">
        <v>826</v>
      </c>
      <c r="C403" s="27" t="s">
        <v>58</v>
      </c>
      <c r="D403" s="26" t="s">
        <v>826</v>
      </c>
      <c r="E403" s="27"/>
      <c r="F403" s="27" t="s">
        <v>1100</v>
      </c>
      <c r="G403" s="77" t="s">
        <v>1251</v>
      </c>
      <c r="H403" s="25"/>
    </row>
    <row r="404" spans="1:8" x14ac:dyDescent="0.25">
      <c r="A404" t="s">
        <v>458</v>
      </c>
      <c r="B404" s="25" t="s">
        <v>1252</v>
      </c>
      <c r="C404" s="27" t="s">
        <v>816</v>
      </c>
      <c r="D404" s="26" t="s">
        <v>1203</v>
      </c>
      <c r="E404" s="27"/>
      <c r="F404" s="27" t="s">
        <v>1253</v>
      </c>
      <c r="G404" s="77" t="s">
        <v>1254</v>
      </c>
      <c r="H404" s="25"/>
    </row>
    <row r="405" spans="1:8" ht="30" x14ac:dyDescent="0.25">
      <c r="A405" t="s">
        <v>459</v>
      </c>
      <c r="B405" s="19" t="s">
        <v>1255</v>
      </c>
      <c r="C405" s="19" t="s">
        <v>530</v>
      </c>
      <c r="D405" s="76" t="s">
        <v>1256</v>
      </c>
      <c r="E405" s="25"/>
      <c r="F405" s="25"/>
      <c r="G405" s="25"/>
      <c r="H405" s="73" t="s">
        <v>1257</v>
      </c>
    </row>
    <row r="406" spans="1:8" ht="30" x14ac:dyDescent="0.25">
      <c r="A406" t="s">
        <v>460</v>
      </c>
      <c r="B406" s="19" t="s">
        <v>1255</v>
      </c>
      <c r="C406" s="19" t="s">
        <v>530</v>
      </c>
      <c r="D406" s="76" t="s">
        <v>1256</v>
      </c>
      <c r="E406" s="25">
        <v>30827</v>
      </c>
      <c r="F406" s="25" t="s">
        <v>1258</v>
      </c>
      <c r="G406" s="25" t="s">
        <v>1259</v>
      </c>
      <c r="H406" s="73" t="s">
        <v>1260</v>
      </c>
    </row>
    <row r="407" spans="1:8" ht="30" x14ac:dyDescent="0.25">
      <c r="A407" t="s">
        <v>461</v>
      </c>
      <c r="B407" s="19" t="s">
        <v>1255</v>
      </c>
      <c r="C407" s="19" t="s">
        <v>530</v>
      </c>
      <c r="D407" s="76" t="s">
        <v>1256</v>
      </c>
      <c r="E407" s="25">
        <v>29526</v>
      </c>
      <c r="F407" s="25" t="s">
        <v>1261</v>
      </c>
      <c r="G407" s="25" t="s">
        <v>1262</v>
      </c>
      <c r="H407" s="73" t="s">
        <v>1263</v>
      </c>
    </row>
    <row r="408" spans="1:8" ht="30" x14ac:dyDescent="0.25">
      <c r="A408" t="s">
        <v>462</v>
      </c>
      <c r="B408" s="19" t="s">
        <v>1255</v>
      </c>
      <c r="C408" s="19" t="s">
        <v>530</v>
      </c>
      <c r="D408" s="76" t="s">
        <v>1256</v>
      </c>
      <c r="E408" s="25">
        <v>29526</v>
      </c>
      <c r="F408" s="25" t="s">
        <v>1261</v>
      </c>
      <c r="G408" s="25" t="s">
        <v>1262</v>
      </c>
      <c r="H408" s="73" t="s">
        <v>1264</v>
      </c>
    </row>
    <row r="409" spans="1:8" x14ac:dyDescent="0.25">
      <c r="A409" t="s">
        <v>463</v>
      </c>
      <c r="B409" t="s">
        <v>1265</v>
      </c>
      <c r="C409" t="s">
        <v>67</v>
      </c>
      <c r="D409" s="76" t="s">
        <v>1266</v>
      </c>
      <c r="E409" s="25">
        <v>86823</v>
      </c>
      <c r="F409" s="27" t="s">
        <v>1267</v>
      </c>
      <c r="G409" s="27" t="s">
        <v>1268</v>
      </c>
    </row>
    <row r="410" spans="1:8" x14ac:dyDescent="0.25">
      <c r="A410" t="s">
        <v>464</v>
      </c>
      <c r="B410" s="19" t="s">
        <v>1269</v>
      </c>
      <c r="C410" t="s">
        <v>67</v>
      </c>
      <c r="D410" s="76" t="s">
        <v>1266</v>
      </c>
      <c r="E410" s="25">
        <v>86824</v>
      </c>
      <c r="F410" s="27" t="s">
        <v>1270</v>
      </c>
      <c r="G410" s="31" t="s">
        <v>1271</v>
      </c>
    </row>
    <row r="411" spans="1:8" x14ac:dyDescent="0.25">
      <c r="A411" t="s">
        <v>465</v>
      </c>
      <c r="D411" s="76" t="s">
        <v>1266</v>
      </c>
      <c r="E411" s="25"/>
      <c r="F411" s="25"/>
      <c r="G411" s="25"/>
    </row>
    <row r="412" spans="1:8" x14ac:dyDescent="0.25">
      <c r="A412" t="s">
        <v>466</v>
      </c>
      <c r="B412" s="19" t="s">
        <v>1272</v>
      </c>
      <c r="C412" t="s">
        <v>67</v>
      </c>
      <c r="D412" s="76" t="s">
        <v>1266</v>
      </c>
      <c r="E412" s="25">
        <v>86757</v>
      </c>
      <c r="F412" s="27" t="s">
        <v>1273</v>
      </c>
      <c r="G412" s="27" t="s">
        <v>1274</v>
      </c>
    </row>
    <row r="413" spans="1:8" x14ac:dyDescent="0.25">
      <c r="A413" t="s">
        <v>467</v>
      </c>
      <c r="D413" s="76" t="s">
        <v>1266</v>
      </c>
      <c r="E413" s="25"/>
      <c r="F413" s="25"/>
      <c r="G413" s="25"/>
    </row>
    <row r="414" spans="1:8" x14ac:dyDescent="0.25">
      <c r="A414" t="s">
        <v>468</v>
      </c>
      <c r="D414" s="76" t="s">
        <v>1266</v>
      </c>
      <c r="E414" s="25"/>
      <c r="F414" s="25"/>
      <c r="G414" s="25"/>
    </row>
    <row r="415" spans="1:8" x14ac:dyDescent="0.25">
      <c r="A415" t="s">
        <v>469</v>
      </c>
      <c r="D415" s="76" t="s">
        <v>1266</v>
      </c>
      <c r="E415" s="25"/>
      <c r="F415" s="25"/>
      <c r="G415" s="25"/>
    </row>
    <row r="416" spans="1:8" x14ac:dyDescent="0.25">
      <c r="A416" t="s">
        <v>470</v>
      </c>
      <c r="D416" s="76" t="s">
        <v>1266</v>
      </c>
      <c r="E416" s="42"/>
      <c r="F416" s="25"/>
      <c r="G416" s="25"/>
    </row>
    <row r="417" spans="1:8" x14ac:dyDescent="0.25">
      <c r="A417" t="s">
        <v>471</v>
      </c>
      <c r="D417" s="76" t="s">
        <v>1266</v>
      </c>
      <c r="E417" s="25"/>
      <c r="F417" s="25"/>
      <c r="G417" s="25"/>
    </row>
    <row r="418" spans="1:8" x14ac:dyDescent="0.25">
      <c r="A418" t="s">
        <v>472</v>
      </c>
      <c r="D418" s="76" t="s">
        <v>1266</v>
      </c>
      <c r="E418" s="25"/>
      <c r="F418" s="25"/>
      <c r="G418" s="25"/>
    </row>
    <row r="419" spans="1:8" x14ac:dyDescent="0.25">
      <c r="A419" t="s">
        <v>473</v>
      </c>
      <c r="D419" s="76" t="s">
        <v>1266</v>
      </c>
      <c r="E419" s="25"/>
      <c r="F419" s="25"/>
      <c r="G419" s="25"/>
    </row>
    <row r="420" spans="1:8" x14ac:dyDescent="0.25">
      <c r="A420" t="s">
        <v>474</v>
      </c>
      <c r="D420" s="76" t="s">
        <v>1266</v>
      </c>
      <c r="E420" s="25"/>
      <c r="F420" s="25"/>
      <c r="G420" s="25"/>
    </row>
    <row r="421" spans="1:8" x14ac:dyDescent="0.25">
      <c r="A421" t="s">
        <v>475</v>
      </c>
      <c r="D421" s="76" t="s">
        <v>1266</v>
      </c>
      <c r="E421" s="25"/>
      <c r="F421" s="25"/>
      <c r="G421" s="25"/>
    </row>
    <row r="422" spans="1:8" x14ac:dyDescent="0.25">
      <c r="A422" t="s">
        <v>476</v>
      </c>
      <c r="D422" s="76" t="s">
        <v>1266</v>
      </c>
      <c r="E422" s="25"/>
      <c r="F422" s="25"/>
      <c r="G422" s="25"/>
    </row>
    <row r="423" spans="1:8" x14ac:dyDescent="0.25">
      <c r="A423" t="s">
        <v>477</v>
      </c>
      <c r="D423" s="76" t="s">
        <v>1266</v>
      </c>
      <c r="E423" s="25"/>
      <c r="F423" s="25"/>
      <c r="G423" s="25"/>
    </row>
    <row r="424" spans="1:8" x14ac:dyDescent="0.25">
      <c r="A424" t="s">
        <v>478</v>
      </c>
      <c r="C424" t="s">
        <v>67</v>
      </c>
      <c r="D424" s="76" t="s">
        <v>1266</v>
      </c>
      <c r="E424" s="25"/>
      <c r="F424" s="25" t="s">
        <v>1275</v>
      </c>
      <c r="G424" s="78" t="s">
        <v>1276</v>
      </c>
    </row>
    <row r="425" spans="1:8" x14ac:dyDescent="0.25">
      <c r="A425" t="s">
        <v>479</v>
      </c>
      <c r="D425" s="76" t="s">
        <v>1266</v>
      </c>
      <c r="E425" s="25"/>
      <c r="F425" s="25"/>
      <c r="G425" s="25"/>
    </row>
    <row r="426" spans="1:8" x14ac:dyDescent="0.25">
      <c r="A426" t="s">
        <v>480</v>
      </c>
      <c r="D426" s="76" t="s">
        <v>1266</v>
      </c>
      <c r="E426" s="25"/>
      <c r="F426" s="25"/>
      <c r="G426" s="25"/>
    </row>
    <row r="427" spans="1:8" ht="30" x14ac:dyDescent="0.25">
      <c r="A427" t="s">
        <v>481</v>
      </c>
      <c r="B427" t="s">
        <v>1277</v>
      </c>
      <c r="C427" t="s">
        <v>67</v>
      </c>
      <c r="D427" s="76" t="s">
        <v>1278</v>
      </c>
      <c r="E427" s="25">
        <v>86947</v>
      </c>
      <c r="F427" s="27" t="s">
        <v>1279</v>
      </c>
      <c r="G427" s="27" t="s">
        <v>1280</v>
      </c>
      <c r="H427" s="73" t="s">
        <v>1281</v>
      </c>
    </row>
    <row r="428" spans="1:8" ht="30" x14ac:dyDescent="0.25">
      <c r="A428" t="s">
        <v>482</v>
      </c>
      <c r="B428" t="s">
        <v>1282</v>
      </c>
      <c r="C428" t="s">
        <v>67</v>
      </c>
      <c r="D428" s="76" t="s">
        <v>1283</v>
      </c>
      <c r="E428" s="25">
        <v>86443</v>
      </c>
      <c r="F428" s="27" t="s">
        <v>1284</v>
      </c>
      <c r="G428" s="27" t="s">
        <v>1285</v>
      </c>
      <c r="H428" s="73" t="s">
        <v>1286</v>
      </c>
    </row>
    <row r="429" spans="1:8" x14ac:dyDescent="0.25">
      <c r="A429" t="s">
        <v>483</v>
      </c>
      <c r="B429" t="s">
        <v>1287</v>
      </c>
      <c r="C429" t="s">
        <v>67</v>
      </c>
      <c r="D429" s="76" t="s">
        <v>1266</v>
      </c>
      <c r="E429" s="25"/>
      <c r="F429" s="25" t="s">
        <v>1288</v>
      </c>
      <c r="G429" s="25" t="s">
        <v>1289</v>
      </c>
    </row>
    <row r="430" spans="1:8" x14ac:dyDescent="0.25">
      <c r="A430" t="s">
        <v>484</v>
      </c>
      <c r="D430" s="76" t="s">
        <v>1266</v>
      </c>
      <c r="E430" s="25"/>
      <c r="F430" s="25"/>
      <c r="G430" s="25"/>
    </row>
    <row r="431" spans="1:8" x14ac:dyDescent="0.25">
      <c r="A431" t="s">
        <v>485</v>
      </c>
      <c r="D431" s="76" t="s">
        <v>1266</v>
      </c>
      <c r="E431" s="25"/>
      <c r="F431" s="25"/>
      <c r="G431" s="25"/>
    </row>
    <row r="432" spans="1:8" x14ac:dyDescent="0.25">
      <c r="A432" t="s">
        <v>486</v>
      </c>
      <c r="B432" t="s">
        <v>1290</v>
      </c>
      <c r="C432" t="s">
        <v>67</v>
      </c>
      <c r="D432" s="76" t="s">
        <v>1266</v>
      </c>
      <c r="E432" s="25"/>
      <c r="F432" s="75" t="s">
        <v>1291</v>
      </c>
      <c r="G432" s="78" t="s">
        <v>1292</v>
      </c>
    </row>
    <row r="433" spans="1:8" x14ac:dyDescent="0.25">
      <c r="A433" t="s">
        <v>487</v>
      </c>
      <c r="D433" s="76" t="s">
        <v>1266</v>
      </c>
      <c r="E433" s="25"/>
      <c r="F433" s="25"/>
      <c r="G433" s="25"/>
    </row>
    <row r="434" spans="1:8" x14ac:dyDescent="0.25">
      <c r="A434" t="s">
        <v>488</v>
      </c>
      <c r="D434" s="76" t="s">
        <v>1266</v>
      </c>
      <c r="E434" s="25"/>
      <c r="F434" s="25"/>
      <c r="G434" s="25"/>
    </row>
    <row r="435" spans="1:8" x14ac:dyDescent="0.25">
      <c r="A435" t="s">
        <v>489</v>
      </c>
      <c r="B435" t="s">
        <v>1293</v>
      </c>
      <c r="C435" t="s">
        <v>530</v>
      </c>
      <c r="D435" s="76" t="s">
        <v>1256</v>
      </c>
      <c r="E435" s="25">
        <v>29526</v>
      </c>
      <c r="F435" s="27" t="s">
        <v>1294</v>
      </c>
      <c r="G435" s="27"/>
    </row>
    <row r="436" spans="1:8" x14ac:dyDescent="0.25">
      <c r="A436" t="s">
        <v>490</v>
      </c>
      <c r="D436" s="76" t="s">
        <v>1266</v>
      </c>
      <c r="E436" s="25"/>
      <c r="F436" s="25"/>
      <c r="G436" s="25"/>
    </row>
    <row r="437" spans="1:8" x14ac:dyDescent="0.25">
      <c r="A437" t="s">
        <v>491</v>
      </c>
      <c r="B437" t="s">
        <v>1295</v>
      </c>
      <c r="C437" t="s">
        <v>67</v>
      </c>
      <c r="D437" s="76" t="s">
        <v>1266</v>
      </c>
      <c r="E437" s="25">
        <v>86826</v>
      </c>
      <c r="F437" s="25" t="s">
        <v>1296</v>
      </c>
      <c r="G437" s="78" t="s">
        <v>1297</v>
      </c>
    </row>
    <row r="438" spans="1:8" x14ac:dyDescent="0.25">
      <c r="A438" t="s">
        <v>492</v>
      </c>
      <c r="B438" t="s">
        <v>1293</v>
      </c>
      <c r="C438" t="s">
        <v>530</v>
      </c>
      <c r="D438" s="76" t="s">
        <v>1256</v>
      </c>
      <c r="E438" s="25">
        <v>29526</v>
      </c>
      <c r="F438" s="25" t="s">
        <v>1298</v>
      </c>
      <c r="G438" s="78"/>
    </row>
    <row r="439" spans="1:8" x14ac:dyDescent="0.25">
      <c r="A439" t="s">
        <v>493</v>
      </c>
      <c r="D439" s="76" t="s">
        <v>1266</v>
      </c>
      <c r="E439" s="25"/>
      <c r="F439" s="25"/>
      <c r="G439" s="25"/>
    </row>
    <row r="440" spans="1:8" x14ac:dyDescent="0.25">
      <c r="A440" t="s">
        <v>494</v>
      </c>
      <c r="D440" s="76" t="s">
        <v>1266</v>
      </c>
      <c r="E440" s="25"/>
      <c r="F440" s="25"/>
      <c r="G440" s="25"/>
    </row>
    <row r="441" spans="1:8" x14ac:dyDescent="0.25">
      <c r="A441" t="s">
        <v>495</v>
      </c>
      <c r="D441" s="76" t="s">
        <v>1266</v>
      </c>
      <c r="E441" s="25"/>
      <c r="F441" s="25"/>
      <c r="G441" s="25"/>
    </row>
    <row r="442" spans="1:8" x14ac:dyDescent="0.25">
      <c r="A442" t="s">
        <v>496</v>
      </c>
      <c r="D442" s="76" t="s">
        <v>1266</v>
      </c>
      <c r="E442" s="25"/>
      <c r="F442" s="25"/>
      <c r="G442" s="25"/>
    </row>
    <row r="443" spans="1:8" x14ac:dyDescent="0.25">
      <c r="A443" t="s">
        <v>497</v>
      </c>
      <c r="D443" s="76" t="s">
        <v>1266</v>
      </c>
      <c r="E443" s="25"/>
      <c r="F443" s="25"/>
      <c r="G443" s="25"/>
    </row>
    <row r="444" spans="1:8" x14ac:dyDescent="0.25">
      <c r="A444" t="s">
        <v>498</v>
      </c>
      <c r="D444" s="76" t="s">
        <v>1266</v>
      </c>
      <c r="E444" s="25"/>
      <c r="F444" s="25"/>
      <c r="G444" s="25"/>
    </row>
    <row r="445" spans="1:8" x14ac:dyDescent="0.25">
      <c r="A445" t="s">
        <v>499</v>
      </c>
      <c r="D445" s="76" t="s">
        <v>1266</v>
      </c>
      <c r="E445" s="25"/>
      <c r="F445" s="25"/>
      <c r="G445" s="25"/>
    </row>
    <row r="446" spans="1:8" x14ac:dyDescent="0.25">
      <c r="A446" t="s">
        <v>500</v>
      </c>
      <c r="D446" s="76" t="s">
        <v>1266</v>
      </c>
      <c r="E446" s="25"/>
      <c r="F446" s="25"/>
      <c r="G446" s="25"/>
    </row>
    <row r="447" spans="1:8" x14ac:dyDescent="0.25">
      <c r="A447" t="s">
        <v>501</v>
      </c>
      <c r="B447" s="27"/>
      <c r="C447" s="27"/>
      <c r="D447" s="26" t="s">
        <v>1299</v>
      </c>
      <c r="E447" s="27"/>
      <c r="F447" s="27"/>
      <c r="G447" s="27"/>
      <c r="H447" s="25"/>
    </row>
    <row r="448" spans="1:8" x14ac:dyDescent="0.25">
      <c r="A448" t="s">
        <v>502</v>
      </c>
      <c r="B448" s="27"/>
      <c r="C448" s="27"/>
      <c r="D448" s="26" t="s">
        <v>1266</v>
      </c>
      <c r="E448" s="27"/>
      <c r="F448" s="27"/>
      <c r="G448" s="27"/>
      <c r="H448" s="25"/>
    </row>
    <row r="449" spans="1:8" x14ac:dyDescent="0.25">
      <c r="A449" t="s">
        <v>503</v>
      </c>
      <c r="B449" s="27"/>
      <c r="C449" s="27"/>
      <c r="D449" s="26" t="s">
        <v>1266</v>
      </c>
      <c r="E449" s="27"/>
      <c r="F449" s="27"/>
      <c r="G449" s="27"/>
      <c r="H449" s="25"/>
    </row>
    <row r="450" spans="1:8" x14ac:dyDescent="0.25">
      <c r="A450" t="s">
        <v>504</v>
      </c>
      <c r="B450" s="27"/>
      <c r="C450" s="27"/>
      <c r="D450" s="26" t="s">
        <v>1266</v>
      </c>
      <c r="E450" s="27"/>
      <c r="F450" s="27"/>
      <c r="G450" s="27"/>
      <c r="H450" s="25"/>
    </row>
    <row r="451" spans="1:8" x14ac:dyDescent="0.25">
      <c r="A451" t="s">
        <v>505</v>
      </c>
      <c r="B451" s="27" t="s">
        <v>1300</v>
      </c>
      <c r="C451" s="27" t="s">
        <v>67</v>
      </c>
      <c r="D451" s="26" t="s">
        <v>1301</v>
      </c>
      <c r="E451" s="27"/>
      <c r="F451" s="27" t="s">
        <v>1302</v>
      </c>
      <c r="G451" s="27" t="s">
        <v>1303</v>
      </c>
      <c r="H451" s="25"/>
    </row>
    <row r="452" spans="1:8" x14ac:dyDescent="0.25">
      <c r="A452" t="s">
        <v>506</v>
      </c>
      <c r="B452" s="27"/>
      <c r="C452" s="27" t="s">
        <v>67</v>
      </c>
      <c r="D452" s="26"/>
      <c r="E452" s="27"/>
      <c r="F452" s="27"/>
      <c r="G452" s="27"/>
      <c r="H452" s="25"/>
    </row>
    <row r="453" spans="1:8" x14ac:dyDescent="0.25">
      <c r="A453" t="s">
        <v>507</v>
      </c>
      <c r="B453" s="27" t="s">
        <v>1300</v>
      </c>
      <c r="C453" s="27" t="s">
        <v>67</v>
      </c>
      <c r="D453" s="26" t="s">
        <v>1301</v>
      </c>
      <c r="E453" s="27"/>
      <c r="F453" s="27" t="s">
        <v>1304</v>
      </c>
      <c r="G453" s="35" t="s">
        <v>1305</v>
      </c>
      <c r="H453" s="25"/>
    </row>
    <row r="454" spans="1:8" x14ac:dyDescent="0.25">
      <c r="A454" t="s">
        <v>508</v>
      </c>
      <c r="C454" s="27" t="s">
        <v>67</v>
      </c>
      <c r="D454" s="76"/>
      <c r="E454" s="25"/>
      <c r="F454" s="25"/>
      <c r="G454" s="25"/>
    </row>
    <row r="455" spans="1:8" ht="15.75" thickBot="1" x14ac:dyDescent="0.3">
      <c r="A455" s="20" t="s">
        <v>509</v>
      </c>
      <c r="B455" s="79"/>
      <c r="C455" s="79" t="s">
        <v>67</v>
      </c>
      <c r="D455" s="80" t="s">
        <v>1266</v>
      </c>
      <c r="E455" s="79"/>
      <c r="F455" s="79" t="s">
        <v>1306</v>
      </c>
      <c r="G455" s="79" t="s">
        <v>1307</v>
      </c>
      <c r="H455" s="81"/>
    </row>
    <row r="456" spans="1:8" ht="16.5" thickTop="1" thickBot="1" x14ac:dyDescent="0.3">
      <c r="A456" t="s">
        <v>510</v>
      </c>
      <c r="B456" s="79"/>
      <c r="C456" s="79"/>
      <c r="D456" s="80" t="s">
        <v>1308</v>
      </c>
      <c r="E456" s="79"/>
      <c r="F456" s="79"/>
      <c r="G456" s="79"/>
      <c r="H456" s="81"/>
    </row>
    <row r="457" spans="1:8" ht="15.75" thickTop="1" x14ac:dyDescent="0.25">
      <c r="A457" t="s">
        <v>511</v>
      </c>
      <c r="B457" s="27"/>
      <c r="C457" s="27"/>
      <c r="D457" s="26" t="s">
        <v>1309</v>
      </c>
      <c r="E457" s="27"/>
      <c r="F457" s="27"/>
      <c r="G457" s="27"/>
      <c r="H457" s="25"/>
    </row>
    <row r="458" spans="1:8" x14ac:dyDescent="0.25">
      <c r="A458" t="s">
        <v>512</v>
      </c>
      <c r="D458" s="26" t="s">
        <v>1309</v>
      </c>
      <c r="E458" s="25"/>
      <c r="F458" s="25"/>
      <c r="G458" s="25"/>
    </row>
    <row r="459" spans="1:8" x14ac:dyDescent="0.25">
      <c r="A459" t="s">
        <v>513</v>
      </c>
      <c r="D459" s="26" t="s">
        <v>1309</v>
      </c>
      <c r="E459" s="25"/>
      <c r="F459" s="25"/>
      <c r="G459" s="25"/>
    </row>
    <row r="460" spans="1:8" x14ac:dyDescent="0.25">
      <c r="A460" t="s">
        <v>514</v>
      </c>
      <c r="D460" s="26" t="s">
        <v>1309</v>
      </c>
      <c r="E460" s="25"/>
      <c r="F460" s="25"/>
      <c r="G460" s="25"/>
    </row>
    <row r="461" spans="1:8" x14ac:dyDescent="0.25">
      <c r="A461" t="s">
        <v>515</v>
      </c>
      <c r="D461" s="26" t="s">
        <v>1309</v>
      </c>
      <c r="E461" s="25"/>
      <c r="F461" s="25"/>
      <c r="G461" s="25"/>
    </row>
    <row r="462" spans="1:8" x14ac:dyDescent="0.25">
      <c r="A462" t="s">
        <v>516</v>
      </c>
      <c r="D462" s="26" t="s">
        <v>1266</v>
      </c>
      <c r="E462" s="25"/>
      <c r="F462" s="25"/>
      <c r="G462" s="25"/>
    </row>
    <row r="463" spans="1:8" x14ac:dyDescent="0.25">
      <c r="A463" t="s">
        <v>517</v>
      </c>
      <c r="D463" s="26" t="s">
        <v>1309</v>
      </c>
      <c r="E463" s="25"/>
      <c r="F463" s="25"/>
      <c r="G463" s="25"/>
    </row>
    <row r="464" spans="1:8" x14ac:dyDescent="0.25">
      <c r="A464" t="s">
        <v>518</v>
      </c>
      <c r="D464" s="26" t="s">
        <v>1309</v>
      </c>
      <c r="E464" s="25"/>
      <c r="F464" s="25"/>
      <c r="G464" s="25"/>
    </row>
    <row r="465" spans="1:7" x14ac:dyDescent="0.25">
      <c r="A465" t="s">
        <v>519</v>
      </c>
      <c r="D465" s="26" t="s">
        <v>1309</v>
      </c>
      <c r="E465" s="25"/>
      <c r="F465" s="25"/>
      <c r="G465" s="25"/>
    </row>
    <row r="466" spans="1:7" x14ac:dyDescent="0.25">
      <c r="A466" t="s">
        <v>520</v>
      </c>
      <c r="D466" s="26" t="s">
        <v>1266</v>
      </c>
      <c r="E466" s="25"/>
      <c r="F466" s="25"/>
      <c r="G466" s="25"/>
    </row>
    <row r="467" spans="1:7" x14ac:dyDescent="0.25">
      <c r="A467" t="s">
        <v>521</v>
      </c>
      <c r="D467" s="26" t="s">
        <v>1309</v>
      </c>
      <c r="E467" s="25"/>
      <c r="F467" s="25"/>
      <c r="G467" s="25"/>
    </row>
    <row r="468" spans="1:7" x14ac:dyDescent="0.25">
      <c r="A468" t="s">
        <v>70</v>
      </c>
    </row>
  </sheetData>
  <conditionalFormatting sqref="B351">
    <cfRule type="containsBlanks" dxfId="11" priority="1">
      <formula>LEN(TRIM(B351))=0</formula>
    </cfRule>
  </conditionalFormatting>
  <hyperlinks>
    <hyperlink ref="G11" r:id="rId1" xr:uid="{04598115-6631-4C7C-930F-FA7E5E53759D}"/>
    <hyperlink ref="G12" r:id="rId2" xr:uid="{52A6F8F1-A9F1-489E-8A8E-E2475A607991}"/>
    <hyperlink ref="G6" r:id="rId3" xr:uid="{7F567192-7A1A-44E6-A7D2-6171B16F5A16}"/>
    <hyperlink ref="G7" r:id="rId4" xr:uid="{E8C45F3E-5FB8-45BA-856B-FAB3AC0B15A7}"/>
    <hyperlink ref="G64" r:id="rId5" display="https://goo.gl/maps/FRyoYUTxMLVmWMFq8" xr:uid="{DDF26CFB-D690-46BC-B1CA-07D77C226BEE}"/>
    <hyperlink ref="G5" r:id="rId6" xr:uid="{77BF66B0-0123-4EB6-8248-32558FC6CFBF}"/>
    <hyperlink ref="G60" r:id="rId7" xr:uid="{56D15CD3-0C4C-4595-B0C5-214FFFA9B8E4}"/>
    <hyperlink ref="G46" r:id="rId8" xr:uid="{C4B3E14D-9B3F-4390-939C-98C8135D4B9D}"/>
    <hyperlink ref="G59" r:id="rId9" xr:uid="{DB2447F0-DF28-4D79-9A4F-04EACC87F4E3}"/>
    <hyperlink ref="G10" r:id="rId10" xr:uid="{4C454ECD-B53D-40ED-8B3D-8B822BB13B24}"/>
    <hyperlink ref="G67" r:id="rId11" xr:uid="{F0B63927-4B7F-43E6-8CAA-25C1B56A890E}"/>
    <hyperlink ref="G14" r:id="rId12" xr:uid="{8719DF24-8190-408B-8386-4524275DF0AA}"/>
    <hyperlink ref="G17" r:id="rId13" xr:uid="{3DC64273-6A73-463A-8868-0F0645424FA8}"/>
    <hyperlink ref="G18" r:id="rId14" xr:uid="{5ABA209B-7317-4444-AA45-40FA0B65939C}"/>
    <hyperlink ref="G47" r:id="rId15" xr:uid="{33A1EA01-DC06-42AA-928C-DDA478FB1614}"/>
    <hyperlink ref="G71" r:id="rId16" xr:uid="{D1C2C263-EA60-4A75-AB7E-2D5D4DFE395C}"/>
    <hyperlink ref="G77" r:id="rId17" xr:uid="{E771E3F3-EB57-44B1-A291-B800932388AA}"/>
    <hyperlink ref="G22" r:id="rId18" xr:uid="{7C41F49E-DCF3-4E8F-866A-3CBDB1610520}"/>
    <hyperlink ref="G24" r:id="rId19" xr:uid="{C2E91D71-3471-437C-BF04-4A99430A3A2E}"/>
    <hyperlink ref="G25" r:id="rId20" xr:uid="{BCEC963D-604C-4EA9-A4F2-B97C6D6F4077}"/>
    <hyperlink ref="G61" r:id="rId21" xr:uid="{9CCB6296-DD99-41DD-B2BD-EE8A34EF2B27}"/>
    <hyperlink ref="G73" r:id="rId22" xr:uid="{6F2D7159-2B28-4F85-9E59-82318811FA55}"/>
    <hyperlink ref="G35" r:id="rId23" xr:uid="{3CE5B283-9738-4043-8F19-E58AF99F0E9F}"/>
    <hyperlink ref="G54" r:id="rId24" xr:uid="{D9D5974C-63E0-4629-B5FC-A368451EAF03}"/>
    <hyperlink ref="G55" r:id="rId25" xr:uid="{50C3E864-3C1F-4C8B-B790-2669BB5DA0AD}"/>
    <hyperlink ref="G43" r:id="rId26" xr:uid="{43CD7EA2-CFFF-4F56-9174-2A974B4F3B4C}"/>
    <hyperlink ref="G44" r:id="rId27" xr:uid="{F1B3AFCA-4636-421C-8D90-9B637913EEDC}"/>
    <hyperlink ref="G9" r:id="rId28" xr:uid="{A164CD92-8F04-46F1-8D87-7B39637B0718}"/>
    <hyperlink ref="G56" r:id="rId29" xr:uid="{A40DBEB1-D00A-4187-BCA6-662324F8B49C}"/>
    <hyperlink ref="G66" r:id="rId30" xr:uid="{FA5FDC1D-909D-4D76-A578-6F9CCFDD35A3}"/>
    <hyperlink ref="G29" r:id="rId31" xr:uid="{D8DCD26F-DA8E-4257-8BD9-2024701D9C77}"/>
    <hyperlink ref="G69" r:id="rId32" xr:uid="{DC7A99BE-88C6-4B0E-98C1-E1C468BE6EA2}"/>
    <hyperlink ref="G13" r:id="rId33" xr:uid="{54559A05-5D86-4752-97C4-6582415A4E5D}"/>
    <hyperlink ref="G75" r:id="rId34" xr:uid="{17ADA980-27B7-41A6-A5C7-C82E4A26E784}"/>
    <hyperlink ref="G38" r:id="rId35" xr:uid="{CFD8D182-6896-4469-8003-ED39FE362073}"/>
    <hyperlink ref="G15" r:id="rId36" xr:uid="{F177CF5F-BC4A-44C7-8734-11492312DC2A}"/>
    <hyperlink ref="G16" r:id="rId37" xr:uid="{2352C9B0-337B-4237-8C94-DDD201AC4A21}"/>
    <hyperlink ref="G57" r:id="rId38" xr:uid="{B799DECC-E368-44F7-BAD8-A85AF7D8E239}"/>
    <hyperlink ref="G19" r:id="rId39" xr:uid="{D32AF995-F2FB-40E2-9061-EDD92C9742D5}"/>
    <hyperlink ref="G20" r:id="rId40" xr:uid="{93E74FE8-EECC-49E0-AFA6-8D3F517B27B6}"/>
    <hyperlink ref="G40" r:id="rId41" xr:uid="{C1F3B301-ADA1-4089-BD05-36C8D21C7029}"/>
    <hyperlink ref="G41" r:id="rId42" xr:uid="{A5134B15-D6BB-4357-8840-BA500352FB76}"/>
    <hyperlink ref="G21" r:id="rId43" xr:uid="{CE11CA6E-F3D6-4C08-ACC6-D657A3418CB8}"/>
    <hyperlink ref="G32" r:id="rId44" xr:uid="{6EE67373-277F-411F-91CE-60F4C779D21F}"/>
    <hyperlink ref="G23" r:id="rId45" xr:uid="{BE1201B2-BAC4-454D-A3CA-27224E1F307A}"/>
    <hyperlink ref="G42" r:id="rId46" xr:uid="{24B3C451-380F-4FF3-8222-62244171C354}"/>
    <hyperlink ref="G34" r:id="rId47" xr:uid="{5980295C-6C48-42A7-B5D3-5A2938DE04DA}"/>
    <hyperlink ref="G72" r:id="rId48" xr:uid="{0450C5E2-059C-4D10-99C4-7BAB0015CFDA}"/>
    <hyperlink ref="G76" r:id="rId49" xr:uid="{49884687-8DD1-42B4-86A3-05280173516E}"/>
    <hyperlink ref="G65" r:id="rId50" display="https://goo.gl/maps/VqyewcdFagBqvL6U8" xr:uid="{78275F1B-5CFB-4F8B-AAF6-67D8FF98B700}"/>
    <hyperlink ref="G74" r:id="rId51" xr:uid="{F9510470-0E19-460A-AF94-51A9C027C23C}"/>
    <hyperlink ref="G45" r:id="rId52" xr:uid="{010CE6E8-B916-4EB7-9ACE-569BD74D1494}"/>
    <hyperlink ref="G53" r:id="rId53" xr:uid="{F80A3BC2-3F47-4B59-A272-FAF90DB6266D}"/>
    <hyperlink ref="G80" r:id="rId54" xr:uid="{1117F60F-978F-4552-B09C-4B1E21FA75B7}"/>
    <hyperlink ref="G4" r:id="rId55" xr:uid="{58C59B79-BB67-44ED-AEC9-A68C5FB4184B}"/>
    <hyperlink ref="G36" r:id="rId56" xr:uid="{8DB84FD5-34A8-42CB-A417-910719137539}"/>
    <hyperlink ref="G52" r:id="rId57" xr:uid="{735EEEA3-DA3C-4FDB-9ACF-3E516DD6A536}"/>
    <hyperlink ref="G8" r:id="rId58" xr:uid="{14B36FCC-E1EA-4B75-8BA2-9B4BFBA3A526}"/>
    <hyperlink ref="G28" r:id="rId59" xr:uid="{84A131CA-FB3A-4920-A3F0-28A53702095B}"/>
    <hyperlink ref="G37" r:id="rId60" xr:uid="{59C1F455-F22B-4166-B24D-079C8B973326}"/>
    <hyperlink ref="G70" r:id="rId61" xr:uid="{908D7B01-7BF6-4376-A905-579CC69FC4D6}"/>
    <hyperlink ref="G30" r:id="rId62" xr:uid="{167C4DF2-C19C-40C8-AA5B-4D6BE3133DB4}"/>
    <hyperlink ref="G39" r:id="rId63" xr:uid="{BDAB6621-96EE-4E49-BDA0-D03644A005C1}"/>
    <hyperlink ref="G31" r:id="rId64" xr:uid="{C118AEDD-AED0-465D-A365-91FD11D51F0E}"/>
    <hyperlink ref="G33" r:id="rId65" xr:uid="{CECAA86C-73F5-4C9B-B5C6-44E7D71EBB79}"/>
    <hyperlink ref="G49" r:id="rId66" xr:uid="{0831DA97-1736-4915-81B1-3F0B98628B43}"/>
    <hyperlink ref="G50" r:id="rId67" xr:uid="{D8403756-6E69-4D7B-A656-A45C38C7AB97}"/>
    <hyperlink ref="G51" r:id="rId68" xr:uid="{F10E41AE-6933-4F59-9EEC-631816271D81}"/>
    <hyperlink ref="G78" r:id="rId69" xr:uid="{47705884-F324-4571-BF86-332DB233596A}"/>
    <hyperlink ref="G86" r:id="rId70" xr:uid="{A014C7C5-9FD8-4F3F-AAB3-04EA89F84A06}"/>
    <hyperlink ref="G90" r:id="rId71" xr:uid="{CE554ECF-B3F1-4896-B068-6A99D7013801}"/>
    <hyperlink ref="G91" r:id="rId72" xr:uid="{222F3C2B-025D-4AAA-BFE9-E14E62BF36F5}"/>
    <hyperlink ref="G92" r:id="rId73" xr:uid="{58CE946B-26E0-4072-BC8C-07B9BCD5F91F}"/>
    <hyperlink ref="G161" r:id="rId74" xr:uid="{01E63DB6-06E2-4F58-94DF-53A47A9908B3}"/>
    <hyperlink ref="G274" r:id="rId75" xr:uid="{A138760B-C83A-4548-9AC1-AF6EDE58FB1E}"/>
    <hyperlink ref="G184" r:id="rId76" xr:uid="{4D358785-AA87-43BF-AFE9-21AC5507DB32}"/>
    <hyperlink ref="G142" r:id="rId77" xr:uid="{9B0D222C-3317-4681-8DA0-E5FF30E68881}"/>
    <hyperlink ref="G186" r:id="rId78" xr:uid="{1A91B71D-C47B-488F-9447-5452AEF0E6CE}"/>
    <hyperlink ref="G185" r:id="rId79" xr:uid="{C508FD54-14CB-401B-843A-4ADE53C79F34}"/>
    <hyperlink ref="G172" r:id="rId80" xr:uid="{6B30485A-41DD-4501-AE49-3B48225599EA}"/>
    <hyperlink ref="G308" r:id="rId81" xr:uid="{C01DCD2C-0539-4901-B6FF-B9D4C1294C7F}"/>
    <hyperlink ref="G268" r:id="rId82" xr:uid="{8B88D0C0-070C-44C2-BFBF-03EE9615533C}"/>
    <hyperlink ref="G291" r:id="rId83" xr:uid="{2D39BB39-F0F5-4859-B878-D08F857A6A7E}"/>
    <hyperlink ref="G329" r:id="rId84" xr:uid="{6CD9CEBA-C2A5-492D-8D3F-2C252347DDAC}"/>
    <hyperlink ref="G328" r:id="rId85" xr:uid="{98250B00-5CDD-4E30-BA0A-F22D657A2E73}"/>
    <hyperlink ref="G320" r:id="rId86" xr:uid="{481E91CA-90D4-4149-BD04-53E07933C46F}"/>
    <hyperlink ref="G234" r:id="rId87" xr:uid="{1B249C28-D38D-45C4-8D65-1BADD7CD56D7}"/>
    <hyperlink ref="G238" r:id="rId88" xr:uid="{8BA8DF0B-D607-477A-AF1C-88A1D1B71A5C}"/>
    <hyperlink ref="G305" r:id="rId89" xr:uid="{3997639E-1421-40DC-8BA5-E989B7E53050}"/>
    <hyperlink ref="G228" r:id="rId90" xr:uid="{A66199A6-774E-4432-AF22-505D2DA28091}"/>
    <hyperlink ref="G272" r:id="rId91" xr:uid="{FED8546B-89D9-4FC4-9793-55D415FDAD4B}"/>
    <hyperlink ref="G270" r:id="rId92" xr:uid="{8ABE7C37-819C-4553-8212-EBF4C546EEA8}"/>
    <hyperlink ref="G222" r:id="rId93" xr:uid="{2101DF4C-DC51-44E4-A158-4547F080175C}"/>
    <hyperlink ref="G160" r:id="rId94" xr:uid="{909101EA-FC86-40A5-9963-036280B30730}"/>
    <hyperlink ref="G296" r:id="rId95" xr:uid="{50D3B219-3EE8-412A-AA08-C49E6D101EED}"/>
    <hyperlink ref="G173" r:id="rId96" xr:uid="{225E0CC9-93AF-4E34-A8E8-7377471159F2}"/>
    <hyperlink ref="G336" r:id="rId97" xr:uid="{7CDDAF12-18F1-4F03-8D6A-30C6CDCE12D6}"/>
    <hyperlink ref="G337" r:id="rId98" xr:uid="{4D970A31-57A5-47A8-9069-FB67525A2ABF}"/>
    <hyperlink ref="G338" r:id="rId99" xr:uid="{94E57831-F64B-43A0-9689-038D9DA9038B}"/>
    <hyperlink ref="G174" r:id="rId100" xr:uid="{7E033773-860C-4293-A34F-022C0BE56699}"/>
    <hyperlink ref="G250" r:id="rId101" xr:uid="{6BEC5992-A49C-456C-AD25-4290B9C84015}"/>
    <hyperlink ref="G339" r:id="rId102" xr:uid="{F493682B-FA09-4166-BA47-7343209A69A3}"/>
    <hyperlink ref="G129" r:id="rId103" xr:uid="{352402C2-240F-404C-AA22-A74E75EF652B}"/>
    <hyperlink ref="G277" r:id="rId104" xr:uid="{5C5ED2E8-18FC-442E-ADD0-BE4AA2E55293}"/>
    <hyperlink ref="G294" r:id="rId105" xr:uid="{E7EEE693-6F2C-4724-92D0-B30364FB16EB}"/>
    <hyperlink ref="G334" r:id="rId106" xr:uid="{C99D071B-CD6D-43EF-90F6-F0AD29B3E5EF}"/>
    <hyperlink ref="G87" r:id="rId107" xr:uid="{FF31A182-2E60-4235-AD7F-3EBB49042914}"/>
    <hyperlink ref="G335" r:id="rId108" xr:uid="{34D7B2AD-7901-429B-A25B-3932C70D32D8}"/>
    <hyperlink ref="G343" r:id="rId109" xr:uid="{35FC8CB7-B712-45E1-9D70-922862D77D9A}"/>
    <hyperlink ref="G110" r:id="rId110" xr:uid="{B0D9E848-5509-466A-B71E-A78A71698D25}"/>
    <hyperlink ref="G281" r:id="rId111" xr:uid="{D3295F04-512D-4E22-8386-AC2C6CA482AB}"/>
    <hyperlink ref="G437" r:id="rId112" xr:uid="{48C1C120-54AE-4839-9231-2438DC87D122}"/>
    <hyperlink ref="G187" r:id="rId113" xr:uid="{7C95C2FC-00CC-4AFB-9E29-226DB45A3A65}"/>
    <hyperlink ref="G95" r:id="rId114" xr:uid="{1CF93E7D-BA37-4AB1-8690-C412FA649A9A}"/>
    <hyperlink ref="G300" r:id="rId115" xr:uid="{38EC98DF-A1CB-44EF-BABF-AEF56B2C0DAE}"/>
    <hyperlink ref="G93" r:id="rId116" xr:uid="{AC2090A6-0017-4AB6-94B1-DAA2C3BF2E70}"/>
    <hyperlink ref="G97" r:id="rId117" xr:uid="{D772C4FD-4994-4715-B3BC-6A408EA62B34}"/>
    <hyperlink ref="G98" r:id="rId118" xr:uid="{AEFC736E-A0B2-4C5D-965F-A63E649F1536}"/>
    <hyperlink ref="G99" r:id="rId119" xr:uid="{D1724F20-F06C-4563-91D2-C0B62EDB75A4}"/>
    <hyperlink ref="G140" r:id="rId120" xr:uid="{242219AF-4BF9-4401-8205-D9196D2EE316}"/>
    <hyperlink ref="G410" r:id="rId121" xr:uid="{D7458523-7D9C-4BA0-AB50-BFAC95170D8F}"/>
    <hyperlink ref="G432" r:id="rId122" xr:uid="{FE6F43A6-B3FA-4BD0-ACB4-566183A1A5D6}"/>
    <hyperlink ref="G424" r:id="rId123" xr:uid="{AAE09AA8-D023-4ECE-8027-68DA3046CFAD}"/>
    <hyperlink ref="G245" r:id="rId124" xr:uid="{EA1A78FA-7A55-4BF0-94AE-F1523D100AD7}"/>
    <hyperlink ref="G101" r:id="rId125" xr:uid="{74A728A8-1807-408D-807A-472720110125}"/>
    <hyperlink ref="G453" r:id="rId126" xr:uid="{36540164-6D56-446D-A1CB-7739F1E6F320}"/>
    <hyperlink ref="G399" r:id="rId127" xr:uid="{2BE88C67-0871-423B-B643-FE1DE2BBB704}"/>
    <hyperlink ref="G342" r:id="rId128" xr:uid="{CB0DA6E5-40AF-47D0-82B4-FBC674EFEDF0}"/>
    <hyperlink ref="G403" r:id="rId129" xr:uid="{B676B2B3-ECA3-44A8-89AE-17831E6E8D33}"/>
    <hyperlink ref="G102" r:id="rId130" xr:uid="{68FA261A-E2C3-44D0-8759-A94EF60834FE}"/>
    <hyperlink ref="G2" r:id="rId131" xr:uid="{EA919C3C-C4D0-4A66-9426-2FA0135330E9}"/>
    <hyperlink ref="G3" r:id="rId132" xr:uid="{01090958-6092-47F7-BA6E-FEF5C58A0A0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03B-4C49-4281-8ADD-CB73C51402B1}">
  <dimension ref="A1:N19"/>
  <sheetViews>
    <sheetView workbookViewId="0">
      <selection activeCell="J8" sqref="J8"/>
    </sheetView>
  </sheetViews>
  <sheetFormatPr baseColWidth="10" defaultColWidth="11.42578125" defaultRowHeight="15" x14ac:dyDescent="0.25"/>
  <cols>
    <col min="1" max="1" width="27.85546875" customWidth="1"/>
    <col min="2" max="2" width="14.85546875" customWidth="1"/>
    <col min="3" max="3" width="33" bestFit="1" customWidth="1"/>
    <col min="8" max="8" width="15.5703125" bestFit="1" customWidth="1"/>
    <col min="9" max="9" width="15" bestFit="1" customWidth="1"/>
    <col min="10" max="10" width="23" bestFit="1" customWidth="1"/>
    <col min="11" max="11" width="18.28515625" bestFit="1" customWidth="1"/>
  </cols>
  <sheetData>
    <row r="1" spans="1:14" x14ac:dyDescent="0.25">
      <c r="A1" t="s">
        <v>33</v>
      </c>
      <c r="B1" t="s">
        <v>34</v>
      </c>
      <c r="C1" t="s">
        <v>35</v>
      </c>
      <c r="F1" s="8" t="s">
        <v>36</v>
      </c>
      <c r="G1" s="8" t="s">
        <v>37</v>
      </c>
      <c r="H1" s="8" t="s">
        <v>38</v>
      </c>
      <c r="I1" s="8" t="s">
        <v>39</v>
      </c>
      <c r="J1" s="8" t="s">
        <v>40</v>
      </c>
      <c r="K1" s="8" t="s">
        <v>41</v>
      </c>
      <c r="L1" s="8" t="s">
        <v>42</v>
      </c>
    </row>
    <row r="2" spans="1:14" x14ac:dyDescent="0.25">
      <c r="A2" t="s">
        <v>43</v>
      </c>
      <c r="B2" t="s">
        <v>44</v>
      </c>
      <c r="C2" t="s">
        <v>45</v>
      </c>
      <c r="F2" s="9" t="s">
        <v>46</v>
      </c>
      <c r="G2" s="9" t="s">
        <v>47</v>
      </c>
      <c r="H2" s="9">
        <v>4</v>
      </c>
      <c r="I2" s="9">
        <v>96</v>
      </c>
      <c r="J2" s="10">
        <v>0.25</v>
      </c>
      <c r="K2" s="10">
        <v>0.21875</v>
      </c>
      <c r="L2" s="9">
        <v>1</v>
      </c>
      <c r="N2" s="7"/>
    </row>
    <row r="3" spans="1:14" x14ac:dyDescent="0.25">
      <c r="A3" t="s">
        <v>48</v>
      </c>
      <c r="B3" t="s">
        <v>49</v>
      </c>
      <c r="C3" t="s">
        <v>50</v>
      </c>
      <c r="F3" s="9" t="s">
        <v>51</v>
      </c>
      <c r="G3" s="9" t="s">
        <v>19</v>
      </c>
      <c r="H3" s="9">
        <v>1.5</v>
      </c>
      <c r="I3" s="9">
        <v>36</v>
      </c>
      <c r="J3" s="9">
        <v>0</v>
      </c>
      <c r="K3" s="9">
        <v>0</v>
      </c>
      <c r="L3" s="9"/>
      <c r="N3" s="7"/>
    </row>
    <row r="4" spans="1:14" x14ac:dyDescent="0.25">
      <c r="C4" t="s">
        <v>52</v>
      </c>
      <c r="F4" s="9" t="s">
        <v>51</v>
      </c>
      <c r="G4" s="9" t="s">
        <v>53</v>
      </c>
      <c r="H4" s="9">
        <v>3.5</v>
      </c>
      <c r="I4" s="9">
        <v>84</v>
      </c>
      <c r="J4" s="10">
        <v>0.3125</v>
      </c>
      <c r="K4" s="10">
        <v>0.3125</v>
      </c>
      <c r="L4" s="9">
        <v>9</v>
      </c>
      <c r="N4" s="7"/>
    </row>
    <row r="5" spans="1:14" x14ac:dyDescent="0.25">
      <c r="C5" t="s">
        <v>54</v>
      </c>
      <c r="F5" s="9" t="s">
        <v>55</v>
      </c>
      <c r="G5" s="9" t="s">
        <v>56</v>
      </c>
      <c r="H5" s="9">
        <v>1</v>
      </c>
      <c r="I5" s="9">
        <v>24</v>
      </c>
      <c r="J5" s="9">
        <v>0</v>
      </c>
      <c r="K5" s="9">
        <v>0</v>
      </c>
      <c r="L5" s="9"/>
      <c r="N5" s="7"/>
    </row>
    <row r="6" spans="1:14" x14ac:dyDescent="0.25">
      <c r="C6" t="s">
        <v>57</v>
      </c>
      <c r="F6" s="9" t="s">
        <v>51</v>
      </c>
      <c r="G6" s="9" t="s">
        <v>58</v>
      </c>
      <c r="H6" s="9">
        <v>2</v>
      </c>
      <c r="I6" s="9">
        <v>48</v>
      </c>
      <c r="J6" s="9">
        <v>0</v>
      </c>
      <c r="K6" s="9">
        <v>0</v>
      </c>
      <c r="L6" s="9"/>
      <c r="N6" s="7"/>
    </row>
    <row r="7" spans="1:14" x14ac:dyDescent="0.25">
      <c r="F7" s="9" t="s">
        <v>59</v>
      </c>
      <c r="G7" s="9" t="s">
        <v>26</v>
      </c>
      <c r="H7" s="9">
        <v>2</v>
      </c>
      <c r="I7" s="9">
        <v>48</v>
      </c>
      <c r="J7" s="9">
        <v>0</v>
      </c>
      <c r="K7" s="9">
        <v>0</v>
      </c>
      <c r="L7" s="9"/>
      <c r="N7" s="7"/>
    </row>
    <row r="8" spans="1:14" x14ac:dyDescent="0.25">
      <c r="A8" s="8" t="s">
        <v>60</v>
      </c>
      <c r="B8" s="8" t="s">
        <v>61</v>
      </c>
      <c r="F8" s="9" t="s">
        <v>51</v>
      </c>
      <c r="G8" s="9" t="s">
        <v>14</v>
      </c>
      <c r="H8" s="9">
        <v>3</v>
      </c>
      <c r="I8" s="9">
        <v>72</v>
      </c>
      <c r="J8" s="10">
        <v>0.20833333333333334</v>
      </c>
      <c r="K8" s="10">
        <v>0.17708333333333334</v>
      </c>
      <c r="L8" s="9">
        <v>8</v>
      </c>
      <c r="N8" s="7"/>
    </row>
    <row r="9" spans="1:14" x14ac:dyDescent="0.25">
      <c r="A9" s="9" t="s">
        <v>62</v>
      </c>
      <c r="B9" s="9">
        <v>12</v>
      </c>
      <c r="F9" s="9" t="s">
        <v>63</v>
      </c>
      <c r="G9" s="9" t="s">
        <v>31</v>
      </c>
      <c r="H9" s="9">
        <v>2.5</v>
      </c>
      <c r="I9" s="9">
        <v>60</v>
      </c>
      <c r="J9" s="10">
        <v>0.20833333333333334</v>
      </c>
      <c r="K9" s="10">
        <v>0.17708333333333334</v>
      </c>
      <c r="L9" s="9">
        <v>2</v>
      </c>
      <c r="N9" s="7"/>
    </row>
    <row r="10" spans="1:14" x14ac:dyDescent="0.25">
      <c r="A10" s="9" t="s">
        <v>64</v>
      </c>
      <c r="B10" s="9">
        <v>10</v>
      </c>
      <c r="F10" s="9" t="s">
        <v>46</v>
      </c>
      <c r="G10" s="11" t="s">
        <v>65</v>
      </c>
      <c r="H10" s="9">
        <v>4</v>
      </c>
      <c r="I10" s="9">
        <v>96</v>
      </c>
      <c r="J10" s="10">
        <v>0.25</v>
      </c>
      <c r="K10" s="10">
        <v>0.21875</v>
      </c>
      <c r="L10" s="9">
        <v>1</v>
      </c>
      <c r="N10" s="7"/>
    </row>
    <row r="11" spans="1:14" x14ac:dyDescent="0.25">
      <c r="F11" s="9" t="s">
        <v>63</v>
      </c>
      <c r="G11" s="9" t="s">
        <v>22</v>
      </c>
      <c r="H11" s="9">
        <v>1.5</v>
      </c>
      <c r="I11" s="9">
        <v>36</v>
      </c>
      <c r="J11" s="10">
        <v>0.20833333333333334</v>
      </c>
      <c r="K11" s="10">
        <v>0.17708333333333334</v>
      </c>
      <c r="L11" s="9">
        <v>4</v>
      </c>
      <c r="N11" s="7"/>
    </row>
    <row r="12" spans="1:14" x14ac:dyDescent="0.25">
      <c r="F12" s="9" t="s">
        <v>46</v>
      </c>
      <c r="G12" s="9" t="s">
        <v>25</v>
      </c>
      <c r="H12" s="9">
        <v>3</v>
      </c>
      <c r="I12" s="9">
        <v>72</v>
      </c>
      <c r="J12" s="10">
        <v>0.25</v>
      </c>
      <c r="K12" s="10">
        <v>0.21875</v>
      </c>
      <c r="L12" s="9">
        <v>1</v>
      </c>
      <c r="N12" s="7"/>
    </row>
    <row r="13" spans="1:14" x14ac:dyDescent="0.25">
      <c r="F13" s="9" t="s">
        <v>51</v>
      </c>
      <c r="G13" s="9" t="s">
        <v>1311</v>
      </c>
      <c r="H13" s="9">
        <v>1.5</v>
      </c>
      <c r="I13" s="9">
        <v>36</v>
      </c>
      <c r="J13" s="9">
        <v>0</v>
      </c>
      <c r="K13" s="9">
        <v>0</v>
      </c>
      <c r="L13" s="9"/>
      <c r="N13" s="7"/>
    </row>
    <row r="14" spans="1:14" x14ac:dyDescent="0.25">
      <c r="F14" s="9" t="s">
        <v>51</v>
      </c>
      <c r="G14" s="9" t="s">
        <v>66</v>
      </c>
      <c r="H14" s="9">
        <v>1.5</v>
      </c>
      <c r="I14" s="9">
        <v>36</v>
      </c>
      <c r="J14" s="9">
        <v>0</v>
      </c>
      <c r="K14" s="9">
        <v>0</v>
      </c>
      <c r="L14" s="9"/>
      <c r="N14" s="7"/>
    </row>
    <row r="15" spans="1:14" x14ac:dyDescent="0.25">
      <c r="F15" s="9" t="s">
        <v>51</v>
      </c>
      <c r="G15" s="9" t="s">
        <v>67</v>
      </c>
      <c r="H15" s="9">
        <v>1</v>
      </c>
      <c r="I15" s="9">
        <v>24</v>
      </c>
      <c r="J15" s="9">
        <v>0</v>
      </c>
      <c r="K15" s="9">
        <v>0</v>
      </c>
      <c r="L15" s="9"/>
      <c r="N15" s="7"/>
    </row>
    <row r="16" spans="1:14" x14ac:dyDescent="0.25">
      <c r="F16" s="9" t="s">
        <v>63</v>
      </c>
      <c r="G16" s="9" t="s">
        <v>17</v>
      </c>
      <c r="H16" s="9">
        <v>1</v>
      </c>
      <c r="I16" s="9">
        <v>24</v>
      </c>
      <c r="J16" s="10">
        <v>0.20833333333333334</v>
      </c>
      <c r="K16" s="10">
        <v>0.17708333333333334</v>
      </c>
      <c r="L16" s="9">
        <v>5</v>
      </c>
      <c r="N16" s="7"/>
    </row>
    <row r="17" spans="6:14" x14ac:dyDescent="0.25">
      <c r="F17" s="9" t="s">
        <v>63</v>
      </c>
      <c r="G17" s="9" t="s">
        <v>16</v>
      </c>
      <c r="H17" s="9">
        <v>1</v>
      </c>
      <c r="I17" s="9">
        <v>24</v>
      </c>
      <c r="J17" s="10">
        <v>0.20833333333333334</v>
      </c>
      <c r="K17" s="10">
        <v>0.17708333333333334</v>
      </c>
      <c r="L17" s="9">
        <v>6</v>
      </c>
      <c r="N17" s="7"/>
    </row>
    <row r="18" spans="6:14" x14ac:dyDescent="0.25">
      <c r="F18" s="9" t="s">
        <v>63</v>
      </c>
      <c r="G18" s="9" t="s">
        <v>18</v>
      </c>
      <c r="H18" s="9">
        <v>1.5</v>
      </c>
      <c r="I18" s="9">
        <v>36</v>
      </c>
      <c r="J18" s="10">
        <v>0.20833333333333334</v>
      </c>
      <c r="K18" s="10">
        <v>0.17708333333333334</v>
      </c>
      <c r="L18" s="9">
        <v>3</v>
      </c>
      <c r="N18" s="7"/>
    </row>
    <row r="19" spans="6:14" x14ac:dyDescent="0.25">
      <c r="F19" s="9" t="s">
        <v>63</v>
      </c>
      <c r="G19" s="9" t="s">
        <v>68</v>
      </c>
      <c r="H19" s="9">
        <v>1.5</v>
      </c>
      <c r="I19" s="9">
        <v>36</v>
      </c>
      <c r="J19" s="10">
        <v>0.20833333333333334</v>
      </c>
      <c r="K19" s="10">
        <v>0.17708333333333334</v>
      </c>
      <c r="L19" s="9">
        <v>7</v>
      </c>
      <c r="N19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83bf51-5c87-4fb0-ba13-134b9ccf2aac" xsi:nil="true"/>
    <TaxCatchAll xmlns="9ec7a165-d323-4302-8043-ea580ce1e37b" xsi:nil="true"/>
    <_ModernAudienceTargetUserField xmlns="3d83bf51-5c87-4fb0-ba13-134b9ccf2aac">
      <UserInfo>
        <DisplayName/>
        <AccountId xsi:nil="true"/>
        <AccountType/>
      </UserInfo>
    </_ModernAudienceTargetUserField>
    <Audiencias_x0020_de_x0020_destino xmlns="3d83bf51-5c87-4fb0-ba13-134b9ccf2aac" xsi:nil="true"/>
    <lcf76f155ced4ddcb4097134ff3c332f xmlns="3d83bf51-5c87-4fb0-ba13-134b9ccf2aa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8528D2613016E4F8BB018856F73371D" ma:contentTypeVersion="17" ma:contentTypeDescription="Crear nuevo documento." ma:contentTypeScope="" ma:versionID="5c3609afe6843af7a81bebb55ab3705b">
  <xsd:schema xmlns:xsd="http://www.w3.org/2001/XMLSchema" xmlns:xs="http://www.w3.org/2001/XMLSchema" xmlns:p="http://schemas.microsoft.com/office/2006/metadata/properties" xmlns:ns2="3d83bf51-5c87-4fb0-ba13-134b9ccf2aac" xmlns:ns3="9ec7a165-d323-4302-8043-ea580ce1e37b" targetNamespace="http://schemas.microsoft.com/office/2006/metadata/properties" ma:root="true" ma:fieldsID="e700fe5959ff58d73b586561e52d5093" ns2:_="" ns3:_="">
    <xsd:import namespace="3d83bf51-5c87-4fb0-ba13-134b9ccf2aac"/>
    <xsd:import namespace="9ec7a165-d323-4302-8043-ea580ce1e3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Audiencias_x0020_de_x0020_destino" minOccurs="0"/>
                <xsd:element ref="ns2:_ModernAudienceTargetUserField" minOccurs="0"/>
                <xsd:element ref="ns2:_ModernAudienceAadObjectIds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3bf51-5c87-4fb0-ba13-134b9ccf2a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d34168f3-22f8-4908-aed3-ef41011333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udiencias_x0020_de_x0020_destino" ma:index="20" nillable="true" ma:displayName="Audiencias de destino" ma:internalName="Audiencias_x0020_de_x0020_destino">
      <xsd:simpleType>
        <xsd:restriction base="dms:Unknown"/>
      </xsd:simpleType>
    </xsd:element>
    <xsd:element name="_ModernAudienceTargetUserField" ma:index="21" nillable="true" ma:displayName="Público" ma:list="UserInfo" ma:SharePointGroup="0" ma:internalName="_ModernAudienceTargetUserField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ModernAudienceAadObjectIds" ma:index="22" nillable="true" ma:displayName="AudienceIds" ma:list="{48885df9-4947-417b-bb3f-162086221ce0}" ma:internalName="_ModernAudienceAadObjectIds" ma:readOnly="true" ma:showField="_AadObjectIdForUser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Flow_SignoffStatus" ma:index="23" nillable="true" ma:displayName="Estado de aprobación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7a165-d323-4302-8043-ea580ce1e37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95e3f6b-173e-45cd-8444-10c683f9bcc8}" ma:internalName="TaxCatchAll" ma:showField="CatchAllData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AE2DB07-E1EE-4AEB-80E7-74D3285DBEF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A9869F1-282E-4391-9BF8-BCB60A0A8B6F}">
  <ds:schemaRefs>
    <ds:schemaRef ds:uri="http://schemas.microsoft.com/office/2006/metadata/properties"/>
    <ds:schemaRef ds:uri="http://schemas.microsoft.com/office/infopath/2007/PartnerControls"/>
    <ds:schemaRef ds:uri="3d83bf51-5c87-4fb0-ba13-134b9ccf2aac"/>
    <ds:schemaRef ds:uri="9ec7a165-d323-4302-8043-ea580ce1e37b"/>
  </ds:schemaRefs>
</ds:datastoreItem>
</file>

<file path=customXml/itemProps3.xml><?xml version="1.0" encoding="utf-8"?>
<ds:datastoreItem xmlns:ds="http://schemas.openxmlformats.org/officeDocument/2006/customXml" ds:itemID="{3D82F03D-D48B-4420-853D-E4A8C58AE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3bf51-5c87-4fb0-ba13-134b9ccf2aac"/>
    <ds:schemaRef ds:uri="9ec7a165-d323-4302-8043-ea580ce1e3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B4B4D5F-BE8C-4B77-A273-16F5E504FC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PLANEACION</vt:lpstr>
      <vt:lpstr>Consulta1</vt:lpstr>
      <vt:lpstr>UBICACIONES</vt:lpstr>
      <vt:lpstr>CATALOGO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Bernardo Escobedo</dc:creator>
  <cp:keywords/>
  <dc:description/>
  <cp:lastModifiedBy>Bernardo Escobedo</cp:lastModifiedBy>
  <cp:revision/>
  <dcterms:created xsi:type="dcterms:W3CDTF">2026-09-03T18:30:38Z</dcterms:created>
  <dcterms:modified xsi:type="dcterms:W3CDTF">2026-10-03T15:02:46Z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0x010100A8528D2613016E4F8BB018856F73371D</vt:lpwstr>
  </property>
  <property fmtid="{D5CDD505-2E9C-101B-9397-08002B2CF9AE}" pid="3" name="MediaServiceImageTags">
    <vt:lpwstr/>
  </property>
</Properties>
</file>