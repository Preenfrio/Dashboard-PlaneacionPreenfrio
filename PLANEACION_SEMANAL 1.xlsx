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nitosfrutas.sharepoint.com/sites/04.Logstica/Documentos compartidos/General/Pre-enfrío/09. Desarrollos/Planeacion/"/>
    </mc:Choice>
  </mc:AlternateContent>
  <xr:revisionPtr revIDLastSave="492" documentId="8_{545E5EC0-B69F-4327-BF2C-9EFD71AFF5C3}" xr6:coauthVersionLast="47" xr6:coauthVersionMax="47" xr10:uidLastSave="{8AC652F2-AC9B-4247-B2BE-2E08552D7555}"/>
  <bookViews>
    <workbookView xWindow="-28920" yWindow="-15" windowWidth="29040" windowHeight="15720" xr2:uid="{D41B2D9D-66D1-4881-AE1E-852E308D9588}"/>
  </bookViews>
  <sheets>
    <sheet name="PLANEACION" sheetId="1" r:id="rId1"/>
    <sheet name="UBICACIONES" sheetId="4" r:id="rId2"/>
    <sheet name="CATALOGO" sheetId="3" r:id="rId3"/>
  </sheets>
  <definedNames>
    <definedName name="_xlnm._FilterDatabase" localSheetId="0" hidden="1">PLANEACION!$A$1:$N$313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70" i="1" l="1"/>
  <c r="J70" i="1"/>
  <c r="K70" i="1"/>
  <c r="L70" i="1"/>
  <c r="F130" i="1"/>
  <c r="J130" i="1"/>
  <c r="K130" i="1"/>
  <c r="L130" i="1"/>
  <c r="L313" i="1"/>
  <c r="K313" i="1"/>
  <c r="J313" i="1"/>
  <c r="L312" i="1"/>
  <c r="K312" i="1"/>
  <c r="J312" i="1"/>
  <c r="L311" i="1"/>
  <c r="K311" i="1"/>
  <c r="J311" i="1"/>
  <c r="L310" i="1"/>
  <c r="K310" i="1"/>
  <c r="J310" i="1"/>
  <c r="L309" i="1"/>
  <c r="K309" i="1"/>
  <c r="J309" i="1"/>
  <c r="L308" i="1"/>
  <c r="K308" i="1"/>
  <c r="J308" i="1"/>
  <c r="L307" i="1"/>
  <c r="K307" i="1"/>
  <c r="J307" i="1"/>
  <c r="L306" i="1"/>
  <c r="K306" i="1"/>
  <c r="J306" i="1"/>
  <c r="L305" i="1"/>
  <c r="K305" i="1"/>
  <c r="J305" i="1"/>
  <c r="L304" i="1"/>
  <c r="K304" i="1"/>
  <c r="J304" i="1"/>
  <c r="L303" i="1"/>
  <c r="K303" i="1"/>
  <c r="J303" i="1"/>
  <c r="L302" i="1"/>
  <c r="K302" i="1"/>
  <c r="J302" i="1"/>
  <c r="L301" i="1"/>
  <c r="K301" i="1"/>
  <c r="J301" i="1"/>
  <c r="L300" i="1"/>
  <c r="K300" i="1"/>
  <c r="J300" i="1"/>
  <c r="L299" i="1"/>
  <c r="K299" i="1"/>
  <c r="J299" i="1"/>
  <c r="L298" i="1"/>
  <c r="K298" i="1"/>
  <c r="J298" i="1"/>
  <c r="L297" i="1"/>
  <c r="K297" i="1"/>
  <c r="J297" i="1"/>
  <c r="L296" i="1"/>
  <c r="K296" i="1"/>
  <c r="J296" i="1"/>
  <c r="L295" i="1"/>
  <c r="K295" i="1"/>
  <c r="J295" i="1"/>
  <c r="L294" i="1"/>
  <c r="K294" i="1"/>
  <c r="J294" i="1"/>
  <c r="L293" i="1"/>
  <c r="K293" i="1"/>
  <c r="J293" i="1"/>
  <c r="L292" i="1"/>
  <c r="K292" i="1"/>
  <c r="J292" i="1"/>
  <c r="L291" i="1"/>
  <c r="K291" i="1"/>
  <c r="J291" i="1"/>
  <c r="L290" i="1"/>
  <c r="K290" i="1"/>
  <c r="J290" i="1"/>
  <c r="L289" i="1"/>
  <c r="K289" i="1"/>
  <c r="J289" i="1"/>
  <c r="L288" i="1"/>
  <c r="K288" i="1"/>
  <c r="J288" i="1"/>
  <c r="L287" i="1"/>
  <c r="K287" i="1"/>
  <c r="J287" i="1"/>
  <c r="L286" i="1"/>
  <c r="K286" i="1"/>
  <c r="J286" i="1"/>
  <c r="L285" i="1"/>
  <c r="K285" i="1"/>
  <c r="J285" i="1"/>
  <c r="L284" i="1"/>
  <c r="K284" i="1"/>
  <c r="J284" i="1"/>
  <c r="L283" i="1"/>
  <c r="K283" i="1"/>
  <c r="J283" i="1"/>
  <c r="L282" i="1"/>
  <c r="K282" i="1"/>
  <c r="J282" i="1"/>
  <c r="L281" i="1"/>
  <c r="K281" i="1"/>
  <c r="J281" i="1"/>
  <c r="L280" i="1"/>
  <c r="K280" i="1"/>
  <c r="J280" i="1"/>
  <c r="L279" i="1"/>
  <c r="K279" i="1"/>
  <c r="J279" i="1"/>
  <c r="L278" i="1"/>
  <c r="K278" i="1"/>
  <c r="J278" i="1"/>
  <c r="L277" i="1"/>
  <c r="K277" i="1"/>
  <c r="J277" i="1"/>
  <c r="L276" i="1"/>
  <c r="K276" i="1"/>
  <c r="J276" i="1"/>
  <c r="L275" i="1"/>
  <c r="K275" i="1"/>
  <c r="J275" i="1"/>
  <c r="L274" i="1"/>
  <c r="K274" i="1"/>
  <c r="J274" i="1"/>
  <c r="L273" i="1"/>
  <c r="K273" i="1"/>
  <c r="J273" i="1"/>
  <c r="L272" i="1"/>
  <c r="K272" i="1"/>
  <c r="J272" i="1"/>
  <c r="L271" i="1"/>
  <c r="K271" i="1"/>
  <c r="J271" i="1"/>
  <c r="L270" i="1"/>
  <c r="K270" i="1"/>
  <c r="J270" i="1"/>
  <c r="L269" i="1"/>
  <c r="K269" i="1"/>
  <c r="J269" i="1"/>
  <c r="L268" i="1"/>
  <c r="K268" i="1"/>
  <c r="J268" i="1"/>
  <c r="L267" i="1"/>
  <c r="K267" i="1"/>
  <c r="J267" i="1"/>
  <c r="L266" i="1"/>
  <c r="K266" i="1"/>
  <c r="J266" i="1"/>
  <c r="L265" i="1"/>
  <c r="K265" i="1"/>
  <c r="J265" i="1"/>
  <c r="L264" i="1"/>
  <c r="K264" i="1"/>
  <c r="J264" i="1"/>
  <c r="L263" i="1"/>
  <c r="K263" i="1"/>
  <c r="J263" i="1"/>
  <c r="L262" i="1"/>
  <c r="K262" i="1"/>
  <c r="J262" i="1"/>
  <c r="L261" i="1"/>
  <c r="K261" i="1"/>
  <c r="J261" i="1"/>
  <c r="L260" i="1"/>
  <c r="K260" i="1"/>
  <c r="J260" i="1"/>
  <c r="L259" i="1"/>
  <c r="K259" i="1"/>
  <c r="J259" i="1"/>
  <c r="L258" i="1"/>
  <c r="K258" i="1"/>
  <c r="J258" i="1"/>
  <c r="L257" i="1"/>
  <c r="K257" i="1"/>
  <c r="J257" i="1"/>
  <c r="L256" i="1"/>
  <c r="K256" i="1"/>
  <c r="J256" i="1"/>
  <c r="L255" i="1"/>
  <c r="K255" i="1"/>
  <c r="J255" i="1"/>
  <c r="L254" i="1"/>
  <c r="K254" i="1"/>
  <c r="J254" i="1"/>
  <c r="L253" i="1"/>
  <c r="K253" i="1"/>
  <c r="J253" i="1"/>
  <c r="L252" i="1"/>
  <c r="K252" i="1"/>
  <c r="J252" i="1"/>
  <c r="L251" i="1"/>
  <c r="K251" i="1"/>
  <c r="J251" i="1"/>
  <c r="L250" i="1"/>
  <c r="K250" i="1"/>
  <c r="J250" i="1"/>
  <c r="L249" i="1"/>
  <c r="K249" i="1"/>
  <c r="J249" i="1"/>
  <c r="L248" i="1"/>
  <c r="K248" i="1"/>
  <c r="J248" i="1"/>
  <c r="L247" i="1"/>
  <c r="K247" i="1"/>
  <c r="J247" i="1"/>
  <c r="L246" i="1"/>
  <c r="K246" i="1"/>
  <c r="J246" i="1"/>
  <c r="L245" i="1"/>
  <c r="K245" i="1"/>
  <c r="J245" i="1"/>
  <c r="L244" i="1"/>
  <c r="K244" i="1"/>
  <c r="J244" i="1"/>
  <c r="L243" i="1"/>
  <c r="K243" i="1"/>
  <c r="J243" i="1"/>
  <c r="L242" i="1"/>
  <c r="K242" i="1"/>
  <c r="J242" i="1"/>
  <c r="L241" i="1"/>
  <c r="K241" i="1"/>
  <c r="J241" i="1"/>
  <c r="L240" i="1"/>
  <c r="K240" i="1"/>
  <c r="J240" i="1"/>
  <c r="L239" i="1"/>
  <c r="K239" i="1"/>
  <c r="J239" i="1"/>
  <c r="L238" i="1"/>
  <c r="K238" i="1"/>
  <c r="J238" i="1"/>
  <c r="L237" i="1"/>
  <c r="K237" i="1"/>
  <c r="J237" i="1"/>
  <c r="L236" i="1"/>
  <c r="K236" i="1"/>
  <c r="J236" i="1"/>
  <c r="L235" i="1"/>
  <c r="K235" i="1"/>
  <c r="J235" i="1"/>
  <c r="L234" i="1"/>
  <c r="K234" i="1"/>
  <c r="J234" i="1"/>
  <c r="L233" i="1"/>
  <c r="K233" i="1"/>
  <c r="J233" i="1"/>
  <c r="L232" i="1"/>
  <c r="K232" i="1"/>
  <c r="J232" i="1"/>
  <c r="L231" i="1"/>
  <c r="K231" i="1"/>
  <c r="J231" i="1"/>
  <c r="L230" i="1"/>
  <c r="K230" i="1"/>
  <c r="J230" i="1"/>
  <c r="L229" i="1"/>
  <c r="K229" i="1"/>
  <c r="J229" i="1"/>
  <c r="L228" i="1"/>
  <c r="K228" i="1"/>
  <c r="J228" i="1"/>
  <c r="L227" i="1"/>
  <c r="K227" i="1"/>
  <c r="J227" i="1"/>
  <c r="L226" i="1"/>
  <c r="K226" i="1"/>
  <c r="J226" i="1"/>
  <c r="L225" i="1"/>
  <c r="K225" i="1"/>
  <c r="J225" i="1"/>
  <c r="L224" i="1"/>
  <c r="K224" i="1"/>
  <c r="J224" i="1"/>
  <c r="L223" i="1"/>
  <c r="K223" i="1"/>
  <c r="J223" i="1"/>
  <c r="L222" i="1"/>
  <c r="K222" i="1"/>
  <c r="J222" i="1"/>
  <c r="L221" i="1"/>
  <c r="K221" i="1"/>
  <c r="J221" i="1"/>
  <c r="L220" i="1"/>
  <c r="K220" i="1"/>
  <c r="J220" i="1"/>
  <c r="L219" i="1"/>
  <c r="K219" i="1"/>
  <c r="J219" i="1"/>
  <c r="L218" i="1"/>
  <c r="K218" i="1"/>
  <c r="J218" i="1"/>
  <c r="L217" i="1"/>
  <c r="K217" i="1"/>
  <c r="J217" i="1"/>
  <c r="L216" i="1"/>
  <c r="K216" i="1"/>
  <c r="J216" i="1"/>
  <c r="L215" i="1"/>
  <c r="K215" i="1"/>
  <c r="J215" i="1"/>
  <c r="L214" i="1"/>
  <c r="K214" i="1"/>
  <c r="J214" i="1"/>
  <c r="L213" i="1"/>
  <c r="K213" i="1"/>
  <c r="J213" i="1"/>
  <c r="L212" i="1"/>
  <c r="K212" i="1"/>
  <c r="J212" i="1"/>
  <c r="L211" i="1"/>
  <c r="K211" i="1"/>
  <c r="J211" i="1"/>
  <c r="L210" i="1"/>
  <c r="K210" i="1"/>
  <c r="J210" i="1"/>
  <c r="L209" i="1"/>
  <c r="K209" i="1"/>
  <c r="J209" i="1"/>
  <c r="L208" i="1"/>
  <c r="K208" i="1"/>
  <c r="J208" i="1"/>
  <c r="L207" i="1"/>
  <c r="K207" i="1"/>
  <c r="J207" i="1"/>
  <c r="L206" i="1"/>
  <c r="K206" i="1"/>
  <c r="J206" i="1"/>
  <c r="L205" i="1"/>
  <c r="K205" i="1"/>
  <c r="J205" i="1"/>
  <c r="L204" i="1"/>
  <c r="K204" i="1"/>
  <c r="J204" i="1"/>
  <c r="L203" i="1"/>
  <c r="K203" i="1"/>
  <c r="J203" i="1"/>
  <c r="L202" i="1"/>
  <c r="K202" i="1"/>
  <c r="J202" i="1"/>
  <c r="L201" i="1"/>
  <c r="K201" i="1"/>
  <c r="J201" i="1"/>
  <c r="L200" i="1"/>
  <c r="K200" i="1"/>
  <c r="J200" i="1"/>
  <c r="L199" i="1"/>
  <c r="K199" i="1"/>
  <c r="J199" i="1"/>
  <c r="L198" i="1"/>
  <c r="K198" i="1"/>
  <c r="J198" i="1"/>
  <c r="L197" i="1"/>
  <c r="K197" i="1"/>
  <c r="J197" i="1"/>
  <c r="L196" i="1"/>
  <c r="K196" i="1"/>
  <c r="J196" i="1"/>
  <c r="L195" i="1"/>
  <c r="K195" i="1"/>
  <c r="J195" i="1"/>
  <c r="L194" i="1"/>
  <c r="K194" i="1"/>
  <c r="J194" i="1"/>
  <c r="L193" i="1"/>
  <c r="K193" i="1"/>
  <c r="J193" i="1"/>
  <c r="L192" i="1"/>
  <c r="K192" i="1"/>
  <c r="J192" i="1"/>
  <c r="L191" i="1"/>
  <c r="K191" i="1"/>
  <c r="J191" i="1"/>
  <c r="L190" i="1"/>
  <c r="K190" i="1"/>
  <c r="J190" i="1"/>
  <c r="L189" i="1"/>
  <c r="K189" i="1"/>
  <c r="J189" i="1"/>
  <c r="L188" i="1"/>
  <c r="K188" i="1"/>
  <c r="J188" i="1"/>
  <c r="L187" i="1"/>
  <c r="K187" i="1"/>
  <c r="J187" i="1"/>
  <c r="L186" i="1"/>
  <c r="K186" i="1"/>
  <c r="J186" i="1"/>
  <c r="L185" i="1"/>
  <c r="K185" i="1"/>
  <c r="J185" i="1"/>
  <c r="L184" i="1"/>
  <c r="K184" i="1"/>
  <c r="J184" i="1"/>
  <c r="L183" i="1"/>
  <c r="K183" i="1"/>
  <c r="J183" i="1"/>
  <c r="L182" i="1"/>
  <c r="K182" i="1"/>
  <c r="J182" i="1"/>
  <c r="L181" i="1"/>
  <c r="K181" i="1"/>
  <c r="J181" i="1"/>
  <c r="L180" i="1"/>
  <c r="K180" i="1"/>
  <c r="J180" i="1"/>
  <c r="L179" i="1"/>
  <c r="K179" i="1"/>
  <c r="J179" i="1"/>
  <c r="L178" i="1"/>
  <c r="K178" i="1"/>
  <c r="J178" i="1"/>
  <c r="L177" i="1"/>
  <c r="K177" i="1"/>
  <c r="J177" i="1"/>
  <c r="L176" i="1"/>
  <c r="K176" i="1"/>
  <c r="J176" i="1"/>
  <c r="L175" i="1"/>
  <c r="K175" i="1"/>
  <c r="J175" i="1"/>
  <c r="L174" i="1"/>
  <c r="K174" i="1"/>
  <c r="J174" i="1"/>
  <c r="L173" i="1"/>
  <c r="K173" i="1"/>
  <c r="J173" i="1"/>
  <c r="L172" i="1"/>
  <c r="K172" i="1"/>
  <c r="J172" i="1"/>
  <c r="L171" i="1"/>
  <c r="K171" i="1"/>
  <c r="J171" i="1"/>
  <c r="L170" i="1"/>
  <c r="K170" i="1"/>
  <c r="J170" i="1"/>
  <c r="L169" i="1"/>
  <c r="K169" i="1"/>
  <c r="J169" i="1"/>
  <c r="L168" i="1"/>
  <c r="K168" i="1"/>
  <c r="J168" i="1"/>
  <c r="L167" i="1"/>
  <c r="K167" i="1"/>
  <c r="J167" i="1"/>
  <c r="L166" i="1"/>
  <c r="K166" i="1"/>
  <c r="J166" i="1"/>
  <c r="L165" i="1"/>
  <c r="K165" i="1"/>
  <c r="J165" i="1"/>
  <c r="L164" i="1"/>
  <c r="K164" i="1"/>
  <c r="J164" i="1"/>
  <c r="L163" i="1"/>
  <c r="K163" i="1"/>
  <c r="J163" i="1"/>
  <c r="L162" i="1"/>
  <c r="K162" i="1"/>
  <c r="J162" i="1"/>
  <c r="L161" i="1"/>
  <c r="K161" i="1"/>
  <c r="J161" i="1"/>
  <c r="L160" i="1"/>
  <c r="K160" i="1"/>
  <c r="J160" i="1"/>
  <c r="L159" i="1"/>
  <c r="K159" i="1"/>
  <c r="J159" i="1"/>
  <c r="L158" i="1"/>
  <c r="K158" i="1"/>
  <c r="J158" i="1"/>
  <c r="L157" i="1"/>
  <c r="K157" i="1"/>
  <c r="J157" i="1"/>
  <c r="L156" i="1"/>
  <c r="K156" i="1"/>
  <c r="J156" i="1"/>
  <c r="L155" i="1"/>
  <c r="K155" i="1"/>
  <c r="J155" i="1"/>
  <c r="L154" i="1"/>
  <c r="K154" i="1"/>
  <c r="J154" i="1"/>
  <c r="L153" i="1"/>
  <c r="K153" i="1"/>
  <c r="J153" i="1"/>
  <c r="L152" i="1"/>
  <c r="K152" i="1"/>
  <c r="J152" i="1"/>
  <c r="L151" i="1"/>
  <c r="K151" i="1"/>
  <c r="J151" i="1"/>
  <c r="L150" i="1"/>
  <c r="K150" i="1"/>
  <c r="J150" i="1"/>
  <c r="L149" i="1"/>
  <c r="K149" i="1"/>
  <c r="J149" i="1"/>
  <c r="L148" i="1"/>
  <c r="K148" i="1"/>
  <c r="J148" i="1"/>
  <c r="L147" i="1"/>
  <c r="K147" i="1"/>
  <c r="J147" i="1"/>
  <c r="L146" i="1"/>
  <c r="K146" i="1"/>
  <c r="J146" i="1"/>
  <c r="L145" i="1"/>
  <c r="K145" i="1"/>
  <c r="J145" i="1"/>
  <c r="L144" i="1"/>
  <c r="K144" i="1"/>
  <c r="J144" i="1"/>
  <c r="L143" i="1"/>
  <c r="K143" i="1"/>
  <c r="J143" i="1"/>
  <c r="L142" i="1"/>
  <c r="K142" i="1"/>
  <c r="J142" i="1"/>
  <c r="L141" i="1"/>
  <c r="K141" i="1"/>
  <c r="J141" i="1"/>
  <c r="L140" i="1"/>
  <c r="K140" i="1"/>
  <c r="J140" i="1"/>
  <c r="L139" i="1"/>
  <c r="K139" i="1"/>
  <c r="J139" i="1"/>
  <c r="L138" i="1"/>
  <c r="K138" i="1"/>
  <c r="J138" i="1"/>
  <c r="L137" i="1"/>
  <c r="K137" i="1"/>
  <c r="J137" i="1"/>
  <c r="L136" i="1"/>
  <c r="K136" i="1"/>
  <c r="J136" i="1"/>
  <c r="L135" i="1"/>
  <c r="K135" i="1"/>
  <c r="J135" i="1"/>
  <c r="L134" i="1"/>
  <c r="K134" i="1"/>
  <c r="J134" i="1"/>
  <c r="L133" i="1"/>
  <c r="K133" i="1"/>
  <c r="J133" i="1"/>
  <c r="L132" i="1"/>
  <c r="K132" i="1"/>
  <c r="J132" i="1"/>
  <c r="L131" i="1"/>
  <c r="K131" i="1"/>
  <c r="J131" i="1"/>
  <c r="L129" i="1"/>
  <c r="K129" i="1"/>
  <c r="J129" i="1"/>
  <c r="L128" i="1"/>
  <c r="K128" i="1"/>
  <c r="J128" i="1"/>
  <c r="L127" i="1"/>
  <c r="K127" i="1"/>
  <c r="J127" i="1"/>
  <c r="L126" i="1"/>
  <c r="K126" i="1"/>
  <c r="J126" i="1"/>
  <c r="L125" i="1"/>
  <c r="K125" i="1"/>
  <c r="J125" i="1"/>
  <c r="L124" i="1"/>
  <c r="K124" i="1"/>
  <c r="J124" i="1"/>
  <c r="L123" i="1"/>
  <c r="K123" i="1"/>
  <c r="J123" i="1"/>
  <c r="L122" i="1"/>
  <c r="K122" i="1"/>
  <c r="J122" i="1"/>
  <c r="L121" i="1"/>
  <c r="K121" i="1"/>
  <c r="J121" i="1"/>
  <c r="L120" i="1"/>
  <c r="K120" i="1"/>
  <c r="J120" i="1"/>
  <c r="L119" i="1"/>
  <c r="K119" i="1"/>
  <c r="J119" i="1"/>
  <c r="L118" i="1"/>
  <c r="K118" i="1"/>
  <c r="J118" i="1"/>
  <c r="L117" i="1"/>
  <c r="K117" i="1"/>
  <c r="J117" i="1"/>
  <c r="L116" i="1"/>
  <c r="K116" i="1"/>
  <c r="J116" i="1"/>
  <c r="L115" i="1"/>
  <c r="K115" i="1"/>
  <c r="J115" i="1"/>
  <c r="L114" i="1"/>
  <c r="K114" i="1"/>
  <c r="J114" i="1"/>
  <c r="L113" i="1"/>
  <c r="K113" i="1"/>
  <c r="J113" i="1"/>
  <c r="L112" i="1"/>
  <c r="K112" i="1"/>
  <c r="J112" i="1"/>
  <c r="L111" i="1"/>
  <c r="K111" i="1"/>
  <c r="J111" i="1"/>
  <c r="L110" i="1"/>
  <c r="K110" i="1"/>
  <c r="J110" i="1"/>
  <c r="L109" i="1"/>
  <c r="K109" i="1"/>
  <c r="J109" i="1"/>
  <c r="L108" i="1"/>
  <c r="K108" i="1"/>
  <c r="J108" i="1"/>
  <c r="L107" i="1"/>
  <c r="K107" i="1"/>
  <c r="J107" i="1"/>
  <c r="L106" i="1"/>
  <c r="K106" i="1"/>
  <c r="J106" i="1"/>
  <c r="L105" i="1"/>
  <c r="K105" i="1"/>
  <c r="J105" i="1"/>
  <c r="L104" i="1"/>
  <c r="K104" i="1"/>
  <c r="J104" i="1"/>
  <c r="L103" i="1"/>
  <c r="K103" i="1"/>
  <c r="J103" i="1"/>
  <c r="L102" i="1"/>
  <c r="K102" i="1"/>
  <c r="J102" i="1"/>
  <c r="L101" i="1"/>
  <c r="K101" i="1"/>
  <c r="J101" i="1"/>
  <c r="L100" i="1"/>
  <c r="K100" i="1"/>
  <c r="J100" i="1"/>
  <c r="L99" i="1"/>
  <c r="K99" i="1"/>
  <c r="J99" i="1"/>
  <c r="L98" i="1"/>
  <c r="K98" i="1"/>
  <c r="J98" i="1"/>
  <c r="L97" i="1"/>
  <c r="K97" i="1"/>
  <c r="J97" i="1"/>
  <c r="L96" i="1"/>
  <c r="K96" i="1"/>
  <c r="J96" i="1"/>
  <c r="L95" i="1"/>
  <c r="K95" i="1"/>
  <c r="J95" i="1"/>
  <c r="L94" i="1"/>
  <c r="K94" i="1"/>
  <c r="J94" i="1"/>
  <c r="L93" i="1"/>
  <c r="K93" i="1"/>
  <c r="J93" i="1"/>
  <c r="L92" i="1"/>
  <c r="K92" i="1"/>
  <c r="J92" i="1"/>
  <c r="L91" i="1"/>
  <c r="K91" i="1"/>
  <c r="J91" i="1"/>
  <c r="L90" i="1"/>
  <c r="K90" i="1"/>
  <c r="J90" i="1"/>
  <c r="L89" i="1"/>
  <c r="K89" i="1"/>
  <c r="J89" i="1"/>
  <c r="L88" i="1"/>
  <c r="K88" i="1"/>
  <c r="J88" i="1"/>
  <c r="L87" i="1"/>
  <c r="K87" i="1"/>
  <c r="J87" i="1"/>
  <c r="L86" i="1"/>
  <c r="K86" i="1"/>
  <c r="J86" i="1"/>
  <c r="L85" i="1"/>
  <c r="K85" i="1"/>
  <c r="J85" i="1"/>
  <c r="L84" i="1"/>
  <c r="K84" i="1"/>
  <c r="J84" i="1"/>
  <c r="L83" i="1"/>
  <c r="K83" i="1"/>
  <c r="J83" i="1"/>
  <c r="L82" i="1"/>
  <c r="K82" i="1"/>
  <c r="J82" i="1"/>
  <c r="L81" i="1"/>
  <c r="K81" i="1"/>
  <c r="J81" i="1"/>
  <c r="L80" i="1"/>
  <c r="K80" i="1"/>
  <c r="J80" i="1"/>
  <c r="L79" i="1"/>
  <c r="K79" i="1"/>
  <c r="J79" i="1"/>
  <c r="L78" i="1"/>
  <c r="K78" i="1"/>
  <c r="J78" i="1"/>
  <c r="L77" i="1"/>
  <c r="K77" i="1"/>
  <c r="J77" i="1"/>
  <c r="L76" i="1"/>
  <c r="K76" i="1"/>
  <c r="J76" i="1"/>
  <c r="L75" i="1"/>
  <c r="K75" i="1"/>
  <c r="J75" i="1"/>
  <c r="L74" i="1"/>
  <c r="K74" i="1"/>
  <c r="J74" i="1"/>
  <c r="L73" i="1"/>
  <c r="K73" i="1"/>
  <c r="J73" i="1"/>
  <c r="L72" i="1"/>
  <c r="K72" i="1"/>
  <c r="J72" i="1"/>
  <c r="L71" i="1"/>
  <c r="K71" i="1"/>
  <c r="J71" i="1"/>
  <c r="L69" i="1"/>
  <c r="K69" i="1"/>
  <c r="J69" i="1"/>
  <c r="L68" i="1"/>
  <c r="K68" i="1"/>
  <c r="J68" i="1"/>
  <c r="L67" i="1"/>
  <c r="K67" i="1"/>
  <c r="J67" i="1"/>
  <c r="L66" i="1"/>
  <c r="K66" i="1"/>
  <c r="J66" i="1"/>
  <c r="L65" i="1"/>
  <c r="K65" i="1"/>
  <c r="J65" i="1"/>
  <c r="L64" i="1"/>
  <c r="K64" i="1"/>
  <c r="J64" i="1"/>
  <c r="L63" i="1"/>
  <c r="K63" i="1"/>
  <c r="J63" i="1"/>
  <c r="L62" i="1"/>
  <c r="K62" i="1"/>
  <c r="J62" i="1"/>
  <c r="L61" i="1"/>
  <c r="K61" i="1"/>
  <c r="J61" i="1"/>
  <c r="L60" i="1"/>
  <c r="K60" i="1"/>
  <c r="J60" i="1"/>
  <c r="L59" i="1"/>
  <c r="K59" i="1"/>
  <c r="J59" i="1"/>
  <c r="L58" i="1"/>
  <c r="K58" i="1"/>
  <c r="J58" i="1"/>
  <c r="L57" i="1"/>
  <c r="K57" i="1"/>
  <c r="J57" i="1"/>
  <c r="L56" i="1"/>
  <c r="K56" i="1"/>
  <c r="J56" i="1"/>
  <c r="L55" i="1"/>
  <c r="K55" i="1"/>
  <c r="J55" i="1"/>
  <c r="L54" i="1"/>
  <c r="K54" i="1"/>
  <c r="J54" i="1"/>
  <c r="L53" i="1"/>
  <c r="K53" i="1"/>
  <c r="J53" i="1"/>
  <c r="L52" i="1"/>
  <c r="K52" i="1"/>
  <c r="J52" i="1"/>
  <c r="L51" i="1"/>
  <c r="K51" i="1"/>
  <c r="J51" i="1"/>
  <c r="L50" i="1"/>
  <c r="K50" i="1"/>
  <c r="J50" i="1"/>
  <c r="L49" i="1"/>
  <c r="K49" i="1"/>
  <c r="J49" i="1"/>
  <c r="L48" i="1"/>
  <c r="K48" i="1"/>
  <c r="J48" i="1"/>
  <c r="L47" i="1"/>
  <c r="K47" i="1"/>
  <c r="J47" i="1"/>
  <c r="L46" i="1"/>
  <c r="K46" i="1"/>
  <c r="J46" i="1"/>
  <c r="L45" i="1"/>
  <c r="K45" i="1"/>
  <c r="J45" i="1"/>
  <c r="L44" i="1"/>
  <c r="K44" i="1"/>
  <c r="J44" i="1"/>
  <c r="L43" i="1"/>
  <c r="K43" i="1"/>
  <c r="J43" i="1"/>
  <c r="L42" i="1"/>
  <c r="K42" i="1"/>
  <c r="J42" i="1"/>
  <c r="L41" i="1"/>
  <c r="K41" i="1"/>
  <c r="J41" i="1"/>
  <c r="L40" i="1"/>
  <c r="K40" i="1"/>
  <c r="J40" i="1"/>
  <c r="L39" i="1"/>
  <c r="K39" i="1"/>
  <c r="J39" i="1"/>
  <c r="L38" i="1"/>
  <c r="K38" i="1"/>
  <c r="J38" i="1"/>
  <c r="L37" i="1"/>
  <c r="K37" i="1"/>
  <c r="J37" i="1"/>
  <c r="L36" i="1"/>
  <c r="K36" i="1"/>
  <c r="J36" i="1"/>
  <c r="L35" i="1"/>
  <c r="K35" i="1"/>
  <c r="J35" i="1"/>
  <c r="L34" i="1"/>
  <c r="K34" i="1"/>
  <c r="J34" i="1"/>
  <c r="L33" i="1"/>
  <c r="K33" i="1"/>
  <c r="J33" i="1"/>
  <c r="L32" i="1"/>
  <c r="K32" i="1"/>
  <c r="J32" i="1"/>
  <c r="L31" i="1"/>
  <c r="K31" i="1"/>
  <c r="J31" i="1"/>
  <c r="L30" i="1"/>
  <c r="K30" i="1"/>
  <c r="J30" i="1"/>
  <c r="L29" i="1"/>
  <c r="K29" i="1"/>
  <c r="J29" i="1"/>
  <c r="L28" i="1"/>
  <c r="K28" i="1"/>
  <c r="J28" i="1"/>
  <c r="L27" i="1"/>
  <c r="K27" i="1"/>
  <c r="J27" i="1"/>
  <c r="L26" i="1"/>
  <c r="K26" i="1"/>
  <c r="J26" i="1"/>
  <c r="L25" i="1"/>
  <c r="K25" i="1"/>
  <c r="J25" i="1"/>
  <c r="L24" i="1"/>
  <c r="K24" i="1"/>
  <c r="J24" i="1"/>
  <c r="L23" i="1"/>
  <c r="K23" i="1"/>
  <c r="J23" i="1"/>
  <c r="L22" i="1"/>
  <c r="K22" i="1"/>
  <c r="J22" i="1"/>
  <c r="L21" i="1"/>
  <c r="K21" i="1"/>
  <c r="J21" i="1"/>
  <c r="L20" i="1"/>
  <c r="K20" i="1"/>
  <c r="J20" i="1"/>
  <c r="L19" i="1"/>
  <c r="K19" i="1"/>
  <c r="J19" i="1"/>
  <c r="L18" i="1"/>
  <c r="K18" i="1"/>
  <c r="J18" i="1"/>
  <c r="L17" i="1"/>
  <c r="K17" i="1"/>
  <c r="J17" i="1"/>
  <c r="L16" i="1"/>
  <c r="K16" i="1"/>
  <c r="J16" i="1"/>
  <c r="L15" i="1"/>
  <c r="K15" i="1"/>
  <c r="J15" i="1"/>
  <c r="L14" i="1"/>
  <c r="K14" i="1"/>
  <c r="J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 l="1"/>
  <c r="F11" i="1"/>
  <c r="F10" i="1"/>
  <c r="F9" i="1"/>
  <c r="F8" i="1"/>
  <c r="F7" i="1"/>
  <c r="F6" i="1"/>
  <c r="F5" i="1"/>
  <c r="F4" i="1"/>
  <c r="F3" i="1"/>
  <c r="F2" i="1"/>
  <c r="J13" i="1"/>
  <c r="J12" i="1"/>
  <c r="J11" i="1"/>
  <c r="J10" i="1"/>
  <c r="J9" i="1"/>
  <c r="J8" i="1"/>
  <c r="J7" i="1"/>
  <c r="J6" i="1"/>
  <c r="J5" i="1"/>
  <c r="J4" i="1"/>
  <c r="J3" i="1"/>
  <c r="J2" i="1"/>
  <c r="K2" i="1" l="1"/>
  <c r="L2" i="1"/>
  <c r="K3" i="1"/>
  <c r="L3" i="1"/>
  <c r="K4" i="1"/>
  <c r="L4" i="1"/>
  <c r="K5" i="1"/>
  <c r="L5" i="1"/>
  <c r="K6" i="1"/>
  <c r="L6" i="1"/>
  <c r="K7" i="1"/>
  <c r="L7" i="1"/>
  <c r="K8" i="1"/>
  <c r="L8" i="1"/>
  <c r="K9" i="1"/>
  <c r="L9" i="1"/>
  <c r="K10" i="1"/>
  <c r="L10" i="1"/>
  <c r="K11" i="1"/>
  <c r="L11" i="1"/>
  <c r="K12" i="1"/>
  <c r="L12" i="1"/>
  <c r="K13" i="1"/>
  <c r="L13" i="1"/>
</calcChain>
</file>

<file path=xl/sharedStrings.xml><?xml version="1.0" encoding="utf-8"?>
<sst xmlns="http://schemas.openxmlformats.org/spreadsheetml/2006/main" count="3927" uniqueCount="1569">
  <si>
    <t>Descripción</t>
  </si>
  <si>
    <t xml:space="preserve">SKU </t>
  </si>
  <si>
    <t xml:space="preserve">Lote </t>
  </si>
  <si>
    <t>Finca</t>
  </si>
  <si>
    <t>Destino</t>
  </si>
  <si>
    <t>NIVEL CRITICO</t>
  </si>
  <si>
    <t>Cantidad</t>
  </si>
  <si>
    <t>Pallets</t>
  </si>
  <si>
    <t xml:space="preserve">Fecha de proceso </t>
  </si>
  <si>
    <t>SEMANA</t>
  </si>
  <si>
    <t>DIAS TRANSITO</t>
  </si>
  <si>
    <t>HORAS TRANSITO</t>
  </si>
  <si>
    <t>FECHA CITA</t>
  </si>
  <si>
    <t>A11 045 Sector Mazatan</t>
  </si>
  <si>
    <t>McAllen</t>
  </si>
  <si>
    <t>A01 002 Fortaleza</t>
  </si>
  <si>
    <t>VSA</t>
  </si>
  <si>
    <t>Chalco</t>
  </si>
  <si>
    <t>QRO</t>
  </si>
  <si>
    <t>CEDA</t>
  </si>
  <si>
    <t>A01 001 Marbella</t>
  </si>
  <si>
    <t>A01 003 Doña Nelly</t>
  </si>
  <si>
    <t>SMO</t>
  </si>
  <si>
    <t>A04 084 Lisboa</t>
  </si>
  <si>
    <t>A04 039 San Jose Morelia Nava</t>
  </si>
  <si>
    <t>S-MTY</t>
  </si>
  <si>
    <t>Japon</t>
  </si>
  <si>
    <t>A41 100 Doña Lupe JV</t>
  </si>
  <si>
    <t>A01 004 La Ceiba</t>
  </si>
  <si>
    <t>A04 037 Josefina Nava</t>
  </si>
  <si>
    <t>A06 043 Nuestra señora</t>
  </si>
  <si>
    <t>MTY</t>
  </si>
  <si>
    <t>A27 073 Plantacion</t>
  </si>
  <si>
    <t>PREENFRIO NELLY</t>
  </si>
  <si>
    <t>ALTA</t>
  </si>
  <si>
    <t>VOLUMEN / CAPACIDAD INSTALADA</t>
  </si>
  <si>
    <t>CLIENTE</t>
  </si>
  <si>
    <t>DESTINO</t>
  </si>
  <si>
    <t>TRÁNSITO (DÍAS)</t>
  </si>
  <si>
    <t>TRÁNSITO (HRS)</t>
  </si>
  <si>
    <t>CICLO HORAS FORTALEZA</t>
  </si>
  <si>
    <t>CICLO HORAS NELLY</t>
  </si>
  <si>
    <t>CRITICIDAD</t>
  </si>
  <si>
    <t>PREENFRIO FORTALEZA</t>
  </si>
  <si>
    <t>NORMAL</t>
  </si>
  <si>
    <t>POSICIONAMIENTO DE TRANSPORTE</t>
  </si>
  <si>
    <t>SMART</t>
  </si>
  <si>
    <t>Cd. Juárez</t>
  </si>
  <si>
    <t>DIRECTO SIN PREENFRIO</t>
  </si>
  <si>
    <t>BAJA</t>
  </si>
  <si>
    <t>EMPAQUE TARDIO</t>
  </si>
  <si>
    <t>CHANITOS</t>
  </si>
  <si>
    <t>FALLA ELECTRICA</t>
  </si>
  <si>
    <t>Chihuahua</t>
  </si>
  <si>
    <t>MANTENIMIENTO CORRECTIVO</t>
  </si>
  <si>
    <t>CHIQUITA</t>
  </si>
  <si>
    <t>Chiquita</t>
  </si>
  <si>
    <t>MANTENIMIENTO PREVENTIVO</t>
  </si>
  <si>
    <t>Colima</t>
  </si>
  <si>
    <t>JAPON</t>
  </si>
  <si>
    <t>PREENFRIO</t>
  </si>
  <si>
    <t>PALLETS</t>
  </si>
  <si>
    <t>NELLY</t>
  </si>
  <si>
    <t>WALMART</t>
  </si>
  <si>
    <t>FORTALEZA</t>
  </si>
  <si>
    <t>Ciudad Juarez</t>
  </si>
  <si>
    <t>Tulti-CEDA</t>
  </si>
  <si>
    <t>Tabasco</t>
  </si>
  <si>
    <t>Zumpango</t>
  </si>
  <si>
    <t>Trazabilidad de finca</t>
  </si>
  <si>
    <t>B21 274 Chical AR</t>
  </si>
  <si>
    <t>A04 005 La Gloria</t>
  </si>
  <si>
    <t>A08 006 San Joaquin</t>
  </si>
  <si>
    <t>A02 007 Hydro Marte R Gomez</t>
  </si>
  <si>
    <t>A02 008 La Joya</t>
  </si>
  <si>
    <t>A02 009 Las Lomas</t>
  </si>
  <si>
    <t>A08 010 Las Flores</t>
  </si>
  <si>
    <t>A02 011 Herradura del carmen</t>
  </si>
  <si>
    <t>A02 012 Thomas</t>
  </si>
  <si>
    <t>A02 013 Marigabriela 1</t>
  </si>
  <si>
    <t>A02 014 Carmen 12 Nativa</t>
  </si>
  <si>
    <t>A02 015 Progreso Nativa</t>
  </si>
  <si>
    <t>A02 016 Union</t>
  </si>
  <si>
    <t>A02 017 Rancho Nuevo</t>
  </si>
  <si>
    <t>A02 018 Marigabriela 2</t>
  </si>
  <si>
    <t>A02 019 Vergel Nativa</t>
  </si>
  <si>
    <t>A02 020 California</t>
  </si>
  <si>
    <t>A02 021 Santa Barbara Nativa</t>
  </si>
  <si>
    <t>A25 022 Doña Mildred</t>
  </si>
  <si>
    <t>A08 023 Las Eloisas</t>
  </si>
  <si>
    <t>A02 024 no usar El Cuerudo</t>
  </si>
  <si>
    <t>A03 025 Bondad</t>
  </si>
  <si>
    <t>A03 026 Santa Fe</t>
  </si>
  <si>
    <t>A03 027 El Cahua</t>
  </si>
  <si>
    <t>A03 028 Romina</t>
  </si>
  <si>
    <t>A03 029 Esmeralda</t>
  </si>
  <si>
    <t>A24 030 Venezuela</t>
  </si>
  <si>
    <t>A25 031 Vigor</t>
  </si>
  <si>
    <t>A24 032 Ojo de agua</t>
  </si>
  <si>
    <t>A04 033 Carlota Nava</t>
  </si>
  <si>
    <t xml:space="preserve">A04 034 </t>
  </si>
  <si>
    <t>A04 035 Guadalupe Nava</t>
  </si>
  <si>
    <t>A04 036 Esperanza Nava</t>
  </si>
  <si>
    <t>A04 038 El Triunfo Nava</t>
  </si>
  <si>
    <t>A05 040 Plataneros Unidos 1</t>
  </si>
  <si>
    <t>A05 041 Plataneros Unidos 2 Cotan o Micros</t>
  </si>
  <si>
    <t>A05 042 El Conde</t>
  </si>
  <si>
    <t>A06 044 Anexo 04</t>
  </si>
  <si>
    <t>A07 046 Las Conchas Asake</t>
  </si>
  <si>
    <t>A07 047 San Antonio Asake</t>
  </si>
  <si>
    <t>A07 048 Caridad Asake</t>
  </si>
  <si>
    <t>A08 049 Dos Hermanos</t>
  </si>
  <si>
    <t>A08 050 Santa Marta</t>
  </si>
  <si>
    <t>A09 051 Miguel Aleman 1</t>
  </si>
  <si>
    <t>A09 052 Miguel Aleman 2</t>
  </si>
  <si>
    <t>A10 053 Santa Cruz</t>
  </si>
  <si>
    <t>A10 054 San Rafael</t>
  </si>
  <si>
    <t xml:space="preserve">A11 055 Sector Mazatan Valle Verde </t>
  </si>
  <si>
    <t>A11 056 San Isidro</t>
  </si>
  <si>
    <t>A12 057 Tiquisate 1</t>
  </si>
  <si>
    <t>A12 058 Tiquisate 2</t>
  </si>
  <si>
    <t>A13 059 Skarlet</t>
  </si>
  <si>
    <t>A13 060 Los Angeles</t>
  </si>
  <si>
    <t>A14 061 Corozal</t>
  </si>
  <si>
    <t>A14 062 Charly</t>
  </si>
  <si>
    <t xml:space="preserve">A15 063 Zaragoza </t>
  </si>
  <si>
    <t>A16 064 Santa Elena</t>
  </si>
  <si>
    <t>A17 065 Anvirama</t>
  </si>
  <si>
    <t>A18 066 Chaparral</t>
  </si>
  <si>
    <t>A25 067 El Cuerudo GT</t>
  </si>
  <si>
    <t>A20 068 Faja de Oro</t>
  </si>
  <si>
    <t xml:space="preserve">A21 069 San Carlos </t>
  </si>
  <si>
    <t>A22 070 Normandia</t>
  </si>
  <si>
    <t>A23 071 El Porvenir</t>
  </si>
  <si>
    <t xml:space="preserve"> 072 Santa Marta</t>
  </si>
  <si>
    <t>A28 074 El Aguacate</t>
  </si>
  <si>
    <t>A29 075 Heidy</t>
  </si>
  <si>
    <t>A30 076 Miguel Navarro</t>
  </si>
  <si>
    <t>A26 077 Dorado  Nuevo</t>
  </si>
  <si>
    <t xml:space="preserve">A24 078 Santa Clara </t>
  </si>
  <si>
    <t xml:space="preserve">A31 079 Rancho Grande </t>
  </si>
  <si>
    <t xml:space="preserve">A03 080 Altamira </t>
  </si>
  <si>
    <t>A32 081 Finca Rancho Nuevo</t>
  </si>
  <si>
    <t>A35 082 Empaque de Macho Ej Libertad</t>
  </si>
  <si>
    <t>A04 083 Santa Maria</t>
  </si>
  <si>
    <t>A02 085 Rosalinda</t>
  </si>
  <si>
    <t>A02 086 Galicia</t>
  </si>
  <si>
    <t>A11 087 19 de Abril</t>
  </si>
  <si>
    <t>A25 088 Doña Lupe</t>
  </si>
  <si>
    <t>A33 089 Jennys Bananas</t>
  </si>
  <si>
    <t>A36 090 Heavy</t>
  </si>
  <si>
    <t>A37 091 Los Potrillos</t>
  </si>
  <si>
    <t>A11 092 Composta</t>
  </si>
  <si>
    <t>A26 093 Tres Hermanos MT</t>
  </si>
  <si>
    <t>A38 094 Lagartero</t>
  </si>
  <si>
    <t>A39 095 Esquipulas</t>
  </si>
  <si>
    <t>A40 096 Cuauhtemoc</t>
  </si>
  <si>
    <t>A40 097 Anexo 2</t>
  </si>
  <si>
    <t>A04 098 Trinidad y Lindavista</t>
  </si>
  <si>
    <t>A26 099 Empaque 1 Diaz Ordaz</t>
  </si>
  <si>
    <t xml:space="preserve">B03 001 Los Cedros </t>
  </si>
  <si>
    <t xml:space="preserve">B01 002 Manguera Loca </t>
  </si>
  <si>
    <t>B01 003 Pitillo</t>
  </si>
  <si>
    <t>B04 004 La Peña</t>
  </si>
  <si>
    <t xml:space="preserve"> 005 Panadero</t>
  </si>
  <si>
    <t>B01 006 Chocokillo</t>
  </si>
  <si>
    <t xml:space="preserve">B01 007 Juan Choncupa </t>
  </si>
  <si>
    <t>B01 008 Wili Espindola</t>
  </si>
  <si>
    <t>B01 009 Las Casitas</t>
  </si>
  <si>
    <t xml:space="preserve"> 010 Julio Medina</t>
  </si>
  <si>
    <t xml:space="preserve"> 011 Edgar Gonzales</t>
  </si>
  <si>
    <t xml:space="preserve"> 012 La Nave</t>
  </si>
  <si>
    <t xml:space="preserve"> 013 Nenita</t>
  </si>
  <si>
    <t>B01 014 El Ranchito</t>
  </si>
  <si>
    <t>B12 015 San Rafael</t>
  </si>
  <si>
    <t>B01 016 Aldo Bravo</t>
  </si>
  <si>
    <t>B05 017 Jarabia</t>
  </si>
  <si>
    <t>B01 018 Chuy Peregrino</t>
  </si>
  <si>
    <t>B01 019 Jesus Mendoza</t>
  </si>
  <si>
    <t>B01 020 Ada Nares</t>
  </si>
  <si>
    <t xml:space="preserve"> 021 Roberto Medina</t>
  </si>
  <si>
    <t>B01 022 Ticho</t>
  </si>
  <si>
    <t>B01 023 Milagritos (Repetido con 097)</t>
  </si>
  <si>
    <t>B01 024 Ricardo Botelo</t>
  </si>
  <si>
    <t>B3 025 Zanja Prieta</t>
  </si>
  <si>
    <t>B01 026 Orliz</t>
  </si>
  <si>
    <t xml:space="preserve">B01 027 Las Fosas </t>
  </si>
  <si>
    <t>B01 028 Boro Serrano</t>
  </si>
  <si>
    <t xml:space="preserve"> 029 Jose Gomez</t>
  </si>
  <si>
    <t>B05 030 Fernando Velazco</t>
  </si>
  <si>
    <t xml:space="preserve"> 031 Colorin</t>
  </si>
  <si>
    <t xml:space="preserve"> 032 Piloto</t>
  </si>
  <si>
    <t>B01 033 Soledad</t>
  </si>
  <si>
    <t>B01 034 Mezcales</t>
  </si>
  <si>
    <t xml:space="preserve"> 035 Lobos</t>
  </si>
  <si>
    <t>B01 036 Rio WP</t>
  </si>
  <si>
    <t>B24 037 Jorge Ochoa</t>
  </si>
  <si>
    <t>B07 038 Puerta de Golpe</t>
  </si>
  <si>
    <t>B02 039 Cofradia Ochoa</t>
  </si>
  <si>
    <t>B02 040 Chuy Acebedo</t>
  </si>
  <si>
    <t>B20 041 Mariana 1</t>
  </si>
  <si>
    <t>B02 042 Mariana 4</t>
  </si>
  <si>
    <t>B02 043 Mariana 6</t>
  </si>
  <si>
    <t>B02 044 Delfina</t>
  </si>
  <si>
    <t>B21 045 Valle Nuevo 1</t>
  </si>
  <si>
    <t>B02 046 Valle Nuevo 2</t>
  </si>
  <si>
    <t>B02 047 Vallenato</t>
  </si>
  <si>
    <t>B02 048 Tango</t>
  </si>
  <si>
    <t xml:space="preserve"> 049 Conchas</t>
  </si>
  <si>
    <t xml:space="preserve"> 050 Camichin</t>
  </si>
  <si>
    <t>B03 051 La Limonera</t>
  </si>
  <si>
    <t xml:space="preserve">B01 052 El Manguito </t>
  </si>
  <si>
    <t>B20 053 Cahuite ES</t>
  </si>
  <si>
    <t xml:space="preserve"> 054 Koki</t>
  </si>
  <si>
    <t>B03 055 San Jorge</t>
  </si>
  <si>
    <t>B03 056 La Tigrera</t>
  </si>
  <si>
    <t>B03 057 Colomo</t>
  </si>
  <si>
    <t>B03 058 El Banco</t>
  </si>
  <si>
    <t>B03 059 La Vena B3</t>
  </si>
  <si>
    <t>B03 060 Chave</t>
  </si>
  <si>
    <t>B05 061 La Tostada</t>
  </si>
  <si>
    <t>B03 062 No usar Magallon repetida con  057 Colomos</t>
  </si>
  <si>
    <t>B03 063 Pedro Sandoval</t>
  </si>
  <si>
    <t>B03 064 Yagui</t>
  </si>
  <si>
    <t>B03 065 La Lima</t>
  </si>
  <si>
    <t xml:space="preserve"> 066 La Guacima</t>
  </si>
  <si>
    <t xml:space="preserve"> 067 David Gonzales</t>
  </si>
  <si>
    <t xml:space="preserve"> 068 Juan Nava</t>
  </si>
  <si>
    <t>B01 069 Sapo de Oro EF</t>
  </si>
  <si>
    <t>B05 070 Mario Garcia</t>
  </si>
  <si>
    <t>B03 071 Paraiso</t>
  </si>
  <si>
    <t xml:space="preserve"> 072 Hugo Moreo</t>
  </si>
  <si>
    <t xml:space="preserve"> 073 Jesus Quintero</t>
  </si>
  <si>
    <t>B04 074 La Playa B4</t>
  </si>
  <si>
    <t>B07 075 Las Palmas</t>
  </si>
  <si>
    <t>B02 076 La Peña B02</t>
  </si>
  <si>
    <t>B01 077 Las Parotas</t>
  </si>
  <si>
    <t>B01 078 Ticuiz</t>
  </si>
  <si>
    <t>B04 079 La Luna</t>
  </si>
  <si>
    <t>B04 080 San Cristobal</t>
  </si>
  <si>
    <t>B04 081 Nacho Hernandez</t>
  </si>
  <si>
    <t>B03 082 Albercas</t>
  </si>
  <si>
    <t>B01 083 Sapo de Oro MF</t>
  </si>
  <si>
    <t xml:space="preserve">b06 084 Caspejo </t>
  </si>
  <si>
    <t xml:space="preserve"> 085 Guanabas</t>
  </si>
  <si>
    <t>B05 086 Agua Sanchez</t>
  </si>
  <si>
    <t xml:space="preserve"> 087 Verduguillo</t>
  </si>
  <si>
    <t xml:space="preserve"> 088 El Naranjal</t>
  </si>
  <si>
    <t>B02 089 Callejones la curva</t>
  </si>
  <si>
    <t>B07 090 La Garrapata</t>
  </si>
  <si>
    <t>B01 091 Caspejo  repetida con 84</t>
  </si>
  <si>
    <t xml:space="preserve"> 092 No usar, Rigo Abarca duplicada con 231</t>
  </si>
  <si>
    <t>B01 093 Productores WP</t>
  </si>
  <si>
    <t xml:space="preserve">B15  094 Camalote </t>
  </si>
  <si>
    <t>B15 095 Los dos Hermanos Juan Valdivia</t>
  </si>
  <si>
    <t>B15 096 La Ilusion</t>
  </si>
  <si>
    <t>B03 097 Los Milagritos</t>
  </si>
  <si>
    <t xml:space="preserve">B01 098 El Chical </t>
  </si>
  <si>
    <t xml:space="preserve">B01 099 La Yony </t>
  </si>
  <si>
    <t>B01 100 Castrejon</t>
  </si>
  <si>
    <t>B12 101 La Lguna  (repetido con 140)</t>
  </si>
  <si>
    <t xml:space="preserve">B20 102 Manuel Leiva </t>
  </si>
  <si>
    <t xml:space="preserve">B01 103 Palomas </t>
  </si>
  <si>
    <t xml:space="preserve">B01 104 Panteon </t>
  </si>
  <si>
    <t xml:space="preserve">B01 105 Las 500 </t>
  </si>
  <si>
    <t xml:space="preserve">B01 106 Las Trancas  </t>
  </si>
  <si>
    <t>B01 107 Lomas y Lopez</t>
  </si>
  <si>
    <t>B01 108 Productores MA</t>
  </si>
  <si>
    <t xml:space="preserve"> 109 Los Corrales el Zapotal </t>
  </si>
  <si>
    <t xml:space="preserve">B08 110 Santa Marta </t>
  </si>
  <si>
    <t xml:space="preserve">B05 111 Leonarda </t>
  </si>
  <si>
    <t>B05 112 La Guinea</t>
  </si>
  <si>
    <t xml:space="preserve"> 113 Kway</t>
  </si>
  <si>
    <t>B25 114 El mango DF</t>
  </si>
  <si>
    <t xml:space="preserve">B13 115 El Sacrificio </t>
  </si>
  <si>
    <t>B01 116 Rocio Ibarra</t>
  </si>
  <si>
    <t>B01 117 El Egido</t>
  </si>
  <si>
    <t>B01 118  Norma  (Repetido con 189)</t>
  </si>
  <si>
    <t>B03 119 La Parcela Escolar</t>
  </si>
  <si>
    <t>B02 120 Rio Ochoa</t>
  </si>
  <si>
    <t>B05 121 Ibanaba</t>
  </si>
  <si>
    <t xml:space="preserve"> 122 Cesar Diaz Ochoa</t>
  </si>
  <si>
    <t>B04 123 Parota, Banamac</t>
  </si>
  <si>
    <t>B03 124 La Herradura</t>
  </si>
  <si>
    <t>B03 125 Zapotan</t>
  </si>
  <si>
    <t xml:space="preserve">B03 126 Laberinto </t>
  </si>
  <si>
    <t xml:space="preserve"> 127 Pipe gonzalez</t>
  </si>
  <si>
    <t xml:space="preserve"> 128 San Jose</t>
  </si>
  <si>
    <t xml:space="preserve">B01 129 Elvis Escalera </t>
  </si>
  <si>
    <t>B01 130 Chueco</t>
  </si>
  <si>
    <t xml:space="preserve">B03 131 Bugambilias </t>
  </si>
  <si>
    <t>B03 132 Camichines</t>
  </si>
  <si>
    <t>B03 133 El Ahijadero</t>
  </si>
  <si>
    <t>B01 134 Cesar Marquez</t>
  </si>
  <si>
    <t>B03 135 Camalote (Se repite con 094)</t>
  </si>
  <si>
    <t>B05 136 Abdias María Acevedo</t>
  </si>
  <si>
    <t>B01 137 Carlos  Solis</t>
  </si>
  <si>
    <t>B03 138 La mojonera</t>
  </si>
  <si>
    <t>B13 139 El Martirio</t>
  </si>
  <si>
    <t>B12 140 La Laguna</t>
  </si>
  <si>
    <t>B01 141 Jose Avila</t>
  </si>
  <si>
    <t xml:space="preserve">B01 142 La Popa </t>
  </si>
  <si>
    <t>B03 143 Guanabas</t>
  </si>
  <si>
    <t>B03 144 Los Marias</t>
  </si>
  <si>
    <t>B03 145 Los Mangos</t>
  </si>
  <si>
    <t>B03 146 Maria Luisa</t>
  </si>
  <si>
    <t>B15 147 Victor Martinez</t>
  </si>
  <si>
    <t>B03 148 El Circulo</t>
  </si>
  <si>
    <t>B03 149 Zanja Prieta (repetido con 025)</t>
  </si>
  <si>
    <t xml:space="preserve">B08 150 La Alcancia </t>
  </si>
  <si>
    <t>B03 151 Finca Las Hamacas</t>
  </si>
  <si>
    <t>B01 152 Baltazar Campuzano</t>
  </si>
  <si>
    <t>B09 153 La Espinal</t>
  </si>
  <si>
    <t>B09 154 La Vena CG</t>
  </si>
  <si>
    <t>B01 155 La piedrera</t>
  </si>
  <si>
    <t>B03 156 Bananas Moreno</t>
  </si>
  <si>
    <t>B13 157 Chapis</t>
  </si>
  <si>
    <t>B03 158 El Bado</t>
  </si>
  <si>
    <t>B01 159 Las Polas</t>
  </si>
  <si>
    <t>B03 160 Las 30</t>
  </si>
  <si>
    <t>B05 161 Jesus Campuzano</t>
  </si>
  <si>
    <t>B07 162 Memin</t>
  </si>
  <si>
    <t>B01 163 La Gata</t>
  </si>
  <si>
    <t>B07 164 Ticuiz EV (repetido con 78)</t>
  </si>
  <si>
    <t>B14 165 El Saucito 1 GG</t>
  </si>
  <si>
    <t>B03 166 Parotas</t>
  </si>
  <si>
    <t>B14 167 Callejones</t>
  </si>
  <si>
    <t>B01 168 Miguel Cabello</t>
  </si>
  <si>
    <t>B01 169 El Barrial</t>
  </si>
  <si>
    <t xml:space="preserve">B02 170 Mariana 2 </t>
  </si>
  <si>
    <t>B04 171 La Escondida</t>
  </si>
  <si>
    <t>B03 172 La Victoria</t>
  </si>
  <si>
    <t>B20 173 La Playa UE</t>
  </si>
  <si>
    <t>B14 174 El Saucito 2 GG</t>
  </si>
  <si>
    <t>B14 175 Santa Elena</t>
  </si>
  <si>
    <t xml:space="preserve">B03 176 El Empaque </t>
  </si>
  <si>
    <t xml:space="preserve">B03 177 Las Palmas </t>
  </si>
  <si>
    <t>B15 178 Los Almendros</t>
  </si>
  <si>
    <t xml:space="preserve"> 179 Nono Moreno</t>
  </si>
  <si>
    <t>B07 180 Rancho Grande</t>
  </si>
  <si>
    <t>B01 181 Cabañas</t>
  </si>
  <si>
    <t>B07 182 La Playa SP</t>
  </si>
  <si>
    <t>B02 183 Ceiba</t>
  </si>
  <si>
    <t>B13 184 El Saucito PP</t>
  </si>
  <si>
    <t>B20 185 El Sueño</t>
  </si>
  <si>
    <t>B15 186 Topete</t>
  </si>
  <si>
    <t>B02 187 Fabiola Moreno Ochoa</t>
  </si>
  <si>
    <t>B14 188 Chanchopa</t>
  </si>
  <si>
    <t>B01 189 Norma</t>
  </si>
  <si>
    <t>B03 190 Los 3 hermanos</t>
  </si>
  <si>
    <t>B01 191 Rio</t>
  </si>
  <si>
    <t>B03 192 Valentina</t>
  </si>
  <si>
    <t>B05 193 El Palmar Gladis Garcia</t>
  </si>
  <si>
    <t>B12 194 El Café</t>
  </si>
  <si>
    <t>B03 195 El Bambú</t>
  </si>
  <si>
    <t>B05 196 Paraiso 2</t>
  </si>
  <si>
    <t>B02 197 Santa Rosa</t>
  </si>
  <si>
    <t>B07 198 Macario Rios</t>
  </si>
  <si>
    <t>B05 199 Paraiso 1</t>
  </si>
  <si>
    <t>B15 200 EL Chato</t>
  </si>
  <si>
    <t>B07 201 Las Guasimas</t>
  </si>
  <si>
    <t>B07 202 Empacadora Maco repetido con 198</t>
  </si>
  <si>
    <t>B07 203 Saucito EV</t>
  </si>
  <si>
    <t>B07 204 Guanabana</t>
  </si>
  <si>
    <t>B18 205 El Salvador</t>
  </si>
  <si>
    <t>B01 207 El bajio</t>
  </si>
  <si>
    <t>B01 208 Ruben Orozco</t>
  </si>
  <si>
    <t>B15 209 San Vicente</t>
  </si>
  <si>
    <t>B03 210 La Popa</t>
  </si>
  <si>
    <t xml:space="preserve">B07 211 San Miguel Ojo de Agua </t>
  </si>
  <si>
    <t>B01 212 Rigoberto Martinez</t>
  </si>
  <si>
    <t>B01 213 Los Morenos</t>
  </si>
  <si>
    <t>B01 214 El Minuto</t>
  </si>
  <si>
    <t xml:space="preserve">B3 215 Primavera </t>
  </si>
  <si>
    <t>B04 216 Palmas</t>
  </si>
  <si>
    <t>B07 217 Santa Cruz</t>
  </si>
  <si>
    <t>B15 218 Juan Rocha</t>
  </si>
  <si>
    <t>B3 219 Las Pilas</t>
  </si>
  <si>
    <t xml:space="preserve">B01 220 Alfonso salgado </t>
  </si>
  <si>
    <t>B07 221 La Perla del Rincon</t>
  </si>
  <si>
    <t>B15 222 Alfonso Ortega</t>
  </si>
  <si>
    <t xml:space="preserve"> 223 El Ejemplo</t>
  </si>
  <si>
    <t>B07 224 Parotas EV</t>
  </si>
  <si>
    <t>B20 225 La Gloria RL</t>
  </si>
  <si>
    <t>B06 226 Francisco Tapia</t>
  </si>
  <si>
    <t>B07 227 La Higuerita</t>
  </si>
  <si>
    <t>B07 228 Zaragoza</t>
  </si>
  <si>
    <t xml:space="preserve"> 229 El Empaque</t>
  </si>
  <si>
    <t>B06 230 El Vado No usar El Vado Repetida con 267 La Hermita</t>
  </si>
  <si>
    <t>B06 231 Frutas Valle Abarca</t>
  </si>
  <si>
    <t>B01 232 Guatepots</t>
  </si>
  <si>
    <t>B03 233 La Laguna FP</t>
  </si>
  <si>
    <t>B07 234 El Caracol</t>
  </si>
  <si>
    <t>B05 235 Rancho Amela</t>
  </si>
  <si>
    <t>B06 236 Don Goyo</t>
  </si>
  <si>
    <t>B03 237 Don Lupe</t>
  </si>
  <si>
    <t>B20 238 Empaque Moreno</t>
  </si>
  <si>
    <t>B03 239 La peña</t>
  </si>
  <si>
    <t>B20 240 Javier Leyva</t>
  </si>
  <si>
    <t>B05 241 Manguito ME</t>
  </si>
  <si>
    <t>B19 242 Cahuite Arceo</t>
  </si>
  <si>
    <t>B19 243 Cofradia DA</t>
  </si>
  <si>
    <t>B19 244 Mocambo DA</t>
  </si>
  <si>
    <t>B19 245 Parota DA</t>
  </si>
  <si>
    <t>B07 246 Cartagena</t>
  </si>
  <si>
    <t>B07 247 Los Cuartones</t>
  </si>
  <si>
    <t>B01 248 La Escolar JR</t>
  </si>
  <si>
    <t>B20 249 Parotas JG</t>
  </si>
  <si>
    <t>B02 250 Cahuite O</t>
  </si>
  <si>
    <t>B05  251 Paraiso 3</t>
  </si>
  <si>
    <t>B07 252 Las Planas Callejones Erick V.</t>
  </si>
  <si>
    <t>B06 253 Hermanos Rivera (Jose Rivera)</t>
  </si>
  <si>
    <t>B01 254 Chiclon Hector Tapia</t>
  </si>
  <si>
    <t>B06 255 Triunfo JR</t>
  </si>
  <si>
    <t>B03 256 Sayulita</t>
  </si>
  <si>
    <t>B20 257 Mariachi</t>
  </si>
  <si>
    <t>B01 258 Montezuma</t>
  </si>
  <si>
    <t xml:space="preserve"> 259 Alberto Ortega JV</t>
  </si>
  <si>
    <t xml:space="preserve">B03 260 El Espinal </t>
  </si>
  <si>
    <t>B20 261 Ruben Bravo</t>
  </si>
  <si>
    <t>B07 262 El Venado EV</t>
  </si>
  <si>
    <t>B19 263 Nenitas</t>
  </si>
  <si>
    <t>B19 264 Coahuayana</t>
  </si>
  <si>
    <t>B20 265 Laguna JG</t>
  </si>
  <si>
    <t>B03 266 El Aguacate JL</t>
  </si>
  <si>
    <t>B20 267 La Hermita</t>
  </si>
  <si>
    <t>B20 268 Esteban Mendoza</t>
  </si>
  <si>
    <t>B20 269 Raulin</t>
  </si>
  <si>
    <t>B20 270 Cerrito de aguilar</t>
  </si>
  <si>
    <t>B05 271 Pacifico</t>
  </si>
  <si>
    <t>B02 272 La Coneja</t>
  </si>
  <si>
    <t>B23 273 Caleras Moreno</t>
  </si>
  <si>
    <t>B20 275 Ticuiz al Ogro JG</t>
  </si>
  <si>
    <t>B01 276 Raul Ortega</t>
  </si>
  <si>
    <t>B05 277 Adan Ursua</t>
  </si>
  <si>
    <t>B20 278 Crucero del Ticuiz</t>
  </si>
  <si>
    <t>B20 279 Las animas</t>
  </si>
  <si>
    <t>B24 280 La Guerita</t>
  </si>
  <si>
    <t>B03 281 El Aguila</t>
  </si>
  <si>
    <t>B20 282 Moreno La Peña</t>
  </si>
  <si>
    <t>B14 283 La Laguna GG</t>
  </si>
  <si>
    <t>B15 284 Saucera</t>
  </si>
  <si>
    <t>B03 285 Magaña</t>
  </si>
  <si>
    <t>B03 286 El Rio Arif</t>
  </si>
  <si>
    <t>B20 287 El Pilar</t>
  </si>
  <si>
    <t>B04 288 El Rastro</t>
  </si>
  <si>
    <t>B21 289 Mendoza</t>
  </si>
  <si>
    <t>B20 290 Los Patios</t>
  </si>
  <si>
    <t>B21 291 La Reversa</t>
  </si>
  <si>
    <t>B06 292 La Lupita</t>
  </si>
  <si>
    <t>B04 293 El Tesoro</t>
  </si>
  <si>
    <t>B01 294 Los Hernandez</t>
  </si>
  <si>
    <t>B06 295 La Noria</t>
  </si>
  <si>
    <t>B06 296 Iñiguez</t>
  </si>
  <si>
    <t>B25 297 Ticuiz IS</t>
  </si>
  <si>
    <t>B27 298 La Plantilla</t>
  </si>
  <si>
    <t>B27 299 Las Palmas IS</t>
  </si>
  <si>
    <t>B03 300 Ema RM</t>
  </si>
  <si>
    <t>B21 301 Miguel Mendoza</t>
  </si>
  <si>
    <t>C01 0G1 Genesis 1</t>
  </si>
  <si>
    <t>C01 0G2 Genesis 2</t>
  </si>
  <si>
    <t>C01 0G3 Genesis 3</t>
  </si>
  <si>
    <t>C01 0G4 Genesis 4</t>
  </si>
  <si>
    <t>C02 002 Las Lilias</t>
  </si>
  <si>
    <t>C20 003 San Lorenzo</t>
  </si>
  <si>
    <t xml:space="preserve"> 004 El Peru</t>
  </si>
  <si>
    <t>C02 005 La Ponderosa</t>
  </si>
  <si>
    <t xml:space="preserve"> 006 Chemizal</t>
  </si>
  <si>
    <t xml:space="preserve"> 007 La Rampa</t>
  </si>
  <si>
    <t xml:space="preserve"> 008 El Porvenir</t>
  </si>
  <si>
    <t xml:space="preserve"> 009  Santa Fe</t>
  </si>
  <si>
    <t xml:space="preserve"> 010 San Antonio</t>
  </si>
  <si>
    <t xml:space="preserve"> 011 San Miguel</t>
  </si>
  <si>
    <t xml:space="preserve"> 012 Esmeralda Dos</t>
  </si>
  <si>
    <t xml:space="preserve"> 013 Delicias 1</t>
  </si>
  <si>
    <t xml:space="preserve"> 014 Delicias 2</t>
  </si>
  <si>
    <t xml:space="preserve"> 015 Sarabia</t>
  </si>
  <si>
    <t xml:space="preserve"> 016 San Joaquin </t>
  </si>
  <si>
    <t>C04 017 Jaguar</t>
  </si>
  <si>
    <t xml:space="preserve"> 018 El Amparo</t>
  </si>
  <si>
    <t xml:space="preserve"> 019 Los Remedios</t>
  </si>
  <si>
    <t>C05 020 Candelaria</t>
  </si>
  <si>
    <t>C05 021 Tembladera</t>
  </si>
  <si>
    <t xml:space="preserve"> 022 El Tirol</t>
  </si>
  <si>
    <t xml:space="preserve"> 023 Plantacion Sonora</t>
  </si>
  <si>
    <t xml:space="preserve"> 024 Sonora Galeana</t>
  </si>
  <si>
    <t>C14 025 Sabe Bananas</t>
  </si>
  <si>
    <t xml:space="preserve"> 026 La Alianza</t>
  </si>
  <si>
    <t xml:space="preserve"> 027 Santa Rosa</t>
  </si>
  <si>
    <t>C09 028 San Jose Gonzales</t>
  </si>
  <si>
    <t xml:space="preserve"> 029 Chula Bananas</t>
  </si>
  <si>
    <t>C16 030 Chela Bananas</t>
  </si>
  <si>
    <t>C11 031 El Dolar</t>
  </si>
  <si>
    <t xml:space="preserve"> 032 San Antonio Tacotalpa</t>
  </si>
  <si>
    <t xml:space="preserve"> 033 El Misterio</t>
  </si>
  <si>
    <t xml:space="preserve"> 034 Chicho Bananas</t>
  </si>
  <si>
    <t>C14 035 San Roman</t>
  </si>
  <si>
    <t xml:space="preserve"> 036 Agropecuaria Eart</t>
  </si>
  <si>
    <t xml:space="preserve"> 037 La Montaña</t>
  </si>
  <si>
    <t xml:space="preserve"> 038 La Santisima Trinidad</t>
  </si>
  <si>
    <t>C17 039 Hevi Regional</t>
  </si>
  <si>
    <t>C07 040 Cofruver</t>
  </si>
  <si>
    <t>C18 041 Santos Soberano</t>
  </si>
  <si>
    <t>C18 042 Roberto Martinez Rueda</t>
  </si>
  <si>
    <t>C19 043 Felipe Martinez Ruiz</t>
  </si>
  <si>
    <t>C20 044 El Macayo</t>
  </si>
  <si>
    <t>C07 045 Santa Rosa FC</t>
  </si>
  <si>
    <t>C20 046 El Merodio</t>
  </si>
  <si>
    <t>C07 047 Victoria</t>
  </si>
  <si>
    <t>C07 048 Colocha</t>
  </si>
  <si>
    <t>D01 "001 1 Mundo Nuevo</t>
  </si>
  <si>
    <t>E01 001 Moises Bautista Martinez</t>
  </si>
  <si>
    <t>E02 002 Comercializadora Ranvel</t>
  </si>
  <si>
    <t>E03 003 Dora Maria Martinez Rueda</t>
  </si>
  <si>
    <t>E04 004 Bananas Tuba</t>
  </si>
  <si>
    <t>E05 005 Banarana</t>
  </si>
  <si>
    <t>E06 006 Leonter Martinez Gonzalez</t>
  </si>
  <si>
    <t>E07 007 Leobardo Jair Velazquez Rangel</t>
  </si>
  <si>
    <t>E08 008 Navafrut Maduraciones</t>
  </si>
  <si>
    <t>E09 009 Margarita Roman Arroyo</t>
  </si>
  <si>
    <t>E10 010 Felipe de Jesus Cervantes Ledezma</t>
  </si>
  <si>
    <t>E11 011 Comercializadora Banamachos</t>
  </si>
  <si>
    <t>Domicilio</t>
  </si>
  <si>
    <t>Estado</t>
  </si>
  <si>
    <t>Municipio</t>
  </si>
  <si>
    <t>Codigo postal</t>
  </si>
  <si>
    <t>Coordenadas</t>
  </si>
  <si>
    <t>Link</t>
  </si>
  <si>
    <t>Destinos</t>
  </si>
  <si>
    <t>Carretera a Jaritas Km. 13</t>
  </si>
  <si>
    <t>Chiapas</t>
  </si>
  <si>
    <t>Tapachula</t>
  </si>
  <si>
    <t>14°41'01.6"N 92°17'06.9"W</t>
  </si>
  <si>
    <t>https://goo.gl/maps/qGeGDXzmmymVyzLP9</t>
  </si>
  <si>
    <t>Japón</t>
  </si>
  <si>
    <t xml:space="preserve">Colonia Marta R. Gomez </t>
  </si>
  <si>
    <t xml:space="preserve">Chiapas </t>
  </si>
  <si>
    <t>Mazatan</t>
  </si>
  <si>
    <t>14°57'15.3"N 92°26'59.0"W</t>
  </si>
  <si>
    <t>https://goo.gl/maps/fnW8DDkT3wNtEXeSA</t>
  </si>
  <si>
    <t>Plan de Ayala</t>
  </si>
  <si>
    <t>Huehuetan</t>
  </si>
  <si>
    <t>14°59'48.9"N 92°29'52.8"W</t>
  </si>
  <si>
    <t>https://goo.gl/maps/C1cgsvYkCYKNJPny6</t>
  </si>
  <si>
    <t>Guamuchal</t>
  </si>
  <si>
    <t>14°59'11.9"N 92°30'06.8"W</t>
  </si>
  <si>
    <t>https://goo.gl/maps/gNwRwT3qCacQ9pMt8</t>
  </si>
  <si>
    <t xml:space="preserve">Barra de Cahoacan </t>
  </si>
  <si>
    <t>Suchiate</t>
  </si>
  <si>
    <t>14°38'20.2"N 92°18'48.1"W</t>
  </si>
  <si>
    <t>https://goo.gl/maps/4aw6M19uK4XBNera9</t>
  </si>
  <si>
    <t>Rancho Don Ramon</t>
  </si>
  <si>
    <t>14°37'00.0"N 92°13'15.2"W</t>
  </si>
  <si>
    <t>https://goo.gl/maps/3T8XwxYkNNWHompB7</t>
  </si>
  <si>
    <t>14°55'13.7"N 92°27'15.4"W</t>
  </si>
  <si>
    <t>https://goo.gl/maps/AAM9qnwxs3bxE34W7</t>
  </si>
  <si>
    <t>Rancheria Paloma Blanca</t>
  </si>
  <si>
    <t>Acapetahua</t>
  </si>
  <si>
    <t>15°18'31.1"N 92°45'06.1"W</t>
  </si>
  <si>
    <t>https://goo.gl/maps/XvfzqdkZQYTYc8RP8</t>
  </si>
  <si>
    <t xml:space="preserve">Ejido Jiquilpan </t>
  </si>
  <si>
    <t>15°20'35.2"N 92°48'31.1"W</t>
  </si>
  <si>
    <t>https://goo.gl/maps/m7xMRRD56wuNJTsN6</t>
  </si>
  <si>
    <t>14°37'29.6"N 92°14'14.1"W</t>
  </si>
  <si>
    <t>https://goo.gl/maps/F7kNcEaYeHMMGVqv8</t>
  </si>
  <si>
    <t xml:space="preserve">Rancheria Las Trancas </t>
  </si>
  <si>
    <t>14°54'57.3"N 92°24'24.1"W</t>
  </si>
  <si>
    <t>https://goo.gl/maps/8MhTkiqK1NEpgPz99</t>
  </si>
  <si>
    <t>Rancheria Canton Genova</t>
  </si>
  <si>
    <t>14°38'33.6"N 92°11'54.1"W</t>
  </si>
  <si>
    <t>https://goo.gl/maps/KtztzUgWgS8bmNGD8</t>
  </si>
  <si>
    <t xml:space="preserve">Ejido Jesus </t>
  </si>
  <si>
    <t>14°38'34.7"N 92°11'04.9"W</t>
  </si>
  <si>
    <t>https://goo.gl/maps/gGd8TGPRhwRBEgwD7</t>
  </si>
  <si>
    <t xml:space="preserve">Rancheria El Corralito </t>
  </si>
  <si>
    <t>14°54'58.3"N 92°25'05.4"W</t>
  </si>
  <si>
    <t>https://goo.gl/maps/bGEqBQJrqS7YnCb36</t>
  </si>
  <si>
    <t>14°55'26.7"N 92°25'59.3"W</t>
  </si>
  <si>
    <t>https://goo.gl/maps/JTQpMgz28A4yuzbTA</t>
  </si>
  <si>
    <t>Colonia Ignacio Lopez Rayon</t>
  </si>
  <si>
    <t>14°38'08.7"N 92°11'12.8"W</t>
  </si>
  <si>
    <t>https://goo.gl/maps/SVDQksmscgMpDhxX8</t>
  </si>
  <si>
    <t>Ejido El Cascabel</t>
  </si>
  <si>
    <t>14°38'53.8"N 92°10'32.4"W</t>
  </si>
  <si>
    <t>https://maps.app.goo.gl/yyVyQFw9kYe3kd349</t>
  </si>
  <si>
    <t>14°38'37.2"N 92°11'28.1"W</t>
  </si>
  <si>
    <t>https://goo.gl/maps/BPNhgU1iNC3toZbN7</t>
  </si>
  <si>
    <t>14°55'19.8"N 92°27'43.8"W</t>
  </si>
  <si>
    <t>https://goo.gl/maps/c6DAUZDSSvCqA4YA8</t>
  </si>
  <si>
    <t>14°38'07.7"N 92°12'15.8"W</t>
  </si>
  <si>
    <t>https://goo.gl/maps/x3TxYup3gcXf7TP4A</t>
  </si>
  <si>
    <t xml:space="preserve">Las Carolinas </t>
  </si>
  <si>
    <t>14°54'38.3"N 92°27'50.9"W</t>
  </si>
  <si>
    <t>https://goo.gl/maps/npMLCwRWHRrnXCZ76</t>
  </si>
  <si>
    <t>14°54'24.0"N 92°26'26.3"W</t>
  </si>
  <si>
    <t>https://goo.gl/maps/8nHEzgxoTb9X5sZY7</t>
  </si>
  <si>
    <t>Rancho Leoncillos</t>
  </si>
  <si>
    <t>14°45'45.9"N 92°23'47.9"W</t>
  </si>
  <si>
    <t>https://goo.gl/maps/DG8BsFRpcQPzaEzh7</t>
  </si>
  <si>
    <t>Altamira</t>
  </si>
  <si>
    <t>14°40'39.5"N 92°17'37.8"W</t>
  </si>
  <si>
    <t>https://goo.gl/maps/PphkbMkuv1AH61iV6</t>
  </si>
  <si>
    <t xml:space="preserve">La Herradura </t>
  </si>
  <si>
    <t>14°34'35.0"N 92°13'00.3"W</t>
  </si>
  <si>
    <t>https://maps.app.goo.gl/shQUvUBQ71mZEDyE9</t>
  </si>
  <si>
    <t xml:space="preserve">La Innominada </t>
  </si>
  <si>
    <t>14°39'38.6"N 92°17'03.3"W</t>
  </si>
  <si>
    <t>https://goo.gl/maps/UD9VxJeq7R3LSwZj7</t>
  </si>
  <si>
    <t xml:space="preserve">Benito Juarez </t>
  </si>
  <si>
    <t>14°38'30.0"N 92°17'02.8"W</t>
  </si>
  <si>
    <t>https://goo.gl/maps/tK1iT4gHmAHp8ESx7</t>
  </si>
  <si>
    <t>Cuauhtemoc</t>
  </si>
  <si>
    <t>14°35'07.6"N 92°13'03.6"W</t>
  </si>
  <si>
    <t>https://goo.gl/maps/5PxHAbGx6Mt1j4Bv6</t>
  </si>
  <si>
    <t xml:space="preserve">Rancheria Isleven </t>
  </si>
  <si>
    <t>14°47'54.2"N 92°17'38.2"W</t>
  </si>
  <si>
    <t>https://maps.app.goo.gl/D1kHYtV3Q9vsxafm9</t>
  </si>
  <si>
    <t>Ejido La Libertad</t>
  </si>
  <si>
    <t>14°35'29.2"N 92°12'35.1"W</t>
  </si>
  <si>
    <t>https://goo.gl/maps/QqHfzP5USaXt4oFm6</t>
  </si>
  <si>
    <t>Cuatro Caminos</t>
  </si>
  <si>
    <t>14°53'37.4"N 92°24'31.9"W</t>
  </si>
  <si>
    <t>https://goo.gl/maps/dFEGsT47n5G8w6DD8</t>
  </si>
  <si>
    <t>Finca Santa Teresa</t>
  </si>
  <si>
    <t>14°50'47.6"N 92°19'33.9"W</t>
  </si>
  <si>
    <t>https://goo.gl/maps/k3e7xCWrpgYf7pWWA</t>
  </si>
  <si>
    <t>Los Toros, Estación</t>
  </si>
  <si>
    <t>14°48'33.1"N 92°19'55.0"W</t>
  </si>
  <si>
    <t>https://goo.gl/maps/VjxcwdTTfPQVtKEN8</t>
  </si>
  <si>
    <t>San Juan Cintahuayate</t>
  </si>
  <si>
    <t>14°45'58.2"N 92°14'39.1"W</t>
  </si>
  <si>
    <t>https://goo.gl/maps/PCtXDhAWkCfYehYY9</t>
  </si>
  <si>
    <t xml:space="preserve">Leoncillos </t>
  </si>
  <si>
    <t>14°47'26.0"N 92°24'52.0"W</t>
  </si>
  <si>
    <t>https://goo.gl/maps/bqehwq2po61ugXeJA</t>
  </si>
  <si>
    <t xml:space="preserve">Las Josefinas </t>
  </si>
  <si>
    <t>14°37'49.3"N 92°11'40.0"W</t>
  </si>
  <si>
    <t>https://goo.gl/maps/TUsTqi3ZsyyV9n3V7</t>
  </si>
  <si>
    <t xml:space="preserve">Cuauhtemoc </t>
  </si>
  <si>
    <t>14°35'17.8"N 92°12'51.2"W</t>
  </si>
  <si>
    <t>https://goo.gl/maps/PTjiNga8TkWKQ5ANA</t>
  </si>
  <si>
    <t>14°34'14.9"N 92°12'32.8"W</t>
  </si>
  <si>
    <t>https://goo.gl/maps/kegNtUJZ95coAo5FA</t>
  </si>
  <si>
    <t>14°35'09.7"N 92°13'37.1"W</t>
  </si>
  <si>
    <t>https://goo.gl/maps/JfFxbh8cgjZ8Xvjq9</t>
  </si>
  <si>
    <t xml:space="preserve">San Jorge </t>
  </si>
  <si>
    <t>14°35'43.8"N 92°12'02.1"W</t>
  </si>
  <si>
    <t>https://goo.gl/maps/hrrPGiy3fJjXt1BWA</t>
  </si>
  <si>
    <t>14°39'31.9"N 92°11'09.3"W</t>
  </si>
  <si>
    <t>https://goo.gl/maps/9A1a3JxJRJ7VCkCK6</t>
  </si>
  <si>
    <t>14°51'48.2"N 92°25'11.4"W</t>
  </si>
  <si>
    <t>https://goo.gl/maps/VqyewcdFagBqvL6U8</t>
  </si>
  <si>
    <t>14°49'35.8"N 92°27'36.5"W</t>
  </si>
  <si>
    <t>https://goo.gl/maps/tSzooT2k31FpuMFv6</t>
  </si>
  <si>
    <t>El Triunfo I</t>
  </si>
  <si>
    <t>14°49'15.6"N 92°27'52.5"W</t>
  </si>
  <si>
    <t>https://maps.app.goo.gl/rqD3g8jWfPyANZqu5</t>
  </si>
  <si>
    <t>14°39'16.0"N 92°18'13.0"W</t>
  </si>
  <si>
    <t>https://goo.gl/maps/7F5RPs3umWHR2Rc1A</t>
  </si>
  <si>
    <t>14°39'02.8"N 92°19'06.9"W</t>
  </si>
  <si>
    <t>https://goo.gl/maps/bxcUK2v7UuGm7v9z7</t>
  </si>
  <si>
    <t>14°45'47.6"N 92°23'11.2"W</t>
  </si>
  <si>
    <t>https://maps.app.goo.gl/UWoTXNrLhnG4FYEc6</t>
  </si>
  <si>
    <t xml:space="preserve">Genaro Vazquez Rojas </t>
  </si>
  <si>
    <t>14°41'52.0"N 92°21'26.3"W</t>
  </si>
  <si>
    <t>https://maps.app.goo.gl/uVwU5PurVPx9kVHw5</t>
  </si>
  <si>
    <t>Santa Martha</t>
  </si>
  <si>
    <t>14°37'06.6"N 92°11'41.8"W</t>
  </si>
  <si>
    <t>https://goo.gl/maps/JXCSzYAeFFVLY2eHA</t>
  </si>
  <si>
    <t xml:space="preserve">Miguel  Aleman </t>
  </si>
  <si>
    <t>14°33'11.7"N 92°13'25.3"W</t>
  </si>
  <si>
    <t>https://goo.gl/maps/8EnHPurb8KSbWAGF9</t>
  </si>
  <si>
    <t>14°33'21.2"N 92°13'04.1"W</t>
  </si>
  <si>
    <t>https://goo.gl/maps/VHgACYdFbVXFQVJG9</t>
  </si>
  <si>
    <t xml:space="preserve">Santa Monica </t>
  </si>
  <si>
    <t>14°43'25.4"N 92°09'47.1"W</t>
  </si>
  <si>
    <t>https://goo.gl/maps/J4EkMP2KVDzF64AfA</t>
  </si>
  <si>
    <t xml:space="preserve">El Campito </t>
  </si>
  <si>
    <t>14°40'11.7"N 92°10'42.8"W</t>
  </si>
  <si>
    <t>https://goo.gl/maps/8ZGRFn9VVuGoAd78A</t>
  </si>
  <si>
    <t>14°49'15.9"N 92°27'52.7"W</t>
  </si>
  <si>
    <t>https://maps.app.goo.gl/S3jWEgspTsVvBMuy9</t>
  </si>
  <si>
    <t>Guanacaxtal</t>
  </si>
  <si>
    <t>14°49'50.8"N 92°27'31.0"W</t>
  </si>
  <si>
    <t>https://goo.gl/maps/spB851tWFMFw8oFV6</t>
  </si>
  <si>
    <t>El Triunfo 2da seccion</t>
  </si>
  <si>
    <t>14°49'55.0"N 92°27'03.7"W</t>
  </si>
  <si>
    <t>https://goo.gl/maps/7LqY8eAYQsbqvYb56</t>
  </si>
  <si>
    <t xml:space="preserve">San Judas Tadeo </t>
  </si>
  <si>
    <t>14°50'19.9"N 92°26'41.6"W</t>
  </si>
  <si>
    <t>https://goo.gl/maps/ZfYCbsRGBJhm13mr6</t>
  </si>
  <si>
    <t xml:space="preserve">Poblacion 5 de febrero </t>
  </si>
  <si>
    <t>15°00'22.9"N 92°28'29.5"W</t>
  </si>
  <si>
    <t>https://goo.gl/maps/iVPW93wEVUpUoL919</t>
  </si>
  <si>
    <t>14°42'54.4"N 92°09'41.3"W</t>
  </si>
  <si>
    <t>https://goo.gl/maps/FRyoYUTxMLVmWMFq8</t>
  </si>
  <si>
    <t>Ignacio Zaragoza</t>
  </si>
  <si>
    <t>14°44'26.2"N 92°10'15.8"W</t>
  </si>
  <si>
    <t>https://goo.gl/maps/bFQhTdj4k4rnRjQr9</t>
  </si>
  <si>
    <t xml:space="preserve">Pilar Sitala </t>
  </si>
  <si>
    <t>14°57'02.1"N 92°29'48.5"W</t>
  </si>
  <si>
    <t>https://goo.gl/maps/xTd632Tk6bUJDZDv5</t>
  </si>
  <si>
    <t>Las Viudas</t>
  </si>
  <si>
    <t>14°42'46.4"N 92°12'07.5"W</t>
  </si>
  <si>
    <t>https://goo.gl/maps/j2iMYbYmkfqLxxYo9</t>
  </si>
  <si>
    <t>El Coquito</t>
  </si>
  <si>
    <t>14°49'42.4"N 92°22'44.8"W</t>
  </si>
  <si>
    <t>https://goo.gl/maps/eRVzs5rm2RN8QXhp8</t>
  </si>
  <si>
    <t>Audon Barrios</t>
  </si>
  <si>
    <t>14°55'34.3"N 92°28'56.5"W</t>
  </si>
  <si>
    <t>https://goo.gl/maps/8zH9SEAJF3Bp1PAz9</t>
  </si>
  <si>
    <t xml:space="preserve">Jesus </t>
  </si>
  <si>
    <t>14°38'32.1"N 92°10'11.7"W</t>
  </si>
  <si>
    <t>https://goo.gl/maps/1UXRFoCcWiB3qDty8</t>
  </si>
  <si>
    <t>Marte R Gomez</t>
  </si>
  <si>
    <t>14°55'13.9"N 92°26'19.3"W</t>
  </si>
  <si>
    <t>https://goo.gl/maps/pAjrPJ5ehDdu2VLT9</t>
  </si>
  <si>
    <t>El Paraiso</t>
  </si>
  <si>
    <t>14°39'14.6"N 92°13'12.4"W</t>
  </si>
  <si>
    <t>https://goo.gl/maps/zY8bnSWgQ9DCLUdu6</t>
  </si>
  <si>
    <t>El Trocadero</t>
  </si>
  <si>
    <t>14°36'20.0"N 92°12'17.8"W</t>
  </si>
  <si>
    <t>https://goo.gl/maps/AWKSJXMoE5vkK5TF6</t>
  </si>
  <si>
    <t>14°36'58.3"N 92°14'32.6"W</t>
  </si>
  <si>
    <t>https://goo.gl/maps/3BYEvDeX7Ng6yb1f8</t>
  </si>
  <si>
    <t>Plantain</t>
  </si>
  <si>
    <t>El Aguacate</t>
  </si>
  <si>
    <t>14°50'25.1"N 92°25'44.8"W</t>
  </si>
  <si>
    <t>https://goo.gl/maps/yi7LfEdxyPyjDeMY6</t>
  </si>
  <si>
    <t>14°38'18.0"N 92°15'48.3"W</t>
  </si>
  <si>
    <t>https://goo.gl/maps/yAqyFintzuZNYTKf7</t>
  </si>
  <si>
    <t>Nuevo Dorado</t>
  </si>
  <si>
    <t>14°40'20.3"N 92°12'33.9"W</t>
  </si>
  <si>
    <t>https://goo.gl/maps/FWXvwAXKFChMWTW36</t>
  </si>
  <si>
    <t xml:space="preserve">Alvaro Obregon </t>
  </si>
  <si>
    <t>14°54'00.1"N 92°23'33.9"W</t>
  </si>
  <si>
    <t>https://maps.app.goo.gl/y3mjUejGwEWrn8vt5</t>
  </si>
  <si>
    <t>Guadalupe Victoria</t>
  </si>
  <si>
    <t>14°47'36.6"N 92°16'25.5"W</t>
  </si>
  <si>
    <t>https://maps.app.goo.gl/gjdFGZvcxGyk88WLA</t>
  </si>
  <si>
    <t>14°40'55.0"N 92°16'56.0"W</t>
  </si>
  <si>
    <t>https://maps.app.goo.gl/aH3VzJDkHxjSUcaL7</t>
  </si>
  <si>
    <t xml:space="preserve">Ejido La Libertad </t>
  </si>
  <si>
    <t>14°35'08.7"N 92°12'03.4"W</t>
  </si>
  <si>
    <t>https://maps.app.goo.gl/zYBPbiTR2FmApFv19</t>
  </si>
  <si>
    <t>14°47'10.3"N 92°16'14.0"W</t>
  </si>
  <si>
    <t>https://goo.gl/maps/V1Uj3rKBvFuLJaMg6</t>
  </si>
  <si>
    <t>14°45'24.9"N 92°24'53.2"W</t>
  </si>
  <si>
    <t>https://maps.app.goo.gl/EQR4UG9PCH85DrfU7</t>
  </si>
  <si>
    <t>14°44'41.9"N 92°22'43.5"W</t>
  </si>
  <si>
    <t>https://maps.app.goo.gl/C3h47BZMt5UrJBJ2A</t>
  </si>
  <si>
    <t xml:space="preserve">Abril </t>
  </si>
  <si>
    <t>14°48'28.1"N 92°29'47.6"W</t>
  </si>
  <si>
    <t>https://maps.app.goo.gl/JNVKY9PRxmSrYqKp7</t>
  </si>
  <si>
    <t>14°56'00.0"N 92°26'26.1"W</t>
  </si>
  <si>
    <t>https://maps.app.goo.gl/55tvsdMp4dMUfQRr9</t>
  </si>
  <si>
    <t xml:space="preserve">El Manglar </t>
  </si>
  <si>
    <t>14°40'44.0"N 92°21'01.5"W</t>
  </si>
  <si>
    <t>https://maps.app.goo.gl/2Yk1XLrTbRsDWkZq8</t>
  </si>
  <si>
    <t>14°49'16.0"N 92°27'53.0"W</t>
  </si>
  <si>
    <t>https://maps.app.goo.gl/P3zfosMR8iM2Yuma8</t>
  </si>
  <si>
    <t>Ejido Quince de Abril</t>
  </si>
  <si>
    <t>14°41'25.3"N 92°14'45.2"W</t>
  </si>
  <si>
    <t>Ranchería Isleven</t>
  </si>
  <si>
    <t>14°47'08.9"N 92°16'41.1"W</t>
  </si>
  <si>
    <t>https://maps.app.goo.gl/4sHPwmnAxxLbsqtQ6</t>
  </si>
  <si>
    <t xml:space="preserve"> Guanacaxtal</t>
  </si>
  <si>
    <t>14°50'35.2"N 92°28'29.0"W</t>
  </si>
  <si>
    <t>https://maps.app.goo.gl/YPt6U3gQ83ok9U5DA</t>
  </si>
  <si>
    <t>14°37'09.0"N 92°14'36.1"W</t>
  </si>
  <si>
    <t>https://maps.app.goo.gl/sagEuodLPjT7C7eXA</t>
  </si>
  <si>
    <t>Domicilio conocido, Reforma s/n, 30820 Tapachula de Córdova y Ordóñez, Chis.</t>
  </si>
  <si>
    <t>14.811272463599213, -92.30772746692472</t>
  </si>
  <si>
    <t>https://maps.app.goo.gl/MqH55Zx5WPoifSoY7</t>
  </si>
  <si>
    <t>Banano</t>
  </si>
  <si>
    <t>Santa Lucía I, Chiapas</t>
  </si>
  <si>
    <t>14°43'53.3"N 92°14'13.9"W</t>
  </si>
  <si>
    <t>https://maps.app.goo.gl/Hwt3oaNpJZXpN8S2A</t>
  </si>
  <si>
    <t>14°47'54.1"N 92°13'53.9"W</t>
  </si>
  <si>
    <t>https://maps.app.goo.gl/AZj7qurmCn1efpxj9</t>
  </si>
  <si>
    <t>Veinte de Noviembre</t>
  </si>
  <si>
    <t xml:space="preserve">Michoacan </t>
  </si>
  <si>
    <t>Coahuayana Michoacan</t>
  </si>
  <si>
    <t>18°46'45.9"N 103°38'08.1"W</t>
  </si>
  <si>
    <t>Col. Veinte de Noviembre, Michoacán</t>
  </si>
  <si>
    <t>18°45'28.5"N 103°38'54.7"W</t>
  </si>
  <si>
    <t>https://maps.app.goo.gl/fhQZ4CCSjUT3ydos6</t>
  </si>
  <si>
    <t>Coahuayana Viejo Michoacan</t>
  </si>
  <si>
    <t>18°45'52.9"N 103°39'18.4"W</t>
  </si>
  <si>
    <t>https://goo.gl/maps/c5t6rjv5c6EWUyzq9</t>
  </si>
  <si>
    <t xml:space="preserve">Boca de Apiza </t>
  </si>
  <si>
    <t>Almendras Michoacan</t>
  </si>
  <si>
    <t>18°42'17.9"N 103°43'16.3"W</t>
  </si>
  <si>
    <t>https://goo.gl/maps/RcniYV539Ch71jzs9</t>
  </si>
  <si>
    <t>Ejido La Peña Coahuayana</t>
  </si>
  <si>
    <t>18°41'40.0"N 103°42'05.6"W</t>
  </si>
  <si>
    <t>https://maps.app.goo.gl/3Q2rF313LhmGMeed6</t>
  </si>
  <si>
    <t>18°44'11.8"N 103°39'37.9"W</t>
  </si>
  <si>
    <t>https://maps.app.goo.gl/rUVzYMWTZb7oXpKE9</t>
  </si>
  <si>
    <t>El Ranchito</t>
  </si>
  <si>
    <t>18°40'20.9"N 103°39'28.0"W</t>
  </si>
  <si>
    <t>https://goo.gl/maps/KunoBwzK4uyH852DA</t>
  </si>
  <si>
    <t>Colonia San Rafael</t>
  </si>
  <si>
    <t>Tecoman Colima</t>
  </si>
  <si>
    <t>18°46'36.7"N 103°50'12.2"W</t>
  </si>
  <si>
    <t>https://maps.app.goo.gl/D9kh1a4zD5ioZBsu7</t>
  </si>
  <si>
    <t xml:space="preserve">Colonia Veinte de Noviembre El Camalote </t>
  </si>
  <si>
    <t>18°46'45.7"N 103°38'07.6"W</t>
  </si>
  <si>
    <t>https://goo.gl/maps/8C22EGCkdJKLgeQG9</t>
  </si>
  <si>
    <t>Lomas Michoacan</t>
  </si>
  <si>
    <t>60805 Coahuayana, Michoacan. </t>
  </si>
  <si>
    <t>Michoaca</t>
  </si>
  <si>
    <t>18°44'41.4"N 103°39'47.8"W</t>
  </si>
  <si>
    <t>Coahuayana Viejo, Michoacán</t>
  </si>
  <si>
    <t>18°44'54.5"N 103°39'40.8"W</t>
  </si>
  <si>
    <t>Coahuayana Viejo, Michoacan</t>
  </si>
  <si>
    <t>Michoacan</t>
  </si>
  <si>
    <t>18°45'37.3"N 103°40'24.4"W</t>
  </si>
  <si>
    <t>https://maps.app.goo.gl/gdYNwo33hZUgKhHH6</t>
  </si>
  <si>
    <t>El Pilar</t>
  </si>
  <si>
    <t>18°47'14.9"N 103°47'04.7"W</t>
  </si>
  <si>
    <t>https://maps.app.goo.gl/VKz7j5o4bxYf2FBv6</t>
  </si>
  <si>
    <t>El Ticuiz Coahuayana Michoacan</t>
  </si>
  <si>
    <t>18°40'09.6"N 103°41'42.2"W</t>
  </si>
  <si>
    <t>https://maps.app.goo.gl/HMGXmTfGZ3hDxjU18</t>
  </si>
  <si>
    <t xml:space="preserve"> Pueblo Cerro de Ortega</t>
  </si>
  <si>
    <t>Cerro de Ortega Tecoman Colima</t>
  </si>
  <si>
    <t>18°46'42.7"N 103°41'29.5"W</t>
  </si>
  <si>
    <t>https://goo.gl/maps/3g9Gp2nSaWDryRMC8</t>
  </si>
  <si>
    <t xml:space="preserve">Villa Esther </t>
  </si>
  <si>
    <t>18°46'43.3"N 103°49'14.2"W</t>
  </si>
  <si>
    <t>https://maps.app.goo.gl/8L7bDJMVZC1owYFWA</t>
  </si>
  <si>
    <t>18°39'35.7"N 103°39'54.1"W</t>
  </si>
  <si>
    <t>https://goo.gl/maps/dSzRbokj1YncrE7K7</t>
  </si>
  <si>
    <t>18°47'06.7"N 103°40'06.4"W</t>
  </si>
  <si>
    <t>https://goo.gl/maps/VH89CktzjKLYUkoW8</t>
  </si>
  <si>
    <t>18°44'50.6"N 103°42'40.9"W</t>
  </si>
  <si>
    <t>https://goo.gl/maps/pRe6oFb9jfdqbBve7</t>
  </si>
  <si>
    <t>San Vicente</t>
  </si>
  <si>
    <t>18°44'26.7"N 103°41'59.1"W</t>
  </si>
  <si>
    <t>https://goo.gl/maps/LL5kpKrREHUfcoBh6</t>
  </si>
  <si>
    <t xml:space="preserve">Cerro de Ortega </t>
  </si>
  <si>
    <t>18°46'33.8"N 103°42'18.0"W</t>
  </si>
  <si>
    <t>https://maps.app.goo.gl/NrZTL2yQnwqXGBXN9</t>
  </si>
  <si>
    <t>Pueblo Cerro de Ortega</t>
  </si>
  <si>
    <t>18°44'20.7"N 103°42'53.2"W</t>
  </si>
  <si>
    <t>https://maps.app.goo.gl/kbjMjuQ3q5SijRGKA</t>
  </si>
  <si>
    <t xml:space="preserve">Pueblo Cofradia de Morelos </t>
  </si>
  <si>
    <t>18.8726267,-103.8293533</t>
  </si>
  <si>
    <t>https://goo.gl/maps/hGCLGWXRwWTdVC2N8</t>
  </si>
  <si>
    <t>Ejido San Vicente</t>
  </si>
  <si>
    <t>San Vicente Michoacan</t>
  </si>
  <si>
    <t>18.732472, -103.683686</t>
  </si>
  <si>
    <t>https://maps.app.goo.gl/joifys4oofzoakiF7</t>
  </si>
  <si>
    <t>Rancheria El Saucito</t>
  </si>
  <si>
    <t>18°51'41.9"N 103°47'49.1"W</t>
  </si>
  <si>
    <t>https://goo.gl/maps/fvGx93iB49nJ331a6</t>
  </si>
  <si>
    <t>18°51'51.6"N 103°48'05.8"W</t>
  </si>
  <si>
    <t>https://maps.app.goo.gl/iRKSpFFKn7QKYgxm6</t>
  </si>
  <si>
    <t>18°51'59.9"N 103°48'03.5"W</t>
  </si>
  <si>
    <t>https://maps.app.goo.gl/cCpHYoY99aD51yJV9</t>
  </si>
  <si>
    <t>18°51'11.52"N 103°48'44.89"W</t>
  </si>
  <si>
    <t>https://maps.app.goo.gl/g3MHC5yARDsEDGrX9</t>
  </si>
  <si>
    <t xml:space="preserve">Colonia San Antonio </t>
  </si>
  <si>
    <t>18°47'31.9"N 103°48'28.6"W</t>
  </si>
  <si>
    <t>https://goo.gl/maps/Xn45YMFUr1GofhD99</t>
  </si>
  <si>
    <t>18°47'31.6"N 103°48'29.3"W</t>
  </si>
  <si>
    <t>https://goo.gl/maps/gowVyiQ52odPD7Hm9</t>
  </si>
  <si>
    <t>El Tunel</t>
  </si>
  <si>
    <t>19°01'45.0"N 103°52'24.9"W</t>
  </si>
  <si>
    <t>https://goo.gl/maps/uacBdYo8JdekTW8FA</t>
  </si>
  <si>
    <t>Caleras</t>
  </si>
  <si>
    <t>19° 0'34.91"N 103°52'28.16"W</t>
  </si>
  <si>
    <t>https://maps.app.goo.gl/xQkzQ6dPPdSZr761A</t>
  </si>
  <si>
    <t>Coahuayana de Hidalgo</t>
  </si>
  <si>
    <t>Ranchito Michoacan</t>
  </si>
  <si>
    <t>18°42'13.9"N 103°38'28.4"W</t>
  </si>
  <si>
    <t>https://maps.app.goo.gl/LRxCj5KaxjzX5ACY6</t>
  </si>
  <si>
    <t>18°44'56.7"N 103°39'34.6"W</t>
  </si>
  <si>
    <t>https://maps.app.goo.gl/WP1S5arXC33wrWSA8</t>
  </si>
  <si>
    <t>18°46'09.3"N 103°39'29.3"W</t>
  </si>
  <si>
    <t>https://goo.gl/maps/EYapWKaP29J3hf1r5</t>
  </si>
  <si>
    <t>Puerta de Caleras</t>
  </si>
  <si>
    <t>18°58'20.6"N 103°51'13.3"W</t>
  </si>
  <si>
    <t>https://goo.gl/maps/eJLZ8HesXqjgk2JQA</t>
  </si>
  <si>
    <t>Colomos Colima</t>
  </si>
  <si>
    <t>El Frijol</t>
  </si>
  <si>
    <t>19°02'05.2"N 104°13'24.5"W</t>
  </si>
  <si>
    <t>https://maps.app.goo.gl/WgvwxscymYCBR5SZ6</t>
  </si>
  <si>
    <t>Ejido Rio Marabasco</t>
  </si>
  <si>
    <t xml:space="preserve">Cihuatlan Jalisco </t>
  </si>
  <si>
    <t>19°14'02.0"N 104°32'23.2"W</t>
  </si>
  <si>
    <t>https://goo.gl/maps/CvFaYPvnLH9yyzhQ9</t>
  </si>
  <si>
    <t>28838, El Centinela de Arriba, Manzanillo. Colima</t>
  </si>
  <si>
    <t>19°10'08.0"N 104°34'11.2"W</t>
  </si>
  <si>
    <t>19°02'00.6"N 104°13'24.0"W</t>
  </si>
  <si>
    <t>https://goo.gl/maps/LSBb3FFE3yaBgsL77</t>
  </si>
  <si>
    <t xml:space="preserve">El Rebalse </t>
  </si>
  <si>
    <t>Jalisco</t>
  </si>
  <si>
    <t>19°11'00.5"N 104°34'55.8"W</t>
  </si>
  <si>
    <t>https://goo.gl/maps/mXfzEnM61YhQ276e9</t>
  </si>
  <si>
    <t>19°11'00.9"N 104°34'56.4"W</t>
  </si>
  <si>
    <t>https://goo.gl/maps/EH4UEanhofKeoe2X8</t>
  </si>
  <si>
    <t xml:space="preserve">el banco </t>
  </si>
  <si>
    <t>https://goo.gl/maps/sPHyMe9dxbB5bJow6</t>
  </si>
  <si>
    <t>18°45'26.1"N 103°40'10.6"W</t>
  </si>
  <si>
    <t>https://maps.app.goo.gl/CkbP2X1j66XUKANX6</t>
  </si>
  <si>
    <t>Marabasco Colima</t>
  </si>
  <si>
    <t>19°13'55.7"N 104°32'49.6"W</t>
  </si>
  <si>
    <t>https://maps.app.goo.gl/kJ4bjKpLJ18V1PzTA</t>
  </si>
  <si>
    <t xml:space="preserve">Rancheria Callejones </t>
  </si>
  <si>
    <t>18°48'42.6"N 103°37'30.3"W</t>
  </si>
  <si>
    <t>https://goo.gl/maps/mmc3LQ46LLawdSDX7</t>
  </si>
  <si>
    <t>18°47'52.2"N 103°38'41.3"W</t>
  </si>
  <si>
    <t>https://goo.gl/maps/ZEijyrqT3KwjhLus6</t>
  </si>
  <si>
    <t>Ejido La Peña</t>
  </si>
  <si>
    <t>La Peña Michoacan</t>
  </si>
  <si>
    <t>18.694144, -103.712185</t>
  </si>
  <si>
    <t>https://maps.app.goo.gl/PEaQ1zFsRBSDowrBA</t>
  </si>
  <si>
    <t>Col. Veinte de Noviembre</t>
  </si>
  <si>
    <t>18°45'46.1"N 103°38'44.3"W</t>
  </si>
  <si>
    <t>18°40'12.8"N 103°41'40.4"W</t>
  </si>
  <si>
    <t>https://goo.gl/maps/oEcZhvA4abC2uqXGA</t>
  </si>
  <si>
    <t xml:space="preserve">Los Ciruelos </t>
  </si>
  <si>
    <t>18°44'18.8"N 103°39'03.3"W</t>
  </si>
  <si>
    <t>https://goo.gl/maps/UCgoJF2Prykgwrjv7</t>
  </si>
  <si>
    <t>Colonia Veinte de Noviembre</t>
  </si>
  <si>
    <t>Camalote Michoacan</t>
  </si>
  <si>
    <t>18°46'16.7"N 103°38'35.7"W</t>
  </si>
  <si>
    <t>https://goo.gl/maps/HRA7eyUyxA92YjeeA</t>
  </si>
  <si>
    <t>El Camalote</t>
  </si>
  <si>
    <t>18°46'46.3"N 103°38'05.3"W</t>
  </si>
  <si>
    <t>https://goo.gl/maps/AQmrmSd9bJVZ62YT7</t>
  </si>
  <si>
    <t>18°44'35.3"N 103°39'35.5"W</t>
  </si>
  <si>
    <t>https://goo.gl/maps/pAQAncpMWYxAaPEk9</t>
  </si>
  <si>
    <t>18°44'34.4"N 103°39'35.7"W</t>
  </si>
  <si>
    <t>https://goo.gl/maps/H1xZ5eqPzgevEoQg6</t>
  </si>
  <si>
    <t>18°46'04.4"N 103°39'56.7"W</t>
  </si>
  <si>
    <t>https://maps.app.goo.gl/g2wjXioJnKH4KAXM6</t>
  </si>
  <si>
    <t>El Antojo, Colima</t>
  </si>
  <si>
    <t>18°49'25.3"N 103°50'52.2"W</t>
  </si>
  <si>
    <t>18°44'49.7"N 103°42'41.1"W</t>
  </si>
  <si>
    <t>https://goo.gl/maps/hBJ29DwGzwDdXwEy7</t>
  </si>
  <si>
    <t>Ojo de Agua de San Telmo, Pueblo, 60804, Coahuayana · Michoacán de Ocampo ; Quinta Rosario, Rancho</t>
  </si>
  <si>
    <t>18°43'02.1"N 103°42'02.8"W</t>
  </si>
  <si>
    <t>Jungapeo</t>
  </si>
  <si>
    <t>18°44'39.9"N 103°39'18.8"W</t>
  </si>
  <si>
    <t>https://maps.app.goo.gl/EunFqB3z5pdUE4Wp6</t>
  </si>
  <si>
    <t>18°44'09.8"N 103°42'04.1"W</t>
  </si>
  <si>
    <t>La Limonera</t>
  </si>
  <si>
    <t>18°43'31.3"N 103°42'24.9"W</t>
  </si>
  <si>
    <t>https://goo.gl/maps/wBPwNoKYNX5S73eD7</t>
  </si>
  <si>
    <t>18°45'21.6"N 103°42'21.8"W</t>
  </si>
  <si>
    <t>https://goo.gl/maps/pKZtBr4zSfWPCFqD6</t>
  </si>
  <si>
    <t>La Platanera</t>
  </si>
  <si>
    <t>Ahijadero Tecoman Colima</t>
  </si>
  <si>
    <t>18°54'12.6"N 103°48'08.7"W</t>
  </si>
  <si>
    <t>https://maps.app.goo.gl/bSsVcgetdfyxdAV86</t>
  </si>
  <si>
    <t>El Ranchito, Michoacán</t>
  </si>
  <si>
    <t>18°40'44.7"N 103°40'38.5"W</t>
  </si>
  <si>
    <t>18°45'01.2"N 103°39'51.6"W</t>
  </si>
  <si>
    <t>18°45'24.7"N 103°39'14.7"W</t>
  </si>
  <si>
    <t>18°45'11.1"N 103°40'48.0"W</t>
  </si>
  <si>
    <t>https://goo.gl/maps/ozVXdcE6wbjjqYdB9</t>
  </si>
  <si>
    <t>18°45'43.3"N 103°39'30.8"W</t>
  </si>
  <si>
    <t>https://maps.app.goo.gl/DutkdPxFzdHxqPZn9</t>
  </si>
  <si>
    <t>El zapotal</t>
  </si>
  <si>
    <t>Villa Fantasia</t>
  </si>
  <si>
    <t>18°50'10.0"N 103°52'56.4"W</t>
  </si>
  <si>
    <t>https://goo.gl/maps/9Lam2WDn1o1GZ7xA9</t>
  </si>
  <si>
    <t>Coahuayana viejo, Michoacan</t>
  </si>
  <si>
    <t>18°44'29.7"N 103°40'38.4"W</t>
  </si>
  <si>
    <t>18°59'33.3"N 103°52'37.0"W</t>
  </si>
  <si>
    <t>https://maps.app.goo.gl/i8sgoYUfkCq7ekhm9</t>
  </si>
  <si>
    <t>Los Ciruelos, Michoacán</t>
  </si>
  <si>
    <t>18°44'17.0"N 103°39'33.7"W</t>
  </si>
  <si>
    <t>https://maps.app.goo.gl/tZUVhFinF6q8qUBT8</t>
  </si>
  <si>
    <t>El Sacrificio, Colima.</t>
  </si>
  <si>
    <t>18°55'07.4"N 103°49'37.7"W</t>
  </si>
  <si>
    <t>https://maps.app.goo.gl/WofwSet8oD3aqK4U8</t>
  </si>
  <si>
    <t>El Ranchito Michoacan</t>
  </si>
  <si>
    <t>18°40'37.3"N 103°39'45.9"W</t>
  </si>
  <si>
    <t>https://maps.app.goo.gl/JKRS8Ps5oLKywRdm7</t>
  </si>
  <si>
    <t>18°45'33.13"N 103°41'52.23"W</t>
  </si>
  <si>
    <t>https://maps.app.goo.gl/8DdEc9xwbeVuUkG27</t>
  </si>
  <si>
    <t>Quinta Rosario Coahuayana Michoacan</t>
  </si>
  <si>
    <t>18°42'00.6"N 103°42'16.0"W</t>
  </si>
  <si>
    <t>https://goo.gl/maps/Bi44bnCeXtnjXgap8</t>
  </si>
  <si>
    <t>Zapotan, Michoacan</t>
  </si>
  <si>
    <t>18°42'48.2"N 103°36'51.7"W</t>
  </si>
  <si>
    <t>https://maps.app.goo.gl/66hiErXAhFC4DmZSA</t>
  </si>
  <si>
    <t>Cihuatlan</t>
  </si>
  <si>
    <t>19°13'39.4"N 104°34'17.0"W</t>
  </si>
  <si>
    <t>https://maps.app.goo.gl/9kULdY8QS5sc8Dw27</t>
  </si>
  <si>
    <t>Zapotan Coahuayana Michoacan</t>
  </si>
  <si>
    <t>Zapotan</t>
  </si>
  <si>
    <t>https://maps.app.goo.gl/rHCi5ctJfZhHxRHv7</t>
  </si>
  <si>
    <t> El Ahijadero, Michoacán</t>
  </si>
  <si>
    <t>18°41'44.2"N 103°37'22.4"W</t>
  </si>
  <si>
    <t>18°45'40.5"N 103°40'19.6"W</t>
  </si>
  <si>
    <t>https://goo.gl/maps/EiZpKvJ1U3NsayM38</t>
  </si>
  <si>
    <t>18°45'30.4"N 103°40'38.5"W</t>
  </si>
  <si>
    <t>https://maps.app.goo.gl/yTsgn2dAR1EFV1vA9</t>
  </si>
  <si>
    <t>Chalipa, Colima</t>
  </si>
  <si>
    <t>18°53'56.9"N 103°49'40.6"W</t>
  </si>
  <si>
    <t>https://maps.app.goo.gl/wT6wK9uYL8WMF5z69</t>
  </si>
  <si>
    <t xml:space="preserve">Cerrito de Aguilar </t>
  </si>
  <si>
    <t>18°49'12.0"N 103°50'27.2"W</t>
  </si>
  <si>
    <t>https://maps.app.goo.gl/wEhRmQyBMKTCPSAy8</t>
  </si>
  <si>
    <t>18°41'52.4"N 103°42'55.9"W</t>
  </si>
  <si>
    <t>https://goo.gl/maps/s5D2ET4zmZfmNt4q7</t>
  </si>
  <si>
    <t>Coahuayana Viejo.</t>
  </si>
  <si>
    <t>18°45'07.0"N 103°41'32.6"W</t>
  </si>
  <si>
    <t>Boca de apiza Michoacan</t>
  </si>
  <si>
    <t>Cihuatlán, Jalisco</t>
  </si>
  <si>
    <t>19°12'29.7"N 104°34'49.6"W</t>
  </si>
  <si>
    <t>Quinta Rosario (Rancho) en Coahuayana, Michoacán de Ocampo, México.</t>
  </si>
  <si>
    <t>18°42'06.9"N 103°42'30.9"W</t>
  </si>
  <si>
    <t xml:space="preserve">Código postal. 28935. Tecomán Colima · Cofradía de Morelos. </t>
  </si>
  <si>
    <t>Ticuiz Michoacan</t>
  </si>
  <si>
    <t xml:space="preserve">El Saucito </t>
  </si>
  <si>
    <t>18°51'17.8"N 103°47'38.5"W</t>
  </si>
  <si>
    <t>https://maps.app.goo.gl/9b4zrWbqJjTofZay7</t>
  </si>
  <si>
    <t>Callejones Los Olivos Tecoman Colima CP 28219</t>
  </si>
  <si>
    <t>18°49'11.1"N 103°38'41.9"W</t>
  </si>
  <si>
    <t>https://maps.app.goo.gl/yqNsW66zfotNMCLF7</t>
  </si>
  <si>
    <t>Callejones Tecoman Colima CP 28219</t>
  </si>
  <si>
    <t>18°49'00.0"N 103°38'22.9"W</t>
  </si>
  <si>
    <t>https://maps.app.goo.gl/WjhYVctXRA2aTtRV9</t>
  </si>
  <si>
    <t>18°51'34.60"N 103°48'10.99"W</t>
  </si>
  <si>
    <t>https://maps.app.goo.gl/tvV6ah8oUGNtqThy7</t>
  </si>
  <si>
    <t>Coahuayana</t>
  </si>
  <si>
    <t>18°51'05.7"N 103°37'14.5"W</t>
  </si>
  <si>
    <t>https://goo.gl/maps/5bLUadGBYuhUfZxi7</t>
  </si>
  <si>
    <t>Cerrito de Aguilar Colima</t>
  </si>
  <si>
    <t>Cerro Aguilar Chanchopa</t>
  </si>
  <si>
    <t>18°49'23.1"N 103°50'21.4"W</t>
  </si>
  <si>
    <t>https://maps.app.goo.gl/VJZBd7sxYdUxqtku5</t>
  </si>
  <si>
    <t>Cllejones, Colima</t>
  </si>
  <si>
    <t>Callejones Tecoman Colima</t>
  </si>
  <si>
    <t>18°48'43.7"N 103°37'31.3"W</t>
  </si>
  <si>
    <t>Rancheria el Saucito Tecoman Colima</t>
  </si>
  <si>
    <t>Chanchopa Tecoman Colima</t>
  </si>
  <si>
    <t>18°50'54.3"N 103°47'57.1"W</t>
  </si>
  <si>
    <t>https://maps.app.goo.gl/tRJopNV8bTDm8xHt7</t>
  </si>
  <si>
    <t>Rancho el Bonito</t>
  </si>
  <si>
    <t>Las Antenas Tecoman Colima</t>
  </si>
  <si>
    <t>18°50'36.2"N 103°48'47.5"W</t>
  </si>
  <si>
    <t>https://maps.app.goo.gl/sNKf18mgeBDY6idV8</t>
  </si>
  <si>
    <t>COAHUAYANA, MICHOACAN DE OCAMPO. MÉXICO CP. 60805</t>
  </si>
  <si>
    <t>18°45'42.2"N 103°39'25.1"W</t>
  </si>
  <si>
    <t>18°45'16.9"N 103°39'52.6"W</t>
  </si>
  <si>
    <t>https://maps.app.goo.gl/drbWFsspF6cdf2Er6</t>
  </si>
  <si>
    <t>Crucero boca de Apiza Michoacan</t>
  </si>
  <si>
    <t>Boca de Apiza Tecoman</t>
  </si>
  <si>
    <t>18.762975, -103.694294</t>
  </si>
  <si>
    <t>https://maps.app.goo.gl/uP9FLHfz72j4fqkU9</t>
  </si>
  <si>
    <t xml:space="preserve">La Vainilla </t>
  </si>
  <si>
    <t>18°58'12.0"N 103°50'45.2"W</t>
  </si>
  <si>
    <t>18°46'02.8"N 103°39'39.4"W</t>
  </si>
  <si>
    <t>Caleras Tecoman Colima</t>
  </si>
  <si>
    <t>18.703590, -103.641208</t>
  </si>
  <si>
    <t>https://maps.app.goo.gl/C5V25idEJttPcsnq9</t>
  </si>
  <si>
    <t>https://maps.app.goo.gl/6rHCxfoLzz9mrycr6</t>
  </si>
  <si>
    <t>Col. Veinte De Noviembre</t>
  </si>
  <si>
    <t>18°46'15.8"N 103°39'00.7"W</t>
  </si>
  <si>
    <t>18°45'37.0"N 103°40'24.8"W</t>
  </si>
  <si>
    <t>https://maps.app.goo.gl/N4VD3Sn8c5nttxDX7</t>
  </si>
  <si>
    <t>18°45'23.5"N 103°39'34.2"W</t>
  </si>
  <si>
    <t>https://maps.app.goo.gl/wRou1iKEnd5szNcX7</t>
  </si>
  <si>
    <t xml:space="preserve">Rio Marabasco </t>
  </si>
  <si>
    <t>19°13'58.8"N 104°32'18.1"W</t>
  </si>
  <si>
    <t>https://maps.app.goo.gl/bHzdtFhDYFtEYYUo7</t>
  </si>
  <si>
    <t>Boca de Apiza, Mich. Cp. 60804</t>
  </si>
  <si>
    <t>19°13'53.5"N 104°32'42.9"W</t>
  </si>
  <si>
    <t>AV. PROGRESO 44, CP 28900. TECOMÁN, MX.</t>
  </si>
  <si>
    <t>18°45'49.4"N 103°42'06.2"W</t>
  </si>
  <si>
    <t>https://maps.app.goo.gl/dbUuhe32n8iPJhFd9</t>
  </si>
  <si>
    <t>18°44'30.1"N 103°42'51.6"W</t>
  </si>
  <si>
    <t>Ranchería callejones Tecoman, Colima. Cp 28906</t>
  </si>
  <si>
    <t>18.8143 -103.6334</t>
  </si>
  <si>
    <t>18°48'14.4"N 103°37'39.1"W</t>
  </si>
  <si>
    <t>https://maps.app.goo.gl/EpErFbFCLZDimAwC7</t>
  </si>
  <si>
    <t>https://maps.app.goo.gl/LtdLmn58WSHGP2LM9</t>
  </si>
  <si>
    <t>El Diecinueve Tecoman Colima</t>
  </si>
  <si>
    <t>El diecinueve Tecoman Colima</t>
  </si>
  <si>
    <t>18°47'56.1"N 103°48'14.1"W</t>
  </si>
  <si>
    <t>https://maps.app.goo.gl/SBduqo9VawswQFQx9</t>
  </si>
  <si>
    <t>18°46'50.6"N 103°37'57.8"W</t>
  </si>
  <si>
    <t>https://maps.app.goo.gl/Vf6qfYDdyvUcv1hy9</t>
  </si>
  <si>
    <t>Rancheria Puerta de Caleras</t>
  </si>
  <si>
    <t>18°58'02.5"N 103°52'00.7"W</t>
  </si>
  <si>
    <t>https://maps.app.goo.gl/xwHEzM7C7JMYYMjJ6</t>
  </si>
  <si>
    <t> San Vicente en Coahuayana, Michoacán de Ocampo. CP 60804</t>
  </si>
  <si>
    <t>18°44'43.7"N 103°41'22.2"W</t>
  </si>
  <si>
    <t>18°45'36.3"N 103°40'23.7"W</t>
  </si>
  <si>
    <t>18°46'51.0"N 103°44'16.7"W</t>
  </si>
  <si>
    <t>https://maps.app.goo.gl/jPJmjJKVNaotzdUN8</t>
  </si>
  <si>
    <t>18°46'25.8"N 103°38'43.9"W</t>
  </si>
  <si>
    <t>Callejones, Colima</t>
  </si>
  <si>
    <t>18°48'04.8"N 103°38'04.9"W</t>
  </si>
  <si>
    <t>18°44'51.4"N 103°42'47.9"W</t>
  </si>
  <si>
    <t>https://maps.app.goo.gl/yYJic2wsNynHJGap8</t>
  </si>
  <si>
    <t>18.75342 103.66482</t>
  </si>
  <si>
    <t>20 de Noviembre, Michoacan.</t>
  </si>
  <si>
    <t>18°46'05.2"N 103°37'57.0"W</t>
  </si>
  <si>
    <t>28900 Carr. a Callejones,  Colima.</t>
  </si>
  <si>
    <t>18.9271105930887 -103.877928447091</t>
  </si>
  <si>
    <t>Puerta de Caleras Tecoman Colima</t>
  </si>
  <si>
    <t>18°58'21.0"N 103°51'13.0"W</t>
  </si>
  <si>
    <t>https://maps.app.goo.gl/jwxZpck87Acfhp6NA</t>
  </si>
  <si>
    <t>Zapotan Coahuayana</t>
  </si>
  <si>
    <t>18°43'04.9"N 103°36'46.8"W</t>
  </si>
  <si>
    <t>https://maps.app.goo.gl/DDMePiTmPAKABt1A7</t>
  </si>
  <si>
    <t>60804, Coahuayana, Mich. México</t>
  </si>
  <si>
    <t>18°42'35.5"N 103°42'49.4"W</t>
  </si>
  <si>
    <t>Cofradia Morelos</t>
  </si>
  <si>
    <t>El Vado No usar El Vado Repetida con 267 La Hermita</t>
  </si>
  <si>
    <t>18°39'43.6"N 103°40'57.6"W</t>
  </si>
  <si>
    <t>https://maps.app.goo.gl/qw2H9PcMDwgW6EBC9</t>
  </si>
  <si>
    <t>18°43'24.7"N 103°41'27.6"W</t>
  </si>
  <si>
    <t>https://maps.app.goo.gl/7GqV6JDt95whSo3w9</t>
  </si>
  <si>
    <t>La Platanera Laguna Alcuzahue Tecoman Colima</t>
  </si>
  <si>
    <t>18°53'45.5"N 103°48'32.2"W</t>
  </si>
  <si>
    <t>https://maps.app.goo.gl/v6VHmkLDBuHrWjR3A</t>
  </si>
  <si>
    <t>La Cuarta Tecoman Colima</t>
  </si>
  <si>
    <t>18°54'51.7"N 103°49'31.8"W</t>
  </si>
  <si>
    <t>https://maps.app.goo.gl/v3d8sSBtmN1mpxNr7</t>
  </si>
  <si>
    <t>18°48'31.1"N 103°47'07.2"W</t>
  </si>
  <si>
    <t>https://maps.app.goo.gl/cQ4GNfkeZnKZkGSw6</t>
  </si>
  <si>
    <t>18°42'21.6"N 103°42'49.9"W</t>
  </si>
  <si>
    <t>https://maps.app.goo.gl/mrVBFwNMwr7MCfko6</t>
  </si>
  <si>
    <t>Coahuyana viejo michoacan</t>
  </si>
  <si>
    <t>18°45'34.8"N 103°39'06.0"W</t>
  </si>
  <si>
    <t>https://maps.app.goo.gl/Pky5AWWMJew9jBW9A</t>
  </si>
  <si>
    <t>Calle 20 de Nov. Num 24. Cp 60805, Michoacan de Ocampo.</t>
  </si>
  <si>
    <t>18.740927972984 -103.657441589506</t>
  </si>
  <si>
    <t>18°42'19.7"N 103°42'48.8"W</t>
  </si>
  <si>
    <t>https://maps.app.goo.gl/MBFz6arwPm2vjgxh9</t>
  </si>
  <si>
    <t>18°40'41.3"N 103°40'28.9"W</t>
  </si>
  <si>
    <t>https://maps.app.goo.gl/DugyetdoUVir9N1c6</t>
  </si>
  <si>
    <t>Plantilla del canal. San Francisco</t>
  </si>
  <si>
    <t>CALLE VICENTE GUERRERO, SN. COFRADIA DE HIDALGO. TECOMAN, COLIMA. CP 28929.</t>
  </si>
  <si>
    <t>18.90264 -103.792</t>
  </si>
  <si>
    <t>18.82829 -103.83216</t>
  </si>
  <si>
    <t>18.88909 -103.81571</t>
  </si>
  <si>
    <t>18°46'35.3"N 103°40'38.9"W</t>
  </si>
  <si>
    <t>CALLEJONES #12 COL. COAHUAYANA VIEJO, CP.60805, MICHOACAN, MICHOACAN, MEXICO</t>
  </si>
  <si>
    <t>michoacan</t>
  </si>
  <si>
    <t>18.7522457251526 -103.66740327716</t>
  </si>
  <si>
    <t>18°47'57.1"N 103°37'52.1"W</t>
  </si>
  <si>
    <t>https://maps.app.goo.gl/831zukQ73ZmvFGFs9</t>
  </si>
  <si>
    <t>San Francisco ( El Chavarín)</t>
  </si>
  <si>
    <t>18°49'21.5"N 103°47'48.7"W</t>
  </si>
  <si>
    <t>18.740995507582134, -103.65424639847143</t>
  </si>
  <si>
    <t>Arturo Noriega Pizano, Ranchería, 28900, Tecomán. Colima ; Cerro de Ortega. Pueblo</t>
  </si>
  <si>
    <t>18°44'18.6"N 103°43'54.5"W</t>
  </si>
  <si>
    <t>Veinte de Noviembre, Michoacán</t>
  </si>
  <si>
    <t>coahuayana michoacan</t>
  </si>
  <si>
    <t>18°46'21.2"N 103°39'16.2"W</t>
  </si>
  <si>
    <t>Congregación El Rebalse en Cihuatlán, estado de Jalisco. Es un código postal de tipo Rural</t>
  </si>
  <si>
    <t>19°11'18.7"N 104°35'34.3"W</t>
  </si>
  <si>
    <t>El Pacifico Manzanillo Colima CP 28943</t>
  </si>
  <si>
    <t>Manzanillo Colima</t>
  </si>
  <si>
    <t>18°49'07.2"N 103°52'03.0"W</t>
  </si>
  <si>
    <t>https://maps.app.goo.gl/Q4sUqzAyTd6P1j1Y9</t>
  </si>
  <si>
    <t>CARRETERA RAMAL A CERRO DE ORTEGA, TECOMAN, COLIMA. CP 28906. MÉXICO.</t>
  </si>
  <si>
    <t>Tecoman colima</t>
  </si>
  <si>
    <t>18°47'20.7"N 103°39'50.2"W</t>
  </si>
  <si>
    <t>18°45'07.7"N 103°41'32.6"W</t>
  </si>
  <si>
    <t>COL. VEINTE DE NOVIEMBRE, MICHOACAN.  CP. 60805</t>
  </si>
  <si>
    <t>18°46'49.3"N 103°37'53.7"W</t>
  </si>
  <si>
    <t>18°47'19.2"N 103°39'50.2"W</t>
  </si>
  <si>
    <t>https://maps.app.goo.gl/Fw3memVAk4HV4Mdu9</t>
  </si>
  <si>
    <t>AV. REVOLUCIÓN, TECOMAN, COLIMA. MX. CP 28900</t>
  </si>
  <si>
    <t>18°44'07.0"N 103°42'49.3"W</t>
  </si>
  <si>
    <t>18°44'15.2"N 103°39'39.0"W</t>
  </si>
  <si>
    <t>https://maps.app.goo.gl/WEpUVPjwCdmiPzNT6</t>
  </si>
  <si>
    <t xml:space="preserve">Cofradia de Hidalgo, Tecoman Colima </t>
  </si>
  <si>
    <t>18°53'42.7"N 103°47'27.7"W</t>
  </si>
  <si>
    <t>https://maps.app.goo.gl/SgM2kVERArbsmCXW8</t>
  </si>
  <si>
    <t>CAMINO ANTIGUO A BARRA  DE NAVIDAD 1, CIHUATLÁN. JAL.</t>
  </si>
  <si>
    <t>19°13'20.9"N 104°39'08.6"W</t>
  </si>
  <si>
    <t>CALLE REFORMA S 209, EL RANCHITO. COAHUAYANA DE HIDALGO, MICHOACAN.</t>
  </si>
  <si>
    <t>18°40'54.1"N 103°39'39.0"W</t>
  </si>
  <si>
    <t>18°45'37.3"N 103°38'45.9"W</t>
  </si>
  <si>
    <t>CARRETERA RAMAL A CERRITO DE AGUILAR, EJ.EL ANTOJO. TECOMAN, COLIMA.</t>
  </si>
  <si>
    <t>18°49'26.9"N 103°50'50.4"W</t>
  </si>
  <si>
    <t>El Pacífico, Colima</t>
  </si>
  <si>
    <t>18°49'06.0"N 103°52'03.8"W</t>
  </si>
  <si>
    <t>18°48'23.3"N 103°38'15.2"W</t>
  </si>
  <si>
    <t>https://maps.app.goo.gl/A1hrHpj6t87YyWMF9</t>
  </si>
  <si>
    <t xml:space="preserve">CARRETERA PUERTA DE CALERAS, MADRID. TECOMAN, COLIMA. </t>
  </si>
  <si>
    <t>19°03'57.3"N 103°52'34.4"W</t>
  </si>
  <si>
    <t>https://maps.app.goo.gl/9F6vcmyCYkra6HMT6</t>
  </si>
  <si>
    <t>CARRETERA RAMAL A COAHUAYANA, 60804. COAHUAYANA DE HIDALGO, MICH, MX.</t>
  </si>
  <si>
    <t>18°44'13.9"N 103°40'51.7"W</t>
  </si>
  <si>
    <t>El Ticuiz, Michoacán</t>
  </si>
  <si>
    <t>18°39'51.4"N 103°40'43.7"W</t>
  </si>
  <si>
    <t>18°45'34.3"N 103°38'47.7"W</t>
  </si>
  <si>
    <t>LA VAINILLA, TECOMAN, MEXICO.</t>
  </si>
  <si>
    <t>18°48'48.0"N 103°39'17.1"W</t>
  </si>
  <si>
    <t>18°40'19.9"N 103°40'46.3"W</t>
  </si>
  <si>
    <t>Los Ciruelos</t>
  </si>
  <si>
    <t>18°44'34.8"N 103°39'02.9"W</t>
  </si>
  <si>
    <t> Cerro de Ortega, Colima</t>
  </si>
  <si>
    <t>18°46'36.4"N 103°44'22.3"W</t>
  </si>
  <si>
    <t>San Vicente, Michoacan</t>
  </si>
  <si>
    <t>18°44'26.5"N 103°41'36.0"W</t>
  </si>
  <si>
    <t>https://maps.app.goo.gl/Y1rrQr2rxWwWbDpt5</t>
  </si>
  <si>
    <t>La platanera, Colima</t>
  </si>
  <si>
    <t>18°54'24.6"N 103°48'33.7"W</t>
  </si>
  <si>
    <t>18°45'40.3"N 103°40'49.5"W</t>
  </si>
  <si>
    <t>18°45'33.8"N 103°39'05.3"W</t>
  </si>
  <si>
    <t>18°45'58.5"N 103°40'28.8"W</t>
  </si>
  <si>
    <t>https://www.google.com/maps/place/18%C2%B045'58.5%22N+103%C2%B040'28.8%22W/@18.7662508,-103.6772486,661m/data=!3m2!1e3!4b1!4m4!3m3!8m2!3d18.7662508!4d-103.6746737?hl=es&amp;entry=ttu&amp;g_ep=EgoyMDI2MDUyNy4wIKXMDSoASAFQAw%3D%3D</t>
  </si>
  <si>
    <t>El Pilar, Colima</t>
  </si>
  <si>
    <t>El Pilar Colima</t>
  </si>
  <si>
    <t>18°47'21.4"N 103°47'08.6"W</t>
  </si>
  <si>
    <t>https://www.google.com/maps/place/18%C2%B047'21.4%22N+103%C2%B047'08.6%22W/@18.7892784,-103.7882975,661m/data=!3m2!1e3!4b1!4m4!3m3!8m2!3d18.7892784!4d-103.7857226?hl=es&amp;entry=ttu&amp;g_ep=EgoyMDI2MDUyNy4wIKXMDSoASAFQAw%3D%3D</t>
  </si>
  <si>
    <t>18°54'28.5"N 103°50'36.7"W</t>
  </si>
  <si>
    <t>https://www.google.com/maps/place/18%C2%B054'28.5%22N+103%C2%B050'36.7%22W/@18.90791,-103.846097,660m/data=!3m2!1e3!4b1!4m4!3m3!8m2!3d18.90791!4d-103.8435221?hl=es&amp;entry=ttu&amp;g_ep=EgoyMDI2MDUyNy4wIKXMDSoASAFQAw%3D%3D</t>
  </si>
  <si>
    <t xml:space="preserve">Col. Veinte de Noviembre, Michoacan </t>
  </si>
  <si>
    <t>18°46'13.1"N 103°38'04.2"W</t>
  </si>
  <si>
    <t>https://maps.app.goo.gl/ciiBEJZWWzDyRLmq9</t>
  </si>
  <si>
    <t>Los Ciruelos Michoacan</t>
  </si>
  <si>
    <t>18°44'17.0"N 103°39'18.2"W</t>
  </si>
  <si>
    <t>https://maps.app.goo.gl/z2rmDLj78hFzRV2a8</t>
  </si>
  <si>
    <t>Ejido Coahuayana, MichoacáN</t>
  </si>
  <si>
    <t>18°44'18.3"N 103°39'42.6"W</t>
  </si>
  <si>
    <t>https://maps.app.goo.gl/3nfmogUMrma7LrHKA</t>
  </si>
  <si>
    <t>18°40'53.8"N 103°39'38.2"W</t>
  </si>
  <si>
    <t>https://maps.app.goo.gl/qayenuyS5wHBRZ7S9</t>
  </si>
  <si>
    <t>18°53'19.1"N 103°47'53.4"W</t>
  </si>
  <si>
    <t>https://maps.app.goo.gl/a6ogrbc6bGcnxHVs8</t>
  </si>
  <si>
    <t>18°46'20.1"N 103°39'47.7"W</t>
  </si>
  <si>
    <t>https://maps.app.goo.gl/FrvFG8aFB6aob25YA</t>
  </si>
  <si>
    <t>Zapotan Michoacan</t>
  </si>
  <si>
    <t>18°42'37.5"N 103°37'15.7"W</t>
  </si>
  <si>
    <t>https://maps.app.goo.gl/9vWHfv48M2u7rr4U9</t>
  </si>
  <si>
    <t>18°46'02.5"N 103°41'21.1"W</t>
  </si>
  <si>
    <t>https://maps.app.goo.gl/ZQQr8XsfjL8AMHkR9</t>
  </si>
  <si>
    <t xml:space="preserve"> Ticuiz, Michoacán</t>
  </si>
  <si>
    <t>18°40'00.6"N 103°40'29.2"W</t>
  </si>
  <si>
    <t>https://maps.app.goo.gl/7YbtesX2CSjUt8JW6</t>
  </si>
  <si>
    <t>Quinta Rosario, Michoacán</t>
  </si>
  <si>
    <t>18°42'16.8"N 103°42'53.5"W</t>
  </si>
  <si>
    <t>https://maps.app.goo.gl/Qwd77RscJUqPSprn8</t>
  </si>
  <si>
    <t>Boca de Apiza, Michoacán</t>
  </si>
  <si>
    <t>18°41'55.9"N 103°42'53.4"W</t>
  </si>
  <si>
    <t>https://maps.app.goo.gl/noH2xh2daxfjrCrK8</t>
  </si>
  <si>
    <t>https://maps.app.goo.gl/8YNDFJ9u9dHPF2wi9</t>
  </si>
  <si>
    <t>los ciuruelos michoacan</t>
  </si>
  <si>
    <t>18°44'41.5"N 103°38'36.4"W</t>
  </si>
  <si>
    <t>https://maps.app.goo.gl/m1yBC1q9QBKPdrkv5</t>
  </si>
  <si>
    <t xml:space="preserve">Blanquillo 1a Seccion </t>
  </si>
  <si>
    <t xml:space="preserve">Pichucalco </t>
  </si>
  <si>
    <t xml:space="preserve">C010G1
</t>
  </si>
  <si>
    <t>17°34'35.8"N 93°03'33.1"W</t>
  </si>
  <si>
    <t>https://maps.app.goo.gl/akfFmyjaVypbfggG7</t>
  </si>
  <si>
    <t xml:space="preserve">C010G2
</t>
  </si>
  <si>
    <t>17°35'12.0"N 93°04'43.7"W</t>
  </si>
  <si>
    <t>https://maps.app.goo.gl/5GT597tCsGWhhCcFA</t>
  </si>
  <si>
    <t xml:space="preserve">C010G3
</t>
  </si>
  <si>
    <t xml:space="preserve">C010G4
</t>
  </si>
  <si>
    <t xml:space="preserve">Las Lilias </t>
  </si>
  <si>
    <t>Teapa</t>
  </si>
  <si>
    <t>17°40'21.8"N 92°57'01.3"W</t>
  </si>
  <si>
    <t>https://goo.gl/maps/kS1HP13td3kuU4Hs9</t>
  </si>
  <si>
    <t>Ejido Andres Quintana Roo</t>
  </si>
  <si>
    <t>17°42'20.0"N 93°02'06.7"W</t>
  </si>
  <si>
    <t>https://goo.gl/maps/xP9ksPjbetFdCPwAA</t>
  </si>
  <si>
    <t xml:space="preserve">El Peru </t>
  </si>
  <si>
    <t>17°40'04.3"N 92°56'49.7"W</t>
  </si>
  <si>
    <t>https://goo.gl/maps/MBzbKTGBiF2HKQUx7</t>
  </si>
  <si>
    <t>17°37'57.2"N 92°58'35.0"W</t>
  </si>
  <si>
    <t>https://maps.app.goo.gl/qxZsy9j3rKLx6DhVA</t>
  </si>
  <si>
    <t>Miguel Hidalgo 2da Seccion</t>
  </si>
  <si>
    <t xml:space="preserve">Balancan Tabasco </t>
  </si>
  <si>
    <t>17°36'46.7"N 92°56'26.8"W</t>
  </si>
  <si>
    <t>https://goo.gl/maps/RjTcbZDDuaX9jZ61A</t>
  </si>
  <si>
    <t>C05020
2518061</t>
  </si>
  <si>
    <t>Jose Maria Morelos y Pavon</t>
  </si>
  <si>
    <t>Huimanguillo</t>
  </si>
  <si>
    <t>17°37'46.1"N 92°55'12.9"W</t>
  </si>
  <si>
    <t>https://goo.gl/maps/zmNr1WMTahdmbXGYA</t>
  </si>
  <si>
    <t>C05021
2518061</t>
  </si>
  <si>
    <t>Miguel Hidalgo 2da. Secc., Tabasco</t>
  </si>
  <si>
    <t>17°36'14.5"N 92°57'01.8"W</t>
  </si>
  <si>
    <t>https://maps.app.goo.gl/ujJsiCdaqV9u2MxU9</t>
  </si>
  <si>
    <t>Matamoros, Tabasco</t>
  </si>
  <si>
    <t>17°34'26.9"N 92°53'25.6"W</t>
  </si>
  <si>
    <t>https://maps.app.goo.gl/ib8xC2HXDgLKQAeo9</t>
  </si>
  <si>
    <t>Ranchería Blanquillo 2a Sección, Rural ; Chiapas, Pichucalco · Pueblo Nuevo Nicapa, Rural</t>
  </si>
  <si>
    <t>17.6093404499213, -93.05199199334615</t>
  </si>
  <si>
    <t>Teapa Tabasco</t>
  </si>
  <si>
    <t>17.61225999450492, -92.9537632423287</t>
  </si>
  <si>
    <t>https://maps.app.goo.gl/rZRh7UwzskXU4r2L6</t>
  </si>
  <si>
    <t>17°36'38.7"N 93°03'10.4"W</t>
  </si>
  <si>
    <t>Tacotalpa</t>
  </si>
  <si>
    <t>Cucuyulapa</t>
  </si>
  <si>
    <t>Cardenas</t>
  </si>
  <si>
    <t>17°57'53.9"N 93°15'43.8"W</t>
  </si>
  <si>
    <t>https://maps.app.goo.gl/XLgiJztWocvKN4Zj7</t>
  </si>
  <si>
    <t>17°59'54.3"N 93°13'44.1"W</t>
  </si>
  <si>
    <t>https://maps.app.goo.gl/deuMz3zyNzfu6Liz6</t>
  </si>
  <si>
    <t>17°35'12.1"N 92°50'58.5"W</t>
  </si>
  <si>
    <t>https://maps.app.goo.gl/rSenNTiBJr7PmLWV6</t>
  </si>
  <si>
    <t>Oaxaca</t>
  </si>
  <si>
    <t>CDMX</t>
  </si>
  <si>
    <t>Coahuayana Viejo, Pueblo, 60805. Michoacán de Ocampo; El Sifón, Rancho, 60805.</t>
  </si>
  <si>
    <t>Chanitos Premium Tarima Americana</t>
  </si>
  <si>
    <t>Chanitos Premium Tarima Chep</t>
  </si>
  <si>
    <t>Platano de Chiapas BAE UPC 3237</t>
  </si>
  <si>
    <t>Chanitos Premium Granel</t>
  </si>
  <si>
    <t>Chanitos Cha Cha Cha (2da) Granel</t>
  </si>
  <si>
    <t>Chanitos Manitas Granel</t>
  </si>
  <si>
    <t>Chanitos Cha Cha Cha (DS) Granel</t>
  </si>
  <si>
    <t>Chanitos Organic Banded Market Side Mexico</t>
  </si>
  <si>
    <t>CPR01103</t>
  </si>
  <si>
    <t>CPR01102</t>
  </si>
  <si>
    <t>CPR01114</t>
  </si>
  <si>
    <t>CPR01101</t>
  </si>
  <si>
    <t>CSA04120</t>
  </si>
  <si>
    <t>CMN05123</t>
  </si>
  <si>
    <t>CDS04122</t>
  </si>
  <si>
    <t>CRG07128</t>
  </si>
  <si>
    <t>Granel</t>
  </si>
  <si>
    <t>Chanitos Premium EUA Tarima Americana</t>
  </si>
  <si>
    <t>Chanitos Cha Cha Cha 22XU CP27 Mar Kodawari</t>
  </si>
  <si>
    <t>Chanitos Cha Cha Cha 22XU  CP34 Mar Kodawari</t>
  </si>
  <si>
    <t>Chanitos Plantain 20Kg Tarima Chep</t>
  </si>
  <si>
    <t>Chanitos Plantain 20Kg Granel</t>
  </si>
  <si>
    <t>Chanitos Plantain 50lb Tarima Americana</t>
  </si>
  <si>
    <t>Chanitos Organic Banded Tape Verde</t>
  </si>
  <si>
    <t>Chanitos Organic 3lb Banded Tape Morado</t>
  </si>
  <si>
    <t>Chanitos Organic Banded Market Side EUA</t>
  </si>
  <si>
    <t>Organic Banded Wild Harvest</t>
  </si>
  <si>
    <t>Chanitos Organic  Wild Harvest PLU94011</t>
  </si>
  <si>
    <t>Chanitos Premium 22XU CP26 WR</t>
  </si>
  <si>
    <t>Chanitos Premium 22XU CP26 Royal</t>
  </si>
  <si>
    <t>Chanitos Premium 22XU CP28 Royal</t>
  </si>
  <si>
    <t>Chanitos Premium 22XU CL13 Royal</t>
  </si>
  <si>
    <t>Chanitos Organic  22XU CP34 Union</t>
  </si>
  <si>
    <t>Chanitos Organic  22XU CP28 Union</t>
  </si>
  <si>
    <t>Chanitos Premium 22XU CP34 Union</t>
  </si>
  <si>
    <t>Chanitos Premium 22XU CP26 Union</t>
  </si>
  <si>
    <t>Chanitos Dominico 1ra</t>
  </si>
  <si>
    <t>CPR01104</t>
  </si>
  <si>
    <t>CPR03124</t>
  </si>
  <si>
    <t>CPR03119</t>
  </si>
  <si>
    <t>CPL08141</t>
  </si>
  <si>
    <t>CPL08135</t>
  </si>
  <si>
    <t>CPL08133</t>
  </si>
  <si>
    <t>CRG07125</t>
  </si>
  <si>
    <t>CRG07127</t>
  </si>
  <si>
    <t>CRG07129</t>
  </si>
  <si>
    <t>CRG07132</t>
  </si>
  <si>
    <t>CRG07133</t>
  </si>
  <si>
    <t>CPR01109</t>
  </si>
  <si>
    <t>CPR01116</t>
  </si>
  <si>
    <t>CPR01115</t>
  </si>
  <si>
    <t>CPR01113</t>
  </si>
  <si>
    <t>CRG07131</t>
  </si>
  <si>
    <t>CRG07130</t>
  </si>
  <si>
    <t>CPR01106</t>
  </si>
  <si>
    <t>CPR01108</t>
  </si>
  <si>
    <t>CDM10137</t>
  </si>
  <si>
    <t>A11045-370709-1</t>
  </si>
  <si>
    <t>A01002-370709-1</t>
  </si>
  <si>
    <t>A01002-370709-4</t>
  </si>
  <si>
    <t>A01002-370709-3</t>
  </si>
  <si>
    <t>A01002-370709-5</t>
  </si>
  <si>
    <t>A01001-370709-1</t>
  </si>
  <si>
    <t>A01001-370709-4</t>
  </si>
  <si>
    <t>A01001-370709-3</t>
  </si>
  <si>
    <t>A01001-370709-5</t>
  </si>
  <si>
    <t>A01003-370709-1</t>
  </si>
  <si>
    <t>A01003-370709-4</t>
  </si>
  <si>
    <t>A01003-370709-3</t>
  </si>
  <si>
    <t>A01003-370709-5</t>
  </si>
  <si>
    <t>A11045-370809-1</t>
  </si>
  <si>
    <t>A04084-370809-1</t>
  </si>
  <si>
    <t>A04039-370809-1</t>
  </si>
  <si>
    <t>A01001-370809-1</t>
  </si>
  <si>
    <t>A01001-370809-4</t>
  </si>
  <si>
    <t>A01001-370809-3</t>
  </si>
  <si>
    <t>A01001-370809-5</t>
  </si>
  <si>
    <t>A41100-370809-1</t>
  </si>
  <si>
    <t>A01003-370809-1</t>
  </si>
  <si>
    <t>A01003-370809-4</t>
  </si>
  <si>
    <t>A01003-370809-3</t>
  </si>
  <si>
    <t>A01003-370809-5</t>
  </si>
  <si>
    <t>A01002-370809-1</t>
  </si>
  <si>
    <t>A01002-370809-4</t>
  </si>
  <si>
    <t>A01002-370809-3</t>
  </si>
  <si>
    <t>A01002-370809-5</t>
  </si>
  <si>
    <t>A11045-370909-1</t>
  </si>
  <si>
    <t>A04084-370909-1</t>
  </si>
  <si>
    <t>A04039-370909-1</t>
  </si>
  <si>
    <t>A01002-370909-1</t>
  </si>
  <si>
    <t>A01002-370909-4</t>
  </si>
  <si>
    <t>A01002-370909-3</t>
  </si>
  <si>
    <t>A01002-370909-5</t>
  </si>
  <si>
    <t>A01004-370909-1</t>
  </si>
  <si>
    <t>A01004-370909-4</t>
  </si>
  <si>
    <t>A01004-370909-3</t>
  </si>
  <si>
    <t>A01004-370909-5</t>
  </si>
  <si>
    <t>A01001-370909-1</t>
  </si>
  <si>
    <t>A01001-370909-4</t>
  </si>
  <si>
    <t>A01001-370909-3</t>
  </si>
  <si>
    <t>A01001-370909-5</t>
  </si>
  <si>
    <t>A04084-371009-1</t>
  </si>
  <si>
    <t>A04039-371009-1</t>
  </si>
  <si>
    <t>A04037-371009-1</t>
  </si>
  <si>
    <t>A06043-371009-1</t>
  </si>
  <si>
    <t>A01003-371009-1</t>
  </si>
  <si>
    <t>A01003-371009-4</t>
  </si>
  <si>
    <t>A01003-371009-3</t>
  </si>
  <si>
    <t>A01003-371009-5</t>
  </si>
  <si>
    <t>A01001-371009-1</t>
  </si>
  <si>
    <t>A01001-371009-4</t>
  </si>
  <si>
    <t>A01001-371009-3</t>
  </si>
  <si>
    <t>A01001-371009-5</t>
  </si>
  <si>
    <t>A01002-371009-1</t>
  </si>
  <si>
    <t>A01002-371009-4</t>
  </si>
  <si>
    <t>A01002-371009-3</t>
  </si>
  <si>
    <t>A01002-371009-5</t>
  </si>
  <si>
    <t>A04084-371109-1</t>
  </si>
  <si>
    <t>A06043-371109-1</t>
  </si>
  <si>
    <t>A27073-371109-1</t>
  </si>
  <si>
    <t>A05040-371109-1</t>
  </si>
  <si>
    <t>A01003-371109-1</t>
  </si>
  <si>
    <t>A01003-371109-4</t>
  </si>
  <si>
    <t>A01003-371109-3</t>
  </si>
  <si>
    <t>A01003-371109-5</t>
  </si>
  <si>
    <t>A01001-371109-1</t>
  </si>
  <si>
    <t>A01001-371109-4</t>
  </si>
  <si>
    <t>A01001-371109-3</t>
  </si>
  <si>
    <t>A01001-371109-5</t>
  </si>
  <si>
    <t>A01002-371109-1</t>
  </si>
  <si>
    <t>A01002-371109-4</t>
  </si>
  <si>
    <t>A01002-371109-3</t>
  </si>
  <si>
    <t>A01002-371109-5</t>
  </si>
  <si>
    <t>A04037-371209-1</t>
  </si>
  <si>
    <t>A04039-371209-1</t>
  </si>
  <si>
    <t>A04083-371209-1</t>
  </si>
  <si>
    <t>A11045-371209-1</t>
  </si>
  <si>
    <t>A11087-371209-1</t>
  </si>
  <si>
    <t>A41100-371209-1</t>
  </si>
  <si>
    <t>A01001-371209-1</t>
  </si>
  <si>
    <t>A01001-371209-4</t>
  </si>
  <si>
    <t>A01001-371209-3</t>
  </si>
  <si>
    <t>A01001-371209-5</t>
  </si>
  <si>
    <t>A01004-371209-1</t>
  </si>
  <si>
    <t>A01004-371209-4</t>
  </si>
  <si>
    <t>A01004-371209-3</t>
  </si>
  <si>
    <t>A01004-371209-5</t>
  </si>
  <si>
    <t>A01002-371209-1</t>
  </si>
  <si>
    <t>A01002-371209-4</t>
  </si>
  <si>
    <t>A01002-371209-3</t>
  </si>
  <si>
    <t>A01002-371209-5</t>
  </si>
  <si>
    <t>B01189-370709-1</t>
  </si>
  <si>
    <t>B03051-370709-1</t>
  </si>
  <si>
    <t>B03082-370709-1</t>
  </si>
  <si>
    <t>B01006-370709-1</t>
  </si>
  <si>
    <t>B14175-370709-1</t>
  </si>
  <si>
    <t>B27299-370709-1</t>
  </si>
  <si>
    <t>B03051-370809-1</t>
  </si>
  <si>
    <t>B01033-370809-1</t>
  </si>
  <si>
    <t>B03083-370809-1</t>
  </si>
  <si>
    <t>B06253-370809-1</t>
  </si>
  <si>
    <t>B26265-370809-1</t>
  </si>
  <si>
    <t>B27298-370809-1</t>
  </si>
  <si>
    <t>B14175-370809-1</t>
  </si>
  <si>
    <t>B05161-370809-1</t>
  </si>
  <si>
    <t>B08110-370809-1</t>
  </si>
  <si>
    <t>B27298-370909-1</t>
  </si>
  <si>
    <t>B03119-370909-1</t>
  </si>
  <si>
    <t>B05196-370909-1</t>
  </si>
  <si>
    <t>B04074-370909-1</t>
  </si>
  <si>
    <t>B07038-370909-1</t>
  </si>
  <si>
    <t>B20185-370909-1</t>
  </si>
  <si>
    <t>B21301-370909-1</t>
  </si>
  <si>
    <t>B12015-370909-1</t>
  </si>
  <si>
    <t>B27297-371009-1</t>
  </si>
  <si>
    <t>B05196-371009-1</t>
  </si>
  <si>
    <t>B01152-371009-1</t>
  </si>
  <si>
    <t>B24037-371009-1</t>
  </si>
  <si>
    <t>B07247-371009-1</t>
  </si>
  <si>
    <t>B14188-371009-1</t>
  </si>
  <si>
    <t>B14175-371009-1</t>
  </si>
  <si>
    <t>B26053-371009-1</t>
  </si>
  <si>
    <t>B21279-371009-1</t>
  </si>
  <si>
    <t>B06296-371109-1</t>
  </si>
  <si>
    <t>B08150-371109-1</t>
  </si>
  <si>
    <t>B03055-371109-1</t>
  </si>
  <si>
    <t>B04074-371109-1</t>
  </si>
  <si>
    <t>B01003-371109-1</t>
  </si>
  <si>
    <t>B24280-371109-1</t>
  </si>
  <si>
    <t>B05251-371109-1</t>
  </si>
  <si>
    <t>B12140-371109-1</t>
  </si>
  <si>
    <t>B27297-371109-1</t>
  </si>
  <si>
    <t>B12015-371209-1</t>
  </si>
  <si>
    <t>B01258-371209-1</t>
  </si>
  <si>
    <t>B20185-371209-1</t>
  </si>
  <si>
    <t>B01214-371209-1</t>
  </si>
  <si>
    <t>B12194-371209-1</t>
  </si>
  <si>
    <t>B26053-371209-1</t>
  </si>
  <si>
    <t>B07247-371209-1</t>
  </si>
  <si>
    <t>C19043-370709-1</t>
  </si>
  <si>
    <t>C05020-370709-1</t>
  </si>
  <si>
    <t>C010G2-370709-1</t>
  </si>
  <si>
    <t>C010G2-370709-4</t>
  </si>
  <si>
    <t>C010G2-370709-3</t>
  </si>
  <si>
    <t>C010G2-370709-5</t>
  </si>
  <si>
    <t>C010G3-370709-1</t>
  </si>
  <si>
    <t>C010G3-370709-4</t>
  </si>
  <si>
    <t>C010G3-370709-3</t>
  </si>
  <si>
    <t>C010G3-370709-5</t>
  </si>
  <si>
    <t>C010G2-370809-1</t>
  </si>
  <si>
    <t>C010G2-370809-4</t>
  </si>
  <si>
    <t>C010G2-370809-3</t>
  </si>
  <si>
    <t>C010G2-370809-5</t>
  </si>
  <si>
    <t>C010G3-370809-1</t>
  </si>
  <si>
    <t>C010G3-370809-4</t>
  </si>
  <si>
    <t>C010G3-370809-3</t>
  </si>
  <si>
    <t>C010G3-370809-5</t>
  </si>
  <si>
    <t>C05021-370809-1</t>
  </si>
  <si>
    <t>C04017-370809-1</t>
  </si>
  <si>
    <t>C20003-370809-1</t>
  </si>
  <si>
    <t>C04017-370909-1</t>
  </si>
  <si>
    <t>C05021-370909-1</t>
  </si>
  <si>
    <t>C20003-370909-1</t>
  </si>
  <si>
    <t>C010G2-370909-1</t>
  </si>
  <si>
    <t>C010G2-370909-4</t>
  </si>
  <si>
    <t>C010G2-370909-3</t>
  </si>
  <si>
    <t>C010G2-370909-5</t>
  </si>
  <si>
    <t>C010G3-370909-1</t>
  </si>
  <si>
    <t>C010G3-370909-4</t>
  </si>
  <si>
    <t>C010G3-370909-3</t>
  </si>
  <si>
    <t>C010G3-370909-5</t>
  </si>
  <si>
    <t>C05021-371009-1</t>
  </si>
  <si>
    <t>C05022-371009-1</t>
  </si>
  <si>
    <t>C010G2-371009-1</t>
  </si>
  <si>
    <t>C010G2-371009-4</t>
  </si>
  <si>
    <t>C010G2-371009-3</t>
  </si>
  <si>
    <t>C010G2-371009-5</t>
  </si>
  <si>
    <t>C010G3-371009-1</t>
  </si>
  <si>
    <t>C010G3-371009-4</t>
  </si>
  <si>
    <t>C010G3-371009-3</t>
  </si>
  <si>
    <t>C010G3-371009-5</t>
  </si>
  <si>
    <t>C010G2-371109-1</t>
  </si>
  <si>
    <t>C010G2-371109-4</t>
  </si>
  <si>
    <t>C010G2-371109-3</t>
  </si>
  <si>
    <t>C010G2-371109-5</t>
  </si>
  <si>
    <t>C05020-371209-1</t>
  </si>
  <si>
    <t>B03 083 Sapo de Oro MF</t>
  </si>
  <si>
    <t>B26 265 La Laguna JG</t>
  </si>
  <si>
    <t>B27 297 Ticuiz IS</t>
  </si>
  <si>
    <t>B26 053 Cahuite ES</t>
  </si>
  <si>
    <t>B21 279 Las animas</t>
  </si>
  <si>
    <t>C05 022 El Tirol</t>
  </si>
  <si>
    <t>Tultitlan</t>
  </si>
  <si>
    <t>McAllen Aurora</t>
  </si>
  <si>
    <t>GDL</t>
  </si>
  <si>
    <t>CLN</t>
  </si>
  <si>
    <t>OV OM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</si>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</sst>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d\ dd/mm/yy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 Nova Cond Light"/>
      <family val="2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9"/>
      <color rgb="FF002060"/>
      <name val="Aptos Narrow"/>
      <family val="2"/>
      <scheme val="minor"/>
    </font>
    <font>
      <sz val="7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  <font>
      <sz val="7"/>
      <color rgb="FF1F1F1F"/>
      <name val="Arial"/>
      <family val="2"/>
    </font>
    <font>
      <sz val="9"/>
      <name val="Arial"/>
      <family val="2"/>
    </font>
    <font>
      <sz val="11"/>
      <color rgb="FF1F1F1F"/>
      <name val="Aptos Narrow"/>
      <family val="2"/>
      <scheme val="minor"/>
    </font>
    <font>
      <sz val="9"/>
      <color rgb="FFFF0000"/>
      <name val="Aptos Narrow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7A3EB"/>
        <bgColor indexed="64"/>
      </patternFill>
    </fill>
    <fill>
      <patternFill patternType="solid">
        <fgColor rgb="FFC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/>
      <right/>
      <top/>
      <bottom style="thick">
        <color rgb="FFEE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89">
    <xf numFmtId="0" fontId="0" fillId="0" borderId="0" xfId="0"/>
    <xf numFmtId="0" fontId="2" fillId="2" borderId="0" xfId="0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164" fontId="2" fillId="3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20" fontId="0" fillId="0" borderId="0" xfId="0" applyNumberFormat="1"/>
    <xf numFmtId="0" fontId="0" fillId="6" borderId="2" xfId="0" applyFill="1" applyBorder="1"/>
    <xf numFmtId="0" fontId="0" fillId="0" borderId="2" xfId="0" applyBorder="1"/>
    <xf numFmtId="20" fontId="0" fillId="0" borderId="2" xfId="0" applyNumberFormat="1" applyBorder="1"/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165" fontId="4" fillId="5" borderId="0" xfId="0" applyNumberFormat="1" applyFont="1" applyFill="1" applyAlignment="1">
      <alignment horizontal="center" vertical="center"/>
    </xf>
    <xf numFmtId="165" fontId="4" fillId="7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9" borderId="0" xfId="0" applyFont="1" applyFill="1"/>
    <xf numFmtId="0" fontId="0" fillId="10" borderId="0" xfId="0" applyFill="1"/>
    <xf numFmtId="0" fontId="0" fillId="0" borderId="3" xfId="0" applyBorder="1"/>
    <xf numFmtId="0" fontId="6" fillId="8" borderId="0" xfId="0" applyFont="1" applyFill="1" applyAlignment="1">
      <alignment horizontal="left" vertical="center"/>
    </xf>
    <xf numFmtId="0" fontId="0" fillId="11" borderId="0" xfId="0" applyFill="1"/>
    <xf numFmtId="0" fontId="0" fillId="8" borderId="0" xfId="0" applyFill="1"/>
    <xf numFmtId="0" fontId="0" fillId="5" borderId="0" xfId="0" applyFill="1"/>
    <xf numFmtId="0" fontId="6" fillId="0" borderId="0" xfId="0" applyFont="1" applyAlignment="1">
      <alignment horizontal="left"/>
    </xf>
    <xf numFmtId="0" fontId="6" fillId="0" borderId="4" xfId="0" applyFont="1" applyBorder="1" applyAlignment="1">
      <alignment horizontal="left" vertical="center"/>
    </xf>
    <xf numFmtId="0" fontId="2" fillId="12" borderId="0" xfId="0" applyFont="1" applyFill="1" applyAlignment="1">
      <alignment horizontal="center"/>
    </xf>
    <xf numFmtId="0" fontId="8" fillId="12" borderId="0" xfId="0" applyFont="1" applyFill="1" applyAlignment="1">
      <alignment horizontal="left"/>
    </xf>
    <xf numFmtId="0" fontId="2" fillId="12" borderId="0" xfId="0" applyFont="1" applyFill="1" applyAlignment="1">
      <alignment horizontal="left" wrapText="1"/>
    </xf>
    <xf numFmtId="0" fontId="2" fillId="12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0" fillId="13" borderId="0" xfId="0" applyFont="1" applyFill="1" applyAlignment="1">
      <alignment horizontal="left" vertical="center"/>
    </xf>
    <xf numFmtId="0" fontId="5" fillId="8" borderId="0" xfId="0" applyFont="1" applyFill="1" applyAlignment="1">
      <alignment horizontal="left" vertical="center"/>
    </xf>
    <xf numFmtId="0" fontId="0" fillId="8" borderId="0" xfId="0" applyFill="1" applyAlignment="1">
      <alignment horizontal="left"/>
    </xf>
    <xf numFmtId="0" fontId="7" fillId="0" borderId="0" xfId="2" applyAlignment="1">
      <alignment horizontal="left" vertical="center"/>
    </xf>
    <xf numFmtId="0" fontId="0" fillId="10" borderId="0" xfId="0" applyFill="1" applyAlignment="1">
      <alignment horizontal="left"/>
    </xf>
    <xf numFmtId="0" fontId="9" fillId="10" borderId="0" xfId="0" applyFont="1" applyFill="1" applyAlignment="1">
      <alignment horizontal="left" vertical="center"/>
    </xf>
    <xf numFmtId="0" fontId="5" fillId="10" borderId="0" xfId="0" applyFont="1" applyFill="1" applyAlignment="1">
      <alignment horizontal="left" vertical="center"/>
    </xf>
    <xf numFmtId="0" fontId="7" fillId="0" borderId="0" xfId="2" applyBorder="1" applyAlignment="1">
      <alignment horizontal="left" vertical="center"/>
    </xf>
    <xf numFmtId="0" fontId="11" fillId="0" borderId="0" xfId="0" applyFont="1" applyAlignment="1">
      <alignment horizontal="left"/>
    </xf>
    <xf numFmtId="0" fontId="0" fillId="0" borderId="3" xfId="0" applyBorder="1" applyAlignment="1">
      <alignment horizontal="left"/>
    </xf>
    <xf numFmtId="0" fontId="9" fillId="0" borderId="3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7" fillId="0" borderId="3" xfId="2" applyBorder="1" applyAlignment="1">
      <alignment horizontal="left" vertical="center"/>
    </xf>
    <xf numFmtId="164" fontId="0" fillId="0" borderId="0" xfId="1" applyNumberFormat="1" applyFont="1" applyAlignment="1">
      <alignment horizontal="left"/>
    </xf>
    <xf numFmtId="0" fontId="0" fillId="0" borderId="0" xfId="0" quotePrefix="1" applyAlignment="1">
      <alignment horizontal="left"/>
    </xf>
    <xf numFmtId="0" fontId="12" fillId="0" borderId="0" xfId="0" applyFont="1"/>
    <xf numFmtId="0" fontId="0" fillId="8" borderId="0" xfId="0" quotePrefix="1" applyFill="1" applyAlignment="1">
      <alignment horizontal="left"/>
    </xf>
    <xf numFmtId="0" fontId="9" fillId="8" borderId="0" xfId="0" applyFont="1" applyFill="1" applyAlignment="1">
      <alignment horizontal="left" vertical="center"/>
    </xf>
    <xf numFmtId="0" fontId="0" fillId="11" borderId="0" xfId="0" applyFill="1" applyAlignment="1">
      <alignment horizontal="left"/>
    </xf>
    <xf numFmtId="0" fontId="9" fillId="11" borderId="0" xfId="0" applyFont="1" applyFill="1" applyAlignment="1">
      <alignment horizontal="left" vertical="center"/>
    </xf>
    <xf numFmtId="0" fontId="5" fillId="11" borderId="0" xfId="0" applyFont="1" applyFill="1" applyAlignment="1">
      <alignment horizontal="left" vertical="center"/>
    </xf>
    <xf numFmtId="0" fontId="7" fillId="0" borderId="0" xfId="2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4" fillId="0" borderId="0" xfId="0" applyFont="1" applyAlignment="1">
      <alignment horizontal="left"/>
    </xf>
    <xf numFmtId="0" fontId="13" fillId="0" borderId="0" xfId="0" applyFont="1" applyAlignment="1">
      <alignment horizontal="left" wrapText="1"/>
    </xf>
    <xf numFmtId="0" fontId="5" fillId="3" borderId="0" xfId="0" applyFont="1" applyFill="1" applyAlignment="1">
      <alignment horizontal="left" vertical="center"/>
    </xf>
    <xf numFmtId="0" fontId="6" fillId="14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14" fillId="0" borderId="0" xfId="0" applyFont="1"/>
    <xf numFmtId="0" fontId="9" fillId="4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6" fillId="10" borderId="0" xfId="0" applyFont="1" applyFill="1" applyAlignment="1">
      <alignment horizontal="left"/>
    </xf>
    <xf numFmtId="0" fontId="7" fillId="10" borderId="0" xfId="2" applyFill="1" applyAlignment="1">
      <alignment horizontal="left" vertical="center"/>
    </xf>
    <xf numFmtId="0" fontId="9" fillId="0" borderId="0" xfId="0" applyFont="1" applyAlignment="1">
      <alignment horizontal="left"/>
    </xf>
    <xf numFmtId="0" fontId="6" fillId="0" borderId="0" xfId="0" applyFont="1" applyAlignment="1">
      <alignment horizontal="left" wrapText="1"/>
    </xf>
    <xf numFmtId="0" fontId="9" fillId="0" borderId="0" xfId="0" applyFont="1" applyAlignment="1">
      <alignment horizontal="left" wrapText="1"/>
    </xf>
    <xf numFmtId="0" fontId="6" fillId="8" borderId="0" xfId="0" applyFont="1" applyFill="1" applyAlignment="1">
      <alignment horizontal="left"/>
    </xf>
    <xf numFmtId="0" fontId="5" fillId="15" borderId="0" xfId="0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15" fillId="8" borderId="0" xfId="0" applyFont="1" applyFill="1" applyAlignment="1">
      <alignment horizontal="left" vertical="center"/>
    </xf>
    <xf numFmtId="0" fontId="7" fillId="8" borderId="0" xfId="2" applyFill="1" applyAlignment="1">
      <alignment horizontal="left" vertical="center"/>
    </xf>
    <xf numFmtId="0" fontId="17" fillId="0" borderId="2" xfId="0" applyFont="1" applyBorder="1" applyAlignment="1">
      <alignment horizontal="center"/>
    </xf>
    <xf numFmtId="0" fontId="9" fillId="8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wrapText="1"/>
    </xf>
    <xf numFmtId="0" fontId="16" fillId="0" borderId="0" xfId="0" applyFont="1" applyAlignment="1">
      <alignment horizontal="left" wrapText="1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7" fillId="0" borderId="0" xfId="2" applyBorder="1" applyAlignment="1">
      <alignment horizontal="left"/>
    </xf>
    <xf numFmtId="0" fontId="7" fillId="0" borderId="0" xfId="2" applyAlignment="1">
      <alignment horizontal="left"/>
    </xf>
    <xf numFmtId="0" fontId="5" fillId="0" borderId="4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4" fillId="0" borderId="0" xfId="0" applyFont="1" applyAlignment="1">
      <alignment horizontal="center"/>
    </xf>
  </cellXfs>
  <cellStyles count="3">
    <cellStyle name="Hipervínculo" xfId="2" builtinId="8"/>
    <cellStyle name="Millares" xfId="1" builtinId="3"/>
    <cellStyle name="Normal" xfId="0" builtinId="0"/>
  </cellStyles>
  <dxfs count="2"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ps.app.goo.gl/4sHPwmnAxxLbsqtQ6" TargetMode="External"/><Relationship Id="rId21" Type="http://schemas.openxmlformats.org/officeDocument/2006/relationships/hyperlink" Target="https://goo.gl/maps/ZfYCbsRGBJhm13mr6" TargetMode="External"/><Relationship Id="rId42" Type="http://schemas.openxmlformats.org/officeDocument/2006/relationships/hyperlink" Target="https://goo.gl/maps/PTjiNga8TkWKQ5ANA" TargetMode="External"/><Relationship Id="rId47" Type="http://schemas.openxmlformats.org/officeDocument/2006/relationships/hyperlink" Target="https://goo.gl/maps/QqHfzP5USaXt4oFm6" TargetMode="External"/><Relationship Id="rId63" Type="http://schemas.openxmlformats.org/officeDocument/2006/relationships/hyperlink" Target="https://goo.gl/maps/bqehwq2po61ugXeJA" TargetMode="External"/><Relationship Id="rId68" Type="http://schemas.openxmlformats.org/officeDocument/2006/relationships/hyperlink" Target="https://maps.app.goo.gl/UWoTXNrLhnG4FYEc6" TargetMode="External"/><Relationship Id="rId84" Type="http://schemas.openxmlformats.org/officeDocument/2006/relationships/hyperlink" Target="https://maps.app.goo.gl/DDMePiTmPAKABt1A7" TargetMode="External"/><Relationship Id="rId89" Type="http://schemas.openxmlformats.org/officeDocument/2006/relationships/hyperlink" Target="https://maps.app.goo.gl/LtdLmn58WSHGP2LM9" TargetMode="External"/><Relationship Id="rId112" Type="http://schemas.openxmlformats.org/officeDocument/2006/relationships/hyperlink" Target="https://maps.app.goo.gl/rZRh7UwzskXU4r2L6" TargetMode="External"/><Relationship Id="rId16" Type="http://schemas.openxmlformats.org/officeDocument/2006/relationships/hyperlink" Target="https://goo.gl/maps/8zH9SEAJF3Bp1PAz9" TargetMode="External"/><Relationship Id="rId107" Type="http://schemas.openxmlformats.org/officeDocument/2006/relationships/hyperlink" Target="https://maps.app.goo.gl/EQR4UG9PCH85DrfU7" TargetMode="External"/><Relationship Id="rId11" Type="http://schemas.openxmlformats.org/officeDocument/2006/relationships/hyperlink" Target="https://goo.gl/maps/xTd632Tk6bUJDZDv5" TargetMode="External"/><Relationship Id="rId32" Type="http://schemas.openxmlformats.org/officeDocument/2006/relationships/hyperlink" Target="https://goo.gl/maps/j2iMYbYmkfqLxxYo9" TargetMode="External"/><Relationship Id="rId37" Type="http://schemas.openxmlformats.org/officeDocument/2006/relationships/hyperlink" Target="https://goo.gl/maps/gGd8TGPRhwRBEgwD7" TargetMode="External"/><Relationship Id="rId53" Type="http://schemas.openxmlformats.org/officeDocument/2006/relationships/hyperlink" Target="https://goo.gl/maps/JXCSzYAeFFVLY2eHA" TargetMode="External"/><Relationship Id="rId58" Type="http://schemas.openxmlformats.org/officeDocument/2006/relationships/hyperlink" Target="https://goo.gl/maps/4aw6M19uK4XBNera9" TargetMode="External"/><Relationship Id="rId74" Type="http://schemas.openxmlformats.org/officeDocument/2006/relationships/hyperlink" Target="https://goo.gl/maps/CvFaYPvnLH9yyzhQ9" TargetMode="External"/><Relationship Id="rId79" Type="http://schemas.openxmlformats.org/officeDocument/2006/relationships/hyperlink" Target="https://goo.gl/maps/pAQAncpMWYxAaPEk9" TargetMode="External"/><Relationship Id="rId102" Type="http://schemas.openxmlformats.org/officeDocument/2006/relationships/hyperlink" Target="https://maps.app.goo.gl/mrVBFwNMwr7MCfko6" TargetMode="External"/><Relationship Id="rId123" Type="http://schemas.openxmlformats.org/officeDocument/2006/relationships/hyperlink" Target="https://maps.app.goo.gl/qxZsy9j3rKLx6DhVA" TargetMode="External"/><Relationship Id="rId128" Type="http://schemas.openxmlformats.org/officeDocument/2006/relationships/hyperlink" Target="https://maps.app.goo.gl/MBFz6arwPm2vjgxh9" TargetMode="External"/><Relationship Id="rId5" Type="http://schemas.openxmlformats.org/officeDocument/2006/relationships/hyperlink" Target="https://goo.gl/maps/FRyoYUTxMLVmWMFq8" TargetMode="External"/><Relationship Id="rId90" Type="http://schemas.openxmlformats.org/officeDocument/2006/relationships/hyperlink" Target="https://maps.app.goo.gl/66hiErXAhFC4DmZSA" TargetMode="External"/><Relationship Id="rId95" Type="http://schemas.openxmlformats.org/officeDocument/2006/relationships/hyperlink" Target="https://maps.app.goo.gl/wRou1iKEnd5szNcX7" TargetMode="External"/><Relationship Id="rId22" Type="http://schemas.openxmlformats.org/officeDocument/2006/relationships/hyperlink" Target="https://goo.gl/maps/pAjrPJ5ehDdu2VLT9" TargetMode="External"/><Relationship Id="rId27" Type="http://schemas.openxmlformats.org/officeDocument/2006/relationships/hyperlink" Target="https://goo.gl/maps/hrrPGiy3fJjXt1BWA" TargetMode="External"/><Relationship Id="rId43" Type="http://schemas.openxmlformats.org/officeDocument/2006/relationships/hyperlink" Target="https://goo.gl/maps/BPNhgU1iNC3toZbN7" TargetMode="External"/><Relationship Id="rId48" Type="http://schemas.openxmlformats.org/officeDocument/2006/relationships/hyperlink" Target="https://goo.gl/maps/1UXRFoCcWiB3qDty8" TargetMode="External"/><Relationship Id="rId64" Type="http://schemas.openxmlformats.org/officeDocument/2006/relationships/hyperlink" Target="https://goo.gl/maps/tK1iT4gHmAHp8ESx7" TargetMode="External"/><Relationship Id="rId69" Type="http://schemas.openxmlformats.org/officeDocument/2006/relationships/hyperlink" Target="https://goo.gl/maps/yAqyFintzuZNYTKf7" TargetMode="External"/><Relationship Id="rId113" Type="http://schemas.openxmlformats.org/officeDocument/2006/relationships/hyperlink" Target="https://maps.app.goo.gl/g2wjXioJnKH4KAXM6" TargetMode="External"/><Relationship Id="rId118" Type="http://schemas.openxmlformats.org/officeDocument/2006/relationships/hyperlink" Target="https://maps.app.goo.gl/YPt6U3gQ83ok9U5DA" TargetMode="External"/><Relationship Id="rId80" Type="http://schemas.openxmlformats.org/officeDocument/2006/relationships/hyperlink" Target="https://goo.gl/maps/sPHyMe9dxbB5bJow6" TargetMode="External"/><Relationship Id="rId85" Type="http://schemas.openxmlformats.org/officeDocument/2006/relationships/hyperlink" Target="https://maps.app.goo.gl/jwxZpck87Acfhp6NA" TargetMode="External"/><Relationship Id="rId12" Type="http://schemas.openxmlformats.org/officeDocument/2006/relationships/hyperlink" Target="https://goo.gl/maps/8MhTkiqK1NEpgPz99" TargetMode="External"/><Relationship Id="rId17" Type="http://schemas.openxmlformats.org/officeDocument/2006/relationships/hyperlink" Target="https://goo.gl/maps/yi7LfEdxyPyjDeMY6" TargetMode="External"/><Relationship Id="rId33" Type="http://schemas.openxmlformats.org/officeDocument/2006/relationships/hyperlink" Target="https://goo.gl/maps/F7kNcEaYeHMMGVqv8" TargetMode="External"/><Relationship Id="rId38" Type="http://schemas.openxmlformats.org/officeDocument/2006/relationships/hyperlink" Target="https://goo.gl/maps/8ZGRFn9VVuGoAd78A" TargetMode="External"/><Relationship Id="rId59" Type="http://schemas.openxmlformats.org/officeDocument/2006/relationships/hyperlink" Target="https://goo.gl/maps/PphkbMkuv1AH61iV6" TargetMode="External"/><Relationship Id="rId103" Type="http://schemas.openxmlformats.org/officeDocument/2006/relationships/hyperlink" Target="https://maps.app.goo.gl/HMGXmTfGZ3hDxjU18" TargetMode="External"/><Relationship Id="rId108" Type="http://schemas.openxmlformats.org/officeDocument/2006/relationships/hyperlink" Target="https://maps.app.goo.gl/7GqV6JDt95whSo3w9" TargetMode="External"/><Relationship Id="rId124" Type="http://schemas.openxmlformats.org/officeDocument/2006/relationships/hyperlink" Target="https://goo.gl/maps/EiZpKvJ1U3NsayM38" TargetMode="External"/><Relationship Id="rId129" Type="http://schemas.openxmlformats.org/officeDocument/2006/relationships/hyperlink" Target="https://maps.app.goo.gl/8YNDFJ9u9dHPF2wi9" TargetMode="External"/><Relationship Id="rId54" Type="http://schemas.openxmlformats.org/officeDocument/2006/relationships/hyperlink" Target="https://goo.gl/maps/FWXvwAXKFChMWTW36" TargetMode="External"/><Relationship Id="rId70" Type="http://schemas.openxmlformats.org/officeDocument/2006/relationships/hyperlink" Target="https://goo.gl/maps/V1Uj3rKBvFuLJaMg6" TargetMode="External"/><Relationship Id="rId75" Type="http://schemas.openxmlformats.org/officeDocument/2006/relationships/hyperlink" Target="https://goo.gl/maps/5bLUadGBYuhUfZxi7" TargetMode="External"/><Relationship Id="rId91" Type="http://schemas.openxmlformats.org/officeDocument/2006/relationships/hyperlink" Target="https://maps.app.goo.gl/WjhYVctXRA2aTtRV9" TargetMode="External"/><Relationship Id="rId96" Type="http://schemas.openxmlformats.org/officeDocument/2006/relationships/hyperlink" Target="https://maps.app.goo.gl/CkbP2X1j66XUKANX6" TargetMode="External"/><Relationship Id="rId1" Type="http://schemas.openxmlformats.org/officeDocument/2006/relationships/hyperlink" Target="https://goo.gl/maps/XvfzqdkZQYTYc8RP8" TargetMode="External"/><Relationship Id="rId6" Type="http://schemas.openxmlformats.org/officeDocument/2006/relationships/hyperlink" Target="https://goo.gl/maps/fnW8DDkT3wNtEXeSA" TargetMode="External"/><Relationship Id="rId23" Type="http://schemas.openxmlformats.org/officeDocument/2006/relationships/hyperlink" Target="https://goo.gl/maps/dFEGsT47n5G8w6DD8" TargetMode="External"/><Relationship Id="rId28" Type="http://schemas.openxmlformats.org/officeDocument/2006/relationships/hyperlink" Target="https://goo.gl/maps/3T8XwxYkNNWHompB7" TargetMode="External"/><Relationship Id="rId49" Type="http://schemas.openxmlformats.org/officeDocument/2006/relationships/hyperlink" Target="https://goo.gl/maps/3BYEvDeX7Ng6yb1f8" TargetMode="External"/><Relationship Id="rId114" Type="http://schemas.openxmlformats.org/officeDocument/2006/relationships/hyperlink" Target="https://maps.app.goo.gl/P3zfosMR8iM2Yuma8" TargetMode="External"/><Relationship Id="rId119" Type="http://schemas.openxmlformats.org/officeDocument/2006/relationships/hyperlink" Target="https://maps.app.goo.gl/sagEuodLPjT7C7eXA" TargetMode="External"/><Relationship Id="rId44" Type="http://schemas.openxmlformats.org/officeDocument/2006/relationships/hyperlink" Target="https://goo.gl/maps/5PxHAbGx6Mt1j4Bv6" TargetMode="External"/><Relationship Id="rId60" Type="http://schemas.openxmlformats.org/officeDocument/2006/relationships/hyperlink" Target="https://goo.gl/maps/VjxcwdTTfPQVtKEN8" TargetMode="External"/><Relationship Id="rId65" Type="http://schemas.openxmlformats.org/officeDocument/2006/relationships/hyperlink" Target="https://maps.app.goo.gl/D1kHYtV3Q9vsxafm9" TargetMode="External"/><Relationship Id="rId81" Type="http://schemas.openxmlformats.org/officeDocument/2006/relationships/hyperlink" Target="https://maps.app.goo.gl/SBduqo9VawswQFQx9" TargetMode="External"/><Relationship Id="rId86" Type="http://schemas.openxmlformats.org/officeDocument/2006/relationships/hyperlink" Target="https://maps.app.goo.gl/yYJic2wsNynHJGap8" TargetMode="External"/><Relationship Id="rId130" Type="http://schemas.openxmlformats.org/officeDocument/2006/relationships/hyperlink" Target="https://maps.app.goo.gl/Hwt3oaNpJZXpN8S2A" TargetMode="External"/><Relationship Id="rId13" Type="http://schemas.openxmlformats.org/officeDocument/2006/relationships/hyperlink" Target="https://goo.gl/maps/bGEqBQJrqS7YnCb36" TargetMode="External"/><Relationship Id="rId18" Type="http://schemas.openxmlformats.org/officeDocument/2006/relationships/hyperlink" Target="https://goo.gl/maps/c6DAUZDSSvCqA4YA8" TargetMode="External"/><Relationship Id="rId39" Type="http://schemas.openxmlformats.org/officeDocument/2006/relationships/hyperlink" Target="https://goo.gl/maps/SVDQksmscgMpDhxX8" TargetMode="External"/><Relationship Id="rId109" Type="http://schemas.openxmlformats.org/officeDocument/2006/relationships/hyperlink" Target="https://maps.app.goo.gl/DugyetdoUVir9N1c6" TargetMode="External"/><Relationship Id="rId34" Type="http://schemas.openxmlformats.org/officeDocument/2006/relationships/hyperlink" Target="https://goo.gl/maps/AWKSJXMoE5vkK5TF6" TargetMode="External"/><Relationship Id="rId50" Type="http://schemas.openxmlformats.org/officeDocument/2006/relationships/hyperlink" Target="https://goo.gl/maps/VqyewcdFagBqvL6U8" TargetMode="External"/><Relationship Id="rId55" Type="http://schemas.openxmlformats.org/officeDocument/2006/relationships/hyperlink" Target="https://goo.gl/maps/qGeGDXzmmymVyzLP9" TargetMode="External"/><Relationship Id="rId76" Type="http://schemas.openxmlformats.org/officeDocument/2006/relationships/hyperlink" Target="https://goo.gl/maps/AQmrmSd9bJVZ62YT7" TargetMode="External"/><Relationship Id="rId97" Type="http://schemas.openxmlformats.org/officeDocument/2006/relationships/hyperlink" Target="https://maps.app.goo.gl/v6VHmkLDBuHrWjR3A" TargetMode="External"/><Relationship Id="rId104" Type="http://schemas.openxmlformats.org/officeDocument/2006/relationships/hyperlink" Target="https://maps.app.goo.gl/tRJopNV8bTDm8xHt7" TargetMode="External"/><Relationship Id="rId120" Type="http://schemas.openxmlformats.org/officeDocument/2006/relationships/hyperlink" Target="https://maps.app.goo.gl/NrZTL2yQnwqXGBXN9" TargetMode="External"/><Relationship Id="rId125" Type="http://schemas.openxmlformats.org/officeDocument/2006/relationships/hyperlink" Target="https://maps.app.goo.gl/MqH55Zx5WPoifSoY7" TargetMode="External"/><Relationship Id="rId7" Type="http://schemas.openxmlformats.org/officeDocument/2006/relationships/hyperlink" Target="https://goo.gl/maps/7LqY8eAYQsbqvYb56" TargetMode="External"/><Relationship Id="rId71" Type="http://schemas.openxmlformats.org/officeDocument/2006/relationships/hyperlink" Target="https://maps.app.goo.gl/JNVKY9PRxmSrYqKp7" TargetMode="External"/><Relationship Id="rId92" Type="http://schemas.openxmlformats.org/officeDocument/2006/relationships/hyperlink" Target="https://maps.app.goo.gl/yqNsW66zfotNMCLF7" TargetMode="External"/><Relationship Id="rId2" Type="http://schemas.openxmlformats.org/officeDocument/2006/relationships/hyperlink" Target="https://goo.gl/maps/m7xMRRD56wuNJTsN6" TargetMode="External"/><Relationship Id="rId29" Type="http://schemas.openxmlformats.org/officeDocument/2006/relationships/hyperlink" Target="https://goo.gl/maps/J4EkMP2KVDzF64AfA" TargetMode="External"/><Relationship Id="rId24" Type="http://schemas.openxmlformats.org/officeDocument/2006/relationships/hyperlink" Target="https://goo.gl/maps/8EnHPurb8KSbWAGF9" TargetMode="External"/><Relationship Id="rId40" Type="http://schemas.openxmlformats.org/officeDocument/2006/relationships/hyperlink" Target="https://maps.app.goo.gl/yyVyQFw9kYe3kd349" TargetMode="External"/><Relationship Id="rId45" Type="http://schemas.openxmlformats.org/officeDocument/2006/relationships/hyperlink" Target="https://goo.gl/maps/x3TxYup3gcXf7TP4A" TargetMode="External"/><Relationship Id="rId66" Type="http://schemas.openxmlformats.org/officeDocument/2006/relationships/hyperlink" Target="https://goo.gl/maps/7F5RPs3umWHR2Rc1A" TargetMode="External"/><Relationship Id="rId87" Type="http://schemas.openxmlformats.org/officeDocument/2006/relationships/hyperlink" Target="https://maps.app.goo.gl/9kULdY8QS5sc8Dw27" TargetMode="External"/><Relationship Id="rId110" Type="http://schemas.openxmlformats.org/officeDocument/2006/relationships/hyperlink" Target="https://maps.app.goo.gl/rUVzYMWTZb7oXpKE9" TargetMode="External"/><Relationship Id="rId115" Type="http://schemas.openxmlformats.org/officeDocument/2006/relationships/hyperlink" Target="https://maps.app.goo.gl/dbUuhe32n8iPJhFd9" TargetMode="External"/><Relationship Id="rId131" Type="http://schemas.openxmlformats.org/officeDocument/2006/relationships/hyperlink" Target="https://goo.gl/maps/C1cgsvYkCYKNJPny6" TargetMode="External"/><Relationship Id="rId61" Type="http://schemas.openxmlformats.org/officeDocument/2006/relationships/hyperlink" Target="https://goo.gl/maps/eRVzs5rm2RN8QXhp8" TargetMode="External"/><Relationship Id="rId82" Type="http://schemas.openxmlformats.org/officeDocument/2006/relationships/hyperlink" Target="https://maps.app.goo.gl/9b4zrWbqJjTofZay7" TargetMode="External"/><Relationship Id="rId19" Type="http://schemas.openxmlformats.org/officeDocument/2006/relationships/hyperlink" Target="https://goo.gl/maps/npMLCwRWHRrnXCZ76" TargetMode="External"/><Relationship Id="rId14" Type="http://schemas.openxmlformats.org/officeDocument/2006/relationships/hyperlink" Target="https://goo.gl/maps/JTQpMgz28A4yuzbTA" TargetMode="External"/><Relationship Id="rId30" Type="http://schemas.openxmlformats.org/officeDocument/2006/relationships/hyperlink" Target="https://goo.gl/maps/bFQhTdj4k4rnRjQr9" TargetMode="External"/><Relationship Id="rId35" Type="http://schemas.openxmlformats.org/officeDocument/2006/relationships/hyperlink" Target="https://goo.gl/maps/PCtXDhAWkCfYehYY9" TargetMode="External"/><Relationship Id="rId56" Type="http://schemas.openxmlformats.org/officeDocument/2006/relationships/hyperlink" Target="https://goo.gl/maps/k3e7xCWrpgYf7pWWA" TargetMode="External"/><Relationship Id="rId77" Type="http://schemas.openxmlformats.org/officeDocument/2006/relationships/hyperlink" Target="https://goo.gl/maps/hGCLGWXRwWTdVC2N8" TargetMode="External"/><Relationship Id="rId100" Type="http://schemas.openxmlformats.org/officeDocument/2006/relationships/hyperlink" Target="https://maps.app.goo.gl/kJ4bjKpLJ18V1PzTA" TargetMode="External"/><Relationship Id="rId105" Type="http://schemas.openxmlformats.org/officeDocument/2006/relationships/hyperlink" Target="https://maps.app.goo.gl/N4VD3Sn8c5nttxDX7" TargetMode="External"/><Relationship Id="rId126" Type="http://schemas.openxmlformats.org/officeDocument/2006/relationships/hyperlink" Target="https://maps.app.goo.gl/deuMz3zyNzfu6Liz6" TargetMode="External"/><Relationship Id="rId8" Type="http://schemas.openxmlformats.org/officeDocument/2006/relationships/hyperlink" Target="https://goo.gl/maps/VqyewcdFagBqvL6U8" TargetMode="External"/><Relationship Id="rId51" Type="http://schemas.openxmlformats.org/officeDocument/2006/relationships/hyperlink" Target="https://goo.gl/maps/zY8bnSWgQ9DCLUdu6" TargetMode="External"/><Relationship Id="rId72" Type="http://schemas.openxmlformats.org/officeDocument/2006/relationships/hyperlink" Target="https://maps.app.goo.gl/JNVKY9PRxmSrYqKp7" TargetMode="External"/><Relationship Id="rId93" Type="http://schemas.openxmlformats.org/officeDocument/2006/relationships/hyperlink" Target="https://maps.app.goo.gl/JKRS8Ps5oLKywRdm7" TargetMode="External"/><Relationship Id="rId98" Type="http://schemas.openxmlformats.org/officeDocument/2006/relationships/hyperlink" Target="https://maps.app.goo.gl/v3d8sSBtmN1mpxNr7" TargetMode="External"/><Relationship Id="rId121" Type="http://schemas.openxmlformats.org/officeDocument/2006/relationships/hyperlink" Target="https://goo.gl/maps/xP9ksPjbetFdCPwAA" TargetMode="External"/><Relationship Id="rId3" Type="http://schemas.openxmlformats.org/officeDocument/2006/relationships/hyperlink" Target="https://goo.gl/maps/C1cgsvYkCYKNJPny6" TargetMode="External"/><Relationship Id="rId25" Type="http://schemas.openxmlformats.org/officeDocument/2006/relationships/hyperlink" Target="https://goo.gl/maps/VHgACYdFbVXFQVJG9" TargetMode="External"/><Relationship Id="rId46" Type="http://schemas.openxmlformats.org/officeDocument/2006/relationships/hyperlink" Target="https://goo.gl/maps/kegNtUJZ95coAo5FA" TargetMode="External"/><Relationship Id="rId67" Type="http://schemas.openxmlformats.org/officeDocument/2006/relationships/hyperlink" Target="https://goo.gl/maps/bxcUK2v7UuGm7v9z7" TargetMode="External"/><Relationship Id="rId116" Type="http://schemas.openxmlformats.org/officeDocument/2006/relationships/hyperlink" Target="https://maps.app.goo.gl/55tvsdMp4dMUfQRr9" TargetMode="External"/><Relationship Id="rId20" Type="http://schemas.openxmlformats.org/officeDocument/2006/relationships/hyperlink" Target="https://goo.gl/maps/8nHEzgxoTb9X5sZY7" TargetMode="External"/><Relationship Id="rId41" Type="http://schemas.openxmlformats.org/officeDocument/2006/relationships/hyperlink" Target="https://goo.gl/maps/TUsTqi3ZsyyV9n3V7" TargetMode="External"/><Relationship Id="rId62" Type="http://schemas.openxmlformats.org/officeDocument/2006/relationships/hyperlink" Target="https://goo.gl/maps/UD9VxJeq7R3LSwZj7" TargetMode="External"/><Relationship Id="rId83" Type="http://schemas.openxmlformats.org/officeDocument/2006/relationships/hyperlink" Target="https://maps.app.goo.gl/6rHCxfoLzz9mrycr6" TargetMode="External"/><Relationship Id="rId88" Type="http://schemas.openxmlformats.org/officeDocument/2006/relationships/hyperlink" Target="https://maps.app.goo.gl/rHCi5ctJfZhHxRHv7" TargetMode="External"/><Relationship Id="rId111" Type="http://schemas.openxmlformats.org/officeDocument/2006/relationships/hyperlink" Target="https://maps.app.goo.gl/drbWFsspF6cdf2Er6" TargetMode="External"/><Relationship Id="rId132" Type="http://schemas.openxmlformats.org/officeDocument/2006/relationships/hyperlink" Target="https://goo.gl/maps/fnW8DDkT3wNtEXeSA" TargetMode="External"/><Relationship Id="rId15" Type="http://schemas.openxmlformats.org/officeDocument/2006/relationships/hyperlink" Target="https://goo.gl/maps/tSzooT2k31FpuMFv6" TargetMode="External"/><Relationship Id="rId36" Type="http://schemas.openxmlformats.org/officeDocument/2006/relationships/hyperlink" Target="https://goo.gl/maps/KtztzUgWgS8bmNGD8" TargetMode="External"/><Relationship Id="rId57" Type="http://schemas.openxmlformats.org/officeDocument/2006/relationships/hyperlink" Target="https://maps.app.goo.gl/uVwU5PurVPx9kVHw5" TargetMode="External"/><Relationship Id="rId106" Type="http://schemas.openxmlformats.org/officeDocument/2006/relationships/hyperlink" Target="https://maps.app.goo.gl/qw2H9PcMDwgW6EBC9" TargetMode="External"/><Relationship Id="rId127" Type="http://schemas.openxmlformats.org/officeDocument/2006/relationships/hyperlink" Target="https://maps.app.goo.gl/ZQQr8XsfjL8AMHkR9" TargetMode="External"/><Relationship Id="rId10" Type="http://schemas.openxmlformats.org/officeDocument/2006/relationships/hyperlink" Target="https://goo.gl/maps/AAM9qnwxs3bxE34W7" TargetMode="External"/><Relationship Id="rId31" Type="http://schemas.openxmlformats.org/officeDocument/2006/relationships/hyperlink" Target="https://maps.app.goo.gl/shQUvUBQ71mZEDyE9" TargetMode="External"/><Relationship Id="rId52" Type="http://schemas.openxmlformats.org/officeDocument/2006/relationships/hyperlink" Target="https://goo.gl/maps/9A1a3JxJRJ7VCkCK6" TargetMode="External"/><Relationship Id="rId73" Type="http://schemas.openxmlformats.org/officeDocument/2006/relationships/hyperlink" Target="https://maps.app.goo.gl/JNVKY9PRxmSrYqKp7" TargetMode="External"/><Relationship Id="rId78" Type="http://schemas.openxmlformats.org/officeDocument/2006/relationships/hyperlink" Target="https://goo.gl/maps/H1xZ5eqPzgevEoQg6" TargetMode="External"/><Relationship Id="rId94" Type="http://schemas.openxmlformats.org/officeDocument/2006/relationships/hyperlink" Target="https://maps.app.goo.gl/WgvwxscymYCBR5SZ6" TargetMode="External"/><Relationship Id="rId99" Type="http://schemas.openxmlformats.org/officeDocument/2006/relationships/hyperlink" Target="https://maps.app.goo.gl/cQ4GNfkeZnKZkGSw6" TargetMode="External"/><Relationship Id="rId101" Type="http://schemas.openxmlformats.org/officeDocument/2006/relationships/hyperlink" Target="https://maps.app.goo.gl/yTsgn2dAR1EFV1vA9" TargetMode="External"/><Relationship Id="rId122" Type="http://schemas.openxmlformats.org/officeDocument/2006/relationships/hyperlink" Target="https://maps.app.goo.gl/ib8xC2HXDgLKQAeo9" TargetMode="External"/><Relationship Id="rId4" Type="http://schemas.openxmlformats.org/officeDocument/2006/relationships/hyperlink" Target="https://goo.gl/maps/gNwRwT3qCacQ9pMt8" TargetMode="External"/><Relationship Id="rId9" Type="http://schemas.openxmlformats.org/officeDocument/2006/relationships/hyperlink" Target="https://goo.gl/maps/spB851tWFMFw8oFV6" TargetMode="External"/><Relationship Id="rId26" Type="http://schemas.openxmlformats.org/officeDocument/2006/relationships/hyperlink" Target="https://goo.gl/maps/JfFxbh8cgjZ8Xvjq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43C4E-D0C1-4399-9277-8C3BA29014B7}">
  <dimension ref="A1:N313"/>
  <sheetViews>
    <sheetView tabSelected="1" zoomScale="90" zoomScaleNormal="90" workbookViewId="0">
      <pane ySplit="1" topLeftCell="A2" activePane="bottomLeft" state="frozen"/>
      <selection pane="bottomLeft" activeCell="G3" sqref="G3"/>
    </sheetView>
  </sheetViews>
  <sheetFormatPr baseColWidth="10" defaultColWidth="11.42578125" defaultRowHeight="15" x14ac:dyDescent="0.25"/>
  <cols>
    <col min="1" max="1" width="35.5703125" style="6" customWidth="1"/>
    <col min="2" max="2" width="9.5703125" bestFit="1" customWidth="1"/>
    <col min="3" max="3" width="15.5703125" bestFit="1" customWidth="1"/>
    <col min="4" max="4" width="28.28515625" bestFit="1" customWidth="1"/>
    <col min="9" max="9" width="21.85546875" bestFit="1" customWidth="1"/>
    <col min="13" max="13" width="19.5703125" bestFit="1" customWidth="1"/>
  </cols>
  <sheetData>
    <row r="1" spans="1:14" ht="4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2" t="s">
        <v>6</v>
      </c>
      <c r="H1" s="2" t="s">
        <v>7</v>
      </c>
      <c r="I1" s="3" t="s">
        <v>8</v>
      </c>
      <c r="J1" s="5" t="s">
        <v>9</v>
      </c>
      <c r="K1" s="5" t="s">
        <v>10</v>
      </c>
      <c r="L1" s="5" t="s">
        <v>11</v>
      </c>
      <c r="M1" s="1" t="s">
        <v>12</v>
      </c>
      <c r="N1" s="1" t="s">
        <v>1567</v>
      </c>
    </row>
    <row r="2" spans="1:14" x14ac:dyDescent="0.25">
      <c r="A2" s="13" t="s">
        <v>1328</v>
      </c>
      <c r="B2" s="13" t="s">
        <v>1348</v>
      </c>
      <c r="C2" s="17" t="s">
        <v>1368</v>
      </c>
      <c r="D2" t="s">
        <v>13</v>
      </c>
      <c r="E2" s="88" t="s">
        <v>14</v>
      </c>
      <c r="F2" s="6">
        <f>+VLOOKUP(E2,CATALOGO!G:L,6,0)</f>
        <v>8</v>
      </c>
      <c r="G2" s="14">
        <v>950</v>
      </c>
      <c r="H2" s="14">
        <v>20</v>
      </c>
      <c r="I2" s="16">
        <v>46272</v>
      </c>
      <c r="J2" s="12">
        <f>+WEEKNUM(I2)</f>
        <v>37</v>
      </c>
      <c r="K2">
        <f>+IF(E2="","",VLOOKUP(E2,CATALOGO!G:I,2,0))</f>
        <v>3</v>
      </c>
      <c r="L2">
        <f>+IF(E2="","",VLOOKUP(E2,CATALOGO!G:I,3,0))</f>
        <v>72</v>
      </c>
      <c r="M2" s="15">
        <v>46276</v>
      </c>
      <c r="N2">
        <v>42949</v>
      </c>
    </row>
    <row r="3" spans="1:14" x14ac:dyDescent="0.25">
      <c r="A3" s="13" t="s">
        <v>1328</v>
      </c>
      <c r="B3" s="13" t="s">
        <v>1348</v>
      </c>
      <c r="C3" s="17" t="s">
        <v>1368</v>
      </c>
      <c r="D3" t="s">
        <v>13</v>
      </c>
      <c r="E3" s="88" t="s">
        <v>14</v>
      </c>
      <c r="F3" s="6">
        <f>+VLOOKUP(E3,CATALOGO!G:L,6,0)</f>
        <v>8</v>
      </c>
      <c r="G3" s="14">
        <v>384</v>
      </c>
      <c r="H3" s="14">
        <v>8</v>
      </c>
      <c r="I3" s="16">
        <v>46272</v>
      </c>
      <c r="J3" s="12">
        <f t="shared" ref="J3:J13" si="0">+WEEKNUM(I3)</f>
        <v>37</v>
      </c>
      <c r="K3">
        <f>+IF(E3="","",VLOOKUP(E3,CATALOGO!G:I,2,0))</f>
        <v>3</v>
      </c>
      <c r="L3">
        <f>+IF(E3="","",VLOOKUP(E3,CATALOGO!G:I,3,0))</f>
        <v>72</v>
      </c>
      <c r="M3" s="15">
        <v>46276</v>
      </c>
      <c r="N3">
        <v>42951</v>
      </c>
    </row>
    <row r="4" spans="1:14" x14ac:dyDescent="0.25">
      <c r="A4" s="13" t="s">
        <v>1328</v>
      </c>
      <c r="B4" s="13" t="s">
        <v>1348</v>
      </c>
      <c r="C4" s="17" t="s">
        <v>1369</v>
      </c>
      <c r="D4" t="s">
        <v>15</v>
      </c>
      <c r="E4" s="88" t="s">
        <v>14</v>
      </c>
      <c r="F4" s="6">
        <f>+VLOOKUP(E4,CATALOGO!G:L,6,0)</f>
        <v>8</v>
      </c>
      <c r="G4" s="14">
        <v>240</v>
      </c>
      <c r="H4" s="14">
        <v>5</v>
      </c>
      <c r="I4" s="16">
        <v>46272</v>
      </c>
      <c r="J4" s="12">
        <f t="shared" si="0"/>
        <v>37</v>
      </c>
      <c r="K4">
        <f>+IF(E4="","",VLOOKUP(E4,CATALOGO!G:I,2,0))</f>
        <v>3</v>
      </c>
      <c r="L4">
        <f>+IF(E4="","",VLOOKUP(E4,CATALOGO!G:I,3,0))</f>
        <v>72</v>
      </c>
      <c r="M4" s="15">
        <v>46275</v>
      </c>
      <c r="N4">
        <v>42947</v>
      </c>
    </row>
    <row r="5" spans="1:14" x14ac:dyDescent="0.25">
      <c r="A5" s="13" t="s">
        <v>1318</v>
      </c>
      <c r="B5" s="13" t="s">
        <v>1326</v>
      </c>
      <c r="C5" s="17" t="s">
        <v>1369</v>
      </c>
      <c r="D5" t="s">
        <v>15</v>
      </c>
      <c r="E5" s="88" t="s">
        <v>16</v>
      </c>
      <c r="F5" s="6">
        <f>+VLOOKUP(E5,CATALOGO!G:L,6,0)</f>
        <v>6</v>
      </c>
      <c r="G5" s="14">
        <v>48</v>
      </c>
      <c r="H5" s="14">
        <v>1</v>
      </c>
      <c r="I5" s="16">
        <v>46272</v>
      </c>
      <c r="J5" s="12">
        <f t="shared" si="0"/>
        <v>37</v>
      </c>
      <c r="K5">
        <f>+IF(E5="","",VLOOKUP(E5,CATALOGO!G:I,2,0))</f>
        <v>1</v>
      </c>
      <c r="L5">
        <f>+IF(E5="","",VLOOKUP(E5,CATALOGO!G:I,3,0))</f>
        <v>24</v>
      </c>
      <c r="M5" s="15">
        <v>46275</v>
      </c>
      <c r="N5">
        <v>42829</v>
      </c>
    </row>
    <row r="6" spans="1:14" x14ac:dyDescent="0.25">
      <c r="A6" s="13" t="s">
        <v>1313</v>
      </c>
      <c r="B6" s="13" t="s">
        <v>1321</v>
      </c>
      <c r="C6" s="17" t="s">
        <v>1369</v>
      </c>
      <c r="D6" t="s">
        <v>15</v>
      </c>
      <c r="E6" s="88" t="s">
        <v>17</v>
      </c>
      <c r="F6" s="6">
        <f>+VLOOKUP(E6,CATALOGO!G:L,6,0)</f>
        <v>5</v>
      </c>
      <c r="G6" s="14">
        <v>66</v>
      </c>
      <c r="H6" s="14">
        <v>1.75</v>
      </c>
      <c r="I6" s="16">
        <v>46272</v>
      </c>
      <c r="J6" s="12">
        <f t="shared" si="0"/>
        <v>37</v>
      </c>
      <c r="K6">
        <f>+IF(E6="","",VLOOKUP(E6,CATALOGO!G:I,2,0))</f>
        <v>1</v>
      </c>
      <c r="L6">
        <f>+IF(E6="","",VLOOKUP(E6,CATALOGO!G:I,3,0))</f>
        <v>24</v>
      </c>
      <c r="M6" s="15">
        <v>46277</v>
      </c>
      <c r="N6">
        <v>43119</v>
      </c>
    </row>
    <row r="7" spans="1:14" x14ac:dyDescent="0.25">
      <c r="A7" s="13" t="s">
        <v>1312</v>
      </c>
      <c r="B7" s="13" t="s">
        <v>1320</v>
      </c>
      <c r="C7" s="17" t="s">
        <v>1369</v>
      </c>
      <c r="D7" t="s">
        <v>15</v>
      </c>
      <c r="E7" s="88" t="s">
        <v>17</v>
      </c>
      <c r="F7" s="6">
        <f>+VLOOKUP(E7,CATALOGO!G:L,6,0)</f>
        <v>5</v>
      </c>
      <c r="G7" s="14">
        <v>222</v>
      </c>
      <c r="H7" s="14">
        <v>4</v>
      </c>
      <c r="I7" s="16">
        <v>46272</v>
      </c>
      <c r="J7" s="12">
        <f t="shared" si="0"/>
        <v>37</v>
      </c>
      <c r="K7">
        <f>+IF(E7="","",VLOOKUP(E7,CATALOGO!G:I,2,0))</f>
        <v>1</v>
      </c>
      <c r="L7">
        <f>+IF(E7="","",VLOOKUP(E7,CATALOGO!G:I,3,0))</f>
        <v>24</v>
      </c>
      <c r="M7" s="15">
        <v>46277</v>
      </c>
      <c r="N7">
        <v>43119</v>
      </c>
    </row>
    <row r="8" spans="1:14" x14ac:dyDescent="0.25">
      <c r="A8" s="13" t="s">
        <v>1312</v>
      </c>
      <c r="B8" s="13" t="s">
        <v>1320</v>
      </c>
      <c r="C8" s="17" t="s">
        <v>1369</v>
      </c>
      <c r="D8" t="s">
        <v>15</v>
      </c>
      <c r="E8" s="88" t="s">
        <v>18</v>
      </c>
      <c r="F8" s="6">
        <f>+VLOOKUP(E8,CATALOGO!G:L,6,0)</f>
        <v>3</v>
      </c>
      <c r="G8" s="14">
        <v>480</v>
      </c>
      <c r="H8" s="14">
        <v>10</v>
      </c>
      <c r="I8" s="16">
        <v>46272</v>
      </c>
      <c r="J8" s="12">
        <f t="shared" si="0"/>
        <v>37</v>
      </c>
      <c r="K8">
        <f>+IF(E8="","",VLOOKUP(E8,CATALOGO!G:I,2,0))</f>
        <v>1.5</v>
      </c>
      <c r="L8">
        <f>+IF(E8="","",VLOOKUP(E8,CATALOGO!G:I,3,0))</f>
        <v>36</v>
      </c>
      <c r="M8" s="15">
        <v>46276</v>
      </c>
      <c r="N8">
        <v>42837</v>
      </c>
    </row>
    <row r="9" spans="1:14" x14ac:dyDescent="0.25">
      <c r="A9" s="13" t="s">
        <v>1318</v>
      </c>
      <c r="B9" s="13" t="s">
        <v>1326</v>
      </c>
      <c r="C9" s="17" t="s">
        <v>1369</v>
      </c>
      <c r="D9" t="s">
        <v>15</v>
      </c>
      <c r="E9" s="88" t="s">
        <v>18</v>
      </c>
      <c r="F9" s="6">
        <f>+VLOOKUP(E9,CATALOGO!G:L,6,0)</f>
        <v>3</v>
      </c>
      <c r="G9" s="14">
        <v>96</v>
      </c>
      <c r="H9" s="14">
        <v>2</v>
      </c>
      <c r="I9" s="16">
        <v>46272</v>
      </c>
      <c r="J9" s="12">
        <f t="shared" si="0"/>
        <v>37</v>
      </c>
      <c r="K9">
        <f>+IF(E9="","",VLOOKUP(E9,CATALOGO!G:I,2,0))</f>
        <v>1.5</v>
      </c>
      <c r="L9">
        <f>+IF(E9="","",VLOOKUP(E9,CATALOGO!G:I,3,0))</f>
        <v>36</v>
      </c>
      <c r="M9" s="15">
        <v>46276</v>
      </c>
      <c r="N9">
        <v>42837</v>
      </c>
    </row>
    <row r="10" spans="1:14" x14ac:dyDescent="0.25">
      <c r="A10" s="13" t="s">
        <v>1312</v>
      </c>
      <c r="B10" s="13" t="s">
        <v>1320</v>
      </c>
      <c r="C10" s="17" t="s">
        <v>1369</v>
      </c>
      <c r="D10" t="s">
        <v>15</v>
      </c>
      <c r="E10" s="88" t="s">
        <v>16</v>
      </c>
      <c r="F10" s="6">
        <f>+VLOOKUP(E10,CATALOGO!G:L,6,0)</f>
        <v>6</v>
      </c>
      <c r="G10" s="14">
        <v>96</v>
      </c>
      <c r="H10" s="14">
        <v>2</v>
      </c>
      <c r="I10" s="16">
        <v>46272</v>
      </c>
      <c r="J10" s="12">
        <f t="shared" si="0"/>
        <v>37</v>
      </c>
      <c r="K10">
        <f>+IF(E10="","",VLOOKUP(E10,CATALOGO!G:I,2,0))</f>
        <v>1</v>
      </c>
      <c r="L10">
        <f>+IF(E10="","",VLOOKUP(E10,CATALOGO!G:I,3,0))</f>
        <v>24</v>
      </c>
      <c r="M10" s="15">
        <v>46277</v>
      </c>
      <c r="N10">
        <v>41945</v>
      </c>
    </row>
    <row r="11" spans="1:14" x14ac:dyDescent="0.25">
      <c r="A11" s="13" t="s">
        <v>1314</v>
      </c>
      <c r="B11" s="13" t="s">
        <v>1322</v>
      </c>
      <c r="C11" s="17" t="s">
        <v>1369</v>
      </c>
      <c r="D11" t="s">
        <v>15</v>
      </c>
      <c r="E11" s="88" t="s">
        <v>19</v>
      </c>
      <c r="F11" s="6">
        <f>+VLOOKUP(E11,CATALOGO!G:L,6,0)</f>
        <v>0</v>
      </c>
      <c r="G11" s="14">
        <v>10</v>
      </c>
      <c r="H11" s="14" t="s">
        <v>1327</v>
      </c>
      <c r="I11" s="16">
        <v>46272</v>
      </c>
      <c r="J11" s="12">
        <f t="shared" si="0"/>
        <v>37</v>
      </c>
      <c r="K11">
        <f>+IF(E11="","",VLOOKUP(E11,CATALOGO!G:I,2,0))</f>
        <v>1.5</v>
      </c>
      <c r="L11">
        <f>+IF(E11="","",VLOOKUP(E11,CATALOGO!G:I,3,0))</f>
        <v>36</v>
      </c>
      <c r="M11" s="15">
        <v>46276</v>
      </c>
    </row>
    <row r="12" spans="1:14" x14ac:dyDescent="0.25">
      <c r="A12" s="13" t="s">
        <v>1315</v>
      </c>
      <c r="B12" s="13" t="s">
        <v>1323</v>
      </c>
      <c r="C12" s="17" t="s">
        <v>1370</v>
      </c>
      <c r="D12" t="s">
        <v>15</v>
      </c>
      <c r="E12" s="88" t="s">
        <v>19</v>
      </c>
      <c r="F12" s="6">
        <f>+VLOOKUP(E12,CATALOGO!G:L,6,0)</f>
        <v>0</v>
      </c>
      <c r="G12" s="14">
        <v>48</v>
      </c>
      <c r="H12" s="14" t="s">
        <v>1327</v>
      </c>
      <c r="I12" s="16">
        <v>46272</v>
      </c>
      <c r="J12" s="12">
        <f t="shared" si="0"/>
        <v>37</v>
      </c>
      <c r="K12">
        <f>+IF(E12="","",VLOOKUP(E12,CATALOGO!G:I,2,0))</f>
        <v>1.5</v>
      </c>
      <c r="L12">
        <f>+IF(E12="","",VLOOKUP(E12,CATALOGO!G:I,3,0))</f>
        <v>36</v>
      </c>
      <c r="M12" s="15">
        <v>46276</v>
      </c>
    </row>
    <row r="13" spans="1:14" x14ac:dyDescent="0.25">
      <c r="A13" s="13" t="s">
        <v>1316</v>
      </c>
      <c r="B13" s="13" t="s">
        <v>1324</v>
      </c>
      <c r="C13" s="17" t="s">
        <v>1371</v>
      </c>
      <c r="D13" t="s">
        <v>15</v>
      </c>
      <c r="E13" s="88" t="s">
        <v>19</v>
      </c>
      <c r="F13" s="6">
        <f>+VLOOKUP(E13,CATALOGO!G:L,6,0)</f>
        <v>0</v>
      </c>
      <c r="G13" s="14">
        <v>63</v>
      </c>
      <c r="H13" s="14" t="s">
        <v>1327</v>
      </c>
      <c r="I13" s="16">
        <v>46272</v>
      </c>
      <c r="J13" s="12">
        <f t="shared" si="0"/>
        <v>37</v>
      </c>
      <c r="K13">
        <f>+IF(E13="","",VLOOKUP(E13,CATALOGO!G:I,2,0))</f>
        <v>1.5</v>
      </c>
      <c r="L13">
        <f>+IF(E13="","",VLOOKUP(E13,CATALOGO!G:I,3,0))</f>
        <v>36</v>
      </c>
      <c r="M13" s="15">
        <v>46276</v>
      </c>
    </row>
    <row r="14" spans="1:14" x14ac:dyDescent="0.25">
      <c r="A14" s="13" t="s">
        <v>1317</v>
      </c>
      <c r="B14" s="13" t="s">
        <v>1325</v>
      </c>
      <c r="C14" s="17" t="s">
        <v>1372</v>
      </c>
      <c r="D14" t="s">
        <v>15</v>
      </c>
      <c r="E14" s="88" t="s">
        <v>19</v>
      </c>
      <c r="F14" s="6">
        <f>+VLOOKUP(E14,CATALOGO!G:L,6,0)</f>
        <v>0</v>
      </c>
      <c r="G14" s="14">
        <v>20</v>
      </c>
      <c r="H14" s="14" t="s">
        <v>1327</v>
      </c>
      <c r="I14" s="16">
        <v>46272</v>
      </c>
      <c r="J14" s="12">
        <f t="shared" ref="J14:J77" si="1">+WEEKNUM(I14)</f>
        <v>37</v>
      </c>
      <c r="K14">
        <f>+IF(E14="","",VLOOKUP(E14,CATALOGO!G:I,2,0))</f>
        <v>1.5</v>
      </c>
      <c r="L14">
        <f>+IF(E14="","",VLOOKUP(E14,CATALOGO!G:I,3,0))</f>
        <v>36</v>
      </c>
      <c r="M14" s="15">
        <v>46276</v>
      </c>
    </row>
    <row r="15" spans="1:14" x14ac:dyDescent="0.25">
      <c r="A15" s="13" t="s">
        <v>1313</v>
      </c>
      <c r="B15" s="13" t="s">
        <v>1321</v>
      </c>
      <c r="C15" s="17" t="s">
        <v>1373</v>
      </c>
      <c r="D15" t="s">
        <v>20</v>
      </c>
      <c r="E15" s="88" t="s">
        <v>17</v>
      </c>
      <c r="F15" s="6">
        <f>+VLOOKUP(E15,CATALOGO!G:L,6,0)</f>
        <v>5</v>
      </c>
      <c r="G15" s="14">
        <v>84</v>
      </c>
      <c r="H15" s="14">
        <v>1.75</v>
      </c>
      <c r="I15" s="16">
        <v>46272</v>
      </c>
      <c r="J15" s="12">
        <f t="shared" si="1"/>
        <v>37</v>
      </c>
      <c r="K15">
        <f>+IF(E15="","",VLOOKUP(E15,CATALOGO!G:I,2,0))</f>
        <v>1</v>
      </c>
      <c r="L15">
        <f>+IF(E15="","",VLOOKUP(E15,CATALOGO!G:I,3,0))</f>
        <v>24</v>
      </c>
      <c r="M15" s="15">
        <v>46276</v>
      </c>
      <c r="N15">
        <v>43118</v>
      </c>
    </row>
    <row r="16" spans="1:14" x14ac:dyDescent="0.25">
      <c r="A16" s="13" t="s">
        <v>1312</v>
      </c>
      <c r="B16" s="13" t="s">
        <v>1320</v>
      </c>
      <c r="C16" s="17" t="s">
        <v>1373</v>
      </c>
      <c r="D16" t="s">
        <v>20</v>
      </c>
      <c r="E16" s="88" t="s">
        <v>17</v>
      </c>
      <c r="F16" s="6">
        <f>+VLOOKUP(E16,CATALOGO!G:L,6,0)</f>
        <v>5</v>
      </c>
      <c r="G16" s="14">
        <v>1068</v>
      </c>
      <c r="H16" s="14">
        <v>22.25</v>
      </c>
      <c r="I16" s="16">
        <v>46272</v>
      </c>
      <c r="J16" s="12">
        <f t="shared" si="1"/>
        <v>37</v>
      </c>
      <c r="K16">
        <f>+IF(E16="","",VLOOKUP(E16,CATALOGO!G:I,2,0))</f>
        <v>1</v>
      </c>
      <c r="L16">
        <f>+IF(E16="","",VLOOKUP(E16,CATALOGO!G:I,3,0))</f>
        <v>24</v>
      </c>
      <c r="M16" s="15">
        <v>46276</v>
      </c>
      <c r="N16">
        <v>43118</v>
      </c>
    </row>
    <row r="17" spans="1:14" x14ac:dyDescent="0.25">
      <c r="A17" s="13" t="s">
        <v>1312</v>
      </c>
      <c r="B17" s="13" t="s">
        <v>1320</v>
      </c>
      <c r="C17" s="17" t="s">
        <v>1373</v>
      </c>
      <c r="D17" t="s">
        <v>20</v>
      </c>
      <c r="E17" s="88" t="s">
        <v>16</v>
      </c>
      <c r="F17" s="6">
        <f>+VLOOKUP(E17,CATALOGO!G:L,6,0)</f>
        <v>6</v>
      </c>
      <c r="G17" s="14">
        <v>96</v>
      </c>
      <c r="H17" s="14">
        <v>2</v>
      </c>
      <c r="I17" s="16">
        <v>46272</v>
      </c>
      <c r="J17" s="12">
        <f t="shared" si="1"/>
        <v>37</v>
      </c>
      <c r="K17">
        <f>+IF(E17="","",VLOOKUP(E17,CATALOGO!G:I,2,0))</f>
        <v>1</v>
      </c>
      <c r="L17">
        <f>+IF(E17="","",VLOOKUP(E17,CATALOGO!G:I,3,0))</f>
        <v>24</v>
      </c>
      <c r="M17" s="15">
        <v>46277</v>
      </c>
      <c r="N17">
        <v>41945</v>
      </c>
    </row>
    <row r="18" spans="1:14" x14ac:dyDescent="0.25">
      <c r="A18" s="13" t="s">
        <v>1314</v>
      </c>
      <c r="B18" s="13" t="s">
        <v>1322</v>
      </c>
      <c r="C18" s="17" t="s">
        <v>1373</v>
      </c>
      <c r="D18" t="s">
        <v>20</v>
      </c>
      <c r="E18" s="88" t="s">
        <v>19</v>
      </c>
      <c r="F18" s="6">
        <f>+VLOOKUP(E18,CATALOGO!G:L,6,0)</f>
        <v>0</v>
      </c>
      <c r="G18" s="14">
        <v>84</v>
      </c>
      <c r="H18" s="14" t="s">
        <v>1327</v>
      </c>
      <c r="I18" s="16">
        <v>46272</v>
      </c>
      <c r="J18" s="12">
        <f t="shared" si="1"/>
        <v>37</v>
      </c>
      <c r="K18">
        <f>+IF(E18="","",VLOOKUP(E18,CATALOGO!G:I,2,0))</f>
        <v>1.5</v>
      </c>
      <c r="L18">
        <f>+IF(E18="","",VLOOKUP(E18,CATALOGO!G:I,3,0))</f>
        <v>36</v>
      </c>
      <c r="M18" s="15">
        <v>46276</v>
      </c>
    </row>
    <row r="19" spans="1:14" x14ac:dyDescent="0.25">
      <c r="A19" s="13" t="s">
        <v>1315</v>
      </c>
      <c r="B19" s="13" t="s">
        <v>1323</v>
      </c>
      <c r="C19" s="17" t="s">
        <v>1374</v>
      </c>
      <c r="D19" t="s">
        <v>20</v>
      </c>
      <c r="E19" s="88" t="s">
        <v>19</v>
      </c>
      <c r="F19" s="6">
        <f>+VLOOKUP(E19,CATALOGO!G:L,6,0)</f>
        <v>0</v>
      </c>
      <c r="G19" s="14">
        <v>88</v>
      </c>
      <c r="H19" s="14" t="s">
        <v>1327</v>
      </c>
      <c r="I19" s="16">
        <v>46272</v>
      </c>
      <c r="J19" s="12">
        <f t="shared" si="1"/>
        <v>37</v>
      </c>
      <c r="K19">
        <f>+IF(E19="","",VLOOKUP(E19,CATALOGO!G:I,2,0))</f>
        <v>1.5</v>
      </c>
      <c r="L19">
        <f>+IF(E19="","",VLOOKUP(E19,CATALOGO!G:I,3,0))</f>
        <v>36</v>
      </c>
      <c r="M19" s="15">
        <v>46276</v>
      </c>
    </row>
    <row r="20" spans="1:14" x14ac:dyDescent="0.25">
      <c r="A20" s="13" t="s">
        <v>1316</v>
      </c>
      <c r="B20" s="13" t="s">
        <v>1324</v>
      </c>
      <c r="C20" s="17" t="s">
        <v>1375</v>
      </c>
      <c r="D20" t="s">
        <v>20</v>
      </c>
      <c r="E20" s="88" t="s">
        <v>19</v>
      </c>
      <c r="F20" s="6">
        <f>+VLOOKUP(E20,CATALOGO!G:L,6,0)</f>
        <v>0</v>
      </c>
      <c r="G20" s="14">
        <v>29</v>
      </c>
      <c r="H20" s="14" t="s">
        <v>1327</v>
      </c>
      <c r="I20" s="16">
        <v>46272</v>
      </c>
      <c r="J20" s="12">
        <f t="shared" si="1"/>
        <v>37</v>
      </c>
      <c r="K20">
        <f>+IF(E20="","",VLOOKUP(E20,CATALOGO!G:I,2,0))</f>
        <v>1.5</v>
      </c>
      <c r="L20">
        <f>+IF(E20="","",VLOOKUP(E20,CATALOGO!G:I,3,0))</f>
        <v>36</v>
      </c>
      <c r="M20" s="15">
        <v>46276</v>
      </c>
    </row>
    <row r="21" spans="1:14" x14ac:dyDescent="0.25">
      <c r="A21" s="13" t="s">
        <v>1317</v>
      </c>
      <c r="B21" s="13" t="s">
        <v>1325</v>
      </c>
      <c r="C21" s="17" t="s">
        <v>1376</v>
      </c>
      <c r="D21" t="s">
        <v>20</v>
      </c>
      <c r="E21" s="88" t="s">
        <v>19</v>
      </c>
      <c r="F21" s="6">
        <f>+VLOOKUP(E21,CATALOGO!G:L,6,0)</f>
        <v>0</v>
      </c>
      <c r="G21" s="14">
        <v>48</v>
      </c>
      <c r="H21" s="14" t="s">
        <v>1327</v>
      </c>
      <c r="I21" s="16">
        <v>46272</v>
      </c>
      <c r="J21" s="12">
        <f t="shared" si="1"/>
        <v>37</v>
      </c>
      <c r="K21">
        <f>+IF(E21="","",VLOOKUP(E21,CATALOGO!G:I,2,0))</f>
        <v>1.5</v>
      </c>
      <c r="L21">
        <f>+IF(E21="","",VLOOKUP(E21,CATALOGO!G:I,3,0))</f>
        <v>36</v>
      </c>
      <c r="M21" s="15">
        <v>46276</v>
      </c>
    </row>
    <row r="22" spans="1:14" x14ac:dyDescent="0.25">
      <c r="A22" s="13" t="s">
        <v>1312</v>
      </c>
      <c r="B22" s="13" t="s">
        <v>1320</v>
      </c>
      <c r="C22" s="17" t="s">
        <v>1377</v>
      </c>
      <c r="D22" t="s">
        <v>21</v>
      </c>
      <c r="E22" s="88" t="s">
        <v>18</v>
      </c>
      <c r="F22" s="6">
        <f>+VLOOKUP(E22,CATALOGO!G:L,6,0)</f>
        <v>3</v>
      </c>
      <c r="G22" s="14">
        <v>432</v>
      </c>
      <c r="H22" s="14">
        <v>9</v>
      </c>
      <c r="I22" s="16">
        <v>46272</v>
      </c>
      <c r="J22" s="12">
        <f t="shared" si="1"/>
        <v>37</v>
      </c>
      <c r="K22">
        <f>+IF(E22="","",VLOOKUP(E22,CATALOGO!G:I,2,0))</f>
        <v>1.5</v>
      </c>
      <c r="L22">
        <f>+IF(E22="","",VLOOKUP(E22,CATALOGO!G:I,3,0))</f>
        <v>36</v>
      </c>
      <c r="M22" s="15">
        <v>46276</v>
      </c>
      <c r="N22">
        <v>42837</v>
      </c>
    </row>
    <row r="23" spans="1:14" x14ac:dyDescent="0.25">
      <c r="A23" s="13" t="s">
        <v>1328</v>
      </c>
      <c r="B23" s="13" t="s">
        <v>1348</v>
      </c>
      <c r="C23" s="17" t="s">
        <v>1377</v>
      </c>
      <c r="D23" t="s">
        <v>21</v>
      </c>
      <c r="E23" s="88" t="s">
        <v>14</v>
      </c>
      <c r="F23" s="6">
        <f>+VLOOKUP(E23,CATALOGO!G:L,6,0)</f>
        <v>8</v>
      </c>
      <c r="G23" s="14">
        <v>960</v>
      </c>
      <c r="H23" s="14">
        <v>20</v>
      </c>
      <c r="I23" s="16">
        <v>46272</v>
      </c>
      <c r="J23" s="12">
        <f t="shared" si="1"/>
        <v>37</v>
      </c>
      <c r="K23">
        <f>+IF(E23="","",VLOOKUP(E23,CATALOGO!G:I,2,0))</f>
        <v>3</v>
      </c>
      <c r="L23">
        <f>+IF(E23="","",VLOOKUP(E23,CATALOGO!G:I,3,0))</f>
        <v>72</v>
      </c>
      <c r="M23" s="15">
        <v>46277</v>
      </c>
      <c r="N23">
        <v>42952</v>
      </c>
    </row>
    <row r="24" spans="1:14" x14ac:dyDescent="0.25">
      <c r="A24" s="13" t="s">
        <v>1314</v>
      </c>
      <c r="B24" s="13" t="s">
        <v>1322</v>
      </c>
      <c r="C24" s="17" t="s">
        <v>1377</v>
      </c>
      <c r="D24" t="s">
        <v>21</v>
      </c>
      <c r="E24" s="88" t="s">
        <v>19</v>
      </c>
      <c r="F24" s="6">
        <f>+VLOOKUP(E24,CATALOGO!G:L,6,0)</f>
        <v>0</v>
      </c>
      <c r="G24" s="14">
        <v>29</v>
      </c>
      <c r="H24" s="14" t="s">
        <v>1327</v>
      </c>
      <c r="I24" s="16">
        <v>46272</v>
      </c>
      <c r="J24" s="12">
        <f t="shared" si="1"/>
        <v>37</v>
      </c>
      <c r="K24">
        <f>+IF(E24="","",VLOOKUP(E24,CATALOGO!G:I,2,0))</f>
        <v>1.5</v>
      </c>
      <c r="L24">
        <f>+IF(E24="","",VLOOKUP(E24,CATALOGO!G:I,3,0))</f>
        <v>36</v>
      </c>
      <c r="M24" s="15">
        <v>46276</v>
      </c>
    </row>
    <row r="25" spans="1:14" x14ac:dyDescent="0.25">
      <c r="A25" s="13" t="s">
        <v>1314</v>
      </c>
      <c r="B25" s="13" t="s">
        <v>1322</v>
      </c>
      <c r="C25" s="17" t="s">
        <v>1377</v>
      </c>
      <c r="D25" t="s">
        <v>21</v>
      </c>
      <c r="E25" s="88" t="s">
        <v>19</v>
      </c>
      <c r="F25" s="6">
        <f>+VLOOKUP(E25,CATALOGO!G:L,6,0)</f>
        <v>0</v>
      </c>
      <c r="G25" s="14">
        <v>45</v>
      </c>
      <c r="H25" s="14" t="s">
        <v>1327</v>
      </c>
      <c r="I25" s="16">
        <v>46272</v>
      </c>
      <c r="J25" s="12">
        <f t="shared" si="1"/>
        <v>37</v>
      </c>
      <c r="K25">
        <f>+IF(E25="","",VLOOKUP(E25,CATALOGO!G:I,2,0))</f>
        <v>1.5</v>
      </c>
      <c r="L25">
        <f>+IF(E25="","",VLOOKUP(E25,CATALOGO!G:I,3,0))</f>
        <v>36</v>
      </c>
      <c r="M25" s="15">
        <v>46276</v>
      </c>
    </row>
    <row r="26" spans="1:14" x14ac:dyDescent="0.25">
      <c r="A26" s="13" t="s">
        <v>1315</v>
      </c>
      <c r="B26" s="13" t="s">
        <v>1323</v>
      </c>
      <c r="C26" s="17" t="s">
        <v>1378</v>
      </c>
      <c r="D26" t="s">
        <v>21</v>
      </c>
      <c r="E26" s="88" t="s">
        <v>19</v>
      </c>
      <c r="F26" s="6">
        <f>+VLOOKUP(E26,CATALOGO!G:L,6,0)</f>
        <v>0</v>
      </c>
      <c r="G26" s="14">
        <v>12</v>
      </c>
      <c r="H26" s="14" t="s">
        <v>1327</v>
      </c>
      <c r="I26" s="16">
        <v>46272</v>
      </c>
      <c r="J26" s="12">
        <f t="shared" si="1"/>
        <v>37</v>
      </c>
      <c r="K26">
        <f>+IF(E26="","",VLOOKUP(E26,CATALOGO!G:I,2,0))</f>
        <v>1.5</v>
      </c>
      <c r="L26">
        <f>+IF(E26="","",VLOOKUP(E26,CATALOGO!G:I,3,0))</f>
        <v>36</v>
      </c>
      <c r="M26" s="15">
        <v>46276</v>
      </c>
    </row>
    <row r="27" spans="1:14" x14ac:dyDescent="0.25">
      <c r="A27" s="13" t="s">
        <v>1315</v>
      </c>
      <c r="B27" s="13" t="s">
        <v>1323</v>
      </c>
      <c r="C27" s="17" t="s">
        <v>1378</v>
      </c>
      <c r="D27" t="s">
        <v>21</v>
      </c>
      <c r="E27" s="88" t="s">
        <v>19</v>
      </c>
      <c r="F27" s="6">
        <f>+VLOOKUP(E27,CATALOGO!G:L,6,0)</f>
        <v>0</v>
      </c>
      <c r="G27" s="14">
        <v>15</v>
      </c>
      <c r="H27" s="14" t="s">
        <v>1327</v>
      </c>
      <c r="I27" s="16">
        <v>46272</v>
      </c>
      <c r="J27" s="12">
        <f t="shared" si="1"/>
        <v>37</v>
      </c>
      <c r="K27">
        <f>+IF(E27="","",VLOOKUP(E27,CATALOGO!G:I,2,0))</f>
        <v>1.5</v>
      </c>
      <c r="L27">
        <f>+IF(E27="","",VLOOKUP(E27,CATALOGO!G:I,3,0))</f>
        <v>36</v>
      </c>
      <c r="M27" s="15">
        <v>46276</v>
      </c>
    </row>
    <row r="28" spans="1:14" x14ac:dyDescent="0.25">
      <c r="A28" s="13" t="s">
        <v>1316</v>
      </c>
      <c r="B28" s="13" t="s">
        <v>1324</v>
      </c>
      <c r="C28" s="17" t="s">
        <v>1379</v>
      </c>
      <c r="D28" t="s">
        <v>21</v>
      </c>
      <c r="E28" s="88" t="s">
        <v>19</v>
      </c>
      <c r="F28" s="6">
        <f>+VLOOKUP(E28,CATALOGO!G:L,6,0)</f>
        <v>0</v>
      </c>
      <c r="G28" s="14">
        <v>4</v>
      </c>
      <c r="H28" s="14" t="s">
        <v>1327</v>
      </c>
      <c r="I28" s="16">
        <v>46272</v>
      </c>
      <c r="J28" s="12">
        <f t="shared" si="1"/>
        <v>37</v>
      </c>
      <c r="K28">
        <f>+IF(E28="","",VLOOKUP(E28,CATALOGO!G:I,2,0))</f>
        <v>1.5</v>
      </c>
      <c r="L28">
        <f>+IF(E28="","",VLOOKUP(E28,CATALOGO!G:I,3,0))</f>
        <v>36</v>
      </c>
      <c r="M28" s="15">
        <v>46276</v>
      </c>
    </row>
    <row r="29" spans="1:14" x14ac:dyDescent="0.25">
      <c r="A29" s="13" t="s">
        <v>1316</v>
      </c>
      <c r="B29" s="13" t="s">
        <v>1324</v>
      </c>
      <c r="C29" s="17" t="s">
        <v>1379</v>
      </c>
      <c r="D29" t="s">
        <v>21</v>
      </c>
      <c r="E29" s="88" t="s">
        <v>19</v>
      </c>
      <c r="F29" s="6">
        <f>+VLOOKUP(E29,CATALOGO!G:L,6,0)</f>
        <v>0</v>
      </c>
      <c r="G29" s="14">
        <v>26</v>
      </c>
      <c r="H29" s="14" t="s">
        <v>1327</v>
      </c>
      <c r="I29" s="16">
        <v>46272</v>
      </c>
      <c r="J29" s="12">
        <f t="shared" si="1"/>
        <v>37</v>
      </c>
      <c r="K29">
        <f>+IF(E29="","",VLOOKUP(E29,CATALOGO!G:I,2,0))</f>
        <v>1.5</v>
      </c>
      <c r="L29">
        <f>+IF(E29="","",VLOOKUP(E29,CATALOGO!G:I,3,0))</f>
        <v>36</v>
      </c>
      <c r="M29" s="15">
        <v>46276</v>
      </c>
    </row>
    <row r="30" spans="1:14" x14ac:dyDescent="0.25">
      <c r="A30" s="13" t="s">
        <v>1317</v>
      </c>
      <c r="B30" s="13" t="s">
        <v>1325</v>
      </c>
      <c r="C30" s="17" t="s">
        <v>1380</v>
      </c>
      <c r="D30" t="s">
        <v>21</v>
      </c>
      <c r="E30" s="88" t="s">
        <v>19</v>
      </c>
      <c r="F30" s="6">
        <f>+VLOOKUP(E30,CATALOGO!G:L,6,0)</f>
        <v>0</v>
      </c>
      <c r="G30" s="14">
        <v>92</v>
      </c>
      <c r="H30" s="14" t="s">
        <v>1327</v>
      </c>
      <c r="I30" s="16">
        <v>46272</v>
      </c>
      <c r="J30" s="12">
        <f t="shared" si="1"/>
        <v>37</v>
      </c>
      <c r="K30">
        <f>+IF(E30="","",VLOOKUP(E30,CATALOGO!G:I,2,0))</f>
        <v>1.5</v>
      </c>
      <c r="L30">
        <f>+IF(E30="","",VLOOKUP(E30,CATALOGO!G:I,3,0))</f>
        <v>36</v>
      </c>
      <c r="M30" s="15">
        <v>46276</v>
      </c>
    </row>
    <row r="31" spans="1:14" x14ac:dyDescent="0.25">
      <c r="A31" s="13" t="s">
        <v>1328</v>
      </c>
      <c r="B31" s="13" t="s">
        <v>1348</v>
      </c>
      <c r="C31" s="17" t="s">
        <v>1381</v>
      </c>
      <c r="D31" t="s">
        <v>13</v>
      </c>
      <c r="E31" s="88" t="s">
        <v>14</v>
      </c>
      <c r="F31" s="6">
        <f>+VLOOKUP(E31,CATALOGO!G:L,6,0)</f>
        <v>8</v>
      </c>
      <c r="G31" s="14">
        <v>576</v>
      </c>
      <c r="H31" s="14">
        <v>20</v>
      </c>
      <c r="I31" s="16">
        <v>46273</v>
      </c>
      <c r="J31" s="12">
        <f t="shared" si="1"/>
        <v>37</v>
      </c>
      <c r="K31">
        <f>+IF(E31="","",VLOOKUP(E31,CATALOGO!G:I,2,0))</f>
        <v>3</v>
      </c>
      <c r="L31">
        <f>+IF(E31="","",VLOOKUP(E31,CATALOGO!G:I,3,0))</f>
        <v>72</v>
      </c>
      <c r="M31" s="15">
        <v>46276</v>
      </c>
      <c r="N31">
        <v>42951</v>
      </c>
    </row>
    <row r="32" spans="1:14" x14ac:dyDescent="0.25">
      <c r="A32" s="13" t="s">
        <v>1312</v>
      </c>
      <c r="B32" s="13" t="s">
        <v>1320</v>
      </c>
      <c r="C32" s="17" t="s">
        <v>1381</v>
      </c>
      <c r="D32" t="s">
        <v>13</v>
      </c>
      <c r="E32" s="88" t="s">
        <v>22</v>
      </c>
      <c r="F32" s="6">
        <f>+VLOOKUP(E32,CATALOGO!G:L,6,0)</f>
        <v>4</v>
      </c>
      <c r="G32" s="14">
        <v>624</v>
      </c>
      <c r="H32" s="14">
        <v>13</v>
      </c>
      <c r="I32" s="16">
        <v>46273</v>
      </c>
      <c r="J32" s="12">
        <f t="shared" si="1"/>
        <v>37</v>
      </c>
      <c r="K32">
        <f>+IF(E32="","",VLOOKUP(E32,CATALOGO!G:I,2,0))</f>
        <v>1.5</v>
      </c>
      <c r="L32">
        <f>+IF(E32="","",VLOOKUP(E32,CATALOGO!G:I,3,0))</f>
        <v>36</v>
      </c>
      <c r="M32" s="15">
        <v>46278</v>
      </c>
      <c r="N32">
        <v>41925</v>
      </c>
    </row>
    <row r="33" spans="1:14" x14ac:dyDescent="0.25">
      <c r="A33" s="13" t="s">
        <v>1328</v>
      </c>
      <c r="B33" s="13" t="s">
        <v>1348</v>
      </c>
      <c r="C33" s="17" t="s">
        <v>1382</v>
      </c>
      <c r="D33" t="s">
        <v>23</v>
      </c>
      <c r="E33" s="88" t="s">
        <v>14</v>
      </c>
      <c r="F33" s="6">
        <f>+VLOOKUP(E33,CATALOGO!G:L,6,0)</f>
        <v>8</v>
      </c>
      <c r="G33" s="14">
        <v>960</v>
      </c>
      <c r="H33" s="14">
        <v>20</v>
      </c>
      <c r="I33" s="16">
        <v>46273</v>
      </c>
      <c r="J33" s="12">
        <f t="shared" si="1"/>
        <v>37</v>
      </c>
      <c r="K33">
        <f>+IF(E33="","",VLOOKUP(E33,CATALOGO!G:I,2,0))</f>
        <v>3</v>
      </c>
      <c r="L33">
        <f>+IF(E33="","",VLOOKUP(E33,CATALOGO!G:I,3,0))</f>
        <v>72</v>
      </c>
      <c r="M33" s="15">
        <v>46277</v>
      </c>
      <c r="N33">
        <v>42953</v>
      </c>
    </row>
    <row r="34" spans="1:14" x14ac:dyDescent="0.25">
      <c r="A34" s="13" t="s">
        <v>1328</v>
      </c>
      <c r="B34" s="13" t="s">
        <v>1348</v>
      </c>
      <c r="C34" s="17" t="s">
        <v>1383</v>
      </c>
      <c r="D34" t="s">
        <v>24</v>
      </c>
      <c r="E34" s="88" t="s">
        <v>14</v>
      </c>
      <c r="F34" s="6">
        <f>+VLOOKUP(E34,CATALOGO!G:L,6,0)</f>
        <v>8</v>
      </c>
      <c r="G34" s="14">
        <v>960</v>
      </c>
      <c r="H34" s="14">
        <v>20</v>
      </c>
      <c r="I34" s="16">
        <v>46273</v>
      </c>
      <c r="J34" s="12">
        <f t="shared" si="1"/>
        <v>37</v>
      </c>
      <c r="K34">
        <f>+IF(E34="","",VLOOKUP(E34,CATALOGO!G:I,2,0))</f>
        <v>3</v>
      </c>
      <c r="L34">
        <f>+IF(E34="","",VLOOKUP(E34,CATALOGO!G:I,3,0))</f>
        <v>72</v>
      </c>
      <c r="M34" s="15">
        <v>46279</v>
      </c>
      <c r="N34">
        <v>43704</v>
      </c>
    </row>
    <row r="35" spans="1:14" x14ac:dyDescent="0.25">
      <c r="A35" s="13" t="s">
        <v>1311</v>
      </c>
      <c r="B35" s="13" t="s">
        <v>1319</v>
      </c>
      <c r="C35" s="17" t="s">
        <v>1383</v>
      </c>
      <c r="D35" t="s">
        <v>24</v>
      </c>
      <c r="E35" s="88" t="s">
        <v>25</v>
      </c>
      <c r="F35" s="6">
        <f>+VLOOKUP(E35,CATALOGO!G:L,6,0)</f>
        <v>1</v>
      </c>
      <c r="G35" s="14">
        <v>480</v>
      </c>
      <c r="H35" s="14">
        <v>10</v>
      </c>
      <c r="I35" s="16">
        <v>46273</v>
      </c>
      <c r="J35" s="12">
        <f t="shared" si="1"/>
        <v>37</v>
      </c>
      <c r="K35">
        <f>+IF(E35="","",VLOOKUP(E35,CATALOGO!G:I,2,0))</f>
        <v>3</v>
      </c>
      <c r="L35">
        <f>+IF(E35="","",VLOOKUP(E35,CATALOGO!G:I,3,0))</f>
        <v>72</v>
      </c>
      <c r="M35" s="15">
        <v>46281</v>
      </c>
      <c r="N35">
        <v>43489</v>
      </c>
    </row>
    <row r="36" spans="1:14" x14ac:dyDescent="0.25">
      <c r="A36" s="13" t="s">
        <v>1329</v>
      </c>
      <c r="B36" s="13" t="s">
        <v>1349</v>
      </c>
      <c r="C36" s="17" t="s">
        <v>1384</v>
      </c>
      <c r="D36" t="s">
        <v>20</v>
      </c>
      <c r="E36" s="88" t="s">
        <v>26</v>
      </c>
      <c r="F36" s="6">
        <f>+VLOOKUP(E36,CATALOGO!G:L,6,0)</f>
        <v>0</v>
      </c>
      <c r="G36" s="14">
        <v>810</v>
      </c>
      <c r="H36" s="14">
        <v>15</v>
      </c>
      <c r="I36" s="16">
        <v>46273</v>
      </c>
      <c r="J36" s="12">
        <f t="shared" si="1"/>
        <v>37</v>
      </c>
      <c r="K36">
        <f>+IF(E36="","",VLOOKUP(E36,CATALOGO!G:I,2,0))</f>
        <v>2</v>
      </c>
      <c r="L36">
        <f>+IF(E36="","",VLOOKUP(E36,CATALOGO!G:I,3,0))</f>
        <v>48</v>
      </c>
      <c r="M36" s="15">
        <v>46278</v>
      </c>
      <c r="N36">
        <v>43897</v>
      </c>
    </row>
    <row r="37" spans="1:14" x14ac:dyDescent="0.25">
      <c r="A37" s="13" t="s">
        <v>1330</v>
      </c>
      <c r="B37" s="13" t="s">
        <v>1350</v>
      </c>
      <c r="C37" s="17" t="s">
        <v>1384</v>
      </c>
      <c r="D37" t="s">
        <v>20</v>
      </c>
      <c r="E37" s="88" t="s">
        <v>26</v>
      </c>
      <c r="F37" s="6">
        <f>+VLOOKUP(E37,CATALOGO!G:L,6,0)</f>
        <v>0</v>
      </c>
      <c r="G37" s="14">
        <v>270</v>
      </c>
      <c r="H37" s="14">
        <v>5</v>
      </c>
      <c r="I37" s="16">
        <v>46273</v>
      </c>
      <c r="J37" s="12">
        <f t="shared" si="1"/>
        <v>37</v>
      </c>
      <c r="K37">
        <f>+IF(E37="","",VLOOKUP(E37,CATALOGO!G:I,2,0))</f>
        <v>2</v>
      </c>
      <c r="L37">
        <f>+IF(E37="","",VLOOKUP(E37,CATALOGO!G:I,3,0))</f>
        <v>48</v>
      </c>
      <c r="M37" s="15">
        <v>46278</v>
      </c>
      <c r="N37">
        <v>43897</v>
      </c>
    </row>
    <row r="38" spans="1:14" x14ac:dyDescent="0.25">
      <c r="A38" s="13" t="s">
        <v>1312</v>
      </c>
      <c r="B38" s="13" t="s">
        <v>1320</v>
      </c>
      <c r="C38" s="17" t="s">
        <v>1384</v>
      </c>
      <c r="D38" t="s">
        <v>20</v>
      </c>
      <c r="E38" s="88" t="s">
        <v>16</v>
      </c>
      <c r="F38" s="6">
        <f>+VLOOKUP(E38,CATALOGO!G:L,6,0)</f>
        <v>6</v>
      </c>
      <c r="G38" s="14">
        <v>240</v>
      </c>
      <c r="H38" s="14">
        <v>5</v>
      </c>
      <c r="I38" s="16">
        <v>46273</v>
      </c>
      <c r="J38" s="12">
        <f t="shared" si="1"/>
        <v>37</v>
      </c>
      <c r="K38">
        <f>+IF(E38="","",VLOOKUP(E38,CATALOGO!G:I,2,0))</f>
        <v>1</v>
      </c>
      <c r="L38">
        <f>+IF(E38="","",VLOOKUP(E38,CATALOGO!G:I,3,0))</f>
        <v>24</v>
      </c>
      <c r="M38" s="15">
        <v>46277</v>
      </c>
      <c r="N38" t="s">
        <v>1568</v>
      </c>
    </row>
    <row r="39" spans="1:14" x14ac:dyDescent="0.25">
      <c r="A39" s="13" t="s">
        <v>1314</v>
      </c>
      <c r="B39" s="13" t="s">
        <v>1322</v>
      </c>
      <c r="C39" s="17" t="s">
        <v>1384</v>
      </c>
      <c r="D39" t="s">
        <v>20</v>
      </c>
      <c r="E39" s="88" t="s">
        <v>19</v>
      </c>
      <c r="F39" s="6">
        <f>+VLOOKUP(E39,CATALOGO!G:L,6,0)</f>
        <v>0</v>
      </c>
      <c r="G39" s="14">
        <v>53</v>
      </c>
      <c r="H39" s="14" t="s">
        <v>1327</v>
      </c>
      <c r="I39" s="16">
        <v>46273</v>
      </c>
      <c r="J39" s="12">
        <f t="shared" si="1"/>
        <v>37</v>
      </c>
      <c r="K39">
        <f>+IF(E39="","",VLOOKUP(E39,CATALOGO!G:I,2,0))</f>
        <v>1.5</v>
      </c>
      <c r="L39">
        <f>+IF(E39="","",VLOOKUP(E39,CATALOGO!G:I,3,0))</f>
        <v>36</v>
      </c>
      <c r="M39" s="15">
        <v>46275</v>
      </c>
      <c r="N39" t="s">
        <v>1568</v>
      </c>
    </row>
    <row r="40" spans="1:14" x14ac:dyDescent="0.25">
      <c r="A40" s="13" t="s">
        <v>1315</v>
      </c>
      <c r="B40" s="13" t="s">
        <v>1323</v>
      </c>
      <c r="C40" s="17" t="s">
        <v>1385</v>
      </c>
      <c r="D40" t="s">
        <v>20</v>
      </c>
      <c r="E40" s="88" t="s">
        <v>19</v>
      </c>
      <c r="F40" s="6">
        <f>+VLOOKUP(E40,CATALOGO!G:L,6,0)</f>
        <v>0</v>
      </c>
      <c r="G40" s="14">
        <v>68</v>
      </c>
      <c r="H40" s="14" t="s">
        <v>1327</v>
      </c>
      <c r="I40" s="16">
        <v>46273</v>
      </c>
      <c r="J40" s="12">
        <f t="shared" si="1"/>
        <v>37</v>
      </c>
      <c r="K40">
        <f>+IF(E40="","",VLOOKUP(E40,CATALOGO!G:I,2,0))</f>
        <v>1.5</v>
      </c>
      <c r="L40">
        <f>+IF(E40="","",VLOOKUP(E40,CATALOGO!G:I,3,0))</f>
        <v>36</v>
      </c>
      <c r="M40" s="15">
        <v>46275</v>
      </c>
      <c r="N40" t="s">
        <v>1568</v>
      </c>
    </row>
    <row r="41" spans="1:14" x14ac:dyDescent="0.25">
      <c r="A41" s="13" t="s">
        <v>1316</v>
      </c>
      <c r="B41" s="13" t="s">
        <v>1324</v>
      </c>
      <c r="C41" s="17" t="s">
        <v>1386</v>
      </c>
      <c r="D41" t="s">
        <v>20</v>
      </c>
      <c r="E41" s="88" t="s">
        <v>19</v>
      </c>
      <c r="F41" s="6">
        <f>+VLOOKUP(E41,CATALOGO!G:L,6,0)</f>
        <v>0</v>
      </c>
      <c r="G41" s="14">
        <v>9</v>
      </c>
      <c r="H41" s="14" t="s">
        <v>1327</v>
      </c>
      <c r="I41" s="16">
        <v>46273</v>
      </c>
      <c r="J41" s="12">
        <f t="shared" si="1"/>
        <v>37</v>
      </c>
      <c r="K41">
        <f>+IF(E41="","",VLOOKUP(E41,CATALOGO!G:I,2,0))</f>
        <v>1.5</v>
      </c>
      <c r="L41">
        <f>+IF(E41="","",VLOOKUP(E41,CATALOGO!G:I,3,0))</f>
        <v>36</v>
      </c>
      <c r="M41" s="15">
        <v>46275</v>
      </c>
      <c r="N41" t="s">
        <v>1568</v>
      </c>
    </row>
    <row r="42" spans="1:14" x14ac:dyDescent="0.25">
      <c r="A42" s="13" t="s">
        <v>1317</v>
      </c>
      <c r="B42" s="13" t="s">
        <v>1325</v>
      </c>
      <c r="C42" s="17" t="s">
        <v>1387</v>
      </c>
      <c r="D42" t="s">
        <v>20</v>
      </c>
      <c r="E42" s="88" t="s">
        <v>19</v>
      </c>
      <c r="F42" s="6">
        <f>+VLOOKUP(E42,CATALOGO!G:L,6,0)</f>
        <v>0</v>
      </c>
      <c r="G42" s="14">
        <v>38</v>
      </c>
      <c r="H42" s="14" t="s">
        <v>1327</v>
      </c>
      <c r="I42" s="16">
        <v>46273</v>
      </c>
      <c r="J42" s="12">
        <f t="shared" si="1"/>
        <v>37</v>
      </c>
      <c r="K42">
        <f>+IF(E42="","",VLOOKUP(E42,CATALOGO!G:I,2,0))</f>
        <v>1.5</v>
      </c>
      <c r="L42">
        <f>+IF(E42="","",VLOOKUP(E42,CATALOGO!G:I,3,0))</f>
        <v>36</v>
      </c>
      <c r="M42" s="15">
        <v>46275</v>
      </c>
      <c r="N42" t="s">
        <v>1568</v>
      </c>
    </row>
    <row r="43" spans="1:14" x14ac:dyDescent="0.25">
      <c r="A43" s="13" t="s">
        <v>1331</v>
      </c>
      <c r="B43" s="13" t="s">
        <v>1351</v>
      </c>
      <c r="C43" s="17" t="s">
        <v>1388</v>
      </c>
      <c r="D43" t="s">
        <v>27</v>
      </c>
      <c r="E43" s="88" t="s">
        <v>19</v>
      </c>
      <c r="F43" s="6">
        <f>+VLOOKUP(E43,CATALOGO!G:L,6,0)</f>
        <v>0</v>
      </c>
      <c r="G43" s="14">
        <v>144</v>
      </c>
      <c r="H43" s="14">
        <v>3</v>
      </c>
      <c r="I43" s="16">
        <v>46273</v>
      </c>
      <c r="J43" s="12">
        <f t="shared" si="1"/>
        <v>37</v>
      </c>
      <c r="K43">
        <f>+IF(E43="","",VLOOKUP(E43,CATALOGO!G:I,2,0))</f>
        <v>1.5</v>
      </c>
      <c r="L43">
        <f>+IF(E43="","",VLOOKUP(E43,CATALOGO!G:I,3,0))</f>
        <v>36</v>
      </c>
      <c r="M43" s="15">
        <v>46280</v>
      </c>
    </row>
    <row r="44" spans="1:14" x14ac:dyDescent="0.25">
      <c r="A44" s="13" t="s">
        <v>1331</v>
      </c>
      <c r="B44" s="13" t="s">
        <v>1351</v>
      </c>
      <c r="C44" s="17" t="s">
        <v>1388</v>
      </c>
      <c r="D44" t="s">
        <v>27</v>
      </c>
      <c r="E44" s="88" t="s">
        <v>19</v>
      </c>
      <c r="F44" s="6">
        <f>+VLOOKUP(E44,CATALOGO!G:L,6,0)</f>
        <v>0</v>
      </c>
      <c r="G44" s="14">
        <v>336</v>
      </c>
      <c r="H44" s="14">
        <v>7</v>
      </c>
      <c r="I44" s="16">
        <v>46273</v>
      </c>
      <c r="J44" s="12">
        <f t="shared" si="1"/>
        <v>37</v>
      </c>
      <c r="K44">
        <f>+IF(E44="","",VLOOKUP(E44,CATALOGO!G:I,2,0))</f>
        <v>1.5</v>
      </c>
      <c r="L44">
        <f>+IF(E44="","",VLOOKUP(E44,CATALOGO!G:I,3,0))</f>
        <v>36</v>
      </c>
      <c r="M44" s="15">
        <v>46278</v>
      </c>
    </row>
    <row r="45" spans="1:14" x14ac:dyDescent="0.25">
      <c r="A45" s="13" t="s">
        <v>1312</v>
      </c>
      <c r="B45" s="13" t="s">
        <v>1320</v>
      </c>
      <c r="C45" s="17" t="s">
        <v>1389</v>
      </c>
      <c r="D45" t="s">
        <v>21</v>
      </c>
      <c r="E45" s="88" t="s">
        <v>18</v>
      </c>
      <c r="F45" s="6">
        <f>+VLOOKUP(E45,CATALOGO!G:L,6,0)</f>
        <v>3</v>
      </c>
      <c r="G45" s="14">
        <v>144</v>
      </c>
      <c r="H45" s="14">
        <v>3</v>
      </c>
      <c r="I45" s="16">
        <v>46273</v>
      </c>
      <c r="J45" s="12">
        <f t="shared" si="1"/>
        <v>37</v>
      </c>
      <c r="K45">
        <f>+IF(E45="","",VLOOKUP(E45,CATALOGO!G:I,2,0))</f>
        <v>1.5</v>
      </c>
      <c r="L45">
        <f>+IF(E45="","",VLOOKUP(E45,CATALOGO!G:I,3,0))</f>
        <v>36</v>
      </c>
      <c r="M45" s="15">
        <v>46276</v>
      </c>
      <c r="N45">
        <v>42837</v>
      </c>
    </row>
    <row r="46" spans="1:14" x14ac:dyDescent="0.25">
      <c r="A46" s="13" t="s">
        <v>1312</v>
      </c>
      <c r="B46" s="13" t="s">
        <v>1320</v>
      </c>
      <c r="C46" s="17" t="s">
        <v>1389</v>
      </c>
      <c r="D46" t="s">
        <v>21</v>
      </c>
      <c r="E46" s="88" t="s">
        <v>31</v>
      </c>
      <c r="F46" s="6">
        <f>+VLOOKUP(E46,CATALOGO!G:L,6,0)</f>
        <v>2</v>
      </c>
      <c r="G46" s="14">
        <v>480</v>
      </c>
      <c r="H46" s="14">
        <v>10</v>
      </c>
      <c r="I46" s="16">
        <v>46273</v>
      </c>
      <c r="J46" s="12">
        <f t="shared" si="1"/>
        <v>37</v>
      </c>
      <c r="K46">
        <f>+IF(E46="","",VLOOKUP(E46,CATALOGO!G:I,2,0))</f>
        <v>2.5</v>
      </c>
      <c r="L46">
        <f>+IF(E46="","",VLOOKUP(E46,CATALOGO!G:I,3,0))</f>
        <v>60</v>
      </c>
      <c r="M46" s="15">
        <v>46279</v>
      </c>
      <c r="N46" t="s">
        <v>1568</v>
      </c>
    </row>
    <row r="47" spans="1:14" x14ac:dyDescent="0.25">
      <c r="A47" s="13" t="s">
        <v>1312</v>
      </c>
      <c r="B47" s="13" t="s">
        <v>1320</v>
      </c>
      <c r="C47" s="17" t="s">
        <v>1389</v>
      </c>
      <c r="D47" t="s">
        <v>21</v>
      </c>
      <c r="E47" s="88" t="s">
        <v>16</v>
      </c>
      <c r="F47" s="6">
        <f>+VLOOKUP(E47,CATALOGO!G:L,6,0)</f>
        <v>6</v>
      </c>
      <c r="G47" s="14">
        <v>288</v>
      </c>
      <c r="H47" s="14">
        <v>6</v>
      </c>
      <c r="I47" s="16">
        <v>46273</v>
      </c>
      <c r="J47" s="12">
        <f t="shared" si="1"/>
        <v>37</v>
      </c>
      <c r="K47">
        <f>+IF(E47="","",VLOOKUP(E47,CATALOGO!G:I,2,0))</f>
        <v>1</v>
      </c>
      <c r="L47">
        <f>+IF(E47="","",VLOOKUP(E47,CATALOGO!G:I,3,0))</f>
        <v>24</v>
      </c>
      <c r="M47" s="15">
        <v>46279</v>
      </c>
      <c r="N47">
        <v>42983</v>
      </c>
    </row>
    <row r="48" spans="1:14" x14ac:dyDescent="0.25">
      <c r="A48" s="13" t="s">
        <v>1312</v>
      </c>
      <c r="B48" s="13" t="s">
        <v>1320</v>
      </c>
      <c r="C48" s="17" t="s">
        <v>1389</v>
      </c>
      <c r="D48" t="s">
        <v>21</v>
      </c>
      <c r="E48" s="88" t="s">
        <v>22</v>
      </c>
      <c r="F48" s="6">
        <f>+VLOOKUP(E48,CATALOGO!G:L,6,0)</f>
        <v>4</v>
      </c>
      <c r="G48" s="14">
        <v>528</v>
      </c>
      <c r="H48" s="14">
        <v>11</v>
      </c>
      <c r="I48" s="16">
        <v>46273</v>
      </c>
      <c r="J48" s="12">
        <f t="shared" si="1"/>
        <v>37</v>
      </c>
      <c r="K48">
        <f>+IF(E48="","",VLOOKUP(E48,CATALOGO!G:I,2,0))</f>
        <v>1.5</v>
      </c>
      <c r="L48">
        <f>+IF(E48="","",VLOOKUP(E48,CATALOGO!G:I,3,0))</f>
        <v>36</v>
      </c>
      <c r="M48" s="15">
        <v>46277</v>
      </c>
      <c r="N48">
        <v>41924</v>
      </c>
    </row>
    <row r="49" spans="1:14" x14ac:dyDescent="0.25">
      <c r="A49" s="13" t="s">
        <v>1312</v>
      </c>
      <c r="B49" s="13" t="s">
        <v>1320</v>
      </c>
      <c r="C49" s="17" t="s">
        <v>1389</v>
      </c>
      <c r="D49" t="s">
        <v>21</v>
      </c>
      <c r="E49" s="88" t="s">
        <v>16</v>
      </c>
      <c r="F49" s="6">
        <f>+VLOOKUP(E49,CATALOGO!G:L,6,0)</f>
        <v>6</v>
      </c>
      <c r="G49" s="14">
        <v>48</v>
      </c>
      <c r="H49" s="14">
        <v>1</v>
      </c>
      <c r="I49" s="16">
        <v>46273</v>
      </c>
      <c r="J49" s="12">
        <f t="shared" si="1"/>
        <v>37</v>
      </c>
      <c r="K49">
        <f>+IF(E49="","",VLOOKUP(E49,CATALOGO!G:I,2,0))</f>
        <v>1</v>
      </c>
      <c r="L49">
        <f>+IF(E49="","",VLOOKUP(E49,CATALOGO!G:I,3,0))</f>
        <v>24</v>
      </c>
      <c r="M49" s="15">
        <v>46279</v>
      </c>
      <c r="N49">
        <v>42983</v>
      </c>
    </row>
    <row r="50" spans="1:14" x14ac:dyDescent="0.25">
      <c r="A50" s="13" t="s">
        <v>1314</v>
      </c>
      <c r="B50" s="13" t="s">
        <v>1322</v>
      </c>
      <c r="C50" s="17" t="s">
        <v>1389</v>
      </c>
      <c r="D50" t="s">
        <v>21</v>
      </c>
      <c r="E50" s="88" t="s">
        <v>19</v>
      </c>
      <c r="F50" s="6">
        <f>+VLOOKUP(E50,CATALOGO!G:L,6,0)</f>
        <v>0</v>
      </c>
      <c r="G50" s="14">
        <v>83</v>
      </c>
      <c r="H50" s="14" t="s">
        <v>1327</v>
      </c>
      <c r="I50" s="16">
        <v>46273</v>
      </c>
      <c r="J50" s="12">
        <f t="shared" si="1"/>
        <v>37</v>
      </c>
      <c r="K50">
        <f>+IF(E50="","",VLOOKUP(E50,CATALOGO!G:I,2,0))</f>
        <v>1.5</v>
      </c>
      <c r="L50">
        <f>+IF(E50="","",VLOOKUP(E50,CATALOGO!G:I,3,0))</f>
        <v>36</v>
      </c>
      <c r="M50" s="15">
        <v>46275</v>
      </c>
      <c r="N50" t="s">
        <v>1568</v>
      </c>
    </row>
    <row r="51" spans="1:14" x14ac:dyDescent="0.25">
      <c r="A51" s="13" t="s">
        <v>1315</v>
      </c>
      <c r="B51" s="13" t="s">
        <v>1323</v>
      </c>
      <c r="C51" s="17" t="s">
        <v>1390</v>
      </c>
      <c r="D51" t="s">
        <v>21</v>
      </c>
      <c r="E51" s="88" t="s">
        <v>19</v>
      </c>
      <c r="F51" s="6">
        <f>+VLOOKUP(E51,CATALOGO!G:L,6,0)</f>
        <v>0</v>
      </c>
      <c r="G51" s="14">
        <v>46</v>
      </c>
      <c r="H51" s="14" t="s">
        <v>1327</v>
      </c>
      <c r="I51" s="16">
        <v>46273</v>
      </c>
      <c r="J51" s="12">
        <f t="shared" si="1"/>
        <v>37</v>
      </c>
      <c r="K51">
        <f>+IF(E51="","",VLOOKUP(E51,CATALOGO!G:I,2,0))</f>
        <v>1.5</v>
      </c>
      <c r="L51">
        <f>+IF(E51="","",VLOOKUP(E51,CATALOGO!G:I,3,0))</f>
        <v>36</v>
      </c>
      <c r="M51" s="15">
        <v>46275</v>
      </c>
      <c r="N51" t="s">
        <v>1568</v>
      </c>
    </row>
    <row r="52" spans="1:14" x14ac:dyDescent="0.25">
      <c r="A52" s="13" t="s">
        <v>1316</v>
      </c>
      <c r="B52" s="13" t="s">
        <v>1324</v>
      </c>
      <c r="C52" s="17" t="s">
        <v>1391</v>
      </c>
      <c r="D52" t="s">
        <v>21</v>
      </c>
      <c r="E52" s="88" t="s">
        <v>19</v>
      </c>
      <c r="F52" s="6">
        <f>+VLOOKUP(E52,CATALOGO!G:L,6,0)</f>
        <v>0</v>
      </c>
      <c r="G52" s="14">
        <v>34</v>
      </c>
      <c r="H52" s="14" t="s">
        <v>1327</v>
      </c>
      <c r="I52" s="16">
        <v>46273</v>
      </c>
      <c r="J52" s="12">
        <f t="shared" si="1"/>
        <v>37</v>
      </c>
      <c r="K52">
        <f>+IF(E52="","",VLOOKUP(E52,CATALOGO!G:I,2,0))</f>
        <v>1.5</v>
      </c>
      <c r="L52">
        <f>+IF(E52="","",VLOOKUP(E52,CATALOGO!G:I,3,0))</f>
        <v>36</v>
      </c>
      <c r="M52" s="15">
        <v>46275</v>
      </c>
      <c r="N52" t="s">
        <v>1568</v>
      </c>
    </row>
    <row r="53" spans="1:14" x14ac:dyDescent="0.25">
      <c r="A53" s="13" t="s">
        <v>1317</v>
      </c>
      <c r="B53" s="13" t="s">
        <v>1325</v>
      </c>
      <c r="C53" s="17" t="s">
        <v>1392</v>
      </c>
      <c r="D53" t="s">
        <v>21</v>
      </c>
      <c r="E53" s="88" t="s">
        <v>19</v>
      </c>
      <c r="F53" s="6">
        <f>+VLOOKUP(E53,CATALOGO!G:L,6,0)</f>
        <v>0</v>
      </c>
      <c r="G53" s="14">
        <v>56</v>
      </c>
      <c r="H53" s="14" t="s">
        <v>1327</v>
      </c>
      <c r="I53" s="16">
        <v>46273</v>
      </c>
      <c r="J53" s="12">
        <f t="shared" si="1"/>
        <v>37</v>
      </c>
      <c r="K53">
        <f>+IF(E53="","",VLOOKUP(E53,CATALOGO!G:I,2,0))</f>
        <v>1.5</v>
      </c>
      <c r="L53">
        <f>+IF(E53="","",VLOOKUP(E53,CATALOGO!G:I,3,0))</f>
        <v>36</v>
      </c>
      <c r="M53" s="15">
        <v>46275</v>
      </c>
      <c r="N53" t="s">
        <v>1568</v>
      </c>
    </row>
    <row r="54" spans="1:14" x14ac:dyDescent="0.25">
      <c r="A54" s="13" t="s">
        <v>1312</v>
      </c>
      <c r="B54" s="13" t="s">
        <v>1320</v>
      </c>
      <c r="C54" s="17" t="s">
        <v>1393</v>
      </c>
      <c r="D54" t="s">
        <v>15</v>
      </c>
      <c r="E54" s="88" t="s">
        <v>16</v>
      </c>
      <c r="F54" s="6">
        <f>+VLOOKUP(E54,CATALOGO!G:L,6,0)</f>
        <v>6</v>
      </c>
      <c r="G54" s="14">
        <v>432</v>
      </c>
      <c r="H54" s="14">
        <v>9</v>
      </c>
      <c r="I54" s="16">
        <v>46273</v>
      </c>
      <c r="J54" s="12">
        <f t="shared" si="1"/>
        <v>37</v>
      </c>
      <c r="K54">
        <f>+IF(E54="","",VLOOKUP(E54,CATALOGO!G:I,2,0))</f>
        <v>1</v>
      </c>
      <c r="L54">
        <f>+IF(E54="","",VLOOKUP(E54,CATALOGO!G:I,3,0))</f>
        <v>24</v>
      </c>
      <c r="M54" s="15">
        <v>46277</v>
      </c>
      <c r="N54">
        <v>41945</v>
      </c>
    </row>
    <row r="55" spans="1:14" x14ac:dyDescent="0.25">
      <c r="A55" s="13" t="s">
        <v>1318</v>
      </c>
      <c r="B55" s="13" t="s">
        <v>1326</v>
      </c>
      <c r="C55" s="17" t="s">
        <v>1393</v>
      </c>
      <c r="D55" t="s">
        <v>15</v>
      </c>
      <c r="E55" s="88" t="s">
        <v>16</v>
      </c>
      <c r="F55" s="6">
        <f>+VLOOKUP(E55,CATALOGO!G:L,6,0)</f>
        <v>6</v>
      </c>
      <c r="G55" s="14">
        <v>288</v>
      </c>
      <c r="H55" s="14">
        <v>6</v>
      </c>
      <c r="I55" s="16">
        <v>46273</v>
      </c>
      <c r="J55" s="12">
        <f t="shared" si="1"/>
        <v>37</v>
      </c>
      <c r="K55">
        <f>+IF(E55="","",VLOOKUP(E55,CATALOGO!G:I,2,0))</f>
        <v>1</v>
      </c>
      <c r="L55">
        <f>+IF(E55="","",VLOOKUP(E55,CATALOGO!G:I,3,0))</f>
        <v>24</v>
      </c>
      <c r="M55" s="15">
        <v>46277</v>
      </c>
      <c r="N55">
        <v>42840</v>
      </c>
    </row>
    <row r="56" spans="1:14" x14ac:dyDescent="0.25">
      <c r="A56" s="13" t="s">
        <v>1312</v>
      </c>
      <c r="B56" s="13" t="s">
        <v>1320</v>
      </c>
      <c r="C56" s="17" t="s">
        <v>1393</v>
      </c>
      <c r="D56" t="s">
        <v>15</v>
      </c>
      <c r="E56" s="88" t="s">
        <v>22</v>
      </c>
      <c r="F56" s="6">
        <f>+VLOOKUP(E56,CATALOGO!G:L,6,0)</f>
        <v>4</v>
      </c>
      <c r="G56" s="14">
        <v>624</v>
      </c>
      <c r="H56" s="14">
        <v>13</v>
      </c>
      <c r="I56" s="16">
        <v>46273</v>
      </c>
      <c r="J56" s="12">
        <f t="shared" si="1"/>
        <v>37</v>
      </c>
      <c r="K56">
        <f>+IF(E56="","",VLOOKUP(E56,CATALOGO!G:I,2,0))</f>
        <v>1.5</v>
      </c>
      <c r="L56">
        <f>+IF(E56="","",VLOOKUP(E56,CATALOGO!G:I,3,0))</f>
        <v>36</v>
      </c>
      <c r="M56" s="15">
        <v>46277</v>
      </c>
      <c r="N56">
        <v>41924</v>
      </c>
    </row>
    <row r="57" spans="1:14" x14ac:dyDescent="0.25">
      <c r="A57" s="13" t="s">
        <v>1314</v>
      </c>
      <c r="B57" s="13" t="s">
        <v>1322</v>
      </c>
      <c r="C57" s="17" t="s">
        <v>1393</v>
      </c>
      <c r="D57" t="s">
        <v>15</v>
      </c>
      <c r="E57" s="88" t="s">
        <v>19</v>
      </c>
      <c r="F57" s="6">
        <f>+VLOOKUP(E57,CATALOGO!G:L,6,0)</f>
        <v>0</v>
      </c>
      <c r="G57" s="14">
        <v>1</v>
      </c>
      <c r="H57" s="14" t="s">
        <v>1327</v>
      </c>
      <c r="I57" s="16">
        <v>46273</v>
      </c>
      <c r="J57" s="12">
        <f t="shared" si="1"/>
        <v>37</v>
      </c>
      <c r="K57">
        <f>+IF(E57="","",VLOOKUP(E57,CATALOGO!G:I,2,0))</f>
        <v>1.5</v>
      </c>
      <c r="L57">
        <f>+IF(E57="","",VLOOKUP(E57,CATALOGO!G:I,3,0))</f>
        <v>36</v>
      </c>
      <c r="M57" s="15">
        <v>46275</v>
      </c>
      <c r="N57" t="s">
        <v>1568</v>
      </c>
    </row>
    <row r="58" spans="1:14" x14ac:dyDescent="0.25">
      <c r="A58" s="13" t="s">
        <v>1315</v>
      </c>
      <c r="B58" s="13" t="s">
        <v>1323</v>
      </c>
      <c r="C58" s="17" t="s">
        <v>1394</v>
      </c>
      <c r="D58" t="s">
        <v>15</v>
      </c>
      <c r="E58" s="88" t="s">
        <v>19</v>
      </c>
      <c r="F58" s="6">
        <f>+VLOOKUP(E58,CATALOGO!G:L,6,0)</f>
        <v>0</v>
      </c>
      <c r="G58" s="14">
        <v>47</v>
      </c>
      <c r="H58" s="14" t="s">
        <v>1327</v>
      </c>
      <c r="I58" s="16">
        <v>46273</v>
      </c>
      <c r="J58" s="12">
        <f t="shared" si="1"/>
        <v>37</v>
      </c>
      <c r="K58">
        <f>+IF(E58="","",VLOOKUP(E58,CATALOGO!G:I,2,0))</f>
        <v>1.5</v>
      </c>
      <c r="L58">
        <f>+IF(E58="","",VLOOKUP(E58,CATALOGO!G:I,3,0))</f>
        <v>36</v>
      </c>
      <c r="M58" s="15">
        <v>46275</v>
      </c>
      <c r="N58" t="s">
        <v>1568</v>
      </c>
    </row>
    <row r="59" spans="1:14" x14ac:dyDescent="0.25">
      <c r="A59" s="13" t="s">
        <v>1316</v>
      </c>
      <c r="B59" s="13" t="s">
        <v>1324</v>
      </c>
      <c r="C59" s="17" t="s">
        <v>1395</v>
      </c>
      <c r="D59" t="s">
        <v>15</v>
      </c>
      <c r="E59" s="88" t="s">
        <v>19</v>
      </c>
      <c r="F59" s="6">
        <f>+VLOOKUP(E59,CATALOGO!G:L,6,0)</f>
        <v>0</v>
      </c>
      <c r="G59" s="14">
        <v>63</v>
      </c>
      <c r="H59" s="14" t="s">
        <v>1327</v>
      </c>
      <c r="I59" s="16">
        <v>46273</v>
      </c>
      <c r="J59" s="12">
        <f t="shared" si="1"/>
        <v>37</v>
      </c>
      <c r="K59">
        <f>+IF(E59="","",VLOOKUP(E59,CATALOGO!G:I,2,0))</f>
        <v>1.5</v>
      </c>
      <c r="L59">
        <f>+IF(E59="","",VLOOKUP(E59,CATALOGO!G:I,3,0))</f>
        <v>36</v>
      </c>
      <c r="M59" s="15">
        <v>46275</v>
      </c>
      <c r="N59" t="s">
        <v>1568</v>
      </c>
    </row>
    <row r="60" spans="1:14" x14ac:dyDescent="0.25">
      <c r="A60" s="13" t="s">
        <v>1317</v>
      </c>
      <c r="B60" s="13" t="s">
        <v>1325</v>
      </c>
      <c r="C60" s="17" t="s">
        <v>1396</v>
      </c>
      <c r="D60" t="s">
        <v>15</v>
      </c>
      <c r="E60" s="88" t="s">
        <v>19</v>
      </c>
      <c r="F60" s="6">
        <f>+VLOOKUP(E60,CATALOGO!G:L,6,0)</f>
        <v>0</v>
      </c>
      <c r="G60" s="14">
        <v>26</v>
      </c>
      <c r="H60" s="14" t="s">
        <v>1327</v>
      </c>
      <c r="I60" s="16">
        <v>46273</v>
      </c>
      <c r="J60" s="12">
        <f t="shared" si="1"/>
        <v>37</v>
      </c>
      <c r="K60">
        <f>+IF(E60="","",VLOOKUP(E60,CATALOGO!G:I,2,0))</f>
        <v>1.5</v>
      </c>
      <c r="L60">
        <f>+IF(E60="","",VLOOKUP(E60,CATALOGO!G:I,3,0))</f>
        <v>36</v>
      </c>
      <c r="M60" s="15">
        <v>46275</v>
      </c>
      <c r="N60" t="s">
        <v>1568</v>
      </c>
    </row>
    <row r="61" spans="1:14" x14ac:dyDescent="0.25">
      <c r="A61" s="13" t="s">
        <v>1312</v>
      </c>
      <c r="B61" s="13" t="s">
        <v>1320</v>
      </c>
      <c r="C61" s="17" t="s">
        <v>1397</v>
      </c>
      <c r="D61" t="s">
        <v>13</v>
      </c>
      <c r="E61" s="88" t="s">
        <v>22</v>
      </c>
      <c r="F61" s="6">
        <f>+VLOOKUP(E61,CATALOGO!G:L,6,0)</f>
        <v>4</v>
      </c>
      <c r="G61" s="14">
        <v>528</v>
      </c>
      <c r="H61" s="14">
        <v>11</v>
      </c>
      <c r="I61" s="16">
        <v>46274</v>
      </c>
      <c r="J61" s="12">
        <f t="shared" si="1"/>
        <v>37</v>
      </c>
      <c r="K61">
        <f>+IF(E61="","",VLOOKUP(E61,CATALOGO!G:I,2,0))</f>
        <v>1.5</v>
      </c>
      <c r="L61">
        <f>+IF(E61="","",VLOOKUP(E61,CATALOGO!G:I,3,0))</f>
        <v>36</v>
      </c>
      <c r="M61" s="15">
        <v>46278</v>
      </c>
      <c r="N61">
        <v>41925</v>
      </c>
    </row>
    <row r="62" spans="1:14" x14ac:dyDescent="0.25">
      <c r="A62" s="13" t="s">
        <v>1328</v>
      </c>
      <c r="B62" s="13" t="s">
        <v>1348</v>
      </c>
      <c r="C62" s="17" t="s">
        <v>1398</v>
      </c>
      <c r="D62" t="s">
        <v>23</v>
      </c>
      <c r="E62" s="88" t="s">
        <v>14</v>
      </c>
      <c r="F62" s="6">
        <f>+VLOOKUP(E62,CATALOGO!G:L,6,0)</f>
        <v>8</v>
      </c>
      <c r="G62" s="14">
        <v>960</v>
      </c>
      <c r="H62" s="14">
        <v>20</v>
      </c>
      <c r="I62" s="16">
        <v>46274</v>
      </c>
      <c r="J62" s="12">
        <f t="shared" si="1"/>
        <v>37</v>
      </c>
      <c r="K62">
        <f>+IF(E62="","",VLOOKUP(E62,CATALOGO!G:I,2,0))</f>
        <v>3</v>
      </c>
      <c r="L62">
        <f>+IF(E62="","",VLOOKUP(E62,CATALOGO!G:I,3,0))</f>
        <v>72</v>
      </c>
      <c r="M62" s="15">
        <v>46281</v>
      </c>
      <c r="N62" t="s">
        <v>1568</v>
      </c>
    </row>
    <row r="63" spans="1:14" x14ac:dyDescent="0.25">
      <c r="A63" s="13" t="s">
        <v>1311</v>
      </c>
      <c r="B63" s="13" t="s">
        <v>1319</v>
      </c>
      <c r="C63" s="17" t="s">
        <v>1399</v>
      </c>
      <c r="D63" t="s">
        <v>24</v>
      </c>
      <c r="E63" s="88" t="s">
        <v>25</v>
      </c>
      <c r="F63" s="6">
        <f>+VLOOKUP(E63,CATALOGO!G:L,6,0)</f>
        <v>1</v>
      </c>
      <c r="G63" s="14">
        <v>288</v>
      </c>
      <c r="H63" s="14">
        <v>6</v>
      </c>
      <c r="I63" s="16">
        <v>46274</v>
      </c>
      <c r="J63" s="12">
        <f t="shared" si="1"/>
        <v>37</v>
      </c>
      <c r="K63">
        <f>+IF(E63="","",VLOOKUP(E63,CATALOGO!G:I,2,0))</f>
        <v>3</v>
      </c>
      <c r="L63">
        <f>+IF(E63="","",VLOOKUP(E63,CATALOGO!G:I,3,0))</f>
        <v>72</v>
      </c>
      <c r="M63" s="15">
        <v>46281</v>
      </c>
      <c r="N63">
        <v>43489</v>
      </c>
    </row>
    <row r="64" spans="1:14" x14ac:dyDescent="0.25">
      <c r="A64" s="13" t="s">
        <v>1311</v>
      </c>
      <c r="B64" s="13" t="s">
        <v>1319</v>
      </c>
      <c r="C64" s="17" t="s">
        <v>1399</v>
      </c>
      <c r="D64" t="s">
        <v>24</v>
      </c>
      <c r="E64" s="88" t="s">
        <v>25</v>
      </c>
      <c r="F64" s="6">
        <f>+VLOOKUP(E64,CATALOGO!G:L,6,0)</f>
        <v>1</v>
      </c>
      <c r="G64" s="14">
        <v>192</v>
      </c>
      <c r="H64" s="14">
        <v>4</v>
      </c>
      <c r="I64" s="16">
        <v>46274</v>
      </c>
      <c r="J64" s="12">
        <f t="shared" si="1"/>
        <v>37</v>
      </c>
      <c r="K64">
        <f>+IF(E64="","",VLOOKUP(E64,CATALOGO!G:I,2,0))</f>
        <v>3</v>
      </c>
      <c r="L64">
        <f>+IF(E64="","",VLOOKUP(E64,CATALOGO!G:I,3,0))</f>
        <v>72</v>
      </c>
      <c r="M64" s="15">
        <v>46279</v>
      </c>
      <c r="N64">
        <v>44481</v>
      </c>
    </row>
    <row r="65" spans="1:14" x14ac:dyDescent="0.25">
      <c r="A65" s="13" t="s">
        <v>1311</v>
      </c>
      <c r="B65" s="13" t="s">
        <v>1319</v>
      </c>
      <c r="C65" s="17" t="s">
        <v>1399</v>
      </c>
      <c r="D65" t="s">
        <v>24</v>
      </c>
      <c r="E65" s="88" t="s">
        <v>25</v>
      </c>
      <c r="F65" s="6">
        <f>+VLOOKUP(E65,CATALOGO!G:L,6,0)</f>
        <v>1</v>
      </c>
      <c r="G65" s="14">
        <v>960</v>
      </c>
      <c r="H65" s="14">
        <v>20</v>
      </c>
      <c r="I65" s="16">
        <v>46274</v>
      </c>
      <c r="J65" s="12">
        <f t="shared" si="1"/>
        <v>37</v>
      </c>
      <c r="K65">
        <f>+IF(E65="","",VLOOKUP(E65,CATALOGO!G:I,2,0))</f>
        <v>3</v>
      </c>
      <c r="L65">
        <f>+IF(E65="","",VLOOKUP(E65,CATALOGO!G:I,3,0))</f>
        <v>72</v>
      </c>
      <c r="M65" s="15">
        <v>46279</v>
      </c>
      <c r="N65">
        <v>44481</v>
      </c>
    </row>
    <row r="66" spans="1:14" x14ac:dyDescent="0.25">
      <c r="A66" s="13" t="s">
        <v>1312</v>
      </c>
      <c r="B66" s="13" t="s">
        <v>1320</v>
      </c>
      <c r="C66" s="17" t="s">
        <v>1393</v>
      </c>
      <c r="D66" t="s">
        <v>15</v>
      </c>
      <c r="E66" s="88" t="s">
        <v>16</v>
      </c>
      <c r="F66" s="6">
        <f>+VLOOKUP(E66,CATALOGO!G:L,6,0)</f>
        <v>6</v>
      </c>
      <c r="G66" s="14">
        <v>336</v>
      </c>
      <c r="H66" s="14">
        <v>7</v>
      </c>
      <c r="I66" s="16">
        <v>46273</v>
      </c>
      <c r="J66" s="12">
        <f t="shared" si="1"/>
        <v>37</v>
      </c>
      <c r="K66">
        <f>+IF(E66="","",VLOOKUP(E66,CATALOGO!G:I,2,0))</f>
        <v>1</v>
      </c>
      <c r="L66">
        <f>+IF(E66="","",VLOOKUP(E66,CATALOGO!G:I,3,0))</f>
        <v>24</v>
      </c>
      <c r="M66" s="15">
        <v>46279</v>
      </c>
      <c r="N66">
        <v>42983</v>
      </c>
    </row>
    <row r="67" spans="1:14" x14ac:dyDescent="0.25">
      <c r="A67" s="13" t="s">
        <v>1318</v>
      </c>
      <c r="B67" s="13" t="s">
        <v>1326</v>
      </c>
      <c r="C67" s="17" t="s">
        <v>1400</v>
      </c>
      <c r="D67" t="s">
        <v>15</v>
      </c>
      <c r="E67" s="88" t="s">
        <v>18</v>
      </c>
      <c r="F67" s="6">
        <f>+VLOOKUP(E67,CATALOGO!G:L,6,0)</f>
        <v>3</v>
      </c>
      <c r="G67" s="14">
        <v>96</v>
      </c>
      <c r="H67" s="14">
        <v>2</v>
      </c>
      <c r="I67" s="16">
        <v>46274</v>
      </c>
      <c r="J67" s="12">
        <f t="shared" si="1"/>
        <v>37</v>
      </c>
      <c r="K67">
        <f>+IF(E67="","",VLOOKUP(E67,CATALOGO!G:I,2,0))</f>
        <v>1.5</v>
      </c>
      <c r="L67">
        <f>+IF(E67="","",VLOOKUP(E67,CATALOGO!G:I,3,0))</f>
        <v>36</v>
      </c>
      <c r="M67" s="15">
        <v>46279</v>
      </c>
      <c r="N67">
        <v>43473</v>
      </c>
    </row>
    <row r="68" spans="1:14" x14ac:dyDescent="0.25">
      <c r="A68" s="13" t="s">
        <v>1312</v>
      </c>
      <c r="B68" s="13" t="s">
        <v>1320</v>
      </c>
      <c r="C68" s="17" t="s">
        <v>1400</v>
      </c>
      <c r="D68" t="s">
        <v>15</v>
      </c>
      <c r="E68" s="88" t="s">
        <v>22</v>
      </c>
      <c r="F68" s="6">
        <f>+VLOOKUP(E68,CATALOGO!G:L,6,0)</f>
        <v>4</v>
      </c>
      <c r="G68" s="14">
        <v>768</v>
      </c>
      <c r="H68" s="14">
        <v>16</v>
      </c>
      <c r="I68" s="16">
        <v>46274</v>
      </c>
      <c r="J68" s="12">
        <f t="shared" si="1"/>
        <v>37</v>
      </c>
      <c r="K68">
        <f>+IF(E68="","",VLOOKUP(E68,CATALOGO!G:I,2,0))</f>
        <v>1.5</v>
      </c>
      <c r="L68">
        <f>+IF(E68="","",VLOOKUP(E68,CATALOGO!G:I,3,0))</f>
        <v>36</v>
      </c>
      <c r="M68" s="15">
        <v>46279</v>
      </c>
      <c r="N68">
        <v>44248</v>
      </c>
    </row>
    <row r="69" spans="1:14" x14ac:dyDescent="0.25">
      <c r="A69" s="13" t="s">
        <v>1318</v>
      </c>
      <c r="B69" s="13" t="s">
        <v>1326</v>
      </c>
      <c r="C69" s="17" t="s">
        <v>1400</v>
      </c>
      <c r="D69" t="s">
        <v>15</v>
      </c>
      <c r="E69" s="88" t="s">
        <v>16</v>
      </c>
      <c r="F69" s="6">
        <f>+VLOOKUP(E69,CATALOGO!G:L,6,0)</f>
        <v>6</v>
      </c>
      <c r="G69" s="14">
        <v>144</v>
      </c>
      <c r="H69" s="14">
        <v>3</v>
      </c>
      <c r="I69" s="16">
        <v>46274</v>
      </c>
      <c r="J69" s="12">
        <f t="shared" si="1"/>
        <v>37</v>
      </c>
      <c r="K69">
        <f>+IF(E69="","",VLOOKUP(E69,CATALOGO!G:I,2,0))</f>
        <v>1</v>
      </c>
      <c r="L69">
        <f>+IF(E69="","",VLOOKUP(E69,CATALOGO!G:I,3,0))</f>
        <v>24</v>
      </c>
      <c r="M69" s="15">
        <v>46279</v>
      </c>
      <c r="N69">
        <v>42147</v>
      </c>
    </row>
    <row r="70" spans="1:14" x14ac:dyDescent="0.25">
      <c r="A70" s="13" t="s">
        <v>1314</v>
      </c>
      <c r="B70" s="13" t="s">
        <v>1322</v>
      </c>
      <c r="C70" s="17" t="s">
        <v>1400</v>
      </c>
      <c r="D70" t="s">
        <v>15</v>
      </c>
      <c r="E70" s="88" t="s">
        <v>19</v>
      </c>
      <c r="F70" s="6">
        <f>+VLOOKUP(E70,CATALOGO!G:L,6,0)</f>
        <v>0</v>
      </c>
      <c r="G70" s="14">
        <v>0</v>
      </c>
      <c r="H70" s="14" t="s">
        <v>1327</v>
      </c>
      <c r="I70" s="16">
        <v>46274</v>
      </c>
      <c r="J70" s="12">
        <f t="shared" si="1"/>
        <v>37</v>
      </c>
      <c r="K70">
        <f>+IF(E70="","",VLOOKUP(E70,CATALOGO!G:I,2,0))</f>
        <v>1.5</v>
      </c>
      <c r="L70">
        <f>+IF(E70="","",VLOOKUP(E70,CATALOGO!G:I,3,0))</f>
        <v>36</v>
      </c>
      <c r="M70" s="15">
        <v>46276</v>
      </c>
    </row>
    <row r="71" spans="1:14" x14ac:dyDescent="0.25">
      <c r="A71" s="13" t="s">
        <v>1315</v>
      </c>
      <c r="B71" s="13" t="s">
        <v>1323</v>
      </c>
      <c r="C71" s="17" t="s">
        <v>1401</v>
      </c>
      <c r="D71" t="s">
        <v>15</v>
      </c>
      <c r="E71" s="88" t="s">
        <v>19</v>
      </c>
      <c r="F71" s="6">
        <f>+VLOOKUP(E71,CATALOGO!G:L,6,0)</f>
        <v>0</v>
      </c>
      <c r="G71" s="14">
        <v>53</v>
      </c>
      <c r="H71" s="14" t="s">
        <v>1327</v>
      </c>
      <c r="I71" s="16">
        <v>46274</v>
      </c>
      <c r="J71" s="12">
        <f t="shared" si="1"/>
        <v>37</v>
      </c>
      <c r="K71">
        <f>+IF(E71="","",VLOOKUP(E71,CATALOGO!G:I,2,0))</f>
        <v>1.5</v>
      </c>
      <c r="L71">
        <f>+IF(E71="","",VLOOKUP(E71,CATALOGO!G:I,3,0))</f>
        <v>36</v>
      </c>
      <c r="M71" s="15">
        <v>46276</v>
      </c>
    </row>
    <row r="72" spans="1:14" x14ac:dyDescent="0.25">
      <c r="A72" s="13" t="s">
        <v>1316</v>
      </c>
      <c r="B72" s="13" t="s">
        <v>1324</v>
      </c>
      <c r="C72" s="17" t="s">
        <v>1402</v>
      </c>
      <c r="D72" t="s">
        <v>15</v>
      </c>
      <c r="E72" s="88" t="s">
        <v>19</v>
      </c>
      <c r="F72" s="6">
        <f>+VLOOKUP(E72,CATALOGO!G:L,6,0)</f>
        <v>0</v>
      </c>
      <c r="G72" s="14">
        <v>54</v>
      </c>
      <c r="H72" s="14" t="s">
        <v>1327</v>
      </c>
      <c r="I72" s="16">
        <v>46274</v>
      </c>
      <c r="J72" s="12">
        <f t="shared" si="1"/>
        <v>37</v>
      </c>
      <c r="K72">
        <f>+IF(E72="","",VLOOKUP(E72,CATALOGO!G:I,2,0))</f>
        <v>1.5</v>
      </c>
      <c r="L72">
        <f>+IF(E72="","",VLOOKUP(E72,CATALOGO!G:I,3,0))</f>
        <v>36</v>
      </c>
      <c r="M72" s="15">
        <v>46276</v>
      </c>
    </row>
    <row r="73" spans="1:14" x14ac:dyDescent="0.25">
      <c r="A73" s="13" t="s">
        <v>1317</v>
      </c>
      <c r="B73" s="13" t="s">
        <v>1325</v>
      </c>
      <c r="C73" s="17" t="s">
        <v>1403</v>
      </c>
      <c r="D73" t="s">
        <v>15</v>
      </c>
      <c r="E73" s="88" t="s">
        <v>19</v>
      </c>
      <c r="F73" s="6">
        <f>+VLOOKUP(E73,CATALOGO!G:L,6,0)</f>
        <v>0</v>
      </c>
      <c r="G73" s="14">
        <v>20</v>
      </c>
      <c r="H73" s="14" t="s">
        <v>1327</v>
      </c>
      <c r="I73" s="16">
        <v>46274</v>
      </c>
      <c r="J73" s="12">
        <f t="shared" si="1"/>
        <v>37</v>
      </c>
      <c r="K73">
        <f>+IF(E73="","",VLOOKUP(E73,CATALOGO!G:I,2,0))</f>
        <v>1.5</v>
      </c>
      <c r="L73">
        <f>+IF(E73="","",VLOOKUP(E73,CATALOGO!G:I,3,0))</f>
        <v>36</v>
      </c>
      <c r="M73" s="15">
        <v>46276</v>
      </c>
    </row>
    <row r="74" spans="1:14" x14ac:dyDescent="0.25">
      <c r="A74" s="13" t="s">
        <v>1312</v>
      </c>
      <c r="B74" s="13" t="s">
        <v>1320</v>
      </c>
      <c r="C74" s="17" t="s">
        <v>1404</v>
      </c>
      <c r="D74" t="s">
        <v>28</v>
      </c>
      <c r="E74" s="88" t="s">
        <v>22</v>
      </c>
      <c r="F74" s="6">
        <f>+VLOOKUP(E74,CATALOGO!G:L,6,0)</f>
        <v>4</v>
      </c>
      <c r="G74" s="14">
        <v>336</v>
      </c>
      <c r="H74" s="14">
        <v>7</v>
      </c>
      <c r="I74" s="16">
        <v>46274</v>
      </c>
      <c r="J74" s="12">
        <f t="shared" si="1"/>
        <v>37</v>
      </c>
      <c r="K74">
        <f>+IF(E74="","",VLOOKUP(E74,CATALOGO!G:I,2,0))</f>
        <v>1.5</v>
      </c>
      <c r="L74">
        <f>+IF(E74="","",VLOOKUP(E74,CATALOGO!G:I,3,0))</f>
        <v>36</v>
      </c>
      <c r="M74" s="15">
        <v>46279</v>
      </c>
      <c r="N74">
        <v>44248</v>
      </c>
    </row>
    <row r="75" spans="1:14" x14ac:dyDescent="0.25">
      <c r="A75" s="13" t="s">
        <v>1312</v>
      </c>
      <c r="B75" s="13" t="s">
        <v>1320</v>
      </c>
      <c r="C75" s="17" t="s">
        <v>1404</v>
      </c>
      <c r="D75" t="s">
        <v>28</v>
      </c>
      <c r="E75" s="88" t="s">
        <v>16</v>
      </c>
      <c r="F75" s="6">
        <f>+VLOOKUP(E75,CATALOGO!G:L,6,0)</f>
        <v>6</v>
      </c>
      <c r="G75" s="14">
        <v>864</v>
      </c>
      <c r="H75" s="14">
        <v>18</v>
      </c>
      <c r="I75" s="16">
        <v>46274</v>
      </c>
      <c r="J75" s="12">
        <f t="shared" si="1"/>
        <v>37</v>
      </c>
      <c r="K75">
        <f>+IF(E75="","",VLOOKUP(E75,CATALOGO!G:I,2,0))</f>
        <v>1</v>
      </c>
      <c r="L75">
        <f>+IF(E75="","",VLOOKUP(E75,CATALOGO!G:I,3,0))</f>
        <v>24</v>
      </c>
      <c r="M75" s="15">
        <v>46279</v>
      </c>
      <c r="N75">
        <v>41948</v>
      </c>
    </row>
    <row r="76" spans="1:14" x14ac:dyDescent="0.25">
      <c r="A76" s="13" t="s">
        <v>1314</v>
      </c>
      <c r="B76" s="13" t="s">
        <v>1322</v>
      </c>
      <c r="C76" s="17" t="s">
        <v>1404</v>
      </c>
      <c r="D76" t="s">
        <v>28</v>
      </c>
      <c r="E76" s="88" t="s">
        <v>19</v>
      </c>
      <c r="F76" s="6">
        <f>+VLOOKUP(E76,CATALOGO!G:L,6,0)</f>
        <v>0</v>
      </c>
      <c r="G76" s="14">
        <v>21</v>
      </c>
      <c r="H76" s="14" t="s">
        <v>1327</v>
      </c>
      <c r="I76" s="16">
        <v>46274</v>
      </c>
      <c r="J76" s="12">
        <f t="shared" si="1"/>
        <v>37</v>
      </c>
      <c r="K76">
        <f>+IF(E76="","",VLOOKUP(E76,CATALOGO!G:I,2,0))</f>
        <v>1.5</v>
      </c>
      <c r="L76">
        <f>+IF(E76="","",VLOOKUP(E76,CATALOGO!G:I,3,0))</f>
        <v>36</v>
      </c>
      <c r="M76" s="15">
        <v>46276</v>
      </c>
    </row>
    <row r="77" spans="1:14" x14ac:dyDescent="0.25">
      <c r="A77" s="13" t="s">
        <v>1315</v>
      </c>
      <c r="B77" s="13" t="s">
        <v>1323</v>
      </c>
      <c r="C77" s="17" t="s">
        <v>1405</v>
      </c>
      <c r="D77" t="s">
        <v>28</v>
      </c>
      <c r="E77" s="88" t="s">
        <v>19</v>
      </c>
      <c r="F77" s="6">
        <f>+VLOOKUP(E77,CATALOGO!G:L,6,0)</f>
        <v>0</v>
      </c>
      <c r="G77" s="14">
        <v>22</v>
      </c>
      <c r="H77" s="14" t="s">
        <v>1327</v>
      </c>
      <c r="I77" s="16">
        <v>46274</v>
      </c>
      <c r="J77" s="12">
        <f t="shared" si="1"/>
        <v>37</v>
      </c>
      <c r="K77">
        <f>+IF(E77="","",VLOOKUP(E77,CATALOGO!G:I,2,0))</f>
        <v>1.5</v>
      </c>
      <c r="L77">
        <f>+IF(E77="","",VLOOKUP(E77,CATALOGO!G:I,3,0))</f>
        <v>36</v>
      </c>
      <c r="M77" s="15">
        <v>46276</v>
      </c>
    </row>
    <row r="78" spans="1:14" x14ac:dyDescent="0.25">
      <c r="A78" s="13" t="s">
        <v>1316</v>
      </c>
      <c r="B78" s="13" t="s">
        <v>1324</v>
      </c>
      <c r="C78" s="17" t="s">
        <v>1406</v>
      </c>
      <c r="D78" t="s">
        <v>28</v>
      </c>
      <c r="E78" s="88" t="s">
        <v>19</v>
      </c>
      <c r="F78" s="6">
        <f>+VLOOKUP(E78,CATALOGO!G:L,6,0)</f>
        <v>0</v>
      </c>
      <c r="G78" s="14">
        <v>20</v>
      </c>
      <c r="H78" s="14" t="s">
        <v>1327</v>
      </c>
      <c r="I78" s="16">
        <v>46274</v>
      </c>
      <c r="J78" s="12">
        <f t="shared" ref="J78:J141" si="2">+WEEKNUM(I78)</f>
        <v>37</v>
      </c>
      <c r="K78">
        <f>+IF(E78="","",VLOOKUP(E78,CATALOGO!G:I,2,0))</f>
        <v>1.5</v>
      </c>
      <c r="L78">
        <f>+IF(E78="","",VLOOKUP(E78,CATALOGO!G:I,3,0))</f>
        <v>36</v>
      </c>
      <c r="M78" s="15">
        <v>46276</v>
      </c>
    </row>
    <row r="79" spans="1:14" x14ac:dyDescent="0.25">
      <c r="A79" s="13" t="s">
        <v>1317</v>
      </c>
      <c r="B79" s="13" t="s">
        <v>1325</v>
      </c>
      <c r="C79" s="17" t="s">
        <v>1407</v>
      </c>
      <c r="D79" t="s">
        <v>28</v>
      </c>
      <c r="E79" s="88" t="s">
        <v>19</v>
      </c>
      <c r="F79" s="6">
        <f>+VLOOKUP(E79,CATALOGO!G:L,6,0)</f>
        <v>0</v>
      </c>
      <c r="G79" s="14">
        <v>45</v>
      </c>
      <c r="H79" s="14" t="s">
        <v>1327</v>
      </c>
      <c r="I79" s="16">
        <v>46274</v>
      </c>
      <c r="J79" s="12">
        <f t="shared" si="2"/>
        <v>37</v>
      </c>
      <c r="K79">
        <f>+IF(E79="","",VLOOKUP(E79,CATALOGO!G:I,2,0))</f>
        <v>1.5</v>
      </c>
      <c r="L79">
        <f>+IF(E79="","",VLOOKUP(E79,CATALOGO!G:I,3,0))</f>
        <v>36</v>
      </c>
      <c r="M79" s="15">
        <v>46276</v>
      </c>
    </row>
    <row r="80" spans="1:14" x14ac:dyDescent="0.25">
      <c r="A80" s="13" t="s">
        <v>1312</v>
      </c>
      <c r="B80" s="13" t="s">
        <v>1320</v>
      </c>
      <c r="C80" s="17" t="s">
        <v>1408</v>
      </c>
      <c r="D80" t="s">
        <v>20</v>
      </c>
      <c r="E80" s="88" t="s">
        <v>17</v>
      </c>
      <c r="F80" s="6">
        <f>+VLOOKUP(E80,CATALOGO!G:L,6,0)</f>
        <v>5</v>
      </c>
      <c r="G80" s="14">
        <v>1104</v>
      </c>
      <c r="H80" s="14">
        <v>23</v>
      </c>
      <c r="I80" s="16">
        <v>46274</v>
      </c>
      <c r="J80" s="12">
        <f t="shared" si="2"/>
        <v>37</v>
      </c>
      <c r="K80">
        <f>+IF(E80="","",VLOOKUP(E80,CATALOGO!G:I,2,0))</f>
        <v>1</v>
      </c>
      <c r="L80">
        <f>+IF(E80="","",VLOOKUP(E80,CATALOGO!G:I,3,0))</f>
        <v>24</v>
      </c>
      <c r="M80" s="15">
        <v>46279</v>
      </c>
      <c r="N80">
        <v>43120</v>
      </c>
    </row>
    <row r="81" spans="1:14" x14ac:dyDescent="0.25">
      <c r="A81" s="13" t="s">
        <v>1313</v>
      </c>
      <c r="B81" s="13" t="s">
        <v>1321</v>
      </c>
      <c r="C81" s="17" t="s">
        <v>1408</v>
      </c>
      <c r="D81" t="s">
        <v>20</v>
      </c>
      <c r="E81" s="88" t="s">
        <v>17</v>
      </c>
      <c r="F81" s="6">
        <f>+VLOOKUP(E81,CATALOGO!G:L,6,0)</f>
        <v>5</v>
      </c>
      <c r="G81" s="14">
        <v>48</v>
      </c>
      <c r="H81" s="14">
        <v>1</v>
      </c>
      <c r="I81" s="16">
        <v>46274</v>
      </c>
      <c r="J81" s="12">
        <f t="shared" si="2"/>
        <v>37</v>
      </c>
      <c r="K81">
        <f>+IF(E81="","",VLOOKUP(E81,CATALOGO!G:I,2,0))</f>
        <v>1</v>
      </c>
      <c r="L81">
        <f>+IF(E81="","",VLOOKUP(E81,CATALOGO!G:I,3,0))</f>
        <v>24</v>
      </c>
      <c r="M81" s="15">
        <v>46279</v>
      </c>
      <c r="N81">
        <v>43120</v>
      </c>
    </row>
    <row r="82" spans="1:14" x14ac:dyDescent="0.25">
      <c r="A82" s="13" t="s">
        <v>1331</v>
      </c>
      <c r="B82" s="13" t="s">
        <v>1351</v>
      </c>
      <c r="C82" s="17" t="s">
        <v>1408</v>
      </c>
      <c r="D82" t="s">
        <v>20</v>
      </c>
      <c r="E82" s="88" t="s">
        <v>19</v>
      </c>
      <c r="F82" s="6">
        <f>+VLOOKUP(E82,CATALOGO!G:L,6,0)</f>
        <v>0</v>
      </c>
      <c r="G82" s="14">
        <v>83</v>
      </c>
      <c r="H82" s="14">
        <v>1.6875</v>
      </c>
      <c r="I82" s="16">
        <v>46274</v>
      </c>
      <c r="J82" s="12">
        <f t="shared" si="2"/>
        <v>37</v>
      </c>
      <c r="K82">
        <f>+IF(E82="","",VLOOKUP(E82,CATALOGO!G:I,2,0))</f>
        <v>1.5</v>
      </c>
      <c r="L82">
        <f>+IF(E82="","",VLOOKUP(E82,CATALOGO!G:I,3,0))</f>
        <v>36</v>
      </c>
      <c r="M82" s="15">
        <v>46276</v>
      </c>
      <c r="N82" t="s">
        <v>1568</v>
      </c>
    </row>
    <row r="83" spans="1:14" x14ac:dyDescent="0.25">
      <c r="A83" s="13" t="s">
        <v>1332</v>
      </c>
      <c r="B83" s="13" t="s">
        <v>1352</v>
      </c>
      <c r="C83" s="17" t="s">
        <v>1408</v>
      </c>
      <c r="D83" t="s">
        <v>20</v>
      </c>
      <c r="E83" s="88" t="s">
        <v>19</v>
      </c>
      <c r="F83" s="6">
        <f>+VLOOKUP(E83,CATALOGO!G:L,6,0)</f>
        <v>0</v>
      </c>
      <c r="G83" s="14">
        <v>23</v>
      </c>
      <c r="H83" s="14" t="s">
        <v>1327</v>
      </c>
      <c r="I83" s="16">
        <v>46274</v>
      </c>
      <c r="J83" s="12">
        <f t="shared" si="2"/>
        <v>37</v>
      </c>
      <c r="K83">
        <f>+IF(E83="","",VLOOKUP(E83,CATALOGO!G:I,2,0))</f>
        <v>1.5</v>
      </c>
      <c r="L83">
        <f>+IF(E83="","",VLOOKUP(E83,CATALOGO!G:I,3,0))</f>
        <v>36</v>
      </c>
      <c r="M83" s="15">
        <v>46276</v>
      </c>
      <c r="N83" t="s">
        <v>1568</v>
      </c>
    </row>
    <row r="84" spans="1:14" x14ac:dyDescent="0.25">
      <c r="A84" s="13" t="s">
        <v>1314</v>
      </c>
      <c r="B84" s="13" t="s">
        <v>1322</v>
      </c>
      <c r="C84" s="17" t="s">
        <v>1408</v>
      </c>
      <c r="D84" t="s">
        <v>20</v>
      </c>
      <c r="E84" s="88" t="s">
        <v>19</v>
      </c>
      <c r="F84" s="6">
        <f>+VLOOKUP(E84,CATALOGO!G:L,6,0)</f>
        <v>0</v>
      </c>
      <c r="G84" s="14">
        <v>81</v>
      </c>
      <c r="H84" s="14" t="s">
        <v>1327</v>
      </c>
      <c r="I84" s="16">
        <v>46274</v>
      </c>
      <c r="J84" s="12">
        <f t="shared" si="2"/>
        <v>37</v>
      </c>
      <c r="K84">
        <f>+IF(E84="","",VLOOKUP(E84,CATALOGO!G:I,2,0))</f>
        <v>1.5</v>
      </c>
      <c r="L84">
        <f>+IF(E84="","",VLOOKUP(E84,CATALOGO!G:I,3,0))</f>
        <v>36</v>
      </c>
      <c r="M84" s="15">
        <v>46276</v>
      </c>
    </row>
    <row r="85" spans="1:14" x14ac:dyDescent="0.25">
      <c r="A85" s="13" t="s">
        <v>1315</v>
      </c>
      <c r="B85" s="13" t="s">
        <v>1323</v>
      </c>
      <c r="C85" s="17" t="s">
        <v>1409</v>
      </c>
      <c r="D85" t="s">
        <v>20</v>
      </c>
      <c r="E85" s="88" t="s">
        <v>19</v>
      </c>
      <c r="F85" s="6">
        <f>+VLOOKUP(E85,CATALOGO!G:L,6,0)</f>
        <v>0</v>
      </c>
      <c r="G85" s="14">
        <v>53</v>
      </c>
      <c r="H85" s="14" t="s">
        <v>1327</v>
      </c>
      <c r="I85" s="16">
        <v>46274</v>
      </c>
      <c r="J85" s="12">
        <f t="shared" si="2"/>
        <v>37</v>
      </c>
      <c r="K85">
        <f>+IF(E85="","",VLOOKUP(E85,CATALOGO!G:I,2,0))</f>
        <v>1.5</v>
      </c>
      <c r="L85">
        <f>+IF(E85="","",VLOOKUP(E85,CATALOGO!G:I,3,0))</f>
        <v>36</v>
      </c>
      <c r="M85" s="15">
        <v>46276</v>
      </c>
    </row>
    <row r="86" spans="1:14" x14ac:dyDescent="0.25">
      <c r="A86" s="13" t="s">
        <v>1316</v>
      </c>
      <c r="B86" s="13" t="s">
        <v>1324</v>
      </c>
      <c r="C86" s="17" t="s">
        <v>1410</v>
      </c>
      <c r="D86" t="s">
        <v>20</v>
      </c>
      <c r="E86" s="88" t="s">
        <v>19</v>
      </c>
      <c r="F86" s="6">
        <f>+VLOOKUP(E86,CATALOGO!G:L,6,0)</f>
        <v>0</v>
      </c>
      <c r="G86" s="14">
        <v>14</v>
      </c>
      <c r="H86" s="14" t="s">
        <v>1327</v>
      </c>
      <c r="I86" s="16">
        <v>46274</v>
      </c>
      <c r="J86" s="12">
        <f t="shared" si="2"/>
        <v>37</v>
      </c>
      <c r="K86">
        <f>+IF(E86="","",VLOOKUP(E86,CATALOGO!G:I,2,0))</f>
        <v>1.5</v>
      </c>
      <c r="L86">
        <f>+IF(E86="","",VLOOKUP(E86,CATALOGO!G:I,3,0))</f>
        <v>36</v>
      </c>
      <c r="M86" s="15">
        <v>46276</v>
      </c>
    </row>
    <row r="87" spans="1:14" x14ac:dyDescent="0.25">
      <c r="A87" s="13" t="s">
        <v>1317</v>
      </c>
      <c r="B87" s="13" t="s">
        <v>1325</v>
      </c>
      <c r="C87" s="17" t="s">
        <v>1411</v>
      </c>
      <c r="D87" t="s">
        <v>20</v>
      </c>
      <c r="E87" s="88" t="s">
        <v>19</v>
      </c>
      <c r="F87" s="6">
        <f>+VLOOKUP(E87,CATALOGO!G:L,6,0)</f>
        <v>0</v>
      </c>
      <c r="G87" s="14">
        <v>48</v>
      </c>
      <c r="H87" s="14" t="s">
        <v>1327</v>
      </c>
      <c r="I87" s="16">
        <v>46274</v>
      </c>
      <c r="J87" s="12">
        <f t="shared" si="2"/>
        <v>37</v>
      </c>
      <c r="K87">
        <f>+IF(E87="","",VLOOKUP(E87,CATALOGO!G:I,2,0))</f>
        <v>1.5</v>
      </c>
      <c r="L87">
        <f>+IF(E87="","",VLOOKUP(E87,CATALOGO!G:I,3,0))</f>
        <v>36</v>
      </c>
      <c r="M87" s="15">
        <v>46276</v>
      </c>
    </row>
    <row r="88" spans="1:14" x14ac:dyDescent="0.25">
      <c r="A88" s="13" t="s">
        <v>1328</v>
      </c>
      <c r="B88" s="13" t="s">
        <v>1348</v>
      </c>
      <c r="C88" s="17" t="s">
        <v>1412</v>
      </c>
      <c r="D88" t="s">
        <v>23</v>
      </c>
      <c r="E88" s="88" t="s">
        <v>14</v>
      </c>
      <c r="F88" s="6">
        <f>+VLOOKUP(E88,CATALOGO!G:L,6,0)</f>
        <v>8</v>
      </c>
      <c r="G88" s="14">
        <v>528</v>
      </c>
      <c r="H88" s="14">
        <v>11</v>
      </c>
      <c r="I88" s="16">
        <v>46275</v>
      </c>
      <c r="J88" s="12">
        <f t="shared" si="2"/>
        <v>37</v>
      </c>
      <c r="K88">
        <f>+IF(E88="","",VLOOKUP(E88,CATALOGO!G:I,2,0))</f>
        <v>3</v>
      </c>
      <c r="L88">
        <f>+IF(E88="","",VLOOKUP(E88,CATALOGO!G:I,3,0))</f>
        <v>72</v>
      </c>
      <c r="M88" s="15">
        <v>46280</v>
      </c>
      <c r="N88">
        <v>43714</v>
      </c>
    </row>
    <row r="89" spans="1:14" x14ac:dyDescent="0.25">
      <c r="A89" s="13" t="s">
        <v>1328</v>
      </c>
      <c r="B89" s="13" t="s">
        <v>1348</v>
      </c>
      <c r="C89" s="17" t="s">
        <v>1413</v>
      </c>
      <c r="D89" t="s">
        <v>24</v>
      </c>
      <c r="E89" s="88" t="s">
        <v>14</v>
      </c>
      <c r="F89" s="6">
        <f>+VLOOKUP(E89,CATALOGO!G:L,6,0)</f>
        <v>8</v>
      </c>
      <c r="G89" s="14">
        <v>960</v>
      </c>
      <c r="H89" s="14">
        <v>20</v>
      </c>
      <c r="I89" s="16">
        <v>46275</v>
      </c>
      <c r="J89" s="12">
        <f t="shared" si="2"/>
        <v>37</v>
      </c>
      <c r="K89">
        <f>+IF(E89="","",VLOOKUP(E89,CATALOGO!G:I,2,0))</f>
        <v>3</v>
      </c>
      <c r="L89">
        <f>+IF(E89="","",VLOOKUP(E89,CATALOGO!G:I,3,0))</f>
        <v>72</v>
      </c>
      <c r="M89" s="15">
        <v>46280</v>
      </c>
      <c r="N89">
        <v>43710</v>
      </c>
    </row>
    <row r="90" spans="1:14" x14ac:dyDescent="0.25">
      <c r="A90" s="13" t="s">
        <v>1312</v>
      </c>
      <c r="B90" s="13" t="s">
        <v>1320</v>
      </c>
      <c r="C90" s="17" t="s">
        <v>1414</v>
      </c>
      <c r="D90" t="s">
        <v>29</v>
      </c>
      <c r="E90" s="88" t="s">
        <v>18</v>
      </c>
      <c r="F90" s="6">
        <f>+VLOOKUP(E90,CATALOGO!G:L,6,0)</f>
        <v>3</v>
      </c>
      <c r="G90" s="14">
        <v>1056</v>
      </c>
      <c r="H90" s="14">
        <v>22</v>
      </c>
      <c r="I90" s="16">
        <v>46275</v>
      </c>
      <c r="J90" s="12">
        <f t="shared" si="2"/>
        <v>37</v>
      </c>
      <c r="K90">
        <f>+IF(E90="","",VLOOKUP(E90,CATALOGO!G:I,2,0))</f>
        <v>1.5</v>
      </c>
      <c r="L90">
        <f>+IF(E90="","",VLOOKUP(E90,CATALOGO!G:I,3,0))</f>
        <v>36</v>
      </c>
      <c r="M90" s="15">
        <v>46279</v>
      </c>
      <c r="N90">
        <v>43473</v>
      </c>
    </row>
    <row r="91" spans="1:14" x14ac:dyDescent="0.25">
      <c r="A91" s="13" t="s">
        <v>1328</v>
      </c>
      <c r="B91" s="13" t="s">
        <v>1348</v>
      </c>
      <c r="C91" s="17" t="s">
        <v>1415</v>
      </c>
      <c r="D91" t="s">
        <v>30</v>
      </c>
      <c r="E91" s="88" t="s">
        <v>14</v>
      </c>
      <c r="F91" s="6">
        <f>+VLOOKUP(E91,CATALOGO!G:L,6,0)</f>
        <v>8</v>
      </c>
      <c r="G91" s="14">
        <v>576</v>
      </c>
      <c r="H91" s="14">
        <v>12</v>
      </c>
      <c r="I91" s="16">
        <v>46275</v>
      </c>
      <c r="J91" s="12">
        <f t="shared" si="2"/>
        <v>37</v>
      </c>
      <c r="K91">
        <f>+IF(E91="","",VLOOKUP(E91,CATALOGO!G:I,2,0))</f>
        <v>3</v>
      </c>
      <c r="L91">
        <f>+IF(E91="","",VLOOKUP(E91,CATALOGO!G:I,3,0))</f>
        <v>72</v>
      </c>
      <c r="M91" s="15">
        <v>46279</v>
      </c>
      <c r="N91" t="s">
        <v>1568</v>
      </c>
    </row>
    <row r="92" spans="1:14" x14ac:dyDescent="0.25">
      <c r="A92" s="13" t="s">
        <v>1311</v>
      </c>
      <c r="B92" s="13" t="s">
        <v>1319</v>
      </c>
      <c r="C92" s="17" t="s">
        <v>1416</v>
      </c>
      <c r="D92" t="s">
        <v>21</v>
      </c>
      <c r="E92" s="88" t="s">
        <v>25</v>
      </c>
      <c r="F92" s="6">
        <f>+VLOOKUP(E92,CATALOGO!G:L,6,0)</f>
        <v>1</v>
      </c>
      <c r="G92" s="14">
        <v>192</v>
      </c>
      <c r="H92" s="14">
        <v>4</v>
      </c>
      <c r="I92" s="16">
        <v>46275</v>
      </c>
      <c r="J92" s="12">
        <f t="shared" si="2"/>
        <v>37</v>
      </c>
      <c r="K92">
        <f>+IF(E92="","",VLOOKUP(E92,CATALOGO!G:I,2,0))</f>
        <v>3</v>
      </c>
      <c r="L92">
        <f>+IF(E92="","",VLOOKUP(E92,CATALOGO!G:I,3,0))</f>
        <v>72</v>
      </c>
      <c r="M92" s="15">
        <v>46281</v>
      </c>
      <c r="N92">
        <v>43489</v>
      </c>
    </row>
    <row r="93" spans="1:14" x14ac:dyDescent="0.25">
      <c r="A93" s="13" t="s">
        <v>1311</v>
      </c>
      <c r="B93" s="13" t="s">
        <v>1319</v>
      </c>
      <c r="C93" s="17" t="s">
        <v>1416</v>
      </c>
      <c r="D93" t="s">
        <v>21</v>
      </c>
      <c r="E93" s="88" t="s">
        <v>25</v>
      </c>
      <c r="F93" s="6">
        <f>+VLOOKUP(E93,CATALOGO!G:L,6,0)</f>
        <v>1</v>
      </c>
      <c r="G93" s="14">
        <v>960</v>
      </c>
      <c r="H93" s="14">
        <v>20</v>
      </c>
      <c r="I93" s="16">
        <v>46275</v>
      </c>
      <c r="J93" s="12">
        <f t="shared" si="2"/>
        <v>37</v>
      </c>
      <c r="K93">
        <f>+IF(E93="","",VLOOKUP(E93,CATALOGO!G:I,2,0))</f>
        <v>3</v>
      </c>
      <c r="L93">
        <f>+IF(E93="","",VLOOKUP(E93,CATALOGO!G:I,3,0))</f>
        <v>72</v>
      </c>
      <c r="M93" s="15">
        <v>46281</v>
      </c>
      <c r="N93">
        <v>43489</v>
      </c>
    </row>
    <row r="94" spans="1:14" x14ac:dyDescent="0.25">
      <c r="A94" s="13" t="s">
        <v>1312</v>
      </c>
      <c r="B94" s="13" t="s">
        <v>1320</v>
      </c>
      <c r="C94" s="17" t="s">
        <v>1416</v>
      </c>
      <c r="D94" t="s">
        <v>21</v>
      </c>
      <c r="E94" s="88" t="s">
        <v>16</v>
      </c>
      <c r="F94" s="6">
        <f>+VLOOKUP(E94,CATALOGO!G:L,6,0)</f>
        <v>6</v>
      </c>
      <c r="G94" s="14">
        <v>288</v>
      </c>
      <c r="H94" s="14">
        <v>6</v>
      </c>
      <c r="I94" s="16">
        <v>46275</v>
      </c>
      <c r="J94" s="12">
        <f t="shared" si="2"/>
        <v>37</v>
      </c>
      <c r="K94">
        <f>+IF(E94="","",VLOOKUP(E94,CATALOGO!G:I,2,0))</f>
        <v>1</v>
      </c>
      <c r="L94">
        <f>+IF(E94="","",VLOOKUP(E94,CATALOGO!G:I,3,0))</f>
        <v>24</v>
      </c>
      <c r="M94" s="15">
        <v>46279</v>
      </c>
      <c r="N94" t="s">
        <v>1568</v>
      </c>
    </row>
    <row r="95" spans="1:14" x14ac:dyDescent="0.25">
      <c r="A95" s="13" t="s">
        <v>1314</v>
      </c>
      <c r="B95" s="13" t="s">
        <v>1322</v>
      </c>
      <c r="C95" s="17" t="s">
        <v>1416</v>
      </c>
      <c r="D95" t="s">
        <v>21</v>
      </c>
      <c r="E95" s="88" t="s">
        <v>19</v>
      </c>
      <c r="F95" s="6">
        <f>+VLOOKUP(E95,CATALOGO!G:L,6,0)</f>
        <v>0</v>
      </c>
      <c r="G95" s="14">
        <v>88</v>
      </c>
      <c r="H95" s="14" t="s">
        <v>1327</v>
      </c>
      <c r="I95" s="16">
        <v>46275</v>
      </c>
      <c r="J95" s="12">
        <f t="shared" si="2"/>
        <v>37</v>
      </c>
      <c r="K95">
        <f>+IF(E95="","",VLOOKUP(E95,CATALOGO!G:I,2,0))</f>
        <v>1.5</v>
      </c>
      <c r="L95">
        <f>+IF(E95="","",VLOOKUP(E95,CATALOGO!G:I,3,0))</f>
        <v>36</v>
      </c>
      <c r="M95" s="15">
        <v>46277</v>
      </c>
      <c r="N95" t="s">
        <v>1568</v>
      </c>
    </row>
    <row r="96" spans="1:14" x14ac:dyDescent="0.25">
      <c r="A96" s="13" t="s">
        <v>1315</v>
      </c>
      <c r="B96" s="13" t="s">
        <v>1323</v>
      </c>
      <c r="C96" s="17" t="s">
        <v>1417</v>
      </c>
      <c r="D96" t="s">
        <v>21</v>
      </c>
      <c r="E96" s="88" t="s">
        <v>19</v>
      </c>
      <c r="F96" s="6">
        <f>+VLOOKUP(E96,CATALOGO!G:L,6,0)</f>
        <v>0</v>
      </c>
      <c r="G96" s="14">
        <v>25</v>
      </c>
      <c r="H96" s="14" t="s">
        <v>1327</v>
      </c>
      <c r="I96" s="16">
        <v>46275</v>
      </c>
      <c r="J96" s="12">
        <f t="shared" si="2"/>
        <v>37</v>
      </c>
      <c r="K96">
        <f>+IF(E96="","",VLOOKUP(E96,CATALOGO!G:I,2,0))</f>
        <v>1.5</v>
      </c>
      <c r="L96">
        <f>+IF(E96="","",VLOOKUP(E96,CATALOGO!G:I,3,0))</f>
        <v>36</v>
      </c>
      <c r="M96" s="15">
        <v>46277</v>
      </c>
      <c r="N96" t="s">
        <v>1568</v>
      </c>
    </row>
    <row r="97" spans="1:14" x14ac:dyDescent="0.25">
      <c r="A97" s="13" t="s">
        <v>1316</v>
      </c>
      <c r="B97" s="13" t="s">
        <v>1324</v>
      </c>
      <c r="C97" s="17" t="s">
        <v>1418</v>
      </c>
      <c r="D97" t="s">
        <v>21</v>
      </c>
      <c r="E97" s="88" t="s">
        <v>19</v>
      </c>
      <c r="F97" s="6">
        <f>+VLOOKUP(E97,CATALOGO!G:L,6,0)</f>
        <v>0</v>
      </c>
      <c r="G97" s="14">
        <v>22</v>
      </c>
      <c r="H97" s="14" t="s">
        <v>1327</v>
      </c>
      <c r="I97" s="16">
        <v>46275</v>
      </c>
      <c r="J97" s="12">
        <f t="shared" si="2"/>
        <v>37</v>
      </c>
      <c r="K97">
        <f>+IF(E97="","",VLOOKUP(E97,CATALOGO!G:I,2,0))</f>
        <v>1.5</v>
      </c>
      <c r="L97">
        <f>+IF(E97="","",VLOOKUP(E97,CATALOGO!G:I,3,0))</f>
        <v>36</v>
      </c>
      <c r="M97" s="15">
        <v>46277</v>
      </c>
      <c r="N97" t="s">
        <v>1568</v>
      </c>
    </row>
    <row r="98" spans="1:14" x14ac:dyDescent="0.25">
      <c r="A98" s="13" t="s">
        <v>1317</v>
      </c>
      <c r="B98" s="13" t="s">
        <v>1325</v>
      </c>
      <c r="C98" s="17" t="s">
        <v>1419</v>
      </c>
      <c r="D98" t="s">
        <v>21</v>
      </c>
      <c r="E98" s="88" t="s">
        <v>19</v>
      </c>
      <c r="F98" s="6">
        <f>+VLOOKUP(E98,CATALOGO!G:L,6,0)</f>
        <v>0</v>
      </c>
      <c r="G98" s="14">
        <v>88</v>
      </c>
      <c r="H98" s="14" t="s">
        <v>1327</v>
      </c>
      <c r="I98" s="16">
        <v>46275</v>
      </c>
      <c r="J98" s="12">
        <f t="shared" si="2"/>
        <v>37</v>
      </c>
      <c r="K98">
        <f>+IF(E98="","",VLOOKUP(E98,CATALOGO!G:I,2,0))</f>
        <v>1.5</v>
      </c>
      <c r="L98">
        <f>+IF(E98="","",VLOOKUP(E98,CATALOGO!G:I,3,0))</f>
        <v>36</v>
      </c>
      <c r="M98" s="15">
        <v>46277</v>
      </c>
      <c r="N98" t="s">
        <v>1568</v>
      </c>
    </row>
    <row r="99" spans="1:14" x14ac:dyDescent="0.25">
      <c r="A99" s="13" t="s">
        <v>1312</v>
      </c>
      <c r="B99" s="13" t="s">
        <v>1320</v>
      </c>
      <c r="C99" s="17" t="s">
        <v>1420</v>
      </c>
      <c r="D99" t="s">
        <v>20</v>
      </c>
      <c r="E99" s="88" t="s">
        <v>17</v>
      </c>
      <c r="F99" s="6">
        <f>+VLOOKUP(E99,CATALOGO!G:L,6,0)</f>
        <v>5</v>
      </c>
      <c r="G99" s="14">
        <v>1104</v>
      </c>
      <c r="H99" s="14">
        <v>23</v>
      </c>
      <c r="I99" s="16">
        <v>46275</v>
      </c>
      <c r="J99" s="12">
        <f t="shared" si="2"/>
        <v>37</v>
      </c>
      <c r="K99">
        <f>+IF(E99="","",VLOOKUP(E99,CATALOGO!G:I,2,0))</f>
        <v>1</v>
      </c>
      <c r="L99">
        <f>+IF(E99="","",VLOOKUP(E99,CATALOGO!G:I,3,0))</f>
        <v>24</v>
      </c>
      <c r="M99" s="15">
        <v>46280</v>
      </c>
      <c r="N99">
        <v>43121</v>
      </c>
    </row>
    <row r="100" spans="1:14" x14ac:dyDescent="0.25">
      <c r="A100" s="13" t="s">
        <v>1314</v>
      </c>
      <c r="B100" s="13" t="s">
        <v>1322</v>
      </c>
      <c r="C100" s="17" t="s">
        <v>1420</v>
      </c>
      <c r="D100" t="s">
        <v>20</v>
      </c>
      <c r="E100" s="88" t="s">
        <v>19</v>
      </c>
      <c r="F100" s="6">
        <f>+VLOOKUP(E100,CATALOGO!G:L,6,0)</f>
        <v>0</v>
      </c>
      <c r="G100" s="14">
        <v>149</v>
      </c>
      <c r="H100" s="14" t="s">
        <v>1327</v>
      </c>
      <c r="I100" s="16">
        <v>46275</v>
      </c>
      <c r="J100" s="12">
        <f t="shared" si="2"/>
        <v>37</v>
      </c>
      <c r="K100">
        <f>+IF(E100="","",VLOOKUP(E100,CATALOGO!G:I,2,0))</f>
        <v>1.5</v>
      </c>
      <c r="L100">
        <f>+IF(E100="","",VLOOKUP(E100,CATALOGO!G:I,3,0))</f>
        <v>36</v>
      </c>
      <c r="M100" s="15">
        <v>46277</v>
      </c>
      <c r="N100" t="s">
        <v>1568</v>
      </c>
    </row>
    <row r="101" spans="1:14" x14ac:dyDescent="0.25">
      <c r="A101" s="13" t="s">
        <v>1315</v>
      </c>
      <c r="B101" s="13" t="s">
        <v>1323</v>
      </c>
      <c r="C101" s="17" t="s">
        <v>1421</v>
      </c>
      <c r="D101" t="s">
        <v>20</v>
      </c>
      <c r="E101" s="88" t="s">
        <v>19</v>
      </c>
      <c r="F101" s="6">
        <f>+VLOOKUP(E101,CATALOGO!G:L,6,0)</f>
        <v>0</v>
      </c>
      <c r="G101" s="14">
        <v>49</v>
      </c>
      <c r="H101" s="14" t="s">
        <v>1327</v>
      </c>
      <c r="I101" s="16">
        <v>46275</v>
      </c>
      <c r="J101" s="12">
        <f t="shared" si="2"/>
        <v>37</v>
      </c>
      <c r="K101">
        <f>+IF(E101="","",VLOOKUP(E101,CATALOGO!G:I,2,0))</f>
        <v>1.5</v>
      </c>
      <c r="L101">
        <f>+IF(E101="","",VLOOKUP(E101,CATALOGO!G:I,3,0))</f>
        <v>36</v>
      </c>
      <c r="M101" s="15">
        <v>46277</v>
      </c>
      <c r="N101" t="s">
        <v>1568</v>
      </c>
    </row>
    <row r="102" spans="1:14" x14ac:dyDescent="0.25">
      <c r="A102" s="13" t="s">
        <v>1316</v>
      </c>
      <c r="B102" s="13" t="s">
        <v>1324</v>
      </c>
      <c r="C102" s="17" t="s">
        <v>1422</v>
      </c>
      <c r="D102" t="s">
        <v>20</v>
      </c>
      <c r="E102" s="88" t="s">
        <v>19</v>
      </c>
      <c r="F102" s="6">
        <f>+VLOOKUP(E102,CATALOGO!G:L,6,0)</f>
        <v>0</v>
      </c>
      <c r="G102" s="14">
        <v>39</v>
      </c>
      <c r="H102" s="14" t="s">
        <v>1327</v>
      </c>
      <c r="I102" s="16">
        <v>46275</v>
      </c>
      <c r="J102" s="12">
        <f t="shared" si="2"/>
        <v>37</v>
      </c>
      <c r="K102">
        <f>+IF(E102="","",VLOOKUP(E102,CATALOGO!G:I,2,0))</f>
        <v>1.5</v>
      </c>
      <c r="L102">
        <f>+IF(E102="","",VLOOKUP(E102,CATALOGO!G:I,3,0))</f>
        <v>36</v>
      </c>
      <c r="M102" s="15">
        <v>46277</v>
      </c>
      <c r="N102" t="s">
        <v>1568</v>
      </c>
    </row>
    <row r="103" spans="1:14" x14ac:dyDescent="0.25">
      <c r="A103" s="13" t="s">
        <v>1317</v>
      </c>
      <c r="B103" s="13" t="s">
        <v>1325</v>
      </c>
      <c r="C103" s="17" t="s">
        <v>1423</v>
      </c>
      <c r="D103" t="s">
        <v>20</v>
      </c>
      <c r="E103" s="88" t="s">
        <v>19</v>
      </c>
      <c r="F103" s="6">
        <f>+VLOOKUP(E103,CATALOGO!G:L,6,0)</f>
        <v>0</v>
      </c>
      <c r="G103" s="14">
        <v>42</v>
      </c>
      <c r="H103" s="14" t="s">
        <v>1327</v>
      </c>
      <c r="I103" s="16">
        <v>46275</v>
      </c>
      <c r="J103" s="12">
        <f t="shared" si="2"/>
        <v>37</v>
      </c>
      <c r="K103">
        <f>+IF(E103="","",VLOOKUP(E103,CATALOGO!G:I,2,0))</f>
        <v>1.5</v>
      </c>
      <c r="L103">
        <f>+IF(E103="","",VLOOKUP(E103,CATALOGO!G:I,3,0))</f>
        <v>36</v>
      </c>
      <c r="M103" s="15">
        <v>46277</v>
      </c>
      <c r="N103" t="s">
        <v>1568</v>
      </c>
    </row>
    <row r="104" spans="1:14" x14ac:dyDescent="0.25">
      <c r="A104" s="13" t="s">
        <v>1313</v>
      </c>
      <c r="B104" s="13" t="s">
        <v>1321</v>
      </c>
      <c r="C104" s="17" t="s">
        <v>1424</v>
      </c>
      <c r="D104" t="s">
        <v>15</v>
      </c>
      <c r="E104" s="88" t="s">
        <v>17</v>
      </c>
      <c r="F104" s="6">
        <f>+VLOOKUP(E104,CATALOGO!G:L,6,0)</f>
        <v>5</v>
      </c>
      <c r="G104" s="14">
        <v>48</v>
      </c>
      <c r="H104" s="14">
        <v>1</v>
      </c>
      <c r="I104" s="16">
        <v>46275</v>
      </c>
      <c r="J104" s="12">
        <f t="shared" si="2"/>
        <v>37</v>
      </c>
      <c r="K104">
        <f>+IF(E104="","",VLOOKUP(E104,CATALOGO!G:I,2,0))</f>
        <v>1</v>
      </c>
      <c r="L104">
        <f>+IF(E104="","",VLOOKUP(E104,CATALOGO!G:I,3,0))</f>
        <v>24</v>
      </c>
      <c r="M104" s="15">
        <v>46280</v>
      </c>
      <c r="N104">
        <v>43121</v>
      </c>
    </row>
    <row r="105" spans="1:14" x14ac:dyDescent="0.25">
      <c r="A105" s="13" t="s">
        <v>1318</v>
      </c>
      <c r="B105" s="13" t="s">
        <v>1326</v>
      </c>
      <c r="C105" s="17" t="s">
        <v>1424</v>
      </c>
      <c r="D105" t="s">
        <v>15</v>
      </c>
      <c r="E105" s="88" t="s">
        <v>16</v>
      </c>
      <c r="F105" s="6">
        <f>+VLOOKUP(E105,CATALOGO!G:L,6,0)</f>
        <v>6</v>
      </c>
      <c r="G105" s="14">
        <v>144</v>
      </c>
      <c r="H105" s="14">
        <v>3</v>
      </c>
      <c r="I105" s="16">
        <v>46275</v>
      </c>
      <c r="J105" s="12">
        <f t="shared" si="2"/>
        <v>37</v>
      </c>
      <c r="K105">
        <f>+IF(E105="","",VLOOKUP(E105,CATALOGO!G:I,2,0))</f>
        <v>1</v>
      </c>
      <c r="L105">
        <f>+IF(E105="","",VLOOKUP(E105,CATALOGO!G:I,3,0))</f>
        <v>24</v>
      </c>
      <c r="M105" s="15">
        <v>46279</v>
      </c>
      <c r="N105">
        <v>42147</v>
      </c>
    </row>
    <row r="106" spans="1:14" x14ac:dyDescent="0.25">
      <c r="A106" s="13" t="s">
        <v>1313</v>
      </c>
      <c r="B106" s="13" t="s">
        <v>1321</v>
      </c>
      <c r="C106" s="17" t="s">
        <v>1424</v>
      </c>
      <c r="D106" t="s">
        <v>15</v>
      </c>
      <c r="E106" s="88" t="s">
        <v>31</v>
      </c>
      <c r="F106" s="6">
        <f>+VLOOKUP(E106,CATALOGO!G:L,6,0)</f>
        <v>2</v>
      </c>
      <c r="G106" s="14">
        <v>5</v>
      </c>
      <c r="H106" s="14">
        <v>0.10416666666666667</v>
      </c>
      <c r="I106" s="16">
        <v>46275</v>
      </c>
      <c r="J106" s="12">
        <f t="shared" si="2"/>
        <v>37</v>
      </c>
      <c r="K106">
        <f>+IF(E106="","",VLOOKUP(E106,CATALOGO!G:I,2,0))</f>
        <v>2.5</v>
      </c>
      <c r="L106">
        <f>+IF(E106="","",VLOOKUP(E106,CATALOGO!G:I,3,0))</f>
        <v>60</v>
      </c>
      <c r="M106" s="15">
        <v>46279</v>
      </c>
      <c r="N106">
        <v>43125</v>
      </c>
    </row>
    <row r="107" spans="1:14" x14ac:dyDescent="0.25">
      <c r="A107" s="13" t="s">
        <v>1311</v>
      </c>
      <c r="B107" s="13" t="s">
        <v>1319</v>
      </c>
      <c r="C107" s="17" t="s">
        <v>1424</v>
      </c>
      <c r="D107" t="s">
        <v>15</v>
      </c>
      <c r="E107" s="88" t="s">
        <v>25</v>
      </c>
      <c r="F107" s="6">
        <f>+VLOOKUP(E107,CATALOGO!G:L,6,0)</f>
        <v>1</v>
      </c>
      <c r="G107" s="14">
        <v>480</v>
      </c>
      <c r="H107" s="14">
        <v>10</v>
      </c>
      <c r="I107" s="16">
        <v>46275</v>
      </c>
      <c r="J107" s="12">
        <f t="shared" si="2"/>
        <v>37</v>
      </c>
      <c r="K107">
        <f>+IF(E107="","",VLOOKUP(E107,CATALOGO!G:I,2,0))</f>
        <v>3</v>
      </c>
      <c r="L107">
        <f>+IF(E107="","",VLOOKUP(E107,CATALOGO!G:I,3,0))</f>
        <v>72</v>
      </c>
      <c r="M107" s="15">
        <v>46283</v>
      </c>
      <c r="N107">
        <v>43802</v>
      </c>
    </row>
    <row r="108" spans="1:14" x14ac:dyDescent="0.25">
      <c r="A108" s="13" t="s">
        <v>1312</v>
      </c>
      <c r="B108" s="13" t="s">
        <v>1320</v>
      </c>
      <c r="C108" s="17" t="s">
        <v>1424</v>
      </c>
      <c r="D108" t="s">
        <v>15</v>
      </c>
      <c r="E108" s="88" t="s">
        <v>31</v>
      </c>
      <c r="F108" s="6">
        <f>+VLOOKUP(E108,CATALOGO!G:L,6,0)</f>
        <v>2</v>
      </c>
      <c r="G108" s="14">
        <v>571</v>
      </c>
      <c r="H108" s="14">
        <v>11.895833333333334</v>
      </c>
      <c r="I108" s="16">
        <v>46275</v>
      </c>
      <c r="J108" s="12">
        <f t="shared" si="2"/>
        <v>37</v>
      </c>
      <c r="K108">
        <f>+IF(E108="","",VLOOKUP(E108,CATALOGO!G:I,2,0))</f>
        <v>2.5</v>
      </c>
      <c r="L108">
        <f>+IF(E108="","",VLOOKUP(E108,CATALOGO!G:I,3,0))</f>
        <v>60</v>
      </c>
      <c r="M108" s="15">
        <v>46279</v>
      </c>
      <c r="N108">
        <v>43125</v>
      </c>
    </row>
    <row r="109" spans="1:14" x14ac:dyDescent="0.25">
      <c r="A109" s="13" t="s">
        <v>1318</v>
      </c>
      <c r="B109" s="13" t="s">
        <v>1326</v>
      </c>
      <c r="C109" s="17" t="s">
        <v>1424</v>
      </c>
      <c r="D109" t="s">
        <v>15</v>
      </c>
      <c r="E109" s="88" t="s">
        <v>31</v>
      </c>
      <c r="F109" s="6">
        <f>+VLOOKUP(E109,CATALOGO!G:L,6,0)</f>
        <v>2</v>
      </c>
      <c r="G109" s="14">
        <v>96</v>
      </c>
      <c r="H109" s="14">
        <v>2</v>
      </c>
      <c r="I109" s="16">
        <v>46275</v>
      </c>
      <c r="J109" s="12">
        <f t="shared" si="2"/>
        <v>37</v>
      </c>
      <c r="K109">
        <f>+IF(E109="","",VLOOKUP(E109,CATALOGO!G:I,2,0))</f>
        <v>2.5</v>
      </c>
      <c r="L109">
        <f>+IF(E109="","",VLOOKUP(E109,CATALOGO!G:I,3,0))</f>
        <v>60</v>
      </c>
      <c r="M109" s="15">
        <v>46279</v>
      </c>
      <c r="N109">
        <v>43127</v>
      </c>
    </row>
    <row r="110" spans="1:14" x14ac:dyDescent="0.25">
      <c r="A110" s="13" t="s">
        <v>1312</v>
      </c>
      <c r="B110" s="13" t="s">
        <v>1320</v>
      </c>
      <c r="C110" s="17" t="s">
        <v>1424</v>
      </c>
      <c r="D110" t="s">
        <v>15</v>
      </c>
      <c r="E110" s="88" t="s">
        <v>22</v>
      </c>
      <c r="F110" s="6">
        <f>+VLOOKUP(E110,CATALOGO!G:L,6,0)</f>
        <v>4</v>
      </c>
      <c r="G110" s="14">
        <v>48</v>
      </c>
      <c r="H110" s="14">
        <v>1</v>
      </c>
      <c r="I110" s="16">
        <v>46275</v>
      </c>
      <c r="J110" s="12">
        <f t="shared" si="2"/>
        <v>37</v>
      </c>
      <c r="K110">
        <f>+IF(E110="","",VLOOKUP(E110,CATALOGO!G:I,2,0))</f>
        <v>1.5</v>
      </c>
      <c r="L110">
        <f>+IF(E110="","",VLOOKUP(E110,CATALOGO!G:I,3,0))</f>
        <v>36</v>
      </c>
      <c r="M110" s="15">
        <v>46279</v>
      </c>
      <c r="N110">
        <v>44248</v>
      </c>
    </row>
    <row r="111" spans="1:14" x14ac:dyDescent="0.25">
      <c r="A111" s="13" t="s">
        <v>1312</v>
      </c>
      <c r="B111" s="13" t="s">
        <v>1320</v>
      </c>
      <c r="C111" s="17" t="s">
        <v>1424</v>
      </c>
      <c r="D111" t="s">
        <v>15</v>
      </c>
      <c r="E111" s="88" t="s">
        <v>22</v>
      </c>
      <c r="F111" s="6">
        <f>+VLOOKUP(E111,CATALOGO!G:L,6,0)</f>
        <v>4</v>
      </c>
      <c r="G111" s="14">
        <v>96</v>
      </c>
      <c r="H111" s="14">
        <v>2</v>
      </c>
      <c r="I111" s="16">
        <v>46275</v>
      </c>
      <c r="J111" s="12">
        <f t="shared" si="2"/>
        <v>37</v>
      </c>
      <c r="K111">
        <f>+IF(E111="","",VLOOKUP(E111,CATALOGO!G:I,2,0))</f>
        <v>1.5</v>
      </c>
      <c r="L111">
        <f>+IF(E111="","",VLOOKUP(E111,CATALOGO!G:I,3,0))</f>
        <v>36</v>
      </c>
      <c r="M111" s="15">
        <v>46281</v>
      </c>
      <c r="N111">
        <v>41926</v>
      </c>
    </row>
    <row r="112" spans="1:14" x14ac:dyDescent="0.25">
      <c r="A112" s="13" t="s">
        <v>1314</v>
      </c>
      <c r="B112" s="13" t="s">
        <v>1322</v>
      </c>
      <c r="C112" s="17" t="s">
        <v>1424</v>
      </c>
      <c r="D112" t="s">
        <v>15</v>
      </c>
      <c r="E112" s="88" t="s">
        <v>19</v>
      </c>
      <c r="F112" s="6">
        <f>+VLOOKUP(E112,CATALOGO!G:L,6,0)</f>
        <v>0</v>
      </c>
      <c r="G112" s="14">
        <v>13</v>
      </c>
      <c r="H112" s="14" t="s">
        <v>1327</v>
      </c>
      <c r="I112" s="16">
        <v>46275</v>
      </c>
      <c r="J112" s="12">
        <f t="shared" si="2"/>
        <v>37</v>
      </c>
      <c r="K112">
        <f>+IF(E112="","",VLOOKUP(E112,CATALOGO!G:I,2,0))</f>
        <v>1.5</v>
      </c>
      <c r="L112">
        <f>+IF(E112="","",VLOOKUP(E112,CATALOGO!G:I,3,0))</f>
        <v>36</v>
      </c>
      <c r="M112" s="15">
        <v>46277</v>
      </c>
      <c r="N112" t="s">
        <v>1568</v>
      </c>
    </row>
    <row r="113" spans="1:14" x14ac:dyDescent="0.25">
      <c r="A113" s="13" t="s">
        <v>1315</v>
      </c>
      <c r="B113" s="13" t="s">
        <v>1323</v>
      </c>
      <c r="C113" s="17" t="s">
        <v>1425</v>
      </c>
      <c r="D113" t="s">
        <v>15</v>
      </c>
      <c r="E113" s="88" t="s">
        <v>19</v>
      </c>
      <c r="F113" s="6">
        <f>+VLOOKUP(E113,CATALOGO!G:L,6,0)</f>
        <v>0</v>
      </c>
      <c r="G113" s="14">
        <v>52</v>
      </c>
      <c r="H113" s="14" t="s">
        <v>1327</v>
      </c>
      <c r="I113" s="16">
        <v>46275</v>
      </c>
      <c r="J113" s="12">
        <f t="shared" si="2"/>
        <v>37</v>
      </c>
      <c r="K113">
        <f>+IF(E113="","",VLOOKUP(E113,CATALOGO!G:I,2,0))</f>
        <v>1.5</v>
      </c>
      <c r="L113">
        <f>+IF(E113="","",VLOOKUP(E113,CATALOGO!G:I,3,0))</f>
        <v>36</v>
      </c>
      <c r="M113" s="15">
        <v>46277</v>
      </c>
      <c r="N113" t="s">
        <v>1568</v>
      </c>
    </row>
    <row r="114" spans="1:14" x14ac:dyDescent="0.25">
      <c r="A114" s="13" t="s">
        <v>1316</v>
      </c>
      <c r="B114" s="13" t="s">
        <v>1324</v>
      </c>
      <c r="C114" s="17" t="s">
        <v>1426</v>
      </c>
      <c r="D114" t="s">
        <v>15</v>
      </c>
      <c r="E114" s="88" t="s">
        <v>19</v>
      </c>
      <c r="F114" s="6">
        <f>+VLOOKUP(E114,CATALOGO!G:L,6,0)</f>
        <v>0</v>
      </c>
      <c r="G114" s="14">
        <v>62</v>
      </c>
      <c r="H114" s="14" t="s">
        <v>1327</v>
      </c>
      <c r="I114" s="16">
        <v>46275</v>
      </c>
      <c r="J114" s="12">
        <f t="shared" si="2"/>
        <v>37</v>
      </c>
      <c r="K114">
        <f>+IF(E114="","",VLOOKUP(E114,CATALOGO!G:I,2,0))</f>
        <v>1.5</v>
      </c>
      <c r="L114">
        <f>+IF(E114="","",VLOOKUP(E114,CATALOGO!G:I,3,0))</f>
        <v>36</v>
      </c>
      <c r="M114" s="15">
        <v>46277</v>
      </c>
      <c r="N114" t="s">
        <v>1568</v>
      </c>
    </row>
    <row r="115" spans="1:14" x14ac:dyDescent="0.25">
      <c r="A115" s="13" t="s">
        <v>1317</v>
      </c>
      <c r="B115" s="13" t="s">
        <v>1325</v>
      </c>
      <c r="C115" s="17" t="s">
        <v>1427</v>
      </c>
      <c r="D115" t="s">
        <v>15</v>
      </c>
      <c r="E115" s="88" t="s">
        <v>19</v>
      </c>
      <c r="F115" s="6">
        <f>+VLOOKUP(E115,CATALOGO!G:L,6,0)</f>
        <v>0</v>
      </c>
      <c r="G115" s="14">
        <v>26</v>
      </c>
      <c r="H115" s="14" t="s">
        <v>1327</v>
      </c>
      <c r="I115" s="16">
        <v>46275</v>
      </c>
      <c r="J115" s="12">
        <f t="shared" si="2"/>
        <v>37</v>
      </c>
      <c r="K115">
        <f>+IF(E115="","",VLOOKUP(E115,CATALOGO!G:I,2,0))</f>
        <v>1.5</v>
      </c>
      <c r="L115">
        <f>+IF(E115="","",VLOOKUP(E115,CATALOGO!G:I,3,0))</f>
        <v>36</v>
      </c>
      <c r="M115" s="15">
        <v>46277</v>
      </c>
      <c r="N115" t="s">
        <v>1568</v>
      </c>
    </row>
    <row r="116" spans="1:14" x14ac:dyDescent="0.25">
      <c r="A116" s="13" t="s">
        <v>1328</v>
      </c>
      <c r="B116" s="13" t="s">
        <v>1348</v>
      </c>
      <c r="C116" s="17" t="s">
        <v>1428</v>
      </c>
      <c r="D116" t="s">
        <v>23</v>
      </c>
      <c r="E116" s="88" t="s">
        <v>14</v>
      </c>
      <c r="F116" s="6">
        <f>+VLOOKUP(E116,CATALOGO!G:L,6,0)</f>
        <v>8</v>
      </c>
      <c r="G116" s="14">
        <v>432</v>
      </c>
      <c r="H116" s="14">
        <v>9</v>
      </c>
      <c r="I116" s="16">
        <v>46276</v>
      </c>
      <c r="J116" s="12">
        <f t="shared" si="2"/>
        <v>37</v>
      </c>
      <c r="K116">
        <f>+IF(E116="","",VLOOKUP(E116,CATALOGO!G:I,2,0))</f>
        <v>3</v>
      </c>
      <c r="L116">
        <f>+IF(E116="","",VLOOKUP(E116,CATALOGO!G:I,3,0))</f>
        <v>72</v>
      </c>
      <c r="M116" s="15">
        <v>46280</v>
      </c>
      <c r="N116">
        <v>43714</v>
      </c>
    </row>
    <row r="117" spans="1:14" x14ac:dyDescent="0.25">
      <c r="A117" s="13" t="s">
        <v>1328</v>
      </c>
      <c r="B117" s="13" t="s">
        <v>1348</v>
      </c>
      <c r="C117" s="17" t="s">
        <v>1429</v>
      </c>
      <c r="D117" t="s">
        <v>30</v>
      </c>
      <c r="E117" s="88" t="s">
        <v>14</v>
      </c>
      <c r="F117" s="6">
        <f>+VLOOKUP(E117,CATALOGO!G:L,6,0)</f>
        <v>8</v>
      </c>
      <c r="G117" s="14">
        <v>384</v>
      </c>
      <c r="H117" s="14">
        <v>8</v>
      </c>
      <c r="I117" s="16">
        <v>46276</v>
      </c>
      <c r="J117" s="12">
        <f t="shared" si="2"/>
        <v>37</v>
      </c>
      <c r="K117">
        <f>+IF(E117="","",VLOOKUP(E117,CATALOGO!G:I,2,0))</f>
        <v>3</v>
      </c>
      <c r="L117">
        <f>+IF(E117="","",VLOOKUP(E117,CATALOGO!G:I,3,0))</f>
        <v>72</v>
      </c>
      <c r="M117" s="15">
        <v>46279</v>
      </c>
      <c r="N117" t="s">
        <v>1568</v>
      </c>
    </row>
    <row r="118" spans="1:14" x14ac:dyDescent="0.25">
      <c r="A118" s="13" t="s">
        <v>1333</v>
      </c>
      <c r="B118" s="13" t="s">
        <v>1353</v>
      </c>
      <c r="C118" s="17" t="s">
        <v>1430</v>
      </c>
      <c r="D118" t="s">
        <v>32</v>
      </c>
      <c r="E118" s="88" t="s">
        <v>14</v>
      </c>
      <c r="F118" s="6">
        <f>+VLOOKUP(E118,CATALOGO!G:L,6,0)</f>
        <v>8</v>
      </c>
      <c r="G118" s="14">
        <v>882</v>
      </c>
      <c r="H118" s="14">
        <v>18.375</v>
      </c>
      <c r="I118" s="16">
        <v>46276</v>
      </c>
      <c r="J118" s="12">
        <f t="shared" si="2"/>
        <v>37</v>
      </c>
      <c r="K118">
        <f>+IF(E118="","",VLOOKUP(E118,CATALOGO!G:I,2,0))</f>
        <v>3</v>
      </c>
      <c r="L118">
        <f>+IF(E118="","",VLOOKUP(E118,CATALOGO!G:I,3,0))</f>
        <v>72</v>
      </c>
      <c r="M118" s="15">
        <v>46280</v>
      </c>
      <c r="N118">
        <v>43721</v>
      </c>
    </row>
    <row r="119" spans="1:14" x14ac:dyDescent="0.25">
      <c r="A119" s="13" t="s">
        <v>1328</v>
      </c>
      <c r="B119" s="13" t="s">
        <v>1348</v>
      </c>
      <c r="C119" s="17" t="s">
        <v>1431</v>
      </c>
      <c r="D119" t="s">
        <v>104</v>
      </c>
      <c r="E119" s="88" t="s">
        <v>14</v>
      </c>
      <c r="F119" s="6">
        <f>+VLOOKUP(E119,CATALOGO!G:L,6,0)</f>
        <v>8</v>
      </c>
      <c r="G119" s="14">
        <v>960</v>
      </c>
      <c r="H119" s="14">
        <v>20</v>
      </c>
      <c r="I119" s="16">
        <v>46276</v>
      </c>
      <c r="J119" s="12">
        <f t="shared" si="2"/>
        <v>37</v>
      </c>
      <c r="K119">
        <f>+IF(E119="","",VLOOKUP(E119,CATALOGO!G:I,2,0))</f>
        <v>3</v>
      </c>
      <c r="L119">
        <f>+IF(E119="","",VLOOKUP(E119,CATALOGO!G:I,3,0))</f>
        <v>72</v>
      </c>
      <c r="M119" s="15">
        <v>46281</v>
      </c>
      <c r="N119">
        <v>43723</v>
      </c>
    </row>
    <row r="120" spans="1:14" x14ac:dyDescent="0.25">
      <c r="A120" s="13" t="s">
        <v>1312</v>
      </c>
      <c r="B120" s="13" t="s">
        <v>1320</v>
      </c>
      <c r="C120" s="17" t="s">
        <v>1432</v>
      </c>
      <c r="D120" t="s">
        <v>21</v>
      </c>
      <c r="E120" s="88" t="s">
        <v>22</v>
      </c>
      <c r="F120" s="6">
        <f>+VLOOKUP(E120,CATALOGO!G:L,6,0)</f>
        <v>4</v>
      </c>
      <c r="G120" s="14">
        <v>720</v>
      </c>
      <c r="H120" s="14">
        <v>15</v>
      </c>
      <c r="I120" s="16">
        <v>46276</v>
      </c>
      <c r="J120" s="12">
        <f t="shared" si="2"/>
        <v>37</v>
      </c>
      <c r="K120">
        <f>+IF(E120="","",VLOOKUP(E120,CATALOGO!G:I,2,0))</f>
        <v>1.5</v>
      </c>
      <c r="L120">
        <f>+IF(E120="","",VLOOKUP(E120,CATALOGO!G:I,3,0))</f>
        <v>36</v>
      </c>
      <c r="M120" s="15">
        <v>46281</v>
      </c>
      <c r="N120">
        <v>41926</v>
      </c>
    </row>
    <row r="121" spans="1:14" x14ac:dyDescent="0.25">
      <c r="A121" s="13" t="s">
        <v>1311</v>
      </c>
      <c r="B121" s="13" t="s">
        <v>1319</v>
      </c>
      <c r="C121" s="17" t="s">
        <v>1432</v>
      </c>
      <c r="D121" t="s">
        <v>21</v>
      </c>
      <c r="E121" s="88" t="s">
        <v>25</v>
      </c>
      <c r="F121" s="6">
        <f>+VLOOKUP(E121,CATALOGO!G:L,6,0)</f>
        <v>1</v>
      </c>
      <c r="G121" s="14">
        <v>480</v>
      </c>
      <c r="H121" s="14">
        <v>10</v>
      </c>
      <c r="I121" s="16">
        <v>46276</v>
      </c>
      <c r="J121" s="12">
        <f t="shared" si="2"/>
        <v>37</v>
      </c>
      <c r="K121">
        <f>+IF(E121="","",VLOOKUP(E121,CATALOGO!G:I,2,0))</f>
        <v>3</v>
      </c>
      <c r="L121">
        <f>+IF(E121="","",VLOOKUP(E121,CATALOGO!G:I,3,0))</f>
        <v>72</v>
      </c>
      <c r="M121" s="15">
        <v>46283</v>
      </c>
      <c r="N121">
        <v>43802</v>
      </c>
    </row>
    <row r="122" spans="1:14" x14ac:dyDescent="0.25">
      <c r="A122" s="13" t="s">
        <v>1312</v>
      </c>
      <c r="B122" s="13" t="s">
        <v>1320</v>
      </c>
      <c r="C122" s="17" t="s">
        <v>1432</v>
      </c>
      <c r="D122" t="s">
        <v>21</v>
      </c>
      <c r="E122" s="88" t="s">
        <v>16</v>
      </c>
      <c r="F122" s="6">
        <f>+VLOOKUP(E122,CATALOGO!G:L,6,0)</f>
        <v>6</v>
      </c>
      <c r="G122" s="14">
        <v>192</v>
      </c>
      <c r="H122" s="14">
        <v>4</v>
      </c>
      <c r="I122" s="16">
        <v>46276</v>
      </c>
      <c r="J122" s="12">
        <f t="shared" si="2"/>
        <v>37</v>
      </c>
      <c r="K122">
        <f>+IF(E122="","",VLOOKUP(E122,CATALOGO!G:I,2,0))</f>
        <v>1</v>
      </c>
      <c r="L122">
        <f>+IF(E122="","",VLOOKUP(E122,CATALOGO!G:I,3,0))</f>
        <v>24</v>
      </c>
      <c r="M122" s="15">
        <v>46279</v>
      </c>
      <c r="N122" t="s">
        <v>1568</v>
      </c>
    </row>
    <row r="123" spans="1:14" x14ac:dyDescent="0.25">
      <c r="A123" s="13" t="s">
        <v>1312</v>
      </c>
      <c r="B123" s="13" t="s">
        <v>1320</v>
      </c>
      <c r="C123" s="17" t="s">
        <v>1432</v>
      </c>
      <c r="D123" t="s">
        <v>21</v>
      </c>
      <c r="E123" s="88" t="s">
        <v>19</v>
      </c>
      <c r="F123" s="6">
        <f>+VLOOKUP(E123,CATALOGO!G:L,6,0)</f>
        <v>0</v>
      </c>
      <c r="G123" s="14">
        <v>384</v>
      </c>
      <c r="H123" s="14">
        <v>8</v>
      </c>
      <c r="I123" s="16">
        <v>46276</v>
      </c>
      <c r="J123" s="12">
        <f t="shared" si="2"/>
        <v>37</v>
      </c>
      <c r="K123">
        <f>+IF(E123="","",VLOOKUP(E123,CATALOGO!G:I,2,0))</f>
        <v>1.5</v>
      </c>
      <c r="L123">
        <f>+IF(E123="","",VLOOKUP(E123,CATALOGO!G:I,3,0))</f>
        <v>36</v>
      </c>
      <c r="M123" s="15">
        <v>46283</v>
      </c>
    </row>
    <row r="124" spans="1:14" x14ac:dyDescent="0.25">
      <c r="A124" s="13" t="s">
        <v>1312</v>
      </c>
      <c r="B124" s="13" t="s">
        <v>1320</v>
      </c>
      <c r="C124" s="17" t="s">
        <v>1432</v>
      </c>
      <c r="D124" t="s">
        <v>21</v>
      </c>
      <c r="E124" s="88" t="s">
        <v>19</v>
      </c>
      <c r="F124" s="6">
        <f>+VLOOKUP(E124,CATALOGO!G:L,6,0)</f>
        <v>0</v>
      </c>
      <c r="G124" s="14">
        <v>192</v>
      </c>
      <c r="H124" s="14">
        <v>4</v>
      </c>
      <c r="I124" s="16">
        <v>46276</v>
      </c>
      <c r="J124" s="12">
        <f t="shared" si="2"/>
        <v>37</v>
      </c>
      <c r="K124">
        <f>+IF(E124="","",VLOOKUP(E124,CATALOGO!G:I,2,0))</f>
        <v>1.5</v>
      </c>
      <c r="L124">
        <f>+IF(E124="","",VLOOKUP(E124,CATALOGO!G:I,3,0))</f>
        <v>36</v>
      </c>
      <c r="M124" s="15">
        <v>46283</v>
      </c>
      <c r="N124" t="s">
        <v>1568</v>
      </c>
    </row>
    <row r="125" spans="1:14" x14ac:dyDescent="0.25">
      <c r="A125" s="13" t="s">
        <v>1314</v>
      </c>
      <c r="B125" s="13" t="s">
        <v>1322</v>
      </c>
      <c r="C125" s="17" t="s">
        <v>1432</v>
      </c>
      <c r="D125" t="s">
        <v>21</v>
      </c>
      <c r="E125" s="88" t="s">
        <v>19</v>
      </c>
      <c r="F125" s="6">
        <f>+VLOOKUP(E125,CATALOGO!G:L,6,0)</f>
        <v>0</v>
      </c>
      <c r="G125" s="14">
        <v>38</v>
      </c>
      <c r="H125" s="14" t="s">
        <v>1327</v>
      </c>
      <c r="I125" s="16">
        <v>46276</v>
      </c>
      <c r="J125" s="12">
        <f t="shared" si="2"/>
        <v>37</v>
      </c>
      <c r="K125">
        <f>+IF(E125="","",VLOOKUP(E125,CATALOGO!G:I,2,0))</f>
        <v>1.5</v>
      </c>
      <c r="L125">
        <f>+IF(E125="","",VLOOKUP(E125,CATALOGO!G:I,3,0))</f>
        <v>36</v>
      </c>
      <c r="M125" s="15">
        <v>46278</v>
      </c>
      <c r="N125" t="s">
        <v>1568</v>
      </c>
    </row>
    <row r="126" spans="1:14" x14ac:dyDescent="0.25">
      <c r="A126" s="13" t="s">
        <v>1315</v>
      </c>
      <c r="B126" s="13" t="s">
        <v>1323</v>
      </c>
      <c r="C126" s="17" t="s">
        <v>1433</v>
      </c>
      <c r="D126" t="s">
        <v>21</v>
      </c>
      <c r="E126" s="88" t="s">
        <v>19</v>
      </c>
      <c r="F126" s="6">
        <f>+VLOOKUP(E126,CATALOGO!G:L,6,0)</f>
        <v>0</v>
      </c>
      <c r="G126" s="14">
        <v>56</v>
      </c>
      <c r="H126" s="14" t="s">
        <v>1327</v>
      </c>
      <c r="I126" s="16">
        <v>46276</v>
      </c>
      <c r="J126" s="12">
        <f t="shared" si="2"/>
        <v>37</v>
      </c>
      <c r="K126">
        <f>+IF(E126="","",VLOOKUP(E126,CATALOGO!G:I,2,0))</f>
        <v>1.5</v>
      </c>
      <c r="L126">
        <f>+IF(E126="","",VLOOKUP(E126,CATALOGO!G:I,3,0))</f>
        <v>36</v>
      </c>
      <c r="M126" s="15">
        <v>46278</v>
      </c>
      <c r="N126" t="s">
        <v>1568</v>
      </c>
    </row>
    <row r="127" spans="1:14" x14ac:dyDescent="0.25">
      <c r="A127" s="13" t="s">
        <v>1316</v>
      </c>
      <c r="B127" s="13" t="s">
        <v>1324</v>
      </c>
      <c r="C127" s="17" t="s">
        <v>1434</v>
      </c>
      <c r="D127" t="s">
        <v>21</v>
      </c>
      <c r="E127" s="88" t="s">
        <v>19</v>
      </c>
      <c r="F127" s="6">
        <f>+VLOOKUP(E127,CATALOGO!G:L,6,0)</f>
        <v>0</v>
      </c>
      <c r="G127" s="14">
        <v>33</v>
      </c>
      <c r="H127" s="14" t="s">
        <v>1327</v>
      </c>
      <c r="I127" s="16">
        <v>46276</v>
      </c>
      <c r="J127" s="12">
        <f t="shared" si="2"/>
        <v>37</v>
      </c>
      <c r="K127">
        <f>+IF(E127="","",VLOOKUP(E127,CATALOGO!G:I,2,0))</f>
        <v>1.5</v>
      </c>
      <c r="L127">
        <f>+IF(E127="","",VLOOKUP(E127,CATALOGO!G:I,3,0))</f>
        <v>36</v>
      </c>
      <c r="M127" s="15">
        <v>46278</v>
      </c>
      <c r="N127" t="s">
        <v>1568</v>
      </c>
    </row>
    <row r="128" spans="1:14" x14ac:dyDescent="0.25">
      <c r="A128" s="13" t="s">
        <v>1317</v>
      </c>
      <c r="B128" s="13" t="s">
        <v>1325</v>
      </c>
      <c r="C128" s="17" t="s">
        <v>1435</v>
      </c>
      <c r="D128" t="s">
        <v>21</v>
      </c>
      <c r="E128" s="88" t="s">
        <v>19</v>
      </c>
      <c r="F128" s="6">
        <f>+VLOOKUP(E128,CATALOGO!G:L,6,0)</f>
        <v>0</v>
      </c>
      <c r="G128" s="14">
        <v>84</v>
      </c>
      <c r="H128" s="14" t="s">
        <v>1327</v>
      </c>
      <c r="I128" s="16">
        <v>46276</v>
      </c>
      <c r="J128" s="12">
        <f t="shared" si="2"/>
        <v>37</v>
      </c>
      <c r="K128">
        <f>+IF(E128="","",VLOOKUP(E128,CATALOGO!G:I,2,0))</f>
        <v>1.5</v>
      </c>
      <c r="L128">
        <f>+IF(E128="","",VLOOKUP(E128,CATALOGO!G:I,3,0))</f>
        <v>36</v>
      </c>
      <c r="M128" s="15">
        <v>46278</v>
      </c>
      <c r="N128" t="s">
        <v>1568</v>
      </c>
    </row>
    <row r="129" spans="1:14" x14ac:dyDescent="0.25">
      <c r="A129" s="13" t="s">
        <v>1312</v>
      </c>
      <c r="B129" s="13" t="s">
        <v>1320</v>
      </c>
      <c r="C129" s="17" t="s">
        <v>1436</v>
      </c>
      <c r="D129" t="s">
        <v>20</v>
      </c>
      <c r="E129" s="88" t="s">
        <v>22</v>
      </c>
      <c r="F129" s="6">
        <f>+VLOOKUP(E129,CATALOGO!G:L,6,0)</f>
        <v>4</v>
      </c>
      <c r="G129" s="14">
        <v>192</v>
      </c>
      <c r="H129" s="14">
        <v>4</v>
      </c>
      <c r="I129" s="16">
        <v>46276</v>
      </c>
      <c r="J129" s="12">
        <f t="shared" si="2"/>
        <v>37</v>
      </c>
      <c r="K129">
        <f>+IF(E129="","",VLOOKUP(E129,CATALOGO!G:I,2,0))</f>
        <v>1.5</v>
      </c>
      <c r="L129">
        <f>+IF(E129="","",VLOOKUP(E129,CATALOGO!G:I,3,0))</f>
        <v>36</v>
      </c>
      <c r="M129" s="15">
        <v>46281</v>
      </c>
      <c r="N129">
        <v>41926</v>
      </c>
    </row>
    <row r="130" spans="1:14" x14ac:dyDescent="0.25">
      <c r="A130" s="13" t="s">
        <v>1313</v>
      </c>
      <c r="B130" s="13" t="s">
        <v>1321</v>
      </c>
      <c r="C130" s="17" t="e">
        <v>#N/A</v>
      </c>
      <c r="E130" s="88" t="s">
        <v>17</v>
      </c>
      <c r="F130" s="6">
        <f>+VLOOKUP(E130,CATALOGO!G:L,6,0)</f>
        <v>5</v>
      </c>
      <c r="G130" s="14"/>
      <c r="H130" s="14"/>
      <c r="I130" s="16">
        <v>46276</v>
      </c>
      <c r="J130" s="12">
        <f t="shared" si="2"/>
        <v>37</v>
      </c>
      <c r="K130">
        <f>+IF(E130="","",VLOOKUP(E130,CATALOGO!G:I,2,0))</f>
        <v>1</v>
      </c>
      <c r="L130">
        <f>+IF(E130="","",VLOOKUP(E130,CATALOGO!G:I,3,0))</f>
        <v>24</v>
      </c>
      <c r="M130" s="15">
        <v>46281</v>
      </c>
    </row>
    <row r="131" spans="1:14" x14ac:dyDescent="0.25">
      <c r="A131" s="13" t="s">
        <v>1312</v>
      </c>
      <c r="B131" s="13" t="s">
        <v>1320</v>
      </c>
      <c r="C131" s="17" t="s">
        <v>1436</v>
      </c>
      <c r="D131" t="s">
        <v>20</v>
      </c>
      <c r="E131" s="88" t="s">
        <v>17</v>
      </c>
      <c r="F131" s="6">
        <f>+VLOOKUP(E131,CATALOGO!G:L,6,0)</f>
        <v>5</v>
      </c>
      <c r="G131" s="14">
        <v>1152</v>
      </c>
      <c r="H131" s="14">
        <v>24</v>
      </c>
      <c r="I131" s="16">
        <v>46276</v>
      </c>
      <c r="J131" s="12">
        <f t="shared" si="2"/>
        <v>37</v>
      </c>
      <c r="K131">
        <f>+IF(E131="","",VLOOKUP(E131,CATALOGO!G:I,2,0))</f>
        <v>1</v>
      </c>
      <c r="L131">
        <f>+IF(E131="","",VLOOKUP(E131,CATALOGO!G:I,3,0))</f>
        <v>24</v>
      </c>
      <c r="M131" s="15">
        <v>46281</v>
      </c>
      <c r="N131">
        <v>44664</v>
      </c>
    </row>
    <row r="132" spans="1:14" x14ac:dyDescent="0.25">
      <c r="A132" s="13" t="s">
        <v>1314</v>
      </c>
      <c r="B132" s="13" t="s">
        <v>1322</v>
      </c>
      <c r="C132" s="17" t="s">
        <v>1436</v>
      </c>
      <c r="D132" t="s">
        <v>20</v>
      </c>
      <c r="E132" s="88" t="s">
        <v>19</v>
      </c>
      <c r="F132" s="6">
        <f>+VLOOKUP(E132,CATALOGO!G:L,6,0)</f>
        <v>0</v>
      </c>
      <c r="G132" s="14">
        <v>46</v>
      </c>
      <c r="H132" s="14" t="s">
        <v>1327</v>
      </c>
      <c r="I132" s="16">
        <v>46276</v>
      </c>
      <c r="J132" s="12">
        <f t="shared" si="2"/>
        <v>37</v>
      </c>
      <c r="K132">
        <f>+IF(E132="","",VLOOKUP(E132,CATALOGO!G:I,2,0))</f>
        <v>1.5</v>
      </c>
      <c r="L132">
        <f>+IF(E132="","",VLOOKUP(E132,CATALOGO!G:I,3,0))</f>
        <v>36</v>
      </c>
      <c r="M132" s="15">
        <v>46278</v>
      </c>
      <c r="N132" t="s">
        <v>1568</v>
      </c>
    </row>
    <row r="133" spans="1:14" x14ac:dyDescent="0.25">
      <c r="A133" s="13" t="s">
        <v>1315</v>
      </c>
      <c r="B133" s="13" t="s">
        <v>1323</v>
      </c>
      <c r="C133" s="17" t="s">
        <v>1437</v>
      </c>
      <c r="D133" t="s">
        <v>20</v>
      </c>
      <c r="E133" s="88" t="s">
        <v>19</v>
      </c>
      <c r="F133" s="6">
        <f>+VLOOKUP(E133,CATALOGO!G:L,6,0)</f>
        <v>0</v>
      </c>
      <c r="G133" s="14">
        <v>55</v>
      </c>
      <c r="H133" s="14" t="s">
        <v>1327</v>
      </c>
      <c r="I133" s="16">
        <v>46276</v>
      </c>
      <c r="J133" s="12">
        <f t="shared" si="2"/>
        <v>37</v>
      </c>
      <c r="K133">
        <f>+IF(E133="","",VLOOKUP(E133,CATALOGO!G:I,2,0))</f>
        <v>1.5</v>
      </c>
      <c r="L133">
        <f>+IF(E133="","",VLOOKUP(E133,CATALOGO!G:I,3,0))</f>
        <v>36</v>
      </c>
      <c r="M133" s="15">
        <v>46278</v>
      </c>
      <c r="N133" t="s">
        <v>1568</v>
      </c>
    </row>
    <row r="134" spans="1:14" x14ac:dyDescent="0.25">
      <c r="A134" s="13" t="s">
        <v>1316</v>
      </c>
      <c r="B134" s="13" t="s">
        <v>1324</v>
      </c>
      <c r="C134" s="17" t="s">
        <v>1438</v>
      </c>
      <c r="D134" t="s">
        <v>20</v>
      </c>
      <c r="E134" s="88" t="s">
        <v>19</v>
      </c>
      <c r="F134" s="6">
        <f>+VLOOKUP(E134,CATALOGO!G:L,6,0)</f>
        <v>0</v>
      </c>
      <c r="G134" s="14">
        <v>14</v>
      </c>
      <c r="H134" s="14" t="s">
        <v>1327</v>
      </c>
      <c r="I134" s="16">
        <v>46276</v>
      </c>
      <c r="J134" s="12">
        <f t="shared" si="2"/>
        <v>37</v>
      </c>
      <c r="K134">
        <f>+IF(E134="","",VLOOKUP(E134,CATALOGO!G:I,2,0))</f>
        <v>1.5</v>
      </c>
      <c r="L134">
        <f>+IF(E134="","",VLOOKUP(E134,CATALOGO!G:I,3,0))</f>
        <v>36</v>
      </c>
      <c r="M134" s="15">
        <v>46278</v>
      </c>
      <c r="N134" t="s">
        <v>1568</v>
      </c>
    </row>
    <row r="135" spans="1:14" x14ac:dyDescent="0.25">
      <c r="A135" s="13" t="s">
        <v>1317</v>
      </c>
      <c r="B135" s="13" t="s">
        <v>1325</v>
      </c>
      <c r="C135" s="17" t="s">
        <v>1439</v>
      </c>
      <c r="D135" t="s">
        <v>20</v>
      </c>
      <c r="E135" s="88" t="s">
        <v>19</v>
      </c>
      <c r="F135" s="6">
        <f>+VLOOKUP(E135,CATALOGO!G:L,6,0)</f>
        <v>0</v>
      </c>
      <c r="G135" s="14">
        <v>54</v>
      </c>
      <c r="H135" s="14" t="s">
        <v>1327</v>
      </c>
      <c r="I135" s="16">
        <v>46276</v>
      </c>
      <c r="J135" s="12">
        <f t="shared" si="2"/>
        <v>37</v>
      </c>
      <c r="K135">
        <f>+IF(E135="","",VLOOKUP(E135,CATALOGO!G:I,2,0))</f>
        <v>1.5</v>
      </c>
      <c r="L135">
        <f>+IF(E135="","",VLOOKUP(E135,CATALOGO!G:I,3,0))</f>
        <v>36</v>
      </c>
      <c r="M135" s="15">
        <v>46278</v>
      </c>
      <c r="N135" t="s">
        <v>1568</v>
      </c>
    </row>
    <row r="136" spans="1:14" x14ac:dyDescent="0.25">
      <c r="A136" s="13" t="s">
        <v>1312</v>
      </c>
      <c r="B136" s="13" t="s">
        <v>1320</v>
      </c>
      <c r="C136" s="17" t="s">
        <v>1440</v>
      </c>
      <c r="D136" t="s">
        <v>15</v>
      </c>
      <c r="E136" s="88" t="s">
        <v>22</v>
      </c>
      <c r="F136" s="6">
        <f>+VLOOKUP(E136,CATALOGO!G:L,6,0)</f>
        <v>4</v>
      </c>
      <c r="G136" s="14">
        <v>144</v>
      </c>
      <c r="H136" s="14">
        <v>3</v>
      </c>
      <c r="I136" s="16">
        <v>46276</v>
      </c>
      <c r="J136" s="12">
        <f t="shared" si="2"/>
        <v>37</v>
      </c>
      <c r="K136">
        <f>+IF(E136="","",VLOOKUP(E136,CATALOGO!G:I,2,0))</f>
        <v>1.5</v>
      </c>
      <c r="L136">
        <f>+IF(E136="","",VLOOKUP(E136,CATALOGO!G:I,3,0))</f>
        <v>36</v>
      </c>
      <c r="M136" s="15">
        <v>46281</v>
      </c>
      <c r="N136">
        <v>41926</v>
      </c>
    </row>
    <row r="137" spans="1:14" x14ac:dyDescent="0.25">
      <c r="A137" s="13" t="s">
        <v>1312</v>
      </c>
      <c r="B137" s="13" t="s">
        <v>1320</v>
      </c>
      <c r="C137" s="17" t="s">
        <v>1440</v>
      </c>
      <c r="D137" t="s">
        <v>15</v>
      </c>
      <c r="E137" s="88" t="s">
        <v>18</v>
      </c>
      <c r="F137" s="6">
        <f>+VLOOKUP(E137,CATALOGO!G:L,6,0)</f>
        <v>3</v>
      </c>
      <c r="G137" s="14">
        <v>1056</v>
      </c>
      <c r="H137" s="14">
        <v>22</v>
      </c>
      <c r="I137" s="16">
        <v>46276</v>
      </c>
      <c r="J137" s="12">
        <f t="shared" si="2"/>
        <v>37</v>
      </c>
      <c r="K137">
        <f>+IF(E137="","",VLOOKUP(E137,CATALOGO!G:I,2,0))</f>
        <v>1.5</v>
      </c>
      <c r="L137">
        <f>+IF(E137="","",VLOOKUP(E137,CATALOGO!G:I,3,0))</f>
        <v>36</v>
      </c>
      <c r="M137" s="15">
        <v>46281</v>
      </c>
      <c r="N137">
        <v>43486</v>
      </c>
    </row>
    <row r="138" spans="1:14" x14ac:dyDescent="0.25">
      <c r="A138" s="13" t="s">
        <v>1318</v>
      </c>
      <c r="B138" s="13" t="s">
        <v>1326</v>
      </c>
      <c r="C138" s="17" t="s">
        <v>1440</v>
      </c>
      <c r="D138" t="s">
        <v>15</v>
      </c>
      <c r="E138" s="88" t="s">
        <v>18</v>
      </c>
      <c r="F138" s="6">
        <f>+VLOOKUP(E138,CATALOGO!G:L,6,0)</f>
        <v>3</v>
      </c>
      <c r="G138" s="14">
        <v>96</v>
      </c>
      <c r="H138" s="14">
        <v>2</v>
      </c>
      <c r="I138" s="16">
        <v>46276</v>
      </c>
      <c r="J138" s="12">
        <f t="shared" si="2"/>
        <v>37</v>
      </c>
      <c r="K138">
        <f>+IF(E138="","",VLOOKUP(E138,CATALOGO!G:I,2,0))</f>
        <v>1.5</v>
      </c>
      <c r="L138">
        <f>+IF(E138="","",VLOOKUP(E138,CATALOGO!G:I,3,0))</f>
        <v>36</v>
      </c>
      <c r="M138" s="15">
        <v>46281</v>
      </c>
      <c r="N138">
        <v>43486</v>
      </c>
    </row>
    <row r="139" spans="1:14" x14ac:dyDescent="0.25">
      <c r="A139" s="13" t="s">
        <v>1312</v>
      </c>
      <c r="B139" s="13" t="s">
        <v>1320</v>
      </c>
      <c r="C139" s="17" t="s">
        <v>1440</v>
      </c>
      <c r="D139" t="s">
        <v>15</v>
      </c>
      <c r="E139" s="88" t="s">
        <v>18</v>
      </c>
      <c r="F139" s="6">
        <f>+VLOOKUP(E139,CATALOGO!G:L,6,0)</f>
        <v>3</v>
      </c>
      <c r="G139" s="14">
        <v>144</v>
      </c>
      <c r="H139" s="14">
        <v>3</v>
      </c>
      <c r="I139" s="16">
        <v>46276</v>
      </c>
      <c r="J139" s="12">
        <f t="shared" si="2"/>
        <v>37</v>
      </c>
      <c r="K139">
        <f>+IF(E139="","",VLOOKUP(E139,CATALOGO!G:I,2,0))</f>
        <v>1.5</v>
      </c>
      <c r="L139">
        <f>+IF(E139="","",VLOOKUP(E139,CATALOGO!G:I,3,0))</f>
        <v>36</v>
      </c>
      <c r="M139" s="15">
        <v>46283</v>
      </c>
      <c r="N139" t="s">
        <v>1568</v>
      </c>
    </row>
    <row r="140" spans="1:14" x14ac:dyDescent="0.25">
      <c r="A140" s="13" t="s">
        <v>1314</v>
      </c>
      <c r="B140" s="13" t="s">
        <v>1322</v>
      </c>
      <c r="C140" s="17" t="s">
        <v>1440</v>
      </c>
      <c r="D140" t="s">
        <v>15</v>
      </c>
      <c r="E140" s="88" t="s">
        <v>19</v>
      </c>
      <c r="F140" s="6">
        <f>+VLOOKUP(E140,CATALOGO!G:L,6,0)</f>
        <v>0</v>
      </c>
      <c r="G140" s="14">
        <v>8</v>
      </c>
      <c r="H140" s="14" t="s">
        <v>1327</v>
      </c>
      <c r="I140" s="16">
        <v>46276</v>
      </c>
      <c r="J140" s="12">
        <f t="shared" si="2"/>
        <v>37</v>
      </c>
      <c r="K140">
        <f>+IF(E140="","",VLOOKUP(E140,CATALOGO!G:I,2,0))</f>
        <v>1.5</v>
      </c>
      <c r="L140">
        <f>+IF(E140="","",VLOOKUP(E140,CATALOGO!G:I,3,0))</f>
        <v>36</v>
      </c>
      <c r="M140" s="15">
        <v>46278</v>
      </c>
      <c r="N140" t="s">
        <v>1568</v>
      </c>
    </row>
    <row r="141" spans="1:14" x14ac:dyDescent="0.25">
      <c r="A141" s="13" t="s">
        <v>1315</v>
      </c>
      <c r="B141" s="13" t="s">
        <v>1323</v>
      </c>
      <c r="C141" s="17" t="s">
        <v>1441</v>
      </c>
      <c r="D141" t="s">
        <v>15</v>
      </c>
      <c r="E141" s="88" t="s">
        <v>19</v>
      </c>
      <c r="F141" s="6">
        <f>+VLOOKUP(E141,CATALOGO!G:L,6,0)</f>
        <v>0</v>
      </c>
      <c r="G141" s="14">
        <v>46</v>
      </c>
      <c r="H141" s="14" t="s">
        <v>1327</v>
      </c>
      <c r="I141" s="16">
        <v>46276</v>
      </c>
      <c r="J141" s="12">
        <f t="shared" si="2"/>
        <v>37</v>
      </c>
      <c r="K141">
        <f>+IF(E141="","",VLOOKUP(E141,CATALOGO!G:I,2,0))</f>
        <v>1.5</v>
      </c>
      <c r="L141">
        <f>+IF(E141="","",VLOOKUP(E141,CATALOGO!G:I,3,0))</f>
        <v>36</v>
      </c>
      <c r="M141" s="15">
        <v>46278</v>
      </c>
      <c r="N141" t="s">
        <v>1568</v>
      </c>
    </row>
    <row r="142" spans="1:14" x14ac:dyDescent="0.25">
      <c r="A142" s="13" t="s">
        <v>1316</v>
      </c>
      <c r="B142" s="13" t="s">
        <v>1324</v>
      </c>
      <c r="C142" s="17" t="s">
        <v>1442</v>
      </c>
      <c r="D142" t="s">
        <v>15</v>
      </c>
      <c r="E142" s="88" t="s">
        <v>19</v>
      </c>
      <c r="F142" s="6">
        <f>+VLOOKUP(E142,CATALOGO!G:L,6,0)</f>
        <v>0</v>
      </c>
      <c r="G142" s="14">
        <v>57</v>
      </c>
      <c r="H142" s="14" t="s">
        <v>1327</v>
      </c>
      <c r="I142" s="16">
        <v>46276</v>
      </c>
      <c r="J142" s="12">
        <f t="shared" ref="J142:J205" si="3">+WEEKNUM(I142)</f>
        <v>37</v>
      </c>
      <c r="K142">
        <f>+IF(E142="","",VLOOKUP(E142,CATALOGO!G:I,2,0))</f>
        <v>1.5</v>
      </c>
      <c r="L142">
        <f>+IF(E142="","",VLOOKUP(E142,CATALOGO!G:I,3,0))</f>
        <v>36</v>
      </c>
      <c r="M142" s="15">
        <v>46278</v>
      </c>
      <c r="N142" t="s">
        <v>1568</v>
      </c>
    </row>
    <row r="143" spans="1:14" x14ac:dyDescent="0.25">
      <c r="A143" s="13" t="s">
        <v>1317</v>
      </c>
      <c r="B143" s="13" t="s">
        <v>1325</v>
      </c>
      <c r="C143" s="17" t="s">
        <v>1443</v>
      </c>
      <c r="D143" t="s">
        <v>15</v>
      </c>
      <c r="E143" s="88" t="s">
        <v>19</v>
      </c>
      <c r="F143" s="6">
        <f>+VLOOKUP(E143,CATALOGO!G:L,6,0)</f>
        <v>0</v>
      </c>
      <c r="G143" s="14">
        <v>22</v>
      </c>
      <c r="H143" s="14" t="s">
        <v>1327</v>
      </c>
      <c r="I143" s="16">
        <v>46276</v>
      </c>
      <c r="J143" s="12">
        <f t="shared" si="3"/>
        <v>37</v>
      </c>
      <c r="K143">
        <f>+IF(E143="","",VLOOKUP(E143,CATALOGO!G:I,2,0))</f>
        <v>1.5</v>
      </c>
      <c r="L143">
        <f>+IF(E143="","",VLOOKUP(E143,CATALOGO!G:I,3,0))</f>
        <v>36</v>
      </c>
      <c r="M143" s="15">
        <v>46278</v>
      </c>
      <c r="N143" t="s">
        <v>1568</v>
      </c>
    </row>
    <row r="144" spans="1:14" x14ac:dyDescent="0.25">
      <c r="A144" s="13" t="s">
        <v>1333</v>
      </c>
      <c r="B144" s="13" t="s">
        <v>1353</v>
      </c>
      <c r="C144" s="17" t="s">
        <v>1430</v>
      </c>
      <c r="D144" t="s">
        <v>32</v>
      </c>
      <c r="E144" s="88" t="s">
        <v>14</v>
      </c>
      <c r="F144" s="6">
        <f>+VLOOKUP(E144,CATALOGO!G:L,6,0)</f>
        <v>8</v>
      </c>
      <c r="G144" s="14">
        <v>126</v>
      </c>
      <c r="H144" s="14">
        <v>2.625</v>
      </c>
      <c r="I144" s="16">
        <v>46276</v>
      </c>
      <c r="J144" s="12">
        <f t="shared" si="3"/>
        <v>37</v>
      </c>
      <c r="K144">
        <f>+IF(E144="","",VLOOKUP(E144,CATALOGO!G:I,2,0))</f>
        <v>3</v>
      </c>
      <c r="L144">
        <f>+IF(E144="","",VLOOKUP(E144,CATALOGO!G:I,3,0))</f>
        <v>72</v>
      </c>
      <c r="M144" s="15">
        <v>46280</v>
      </c>
      <c r="N144" t="s">
        <v>1568</v>
      </c>
    </row>
    <row r="145" spans="1:14" x14ac:dyDescent="0.25">
      <c r="A145" s="13" t="s">
        <v>1328</v>
      </c>
      <c r="B145" s="13" t="s">
        <v>1348</v>
      </c>
      <c r="C145" s="17" t="s">
        <v>1444</v>
      </c>
      <c r="D145" t="s">
        <v>29</v>
      </c>
      <c r="E145" s="88" t="s">
        <v>14</v>
      </c>
      <c r="F145" s="6">
        <f>+VLOOKUP(E145,CATALOGO!G:L,6,0)</f>
        <v>8</v>
      </c>
      <c r="G145" s="14">
        <v>720</v>
      </c>
      <c r="H145" s="14">
        <v>15</v>
      </c>
      <c r="I145" s="16">
        <v>46277</v>
      </c>
      <c r="J145" s="12">
        <f t="shared" si="3"/>
        <v>37</v>
      </c>
      <c r="K145">
        <f>+IF(E145="","",VLOOKUP(E145,CATALOGO!G:I,2,0))</f>
        <v>3</v>
      </c>
      <c r="L145">
        <f>+IF(E145="","",VLOOKUP(E145,CATALOGO!G:I,3,0))</f>
        <v>72</v>
      </c>
      <c r="M145" s="15">
        <v>46282</v>
      </c>
      <c r="N145">
        <v>43728</v>
      </c>
    </row>
    <row r="146" spans="1:14" x14ac:dyDescent="0.25">
      <c r="A146" s="13" t="s">
        <v>1328</v>
      </c>
      <c r="B146" s="13" t="s">
        <v>1348</v>
      </c>
      <c r="C146" s="17" t="s">
        <v>1445</v>
      </c>
      <c r="D146" t="s">
        <v>24</v>
      </c>
      <c r="E146" s="88" t="s">
        <v>14</v>
      </c>
      <c r="F146" s="6">
        <f>+VLOOKUP(E146,CATALOGO!G:L,6,0)</f>
        <v>8</v>
      </c>
      <c r="G146" s="14">
        <v>240</v>
      </c>
      <c r="H146" s="14">
        <v>5</v>
      </c>
      <c r="I146" s="16">
        <v>46277</v>
      </c>
      <c r="J146" s="12">
        <f t="shared" si="3"/>
        <v>37</v>
      </c>
      <c r="K146">
        <f>+IF(E146="","",VLOOKUP(E146,CATALOGO!G:I,2,0))</f>
        <v>3</v>
      </c>
      <c r="L146">
        <f>+IF(E146="","",VLOOKUP(E146,CATALOGO!G:I,3,0))</f>
        <v>72</v>
      </c>
      <c r="M146" s="15">
        <v>46282</v>
      </c>
      <c r="N146" t="s">
        <v>1568</v>
      </c>
    </row>
    <row r="147" spans="1:14" x14ac:dyDescent="0.25">
      <c r="A147" s="13" t="s">
        <v>1328</v>
      </c>
      <c r="B147" s="13" t="s">
        <v>1348</v>
      </c>
      <c r="C147" s="17" t="s">
        <v>1446</v>
      </c>
      <c r="D147" t="s">
        <v>144</v>
      </c>
      <c r="E147" s="88" t="s">
        <v>14</v>
      </c>
      <c r="F147" s="6">
        <f>+VLOOKUP(E147,CATALOGO!G:L,6,0)</f>
        <v>8</v>
      </c>
      <c r="G147" s="14">
        <v>960</v>
      </c>
      <c r="H147" s="14">
        <v>20</v>
      </c>
      <c r="I147" s="16">
        <v>46277</v>
      </c>
      <c r="J147" s="12">
        <f t="shared" si="3"/>
        <v>37</v>
      </c>
      <c r="K147">
        <f>+IF(E147="","",VLOOKUP(E147,CATALOGO!G:I,2,0))</f>
        <v>3</v>
      </c>
      <c r="L147">
        <f>+IF(E147="","",VLOOKUP(E147,CATALOGO!G:I,3,0))</f>
        <v>72</v>
      </c>
      <c r="M147" s="15">
        <v>46282</v>
      </c>
      <c r="N147">
        <v>43730</v>
      </c>
    </row>
    <row r="148" spans="1:14" x14ac:dyDescent="0.25">
      <c r="A148" s="13" t="s">
        <v>1328</v>
      </c>
      <c r="B148" s="13" t="s">
        <v>1348</v>
      </c>
      <c r="C148" s="17" t="s">
        <v>1447</v>
      </c>
      <c r="D148" t="s">
        <v>13</v>
      </c>
      <c r="E148" s="88" t="s">
        <v>14</v>
      </c>
      <c r="F148" s="6">
        <f>+VLOOKUP(E148,CATALOGO!G:L,6,0)</f>
        <v>8</v>
      </c>
      <c r="G148" s="14">
        <v>960</v>
      </c>
      <c r="H148" s="14">
        <v>20</v>
      </c>
      <c r="I148" s="16">
        <v>46277</v>
      </c>
      <c r="J148" s="12">
        <f t="shared" si="3"/>
        <v>37</v>
      </c>
      <c r="K148">
        <f>+IF(E148="","",VLOOKUP(E148,CATALOGO!G:I,2,0))</f>
        <v>3</v>
      </c>
      <c r="L148">
        <f>+IF(E148="","",VLOOKUP(E148,CATALOGO!G:I,3,0))</f>
        <v>72</v>
      </c>
      <c r="M148" s="15">
        <v>46283</v>
      </c>
      <c r="N148">
        <v>43733</v>
      </c>
    </row>
    <row r="149" spans="1:14" x14ac:dyDescent="0.25">
      <c r="A149" s="13" t="s">
        <v>1311</v>
      </c>
      <c r="B149" s="13" t="s">
        <v>1319</v>
      </c>
      <c r="C149" s="17" t="s">
        <v>1448</v>
      </c>
      <c r="D149" t="s">
        <v>147</v>
      </c>
      <c r="E149" s="88" t="s">
        <v>25</v>
      </c>
      <c r="F149" s="6">
        <f>+VLOOKUP(E149,CATALOGO!G:L,6,0)</f>
        <v>1</v>
      </c>
      <c r="G149" s="14">
        <v>960</v>
      </c>
      <c r="H149" s="14">
        <v>20</v>
      </c>
      <c r="I149" s="16">
        <v>46277</v>
      </c>
      <c r="J149" s="12">
        <f t="shared" si="3"/>
        <v>37</v>
      </c>
      <c r="K149">
        <f>+IF(E149="","",VLOOKUP(E149,CATALOGO!G:I,2,0))</f>
        <v>3</v>
      </c>
      <c r="L149">
        <f>+IF(E149="","",VLOOKUP(E149,CATALOGO!G:I,3,0))</f>
        <v>72</v>
      </c>
      <c r="M149" s="15">
        <v>46283</v>
      </c>
      <c r="N149">
        <v>43802</v>
      </c>
    </row>
    <row r="150" spans="1:14" x14ac:dyDescent="0.25">
      <c r="A150" s="13" t="s">
        <v>1331</v>
      </c>
      <c r="B150" s="13" t="s">
        <v>1351</v>
      </c>
      <c r="C150" s="17" t="s">
        <v>1449</v>
      </c>
      <c r="D150" t="s">
        <v>27</v>
      </c>
      <c r="E150" s="88" t="s">
        <v>19</v>
      </c>
      <c r="F150" s="6">
        <f>+VLOOKUP(E150,CATALOGO!G:L,6,0)</f>
        <v>0</v>
      </c>
      <c r="G150" s="14">
        <v>384</v>
      </c>
      <c r="H150" s="14">
        <v>8</v>
      </c>
      <c r="I150" s="16">
        <v>46277</v>
      </c>
      <c r="J150" s="12">
        <f t="shared" si="3"/>
        <v>37</v>
      </c>
      <c r="K150">
        <f>+IF(E150="","",VLOOKUP(E150,CATALOGO!G:I,2,0))</f>
        <v>1.5</v>
      </c>
      <c r="L150">
        <f>+IF(E150="","",VLOOKUP(E150,CATALOGO!G:I,3,0))</f>
        <v>36</v>
      </c>
      <c r="M150" s="15">
        <v>46280</v>
      </c>
    </row>
    <row r="151" spans="1:14" x14ac:dyDescent="0.25">
      <c r="A151" s="13" t="s">
        <v>1312</v>
      </c>
      <c r="B151" s="13" t="s">
        <v>1320</v>
      </c>
      <c r="C151" s="17" t="s">
        <v>1450</v>
      </c>
      <c r="D151" t="s">
        <v>20</v>
      </c>
      <c r="E151" s="88" t="s">
        <v>17</v>
      </c>
      <c r="F151" s="6">
        <f>+VLOOKUP(E151,CATALOGO!G:L,6,0)</f>
        <v>5</v>
      </c>
      <c r="G151" s="14">
        <v>1056</v>
      </c>
      <c r="H151" s="14">
        <v>22</v>
      </c>
      <c r="I151" s="16">
        <v>46277</v>
      </c>
      <c r="J151" s="12">
        <f t="shared" si="3"/>
        <v>37</v>
      </c>
      <c r="K151">
        <f>+IF(E151="","",VLOOKUP(E151,CATALOGO!G:I,2,0))</f>
        <v>1</v>
      </c>
      <c r="L151">
        <f>+IF(E151="","",VLOOKUP(E151,CATALOGO!G:I,3,0))</f>
        <v>24</v>
      </c>
      <c r="M151" s="15">
        <v>46282</v>
      </c>
      <c r="N151" t="s">
        <v>1568</v>
      </c>
    </row>
    <row r="152" spans="1:14" x14ac:dyDescent="0.25">
      <c r="A152" s="13" t="s">
        <v>1313</v>
      </c>
      <c r="B152" s="13" t="s">
        <v>1321</v>
      </c>
      <c r="C152" s="17" t="s">
        <v>1450</v>
      </c>
      <c r="D152" t="s">
        <v>20</v>
      </c>
      <c r="E152" s="88" t="s">
        <v>17</v>
      </c>
      <c r="F152" s="6">
        <f>+VLOOKUP(E152,CATALOGO!G:L,6,0)</f>
        <v>5</v>
      </c>
      <c r="G152" s="14">
        <v>96</v>
      </c>
      <c r="H152" s="14">
        <v>2</v>
      </c>
      <c r="I152" s="16">
        <v>46277</v>
      </c>
      <c r="J152" s="12">
        <f t="shared" si="3"/>
        <v>37</v>
      </c>
      <c r="K152">
        <f>+IF(E152="","",VLOOKUP(E152,CATALOGO!G:I,2,0))</f>
        <v>1</v>
      </c>
      <c r="L152">
        <f>+IF(E152="","",VLOOKUP(E152,CATALOGO!G:I,3,0))</f>
        <v>24</v>
      </c>
      <c r="M152" s="15">
        <v>46282</v>
      </c>
      <c r="N152" t="s">
        <v>1568</v>
      </c>
    </row>
    <row r="153" spans="1:14" x14ac:dyDescent="0.25">
      <c r="A153" s="13" t="s">
        <v>1314</v>
      </c>
      <c r="B153" s="13" t="s">
        <v>1322</v>
      </c>
      <c r="C153" s="17" t="s">
        <v>1450</v>
      </c>
      <c r="D153" t="s">
        <v>20</v>
      </c>
      <c r="E153" s="88" t="s">
        <v>19</v>
      </c>
      <c r="F153" s="6">
        <f>+VLOOKUP(E153,CATALOGO!G:L,6,0)</f>
        <v>0</v>
      </c>
      <c r="G153" s="14">
        <v>78</v>
      </c>
      <c r="H153" s="14" t="s">
        <v>1327</v>
      </c>
      <c r="I153" s="16">
        <v>46277</v>
      </c>
      <c r="J153" s="12">
        <f t="shared" si="3"/>
        <v>37</v>
      </c>
      <c r="K153">
        <f>+IF(E153="","",VLOOKUP(E153,CATALOGO!G:I,2,0))</f>
        <v>1.5</v>
      </c>
      <c r="L153">
        <f>+IF(E153="","",VLOOKUP(E153,CATALOGO!G:I,3,0))</f>
        <v>36</v>
      </c>
      <c r="M153" s="15">
        <v>46279</v>
      </c>
      <c r="N153" t="s">
        <v>1568</v>
      </c>
    </row>
    <row r="154" spans="1:14" x14ac:dyDescent="0.25">
      <c r="A154" s="13" t="s">
        <v>1315</v>
      </c>
      <c r="B154" s="13" t="s">
        <v>1323</v>
      </c>
      <c r="C154" s="17" t="s">
        <v>1451</v>
      </c>
      <c r="D154" t="s">
        <v>20</v>
      </c>
      <c r="E154" s="88" t="s">
        <v>19</v>
      </c>
      <c r="F154" s="6">
        <f>+VLOOKUP(E154,CATALOGO!G:L,6,0)</f>
        <v>0</v>
      </c>
      <c r="G154" s="14">
        <v>52</v>
      </c>
      <c r="H154" s="14" t="s">
        <v>1327</v>
      </c>
      <c r="I154" s="16">
        <v>46277</v>
      </c>
      <c r="J154" s="12">
        <f t="shared" si="3"/>
        <v>37</v>
      </c>
      <c r="K154">
        <f>+IF(E154="","",VLOOKUP(E154,CATALOGO!G:I,2,0))</f>
        <v>1.5</v>
      </c>
      <c r="L154">
        <f>+IF(E154="","",VLOOKUP(E154,CATALOGO!G:I,3,0))</f>
        <v>36</v>
      </c>
      <c r="M154" s="15">
        <v>46279</v>
      </c>
      <c r="N154" t="s">
        <v>1568</v>
      </c>
    </row>
    <row r="155" spans="1:14" x14ac:dyDescent="0.25">
      <c r="A155" s="13" t="s">
        <v>1316</v>
      </c>
      <c r="B155" s="13" t="s">
        <v>1324</v>
      </c>
      <c r="C155" s="17" t="s">
        <v>1452</v>
      </c>
      <c r="D155" t="s">
        <v>20</v>
      </c>
      <c r="E155" s="88" t="s">
        <v>19</v>
      </c>
      <c r="F155" s="6">
        <f>+VLOOKUP(E155,CATALOGO!G:L,6,0)</f>
        <v>0</v>
      </c>
      <c r="G155" s="14">
        <v>26</v>
      </c>
      <c r="H155" s="14" t="s">
        <v>1327</v>
      </c>
      <c r="I155" s="16">
        <v>46277</v>
      </c>
      <c r="J155" s="12">
        <f t="shared" si="3"/>
        <v>37</v>
      </c>
      <c r="K155">
        <f>+IF(E155="","",VLOOKUP(E155,CATALOGO!G:I,2,0))</f>
        <v>1.5</v>
      </c>
      <c r="L155">
        <f>+IF(E155="","",VLOOKUP(E155,CATALOGO!G:I,3,0))</f>
        <v>36</v>
      </c>
      <c r="M155" s="15">
        <v>46279</v>
      </c>
      <c r="N155" t="s">
        <v>1568</v>
      </c>
    </row>
    <row r="156" spans="1:14" x14ac:dyDescent="0.25">
      <c r="A156" s="13" t="s">
        <v>1317</v>
      </c>
      <c r="B156" s="13" t="s">
        <v>1325</v>
      </c>
      <c r="C156" s="17" t="s">
        <v>1453</v>
      </c>
      <c r="D156" t="s">
        <v>20</v>
      </c>
      <c r="E156" s="88" t="s">
        <v>19</v>
      </c>
      <c r="F156" s="6">
        <f>+VLOOKUP(E156,CATALOGO!G:L,6,0)</f>
        <v>0</v>
      </c>
      <c r="G156" s="14">
        <v>46</v>
      </c>
      <c r="H156" s="14" t="s">
        <v>1327</v>
      </c>
      <c r="I156" s="16">
        <v>46277</v>
      </c>
      <c r="J156" s="12">
        <f t="shared" si="3"/>
        <v>37</v>
      </c>
      <c r="K156">
        <f>+IF(E156="","",VLOOKUP(E156,CATALOGO!G:I,2,0))</f>
        <v>1.5</v>
      </c>
      <c r="L156">
        <f>+IF(E156="","",VLOOKUP(E156,CATALOGO!G:I,3,0))</f>
        <v>36</v>
      </c>
      <c r="M156" s="15">
        <v>46279</v>
      </c>
      <c r="N156" t="s">
        <v>1568</v>
      </c>
    </row>
    <row r="157" spans="1:14" x14ac:dyDescent="0.25">
      <c r="A157" s="13" t="s">
        <v>1328</v>
      </c>
      <c r="B157" s="13" t="s">
        <v>1348</v>
      </c>
      <c r="C157" s="17" t="s">
        <v>1454</v>
      </c>
      <c r="D157" t="s">
        <v>28</v>
      </c>
      <c r="E157" s="88" t="s">
        <v>14</v>
      </c>
      <c r="F157" s="6">
        <f>+VLOOKUP(E157,CATALOGO!G:L,6,0)</f>
        <v>8</v>
      </c>
      <c r="G157" s="14">
        <v>960</v>
      </c>
      <c r="H157" s="14">
        <v>20</v>
      </c>
      <c r="I157" s="16">
        <v>46277</v>
      </c>
      <c r="J157" s="12">
        <f t="shared" si="3"/>
        <v>37</v>
      </c>
      <c r="K157">
        <f>+IF(E157="","",VLOOKUP(E157,CATALOGO!G:I,2,0))</f>
        <v>3</v>
      </c>
      <c r="L157">
        <f>+IF(E157="","",VLOOKUP(E157,CATALOGO!G:I,3,0))</f>
        <v>72</v>
      </c>
      <c r="M157" s="15">
        <v>46283</v>
      </c>
      <c r="N157">
        <v>43734</v>
      </c>
    </row>
    <row r="158" spans="1:14" x14ac:dyDescent="0.25">
      <c r="A158" s="13" t="s">
        <v>1314</v>
      </c>
      <c r="B158" s="13" t="s">
        <v>1322</v>
      </c>
      <c r="C158" s="17" t="s">
        <v>1454</v>
      </c>
      <c r="D158" t="s">
        <v>28</v>
      </c>
      <c r="E158" s="88" t="s">
        <v>19</v>
      </c>
      <c r="F158" s="6">
        <f>+VLOOKUP(E158,CATALOGO!G:L,6,0)</f>
        <v>0</v>
      </c>
      <c r="G158" s="14">
        <v>130</v>
      </c>
      <c r="H158" s="14" t="s">
        <v>1327</v>
      </c>
      <c r="I158" s="16">
        <v>46277</v>
      </c>
      <c r="J158" s="12">
        <f t="shared" si="3"/>
        <v>37</v>
      </c>
      <c r="K158">
        <f>+IF(E158="","",VLOOKUP(E158,CATALOGO!G:I,2,0))</f>
        <v>1.5</v>
      </c>
      <c r="L158">
        <f>+IF(E158="","",VLOOKUP(E158,CATALOGO!G:I,3,0))</f>
        <v>36</v>
      </c>
      <c r="M158" s="15">
        <v>46279</v>
      </c>
    </row>
    <row r="159" spans="1:14" x14ac:dyDescent="0.25">
      <c r="A159" s="13" t="s">
        <v>1315</v>
      </c>
      <c r="B159" s="13" t="s">
        <v>1323</v>
      </c>
      <c r="C159" s="17" t="s">
        <v>1455</v>
      </c>
      <c r="D159" t="s">
        <v>28</v>
      </c>
      <c r="E159" s="88" t="s">
        <v>19</v>
      </c>
      <c r="F159" s="6">
        <f>+VLOOKUP(E159,CATALOGO!G:L,6,0)</f>
        <v>0</v>
      </c>
      <c r="G159" s="14">
        <v>28</v>
      </c>
      <c r="H159" s="14" t="s">
        <v>1327</v>
      </c>
      <c r="I159" s="16">
        <v>46277</v>
      </c>
      <c r="J159" s="12">
        <f t="shared" si="3"/>
        <v>37</v>
      </c>
      <c r="K159">
        <f>+IF(E159="","",VLOOKUP(E159,CATALOGO!G:I,2,0))</f>
        <v>1.5</v>
      </c>
      <c r="L159">
        <f>+IF(E159="","",VLOOKUP(E159,CATALOGO!G:I,3,0))</f>
        <v>36</v>
      </c>
      <c r="M159" s="15">
        <v>46279</v>
      </c>
    </row>
    <row r="160" spans="1:14" x14ac:dyDescent="0.25">
      <c r="A160" s="13" t="s">
        <v>1316</v>
      </c>
      <c r="B160" s="13" t="s">
        <v>1324</v>
      </c>
      <c r="C160" s="17" t="s">
        <v>1456</v>
      </c>
      <c r="D160" t="s">
        <v>28</v>
      </c>
      <c r="E160" s="88" t="s">
        <v>19</v>
      </c>
      <c r="F160" s="6">
        <f>+VLOOKUP(E160,CATALOGO!G:L,6,0)</f>
        <v>0</v>
      </c>
      <c r="G160" s="14">
        <v>23</v>
      </c>
      <c r="H160" s="14" t="s">
        <v>1327</v>
      </c>
      <c r="I160" s="16">
        <v>46277</v>
      </c>
      <c r="J160" s="12">
        <f t="shared" si="3"/>
        <v>37</v>
      </c>
      <c r="K160">
        <f>+IF(E160="","",VLOOKUP(E160,CATALOGO!G:I,2,0))</f>
        <v>1.5</v>
      </c>
      <c r="L160">
        <f>+IF(E160="","",VLOOKUP(E160,CATALOGO!G:I,3,0))</f>
        <v>36</v>
      </c>
      <c r="M160" s="15">
        <v>46279</v>
      </c>
    </row>
    <row r="161" spans="1:14" x14ac:dyDescent="0.25">
      <c r="A161" s="13" t="s">
        <v>1317</v>
      </c>
      <c r="B161" s="13" t="s">
        <v>1325</v>
      </c>
      <c r="C161" s="17" t="s">
        <v>1457</v>
      </c>
      <c r="D161" t="s">
        <v>28</v>
      </c>
      <c r="E161" s="88" t="s">
        <v>19</v>
      </c>
      <c r="F161" s="6">
        <f>+VLOOKUP(E161,CATALOGO!G:L,6,0)</f>
        <v>0</v>
      </c>
      <c r="G161" s="14">
        <v>37</v>
      </c>
      <c r="H161" s="14" t="s">
        <v>1327</v>
      </c>
      <c r="I161" s="16">
        <v>46277</v>
      </c>
      <c r="J161" s="12">
        <f t="shared" si="3"/>
        <v>37</v>
      </c>
      <c r="K161">
        <f>+IF(E161="","",VLOOKUP(E161,CATALOGO!G:I,2,0))</f>
        <v>1.5</v>
      </c>
      <c r="L161">
        <f>+IF(E161="","",VLOOKUP(E161,CATALOGO!G:I,3,0))</f>
        <v>36</v>
      </c>
      <c r="M161" s="15">
        <v>46279</v>
      </c>
    </row>
    <row r="162" spans="1:14" x14ac:dyDescent="0.25">
      <c r="A162" s="13" t="s">
        <v>1318</v>
      </c>
      <c r="B162" s="13" t="s">
        <v>1326</v>
      </c>
      <c r="C162" s="17" t="s">
        <v>1458</v>
      </c>
      <c r="D162" t="s">
        <v>15</v>
      </c>
      <c r="E162" s="88" t="s">
        <v>16</v>
      </c>
      <c r="F162" s="6">
        <f>+VLOOKUP(E162,CATALOGO!G:L,6,0)</f>
        <v>6</v>
      </c>
      <c r="G162" s="14">
        <v>288</v>
      </c>
      <c r="H162" s="14">
        <v>6</v>
      </c>
      <c r="I162" s="16">
        <v>46277</v>
      </c>
      <c r="J162" s="12">
        <f t="shared" si="3"/>
        <v>37</v>
      </c>
      <c r="K162">
        <f>+IF(E162="","",VLOOKUP(E162,CATALOGO!G:I,2,0))</f>
        <v>1</v>
      </c>
      <c r="L162">
        <f>+IF(E162="","",VLOOKUP(E162,CATALOGO!G:I,3,0))</f>
        <v>24</v>
      </c>
      <c r="M162" s="15">
        <v>46282</v>
      </c>
      <c r="N162">
        <v>43052</v>
      </c>
    </row>
    <row r="163" spans="1:14" x14ac:dyDescent="0.25">
      <c r="A163" s="13" t="s">
        <v>1312</v>
      </c>
      <c r="B163" s="13" t="s">
        <v>1320</v>
      </c>
      <c r="C163" s="17" t="s">
        <v>1458</v>
      </c>
      <c r="D163" t="s">
        <v>15</v>
      </c>
      <c r="E163" s="88" t="s">
        <v>16</v>
      </c>
      <c r="F163" s="6">
        <f>+VLOOKUP(E163,CATALOGO!G:L,6,0)</f>
        <v>6</v>
      </c>
      <c r="G163" s="14">
        <v>864</v>
      </c>
      <c r="H163" s="14">
        <v>18</v>
      </c>
      <c r="I163" s="16">
        <v>46277</v>
      </c>
      <c r="J163" s="12">
        <f t="shared" si="3"/>
        <v>37</v>
      </c>
      <c r="K163">
        <f>+IF(E163="","",VLOOKUP(E163,CATALOGO!G:I,2,0))</f>
        <v>1</v>
      </c>
      <c r="L163">
        <f>+IF(E163="","",VLOOKUP(E163,CATALOGO!G:I,3,0))</f>
        <v>24</v>
      </c>
      <c r="M163" s="15">
        <v>46282</v>
      </c>
      <c r="N163">
        <v>41949</v>
      </c>
    </row>
    <row r="164" spans="1:14" x14ac:dyDescent="0.25">
      <c r="A164" s="13" t="s">
        <v>1312</v>
      </c>
      <c r="B164" s="13" t="s">
        <v>1320</v>
      </c>
      <c r="C164" s="17" t="s">
        <v>1458</v>
      </c>
      <c r="D164" t="s">
        <v>15</v>
      </c>
      <c r="E164" s="88" t="s">
        <v>18</v>
      </c>
      <c r="F164" s="6">
        <f>+VLOOKUP(E164,CATALOGO!G:L,6,0)</f>
        <v>3</v>
      </c>
      <c r="G164" s="14">
        <v>48</v>
      </c>
      <c r="H164" s="14">
        <v>1</v>
      </c>
      <c r="I164" s="16">
        <v>46277</v>
      </c>
      <c r="J164" s="12">
        <f t="shared" si="3"/>
        <v>37</v>
      </c>
      <c r="K164">
        <f>+IF(E164="","",VLOOKUP(E164,CATALOGO!G:I,2,0))</f>
        <v>1.5</v>
      </c>
      <c r="L164">
        <f>+IF(E164="","",VLOOKUP(E164,CATALOGO!G:I,3,0))</f>
        <v>36</v>
      </c>
      <c r="M164" s="15">
        <v>46283</v>
      </c>
      <c r="N164" t="s">
        <v>1568</v>
      </c>
    </row>
    <row r="165" spans="1:14" x14ac:dyDescent="0.25">
      <c r="A165" s="13" t="s">
        <v>1314</v>
      </c>
      <c r="B165" s="13" t="s">
        <v>1322</v>
      </c>
      <c r="C165" s="17" t="s">
        <v>1458</v>
      </c>
      <c r="D165" t="s">
        <v>15</v>
      </c>
      <c r="E165" s="88" t="s">
        <v>19</v>
      </c>
      <c r="F165" s="6">
        <f>+VLOOKUP(E165,CATALOGO!G:L,6,0)</f>
        <v>0</v>
      </c>
      <c r="G165" s="14">
        <v>3</v>
      </c>
      <c r="H165" s="14" t="s">
        <v>1327</v>
      </c>
      <c r="I165" s="16">
        <v>46277</v>
      </c>
      <c r="J165" s="12">
        <f t="shared" si="3"/>
        <v>37</v>
      </c>
      <c r="K165">
        <f>+IF(E165="","",VLOOKUP(E165,CATALOGO!G:I,2,0))</f>
        <v>1.5</v>
      </c>
      <c r="L165">
        <f>+IF(E165="","",VLOOKUP(E165,CATALOGO!G:I,3,0))</f>
        <v>36</v>
      </c>
      <c r="M165" s="15">
        <v>46279</v>
      </c>
    </row>
    <row r="166" spans="1:14" x14ac:dyDescent="0.25">
      <c r="A166" s="13" t="s">
        <v>1315</v>
      </c>
      <c r="B166" s="13" t="s">
        <v>1323</v>
      </c>
      <c r="C166" s="17" t="s">
        <v>1459</v>
      </c>
      <c r="D166" t="s">
        <v>15</v>
      </c>
      <c r="E166" s="88" t="s">
        <v>19</v>
      </c>
      <c r="F166" s="6">
        <f>+VLOOKUP(E166,CATALOGO!G:L,6,0)</f>
        <v>0</v>
      </c>
      <c r="G166" s="14">
        <v>44</v>
      </c>
      <c r="H166" s="14" t="s">
        <v>1327</v>
      </c>
      <c r="I166" s="16">
        <v>46277</v>
      </c>
      <c r="J166" s="12">
        <f t="shared" si="3"/>
        <v>37</v>
      </c>
      <c r="K166">
        <f>+IF(E166="","",VLOOKUP(E166,CATALOGO!G:I,2,0))</f>
        <v>1.5</v>
      </c>
      <c r="L166">
        <f>+IF(E166="","",VLOOKUP(E166,CATALOGO!G:I,3,0))</f>
        <v>36</v>
      </c>
      <c r="M166" s="15">
        <v>46279</v>
      </c>
    </row>
    <row r="167" spans="1:14" x14ac:dyDescent="0.25">
      <c r="A167" s="13" t="s">
        <v>1316</v>
      </c>
      <c r="B167" s="13" t="s">
        <v>1324</v>
      </c>
      <c r="C167" s="17" t="s">
        <v>1460</v>
      </c>
      <c r="D167" t="s">
        <v>15</v>
      </c>
      <c r="E167" s="88" t="s">
        <v>19</v>
      </c>
      <c r="F167" s="6">
        <f>+VLOOKUP(E167,CATALOGO!G:L,6,0)</f>
        <v>0</v>
      </c>
      <c r="G167" s="14">
        <v>25</v>
      </c>
      <c r="H167" s="14" t="s">
        <v>1327</v>
      </c>
      <c r="I167" s="16">
        <v>46277</v>
      </c>
      <c r="J167" s="12">
        <f t="shared" si="3"/>
        <v>37</v>
      </c>
      <c r="K167">
        <f>+IF(E167="","",VLOOKUP(E167,CATALOGO!G:I,2,0))</f>
        <v>1.5</v>
      </c>
      <c r="L167">
        <f>+IF(E167="","",VLOOKUP(E167,CATALOGO!G:I,3,0))</f>
        <v>36</v>
      </c>
      <c r="M167" s="15">
        <v>46279</v>
      </c>
    </row>
    <row r="168" spans="1:14" x14ac:dyDescent="0.25">
      <c r="A168" s="13" t="s">
        <v>1317</v>
      </c>
      <c r="B168" s="13" t="s">
        <v>1325</v>
      </c>
      <c r="C168" s="17" t="s">
        <v>1461</v>
      </c>
      <c r="D168" t="s">
        <v>15</v>
      </c>
      <c r="E168" s="88" t="s">
        <v>19</v>
      </c>
      <c r="F168" s="6">
        <f>+VLOOKUP(E168,CATALOGO!G:L,6,0)</f>
        <v>0</v>
      </c>
      <c r="G168" s="14">
        <v>18</v>
      </c>
      <c r="H168" s="14" t="s">
        <v>1327</v>
      </c>
      <c r="I168" s="16">
        <v>46277</v>
      </c>
      <c r="J168" s="12">
        <f t="shared" si="3"/>
        <v>37</v>
      </c>
      <c r="K168">
        <f>+IF(E168="","",VLOOKUP(E168,CATALOGO!G:I,2,0))</f>
        <v>1.5</v>
      </c>
      <c r="L168">
        <f>+IF(E168="","",VLOOKUP(E168,CATALOGO!G:I,3,0))</f>
        <v>36</v>
      </c>
      <c r="M168" s="15">
        <v>46279</v>
      </c>
    </row>
    <row r="169" spans="1:14" x14ac:dyDescent="0.25">
      <c r="A169" s="13" t="s">
        <v>1334</v>
      </c>
      <c r="B169" s="13" t="s">
        <v>1354</v>
      </c>
      <c r="C169" s="17" t="s">
        <v>1462</v>
      </c>
      <c r="D169" t="s">
        <v>348</v>
      </c>
      <c r="E169" s="88" t="s">
        <v>1563</v>
      </c>
      <c r="F169" s="6">
        <f>+VLOOKUP(E169,CATALOGO!G:L,6,0)</f>
        <v>0</v>
      </c>
      <c r="G169" s="14">
        <v>384</v>
      </c>
      <c r="H169" s="14">
        <v>8</v>
      </c>
      <c r="I169" s="16">
        <v>46272</v>
      </c>
      <c r="J169" s="12">
        <f t="shared" si="3"/>
        <v>37</v>
      </c>
      <c r="K169">
        <f>+IF(E169="","",VLOOKUP(E169,CATALOGO!G:I,2,0))</f>
        <v>1.5</v>
      </c>
      <c r="L169">
        <f>+IF(E169="","",VLOOKUP(E169,CATALOGO!G:I,3,0))</f>
        <v>36</v>
      </c>
      <c r="M169" s="15">
        <v>46273</v>
      </c>
    </row>
    <row r="170" spans="1:14" x14ac:dyDescent="0.25">
      <c r="A170" s="13" t="s">
        <v>1335</v>
      </c>
      <c r="B170" s="13" t="s">
        <v>1355</v>
      </c>
      <c r="C170" s="17" t="s">
        <v>1462</v>
      </c>
      <c r="D170" t="s">
        <v>348</v>
      </c>
      <c r="E170" s="88" t="s">
        <v>1563</v>
      </c>
      <c r="F170" s="6">
        <f>+VLOOKUP(E170,CATALOGO!G:L,6,0)</f>
        <v>0</v>
      </c>
      <c r="G170" s="14">
        <v>480</v>
      </c>
      <c r="H170" s="14">
        <v>10</v>
      </c>
      <c r="I170" s="16">
        <v>46272</v>
      </c>
      <c r="J170" s="12">
        <f t="shared" si="3"/>
        <v>37</v>
      </c>
      <c r="K170">
        <f>+IF(E170="","",VLOOKUP(E170,CATALOGO!G:I,2,0))</f>
        <v>1.5</v>
      </c>
      <c r="L170">
        <f>+IF(E170="","",VLOOKUP(E170,CATALOGO!G:I,3,0))</f>
        <v>36</v>
      </c>
      <c r="M170" s="15">
        <v>46273</v>
      </c>
    </row>
    <row r="171" spans="1:14" x14ac:dyDescent="0.25">
      <c r="A171" s="13" t="s">
        <v>1318</v>
      </c>
      <c r="B171" s="13" t="s">
        <v>1326</v>
      </c>
      <c r="C171" s="17" t="s">
        <v>1462</v>
      </c>
      <c r="D171" t="s">
        <v>348</v>
      </c>
      <c r="E171" s="88" t="s">
        <v>1563</v>
      </c>
      <c r="F171" s="6">
        <f>+VLOOKUP(E171,CATALOGO!G:L,6,0)</f>
        <v>0</v>
      </c>
      <c r="G171" s="14">
        <v>432</v>
      </c>
      <c r="H171" s="14">
        <v>9</v>
      </c>
      <c r="I171" s="16">
        <v>46272</v>
      </c>
      <c r="J171" s="12">
        <f t="shared" si="3"/>
        <v>37</v>
      </c>
      <c r="K171">
        <f>+IF(E171="","",VLOOKUP(E171,CATALOGO!G:I,2,0))</f>
        <v>1.5</v>
      </c>
      <c r="L171">
        <f>+IF(E171="","",VLOOKUP(E171,CATALOGO!G:I,3,0))</f>
        <v>36</v>
      </c>
      <c r="M171" s="15">
        <v>46273</v>
      </c>
    </row>
    <row r="172" spans="1:14" x14ac:dyDescent="0.25">
      <c r="A172" s="13" t="s">
        <v>1335</v>
      </c>
      <c r="B172" s="13" t="s">
        <v>1355</v>
      </c>
      <c r="C172" s="17" t="s">
        <v>1463</v>
      </c>
      <c r="D172" t="s">
        <v>210</v>
      </c>
      <c r="E172" s="88" t="s">
        <v>19</v>
      </c>
      <c r="F172" s="6">
        <f>+VLOOKUP(E172,CATALOGO!G:L,6,0)</f>
        <v>0</v>
      </c>
      <c r="G172" s="14">
        <v>480</v>
      </c>
      <c r="H172" s="14">
        <v>10</v>
      </c>
      <c r="I172" s="16">
        <v>46272</v>
      </c>
      <c r="J172" s="12">
        <f t="shared" si="3"/>
        <v>37</v>
      </c>
      <c r="K172">
        <f>+IF(E172="","",VLOOKUP(E172,CATALOGO!G:I,2,0))</f>
        <v>1.5</v>
      </c>
      <c r="L172">
        <f>+IF(E172="","",VLOOKUP(E172,CATALOGO!G:I,3,0))</f>
        <v>36</v>
      </c>
      <c r="M172" s="15">
        <v>46273</v>
      </c>
    </row>
    <row r="173" spans="1:14" x14ac:dyDescent="0.25">
      <c r="A173" s="13" t="s">
        <v>1318</v>
      </c>
      <c r="B173" s="13" t="s">
        <v>1326</v>
      </c>
      <c r="C173" s="17" t="s">
        <v>1463</v>
      </c>
      <c r="D173" t="s">
        <v>210</v>
      </c>
      <c r="E173" s="88" t="s">
        <v>1563</v>
      </c>
      <c r="F173" s="6">
        <f>+VLOOKUP(E173,CATALOGO!G:L,6,0)</f>
        <v>0</v>
      </c>
      <c r="G173" s="14">
        <v>576</v>
      </c>
      <c r="H173" s="14">
        <v>12</v>
      </c>
      <c r="I173" s="16">
        <v>46272</v>
      </c>
      <c r="J173" s="12">
        <f t="shared" si="3"/>
        <v>37</v>
      </c>
      <c r="K173">
        <f>+IF(E173="","",VLOOKUP(E173,CATALOGO!G:I,2,0))</f>
        <v>1.5</v>
      </c>
      <c r="L173">
        <f>+IF(E173="","",VLOOKUP(E173,CATALOGO!G:I,3,0))</f>
        <v>36</v>
      </c>
      <c r="M173" s="15">
        <v>46273</v>
      </c>
    </row>
    <row r="174" spans="1:14" x14ac:dyDescent="0.25">
      <c r="A174" s="13" t="s">
        <v>1311</v>
      </c>
      <c r="B174" s="13" t="s">
        <v>1319</v>
      </c>
      <c r="C174" s="17" t="s">
        <v>1463</v>
      </c>
      <c r="D174" t="s">
        <v>210</v>
      </c>
      <c r="E174" s="88" t="s">
        <v>1563</v>
      </c>
      <c r="F174" s="6">
        <f>+VLOOKUP(E174,CATALOGO!G:L,6,0)</f>
        <v>0</v>
      </c>
      <c r="G174" s="14">
        <v>240</v>
      </c>
      <c r="H174" s="14">
        <v>5</v>
      </c>
      <c r="I174" s="16">
        <v>46272</v>
      </c>
      <c r="J174" s="12">
        <f t="shared" si="3"/>
        <v>37</v>
      </c>
      <c r="K174">
        <f>+IF(E174="","",VLOOKUP(E174,CATALOGO!G:I,2,0))</f>
        <v>1.5</v>
      </c>
      <c r="L174">
        <f>+IF(E174="","",VLOOKUP(E174,CATALOGO!G:I,3,0))</f>
        <v>36</v>
      </c>
      <c r="M174" s="15">
        <v>46273</v>
      </c>
    </row>
    <row r="175" spans="1:14" x14ac:dyDescent="0.25">
      <c r="A175" s="13" t="s">
        <v>1336</v>
      </c>
      <c r="B175" s="13" t="s">
        <v>1356</v>
      </c>
      <c r="C175" s="17" t="s">
        <v>1464</v>
      </c>
      <c r="D175" t="s">
        <v>241</v>
      </c>
      <c r="E175" s="88" t="s">
        <v>14</v>
      </c>
      <c r="F175" s="6">
        <f>+VLOOKUP(E175,CATALOGO!G:L,6,0)</f>
        <v>8</v>
      </c>
      <c r="G175" s="14">
        <v>960</v>
      </c>
      <c r="H175" s="14">
        <v>20</v>
      </c>
      <c r="I175" s="16">
        <v>46272</v>
      </c>
      <c r="J175" s="12">
        <f t="shared" si="3"/>
        <v>37</v>
      </c>
      <c r="K175">
        <f>+IF(E175="","",VLOOKUP(E175,CATALOGO!G:I,2,0))</f>
        <v>3</v>
      </c>
      <c r="L175">
        <f>+IF(E175="","",VLOOKUP(E175,CATALOGO!G:I,3,0))</f>
        <v>72</v>
      </c>
      <c r="M175" s="15">
        <v>46276</v>
      </c>
      <c r="N175">
        <v>42955</v>
      </c>
    </row>
    <row r="176" spans="1:14" x14ac:dyDescent="0.25">
      <c r="A176" s="13" t="s">
        <v>1337</v>
      </c>
      <c r="B176" s="13" t="s">
        <v>1357</v>
      </c>
      <c r="C176" s="17" t="s">
        <v>1465</v>
      </c>
      <c r="D176" t="s">
        <v>165</v>
      </c>
      <c r="E176" s="88" t="s">
        <v>14</v>
      </c>
      <c r="F176" s="6">
        <f>+VLOOKUP(E176,CATALOGO!G:L,6,0)</f>
        <v>8</v>
      </c>
      <c r="G176" s="14">
        <v>672</v>
      </c>
      <c r="H176" s="14">
        <v>14</v>
      </c>
      <c r="I176" s="16">
        <v>46272</v>
      </c>
      <c r="J176" s="12">
        <f t="shared" si="3"/>
        <v>37</v>
      </c>
      <c r="K176">
        <f>+IF(E176="","",VLOOKUP(E176,CATALOGO!G:I,2,0))</f>
        <v>3</v>
      </c>
      <c r="L176">
        <f>+IF(E176="","",VLOOKUP(E176,CATALOGO!G:I,3,0))</f>
        <v>72</v>
      </c>
      <c r="M176" s="15">
        <v>46276</v>
      </c>
      <c r="N176">
        <v>42960</v>
      </c>
    </row>
    <row r="177" spans="1:14" x14ac:dyDescent="0.25">
      <c r="A177" s="13" t="s">
        <v>1338</v>
      </c>
      <c r="B177" s="13" t="s">
        <v>1358</v>
      </c>
      <c r="C177" s="17" t="s">
        <v>1465</v>
      </c>
      <c r="D177" t="s">
        <v>165</v>
      </c>
      <c r="E177" s="88" t="s">
        <v>1564</v>
      </c>
      <c r="F177" s="6" t="e">
        <f>+VLOOKUP(E177,CATALOGO!G:L,6,0)</f>
        <v>#N/A</v>
      </c>
      <c r="G177" s="14">
        <v>288</v>
      </c>
      <c r="H177" s="14">
        <v>6</v>
      </c>
      <c r="I177" s="16">
        <v>46272</v>
      </c>
      <c r="J177" s="12">
        <f t="shared" si="3"/>
        <v>37</v>
      </c>
      <c r="K177" t="e">
        <f>+IF(E177="","",VLOOKUP(E177,CATALOGO!G:I,2,0))</f>
        <v>#N/A</v>
      </c>
      <c r="L177" t="e">
        <f>+IF(E177="","",VLOOKUP(E177,CATALOGO!G:I,3,0))</f>
        <v>#N/A</v>
      </c>
      <c r="M177" s="15">
        <v>46276</v>
      </c>
      <c r="N177">
        <v>42961</v>
      </c>
    </row>
    <row r="178" spans="1:14" x14ac:dyDescent="0.25">
      <c r="A178" s="13" t="s">
        <v>1312</v>
      </c>
      <c r="B178" s="13" t="s">
        <v>1320</v>
      </c>
      <c r="C178" s="17" t="s">
        <v>1466</v>
      </c>
      <c r="D178" t="s">
        <v>334</v>
      </c>
      <c r="E178" s="88" t="s">
        <v>18</v>
      </c>
      <c r="F178" s="6">
        <f>+VLOOKUP(E178,CATALOGO!G:L,6,0)</f>
        <v>3</v>
      </c>
      <c r="G178" s="14">
        <v>1152</v>
      </c>
      <c r="H178" s="14">
        <v>24</v>
      </c>
      <c r="I178" s="16">
        <v>46272</v>
      </c>
      <c r="J178" s="12">
        <f t="shared" si="3"/>
        <v>37</v>
      </c>
      <c r="K178">
        <f>+IF(E178="","",VLOOKUP(E178,CATALOGO!G:I,2,0))</f>
        <v>1.5</v>
      </c>
      <c r="L178">
        <f>+IF(E178="","",VLOOKUP(E178,CATALOGO!G:I,3,0))</f>
        <v>36</v>
      </c>
      <c r="M178" s="15">
        <v>46274</v>
      </c>
      <c r="N178">
        <v>43534</v>
      </c>
    </row>
    <row r="179" spans="1:14" x14ac:dyDescent="0.25">
      <c r="A179" s="13" t="s">
        <v>1318</v>
      </c>
      <c r="B179" s="13" t="s">
        <v>1326</v>
      </c>
      <c r="C179" s="17" t="s">
        <v>1467</v>
      </c>
      <c r="D179" t="s">
        <v>456</v>
      </c>
      <c r="E179" s="88" t="s">
        <v>1565</v>
      </c>
      <c r="F179" s="6" t="e">
        <f>+VLOOKUP(E179,CATALOGO!G:L,6,0)</f>
        <v>#N/A</v>
      </c>
      <c r="G179" s="14">
        <v>96</v>
      </c>
      <c r="H179" s="14">
        <v>2</v>
      </c>
      <c r="I179" s="16">
        <v>46272</v>
      </c>
      <c r="J179" s="12">
        <f t="shared" si="3"/>
        <v>37</v>
      </c>
      <c r="K179" t="e">
        <f>+IF(E179="","",VLOOKUP(E179,CATALOGO!G:I,2,0))</f>
        <v>#N/A</v>
      </c>
      <c r="L179" t="e">
        <f>+IF(E179="","",VLOOKUP(E179,CATALOGO!G:I,3,0))</f>
        <v>#N/A</v>
      </c>
      <c r="M179" s="15">
        <v>46275</v>
      </c>
      <c r="N179">
        <v>42833</v>
      </c>
    </row>
    <row r="180" spans="1:14" x14ac:dyDescent="0.25">
      <c r="A180" s="13" t="s">
        <v>1312</v>
      </c>
      <c r="B180" s="13" t="s">
        <v>1320</v>
      </c>
      <c r="C180" s="17" t="s">
        <v>1467</v>
      </c>
      <c r="D180" t="s">
        <v>456</v>
      </c>
      <c r="E180" s="88" t="s">
        <v>1565</v>
      </c>
      <c r="F180" s="6" t="e">
        <f>+VLOOKUP(E180,CATALOGO!G:L,6,0)</f>
        <v>#N/A</v>
      </c>
      <c r="G180" s="14">
        <v>1200</v>
      </c>
      <c r="H180" s="14">
        <v>25</v>
      </c>
      <c r="I180" s="16">
        <v>46272</v>
      </c>
      <c r="J180" s="12">
        <f t="shared" si="3"/>
        <v>37</v>
      </c>
      <c r="K180" t="e">
        <f>+IF(E180="","",VLOOKUP(E180,CATALOGO!G:I,2,0))</f>
        <v>#N/A</v>
      </c>
      <c r="L180" t="e">
        <f>+IF(E180="","",VLOOKUP(E180,CATALOGO!G:I,3,0))</f>
        <v>#N/A</v>
      </c>
      <c r="M180" s="15">
        <v>46275</v>
      </c>
      <c r="N180">
        <v>42832</v>
      </c>
    </row>
    <row r="181" spans="1:14" x14ac:dyDescent="0.25">
      <c r="A181" s="13" t="s">
        <v>1334</v>
      </c>
      <c r="B181" s="13" t="s">
        <v>1354</v>
      </c>
      <c r="C181" s="17" t="s">
        <v>1468</v>
      </c>
      <c r="D181" t="s">
        <v>210</v>
      </c>
      <c r="E181" s="88" t="s">
        <v>19</v>
      </c>
      <c r="F181" s="6">
        <f>+VLOOKUP(E181,CATALOGO!G:L,6,0)</f>
        <v>0</v>
      </c>
      <c r="G181" s="14">
        <v>816</v>
      </c>
      <c r="H181" s="14">
        <v>17</v>
      </c>
      <c r="I181" s="16">
        <v>46273</v>
      </c>
      <c r="J181" s="12">
        <f t="shared" si="3"/>
        <v>37</v>
      </c>
      <c r="K181">
        <f>+IF(E181="","",VLOOKUP(E181,CATALOGO!G:I,2,0))</f>
        <v>1.5</v>
      </c>
      <c r="L181">
        <f>+IF(E181="","",VLOOKUP(E181,CATALOGO!G:I,3,0))</f>
        <v>36</v>
      </c>
      <c r="M181" s="15">
        <v>46274</v>
      </c>
    </row>
    <row r="182" spans="1:14" x14ac:dyDescent="0.25">
      <c r="A182" s="13" t="s">
        <v>1335</v>
      </c>
      <c r="B182" s="13" t="s">
        <v>1355</v>
      </c>
      <c r="C182" s="17" t="s">
        <v>1468</v>
      </c>
      <c r="D182" t="s">
        <v>210</v>
      </c>
      <c r="E182" s="88" t="s">
        <v>19</v>
      </c>
      <c r="F182" s="6">
        <f>+VLOOKUP(E182,CATALOGO!G:L,6,0)</f>
        <v>0</v>
      </c>
      <c r="G182" s="14">
        <v>480</v>
      </c>
      <c r="H182" s="14">
        <v>10</v>
      </c>
      <c r="I182" s="16">
        <v>46273</v>
      </c>
      <c r="J182" s="12">
        <f t="shared" si="3"/>
        <v>37</v>
      </c>
      <c r="K182">
        <f>+IF(E182="","",VLOOKUP(E182,CATALOGO!G:I,2,0))</f>
        <v>1.5</v>
      </c>
      <c r="L182">
        <f>+IF(E182="","",VLOOKUP(E182,CATALOGO!G:I,3,0))</f>
        <v>36</v>
      </c>
      <c r="M182" s="15">
        <v>46274</v>
      </c>
    </row>
    <row r="183" spans="1:14" x14ac:dyDescent="0.25">
      <c r="A183" s="13" t="s">
        <v>1336</v>
      </c>
      <c r="B183" s="13" t="s">
        <v>1356</v>
      </c>
      <c r="C183" s="17" t="s">
        <v>1469</v>
      </c>
      <c r="D183" t="s">
        <v>192</v>
      </c>
      <c r="E183" s="88" t="s">
        <v>14</v>
      </c>
      <c r="F183" s="6">
        <f>+VLOOKUP(E183,CATALOGO!G:L,6,0)</f>
        <v>8</v>
      </c>
      <c r="G183" s="14">
        <v>960</v>
      </c>
      <c r="H183" s="14">
        <v>20</v>
      </c>
      <c r="I183" s="16">
        <v>46273</v>
      </c>
      <c r="J183" s="12">
        <f t="shared" si="3"/>
        <v>37</v>
      </c>
      <c r="K183">
        <f>+IF(E183="","",VLOOKUP(E183,CATALOGO!G:I,2,0))</f>
        <v>3</v>
      </c>
      <c r="L183">
        <f>+IF(E183="","",VLOOKUP(E183,CATALOGO!G:I,3,0))</f>
        <v>72</v>
      </c>
      <c r="M183" s="15">
        <v>46276</v>
      </c>
      <c r="N183">
        <v>42956</v>
      </c>
    </row>
    <row r="184" spans="1:14" x14ac:dyDescent="0.25">
      <c r="A184" s="13" t="s">
        <v>1338</v>
      </c>
      <c r="B184" s="13" t="s">
        <v>1358</v>
      </c>
      <c r="C184" s="17" t="s">
        <v>1470</v>
      </c>
      <c r="D184" t="s">
        <v>1557</v>
      </c>
      <c r="E184" s="88" t="s">
        <v>1564</v>
      </c>
      <c r="F184" s="6" t="e">
        <f>+VLOOKUP(E184,CATALOGO!G:L,6,0)</f>
        <v>#N/A</v>
      </c>
      <c r="G184" s="14">
        <v>960</v>
      </c>
      <c r="H184" s="14">
        <v>20</v>
      </c>
      <c r="I184" s="16">
        <v>46273</v>
      </c>
      <c r="J184" s="12">
        <f t="shared" si="3"/>
        <v>37</v>
      </c>
      <c r="K184" t="e">
        <f>+IF(E184="","",VLOOKUP(E184,CATALOGO!G:I,2,0))</f>
        <v>#N/A</v>
      </c>
      <c r="L184" t="e">
        <f>+IF(E184="","",VLOOKUP(E184,CATALOGO!G:I,3,0))</f>
        <v>#N/A</v>
      </c>
      <c r="M184" s="15">
        <v>46277</v>
      </c>
      <c r="N184">
        <v>42962</v>
      </c>
    </row>
    <row r="185" spans="1:14" x14ac:dyDescent="0.25">
      <c r="A185" s="13" t="s">
        <v>1318</v>
      </c>
      <c r="B185" s="13" t="s">
        <v>1326</v>
      </c>
      <c r="C185" s="17" t="s">
        <v>1471</v>
      </c>
      <c r="D185" t="s">
        <v>411</v>
      </c>
      <c r="E185" s="88" t="s">
        <v>1566</v>
      </c>
      <c r="F185" s="6" t="e">
        <f>+VLOOKUP(E185,CATALOGO!G:L,6,0)</f>
        <v>#N/A</v>
      </c>
      <c r="G185" s="14">
        <v>96</v>
      </c>
      <c r="H185" s="14">
        <v>2</v>
      </c>
      <c r="I185" s="16">
        <v>46273</v>
      </c>
      <c r="J185" s="12">
        <f t="shared" si="3"/>
        <v>37</v>
      </c>
      <c r="K185" t="e">
        <f>+IF(E185="","",VLOOKUP(E185,CATALOGO!G:I,2,0))</f>
        <v>#N/A</v>
      </c>
      <c r="L185" t="e">
        <f>+IF(E185="","",VLOOKUP(E185,CATALOGO!G:I,3,0))</f>
        <v>#N/A</v>
      </c>
      <c r="M185" s="15">
        <v>46276</v>
      </c>
      <c r="N185">
        <v>42839</v>
      </c>
    </row>
    <row r="186" spans="1:14" x14ac:dyDescent="0.25">
      <c r="A186" s="13" t="s">
        <v>1312</v>
      </c>
      <c r="B186" s="13" t="s">
        <v>1320</v>
      </c>
      <c r="C186" s="17" t="s">
        <v>1471</v>
      </c>
      <c r="D186" t="s">
        <v>411</v>
      </c>
      <c r="E186" s="88" t="s">
        <v>1566</v>
      </c>
      <c r="F186" s="6" t="e">
        <f>+VLOOKUP(E186,CATALOGO!G:L,6,0)</f>
        <v>#N/A</v>
      </c>
      <c r="G186" s="14">
        <v>1056</v>
      </c>
      <c r="H186" s="14">
        <v>22</v>
      </c>
      <c r="I186" s="16">
        <v>46273</v>
      </c>
      <c r="J186" s="12">
        <f t="shared" si="3"/>
        <v>37</v>
      </c>
      <c r="K186" t="e">
        <f>+IF(E186="","",VLOOKUP(E186,CATALOGO!G:I,2,0))</f>
        <v>#N/A</v>
      </c>
      <c r="L186" t="e">
        <f>+IF(E186="","",VLOOKUP(E186,CATALOGO!G:I,3,0))</f>
        <v>#N/A</v>
      </c>
      <c r="M186" s="15">
        <v>46276</v>
      </c>
      <c r="N186">
        <v>42838</v>
      </c>
    </row>
    <row r="187" spans="1:14" x14ac:dyDescent="0.25">
      <c r="A187" s="13" t="s">
        <v>1312</v>
      </c>
      <c r="B187" s="13" t="s">
        <v>1320</v>
      </c>
      <c r="C187" s="17" t="s">
        <v>1472</v>
      </c>
      <c r="D187" t="s">
        <v>1558</v>
      </c>
      <c r="E187" s="88" t="s">
        <v>1565</v>
      </c>
      <c r="F187" s="6" t="e">
        <f>+VLOOKUP(E187,CATALOGO!G:L,6,0)</f>
        <v>#N/A</v>
      </c>
      <c r="G187" s="14">
        <v>1152</v>
      </c>
      <c r="H187" s="14">
        <v>24</v>
      </c>
      <c r="I187" s="16">
        <v>46273</v>
      </c>
      <c r="J187" s="12">
        <f t="shared" si="3"/>
        <v>37</v>
      </c>
      <c r="K187" t="e">
        <f>+IF(E187="","",VLOOKUP(E187,CATALOGO!G:I,2,0))</f>
        <v>#N/A</v>
      </c>
      <c r="L187" t="e">
        <f>+IF(E187="","",VLOOKUP(E187,CATALOGO!G:I,3,0))</f>
        <v>#N/A</v>
      </c>
      <c r="M187" s="15">
        <v>46275</v>
      </c>
      <c r="N187">
        <v>43535</v>
      </c>
    </row>
    <row r="188" spans="1:14" x14ac:dyDescent="0.25">
      <c r="A188" s="13" t="s">
        <v>1312</v>
      </c>
      <c r="B188" s="13" t="s">
        <v>1320</v>
      </c>
      <c r="C188" s="17" t="s">
        <v>1473</v>
      </c>
      <c r="D188" t="s">
        <v>455</v>
      </c>
      <c r="E188" s="88" t="s">
        <v>1565</v>
      </c>
      <c r="F188" s="6" t="e">
        <f>+VLOOKUP(E188,CATALOGO!G:L,6,0)</f>
        <v>#N/A</v>
      </c>
      <c r="G188" s="14">
        <v>1152</v>
      </c>
      <c r="H188" s="14">
        <v>24</v>
      </c>
      <c r="I188" s="16">
        <v>46273</v>
      </c>
      <c r="J188" s="12">
        <f t="shared" si="3"/>
        <v>37</v>
      </c>
      <c r="K188" t="e">
        <f>+IF(E188="","",VLOOKUP(E188,CATALOGO!G:I,2,0))</f>
        <v>#N/A</v>
      </c>
      <c r="L188" t="e">
        <f>+IF(E188="","",VLOOKUP(E188,CATALOGO!G:I,3,0))</f>
        <v>#N/A</v>
      </c>
      <c r="M188" s="15">
        <v>46276</v>
      </c>
      <c r="N188">
        <v>42836</v>
      </c>
    </row>
    <row r="189" spans="1:14" x14ac:dyDescent="0.25">
      <c r="A189" s="13" t="s">
        <v>1312</v>
      </c>
      <c r="B189" s="13" t="s">
        <v>1320</v>
      </c>
      <c r="C189" s="17" t="s">
        <v>1474</v>
      </c>
      <c r="D189" t="s">
        <v>334</v>
      </c>
      <c r="E189" s="88" t="s">
        <v>22</v>
      </c>
      <c r="F189" s="6">
        <f>+VLOOKUP(E189,CATALOGO!G:L,6,0)</f>
        <v>4</v>
      </c>
      <c r="G189" s="14">
        <v>1152</v>
      </c>
      <c r="H189" s="14">
        <v>24</v>
      </c>
      <c r="I189" s="16">
        <v>46273</v>
      </c>
      <c r="J189" s="12">
        <f t="shared" si="3"/>
        <v>37</v>
      </c>
      <c r="K189">
        <f>+IF(E189="","",VLOOKUP(E189,CATALOGO!G:I,2,0))</f>
        <v>1.5</v>
      </c>
      <c r="L189">
        <f>+IF(E189="","",VLOOKUP(E189,CATALOGO!G:I,3,0))</f>
        <v>36</v>
      </c>
      <c r="M189" s="15">
        <v>46275</v>
      </c>
      <c r="N189">
        <v>44192</v>
      </c>
    </row>
    <row r="190" spans="1:14" x14ac:dyDescent="0.25">
      <c r="A190" s="13" t="s">
        <v>1318</v>
      </c>
      <c r="B190" s="13" t="s">
        <v>1326</v>
      </c>
      <c r="C190" s="17" t="s">
        <v>1475</v>
      </c>
      <c r="D190" t="s">
        <v>320</v>
      </c>
      <c r="E190" s="88" t="s">
        <v>31</v>
      </c>
      <c r="F190" s="6">
        <f>+VLOOKUP(E190,CATALOGO!G:L,6,0)</f>
        <v>2</v>
      </c>
      <c r="G190" s="14">
        <v>48</v>
      </c>
      <c r="H190" s="14">
        <v>1</v>
      </c>
      <c r="I190" s="16">
        <v>46273</v>
      </c>
      <c r="J190" s="12">
        <f t="shared" si="3"/>
        <v>37</v>
      </c>
      <c r="K190">
        <f>+IF(E190="","",VLOOKUP(E190,CATALOGO!G:I,2,0))</f>
        <v>2.5</v>
      </c>
      <c r="L190">
        <f>+IF(E190="","",VLOOKUP(E190,CATALOGO!G:I,3,0))</f>
        <v>60</v>
      </c>
      <c r="M190" s="15">
        <v>46276</v>
      </c>
      <c r="N190">
        <v>42835</v>
      </c>
    </row>
    <row r="191" spans="1:14" x14ac:dyDescent="0.25">
      <c r="A191" s="13" t="s">
        <v>1313</v>
      </c>
      <c r="B191" s="13" t="s">
        <v>1321</v>
      </c>
      <c r="C191" s="17" t="s">
        <v>1475</v>
      </c>
      <c r="D191" t="s">
        <v>320</v>
      </c>
      <c r="E191" s="88" t="s">
        <v>31</v>
      </c>
      <c r="F191" s="6">
        <f>+VLOOKUP(E191,CATALOGO!G:L,6,0)</f>
        <v>2</v>
      </c>
      <c r="G191" s="14">
        <v>5</v>
      </c>
      <c r="H191" s="14">
        <v>0.10416666666666667</v>
      </c>
      <c r="I191" s="16">
        <v>46273</v>
      </c>
      <c r="J191" s="12">
        <f t="shared" si="3"/>
        <v>37</v>
      </c>
      <c r="K191">
        <f>+IF(E191="","",VLOOKUP(E191,CATALOGO!G:I,2,0))</f>
        <v>2.5</v>
      </c>
      <c r="L191">
        <f>+IF(E191="","",VLOOKUP(E191,CATALOGO!G:I,3,0))</f>
        <v>60</v>
      </c>
      <c r="M191" s="15">
        <v>46276</v>
      </c>
      <c r="N191">
        <v>42834</v>
      </c>
    </row>
    <row r="192" spans="1:14" x14ac:dyDescent="0.25">
      <c r="A192" s="13" t="s">
        <v>1312</v>
      </c>
      <c r="B192" s="13" t="s">
        <v>1320</v>
      </c>
      <c r="C192" s="17" t="s">
        <v>1475</v>
      </c>
      <c r="D192" t="s">
        <v>320</v>
      </c>
      <c r="E192" s="88" t="s">
        <v>31</v>
      </c>
      <c r="F192" s="6">
        <f>+VLOOKUP(E192,CATALOGO!G:L,6,0)</f>
        <v>2</v>
      </c>
      <c r="G192" s="14">
        <v>1099</v>
      </c>
      <c r="H192" s="14">
        <v>22.895833333333332</v>
      </c>
      <c r="I192" s="16">
        <v>46273</v>
      </c>
      <c r="J192" s="12">
        <f t="shared" si="3"/>
        <v>37</v>
      </c>
      <c r="K192">
        <f>+IF(E192="","",VLOOKUP(E192,CATALOGO!G:I,2,0))</f>
        <v>2.5</v>
      </c>
      <c r="L192">
        <f>+IF(E192="","",VLOOKUP(E192,CATALOGO!G:I,3,0))</f>
        <v>60</v>
      </c>
      <c r="M192" s="15">
        <v>46276</v>
      </c>
      <c r="N192">
        <v>42834</v>
      </c>
    </row>
    <row r="193" spans="1:14" x14ac:dyDescent="0.25">
      <c r="A193" s="13" t="s">
        <v>1339</v>
      </c>
      <c r="B193" s="13" t="s">
        <v>1359</v>
      </c>
      <c r="C193" s="17" t="s">
        <v>1476</v>
      </c>
      <c r="D193" t="s">
        <v>269</v>
      </c>
      <c r="E193" s="88" t="s">
        <v>26</v>
      </c>
      <c r="F193" s="6">
        <f>+VLOOKUP(E193,CATALOGO!G:L,6,0)</f>
        <v>0</v>
      </c>
      <c r="G193" s="14">
        <v>1080</v>
      </c>
      <c r="H193" s="14">
        <v>20</v>
      </c>
      <c r="I193" s="16">
        <v>46273</v>
      </c>
      <c r="J193" s="12">
        <f t="shared" si="3"/>
        <v>37</v>
      </c>
      <c r="K193">
        <f>+IF(E193="","",VLOOKUP(E193,CATALOGO!G:I,2,0))</f>
        <v>2</v>
      </c>
      <c r="L193">
        <f>+IF(E193="","",VLOOKUP(E193,CATALOGO!G:I,3,0))</f>
        <v>48</v>
      </c>
      <c r="M193" s="15">
        <v>46276</v>
      </c>
      <c r="N193">
        <v>43340</v>
      </c>
    </row>
    <row r="194" spans="1:14" x14ac:dyDescent="0.25">
      <c r="A194" s="13" t="s">
        <v>1312</v>
      </c>
      <c r="B194" s="13" t="s">
        <v>1320</v>
      </c>
      <c r="C194" s="17" t="s">
        <v>1477</v>
      </c>
      <c r="D194" t="s">
        <v>455</v>
      </c>
      <c r="E194" s="88" t="s">
        <v>22</v>
      </c>
      <c r="F194" s="6">
        <f>+VLOOKUP(E194,CATALOGO!G:L,6,0)</f>
        <v>4</v>
      </c>
      <c r="G194" s="14">
        <v>1152</v>
      </c>
      <c r="H194" s="14">
        <v>24</v>
      </c>
      <c r="I194" s="16">
        <v>46274</v>
      </c>
      <c r="J194" s="12">
        <f t="shared" si="3"/>
        <v>37</v>
      </c>
      <c r="K194">
        <f>+IF(E194="","",VLOOKUP(E194,CATALOGO!G:I,2,0))</f>
        <v>1.5</v>
      </c>
      <c r="L194">
        <f>+IF(E194="","",VLOOKUP(E194,CATALOGO!G:I,3,0))</f>
        <v>36</v>
      </c>
      <c r="M194" s="15">
        <v>46277</v>
      </c>
      <c r="N194">
        <v>44244</v>
      </c>
    </row>
    <row r="195" spans="1:14" x14ac:dyDescent="0.25">
      <c r="A195" s="13" t="s">
        <v>1318</v>
      </c>
      <c r="B195" s="13" t="s">
        <v>1326</v>
      </c>
      <c r="C195" s="17" t="s">
        <v>1478</v>
      </c>
      <c r="D195" t="s">
        <v>278</v>
      </c>
      <c r="E195" s="88" t="s">
        <v>1563</v>
      </c>
      <c r="F195" s="6">
        <f>+VLOOKUP(E195,CATALOGO!G:L,6,0)</f>
        <v>0</v>
      </c>
      <c r="G195" s="14">
        <v>432</v>
      </c>
      <c r="H195" s="14">
        <v>8</v>
      </c>
      <c r="I195" s="16">
        <v>46274</v>
      </c>
      <c r="J195" s="12">
        <f t="shared" si="3"/>
        <v>37</v>
      </c>
      <c r="K195">
        <f>+IF(E195="","",VLOOKUP(E195,CATALOGO!G:I,2,0))</f>
        <v>1.5</v>
      </c>
      <c r="L195">
        <f>+IF(E195="","",VLOOKUP(E195,CATALOGO!G:I,3,0))</f>
        <v>36</v>
      </c>
      <c r="M195" s="15">
        <v>46275</v>
      </c>
    </row>
    <row r="196" spans="1:14" x14ac:dyDescent="0.25">
      <c r="A196" s="13" t="s">
        <v>1335</v>
      </c>
      <c r="B196" s="13" t="s">
        <v>1355</v>
      </c>
      <c r="C196" s="17" t="s">
        <v>1478</v>
      </c>
      <c r="D196" t="s">
        <v>278</v>
      </c>
      <c r="E196" s="88" t="s">
        <v>1563</v>
      </c>
      <c r="F196" s="6">
        <f>+VLOOKUP(E196,CATALOGO!G:L,6,0)</f>
        <v>0</v>
      </c>
      <c r="G196" s="14">
        <v>480</v>
      </c>
      <c r="H196" s="14">
        <v>10</v>
      </c>
      <c r="I196" s="16">
        <v>46274</v>
      </c>
      <c r="J196" s="12">
        <f t="shared" si="3"/>
        <v>37</v>
      </c>
      <c r="K196">
        <f>+IF(E196="","",VLOOKUP(E196,CATALOGO!G:I,2,0))</f>
        <v>1.5</v>
      </c>
      <c r="L196">
        <f>+IF(E196="","",VLOOKUP(E196,CATALOGO!G:I,3,0))</f>
        <v>36</v>
      </c>
      <c r="M196" s="15">
        <v>46275</v>
      </c>
    </row>
    <row r="197" spans="1:14" x14ac:dyDescent="0.25">
      <c r="A197" s="13" t="s">
        <v>1311</v>
      </c>
      <c r="B197" s="13" t="s">
        <v>1319</v>
      </c>
      <c r="C197" s="17" t="s">
        <v>1478</v>
      </c>
      <c r="D197" t="s">
        <v>278</v>
      </c>
      <c r="E197" s="88" t="s">
        <v>1563</v>
      </c>
      <c r="F197" s="6">
        <f>+VLOOKUP(E197,CATALOGO!G:L,6,0)</f>
        <v>0</v>
      </c>
      <c r="G197" s="14">
        <v>384</v>
      </c>
      <c r="H197" s="14">
        <v>8</v>
      </c>
      <c r="I197" s="16">
        <v>46274</v>
      </c>
      <c r="J197" s="12">
        <f t="shared" si="3"/>
        <v>37</v>
      </c>
      <c r="K197">
        <f>+IF(E197="","",VLOOKUP(E197,CATALOGO!G:I,2,0))</f>
        <v>1.5</v>
      </c>
      <c r="L197">
        <f>+IF(E197="","",VLOOKUP(E197,CATALOGO!G:I,3,0))</f>
        <v>36</v>
      </c>
      <c r="M197" s="15">
        <v>46275</v>
      </c>
    </row>
    <row r="198" spans="1:14" x14ac:dyDescent="0.25">
      <c r="A198" s="13" t="s">
        <v>1336</v>
      </c>
      <c r="B198" s="13" t="s">
        <v>1356</v>
      </c>
      <c r="C198" s="17" t="s">
        <v>1479</v>
      </c>
      <c r="D198" t="s">
        <v>355</v>
      </c>
      <c r="E198" s="88" t="s">
        <v>14</v>
      </c>
      <c r="F198" s="6">
        <f>+VLOOKUP(E198,CATALOGO!G:L,6,0)</f>
        <v>8</v>
      </c>
      <c r="G198" s="14">
        <v>960</v>
      </c>
      <c r="H198" s="14">
        <v>20</v>
      </c>
      <c r="I198" s="16">
        <v>46274</v>
      </c>
      <c r="J198" s="12">
        <f t="shared" si="3"/>
        <v>37</v>
      </c>
      <c r="K198">
        <f>+IF(E198="","",VLOOKUP(E198,CATALOGO!G:I,2,0))</f>
        <v>3</v>
      </c>
      <c r="L198">
        <f>+IF(E198="","",VLOOKUP(E198,CATALOGO!G:I,3,0))</f>
        <v>72</v>
      </c>
      <c r="M198" s="15">
        <v>46277</v>
      </c>
      <c r="N198">
        <v>42957</v>
      </c>
    </row>
    <row r="199" spans="1:14" x14ac:dyDescent="0.25">
      <c r="A199" s="13" t="s">
        <v>1336</v>
      </c>
      <c r="B199" s="13" t="s">
        <v>1356</v>
      </c>
      <c r="C199" s="17" t="s">
        <v>1480</v>
      </c>
      <c r="D199" t="s">
        <v>233</v>
      </c>
      <c r="E199" s="88" t="s">
        <v>14</v>
      </c>
      <c r="F199" s="6">
        <f>+VLOOKUP(E199,CATALOGO!G:L,6,0)</f>
        <v>8</v>
      </c>
      <c r="G199" s="14">
        <v>960</v>
      </c>
      <c r="H199" s="14">
        <v>20</v>
      </c>
      <c r="I199" s="16">
        <v>46274</v>
      </c>
      <c r="J199" s="12">
        <f t="shared" si="3"/>
        <v>37</v>
      </c>
      <c r="K199">
        <f>+IF(E199="","",VLOOKUP(E199,CATALOGO!G:I,2,0))</f>
        <v>3</v>
      </c>
      <c r="L199">
        <f>+IF(E199="","",VLOOKUP(E199,CATALOGO!G:I,3,0))</f>
        <v>72</v>
      </c>
      <c r="M199" s="15">
        <v>46274</v>
      </c>
      <c r="N199">
        <v>42935</v>
      </c>
    </row>
    <row r="200" spans="1:14" x14ac:dyDescent="0.25">
      <c r="A200" s="13" t="s">
        <v>1340</v>
      </c>
      <c r="B200" s="13" t="s">
        <v>1360</v>
      </c>
      <c r="C200" s="17" t="s">
        <v>1481</v>
      </c>
      <c r="D200" t="s">
        <v>197</v>
      </c>
      <c r="E200" s="88" t="s">
        <v>26</v>
      </c>
      <c r="F200" s="6">
        <f>+VLOOKUP(E200,CATALOGO!G:L,6,0)</f>
        <v>0</v>
      </c>
      <c r="G200" s="14">
        <v>432</v>
      </c>
      <c r="H200" s="14">
        <v>8</v>
      </c>
      <c r="I200" s="16">
        <v>46274</v>
      </c>
      <c r="J200" s="12">
        <f t="shared" si="3"/>
        <v>37</v>
      </c>
      <c r="K200">
        <f>+IF(E200="","",VLOOKUP(E200,CATALOGO!G:I,2,0))</f>
        <v>2</v>
      </c>
      <c r="L200">
        <f>+IF(E200="","",VLOOKUP(E200,CATALOGO!G:I,3,0))</f>
        <v>48</v>
      </c>
      <c r="M200" s="15">
        <v>46276</v>
      </c>
      <c r="N200">
        <v>43339</v>
      </c>
    </row>
    <row r="201" spans="1:14" x14ac:dyDescent="0.25">
      <c r="A201" s="13" t="s">
        <v>1341</v>
      </c>
      <c r="B201" s="13" t="s">
        <v>1361</v>
      </c>
      <c r="C201" s="17" t="s">
        <v>1481</v>
      </c>
      <c r="D201" t="s">
        <v>197</v>
      </c>
      <c r="E201" s="88" t="s">
        <v>26</v>
      </c>
      <c r="F201" s="6">
        <f>+VLOOKUP(E201,CATALOGO!G:L,6,0)</f>
        <v>0</v>
      </c>
      <c r="G201" s="14">
        <v>486</v>
      </c>
      <c r="H201" s="14">
        <v>9</v>
      </c>
      <c r="I201" s="16">
        <v>46274</v>
      </c>
      <c r="J201" s="12">
        <f t="shared" si="3"/>
        <v>37</v>
      </c>
      <c r="K201">
        <f>+IF(E201="","",VLOOKUP(E201,CATALOGO!G:I,2,0))</f>
        <v>2</v>
      </c>
      <c r="L201">
        <f>+IF(E201="","",VLOOKUP(E201,CATALOGO!G:I,3,0))</f>
        <v>48</v>
      </c>
      <c r="M201" s="15">
        <v>46276</v>
      </c>
      <c r="N201">
        <v>43339</v>
      </c>
    </row>
    <row r="202" spans="1:14" x14ac:dyDescent="0.25">
      <c r="A202" s="13" t="s">
        <v>1342</v>
      </c>
      <c r="B202" s="13" t="s">
        <v>1362</v>
      </c>
      <c r="C202" s="17" t="s">
        <v>1481</v>
      </c>
      <c r="D202" t="s">
        <v>197</v>
      </c>
      <c r="E202" s="88" t="s">
        <v>26</v>
      </c>
      <c r="F202" s="6">
        <f>+VLOOKUP(E202,CATALOGO!G:L,6,0)</f>
        <v>0</v>
      </c>
      <c r="G202" s="14">
        <v>162</v>
      </c>
      <c r="H202" s="14">
        <v>3</v>
      </c>
      <c r="I202" s="16">
        <v>46274</v>
      </c>
      <c r="J202" s="12">
        <f t="shared" si="3"/>
        <v>37</v>
      </c>
      <c r="K202">
        <f>+IF(E202="","",VLOOKUP(E202,CATALOGO!G:I,2,0))</f>
        <v>2</v>
      </c>
      <c r="L202">
        <f>+IF(E202="","",VLOOKUP(E202,CATALOGO!G:I,3,0))</f>
        <v>48</v>
      </c>
      <c r="M202" s="15">
        <v>46276</v>
      </c>
      <c r="N202">
        <v>43339</v>
      </c>
    </row>
    <row r="203" spans="1:14" x14ac:dyDescent="0.25">
      <c r="A203" s="13" t="s">
        <v>1312</v>
      </c>
      <c r="B203" s="13" t="s">
        <v>1320</v>
      </c>
      <c r="C203" s="17" t="s">
        <v>1482</v>
      </c>
      <c r="D203" t="s">
        <v>344</v>
      </c>
      <c r="E203" s="88" t="s">
        <v>22</v>
      </c>
      <c r="F203" s="6">
        <f>+VLOOKUP(E203,CATALOGO!G:L,6,0)</f>
        <v>4</v>
      </c>
      <c r="G203" s="14">
        <v>1152</v>
      </c>
      <c r="H203" s="14">
        <v>24</v>
      </c>
      <c r="I203" s="16">
        <v>46274</v>
      </c>
      <c r="J203" s="12">
        <f t="shared" si="3"/>
        <v>37</v>
      </c>
      <c r="K203">
        <f>+IF(E203="","",VLOOKUP(E203,CATALOGO!G:I,2,0))</f>
        <v>1.5</v>
      </c>
      <c r="L203">
        <f>+IF(E203="","",VLOOKUP(E203,CATALOGO!G:I,3,0))</f>
        <v>36</v>
      </c>
      <c r="M203" s="15">
        <v>46277</v>
      </c>
      <c r="N203">
        <v>44246</v>
      </c>
    </row>
    <row r="204" spans="1:14" x14ac:dyDescent="0.25">
      <c r="A204" s="13" t="s">
        <v>1312</v>
      </c>
      <c r="B204" s="13" t="s">
        <v>1320</v>
      </c>
      <c r="C204" s="17" t="s">
        <v>1483</v>
      </c>
      <c r="D204" t="s">
        <v>458</v>
      </c>
      <c r="E204" s="88" t="s">
        <v>1566</v>
      </c>
      <c r="F204" s="6" t="e">
        <f>+VLOOKUP(E204,CATALOGO!G:L,6,0)</f>
        <v>#N/A</v>
      </c>
      <c r="G204" s="14">
        <v>1152</v>
      </c>
      <c r="H204" s="14">
        <v>24</v>
      </c>
      <c r="I204" s="16">
        <v>46274</v>
      </c>
      <c r="J204" s="12">
        <f t="shared" si="3"/>
        <v>37</v>
      </c>
      <c r="K204" t="e">
        <f>+IF(E204="","",VLOOKUP(E204,CATALOGO!G:I,2,0))</f>
        <v>#N/A</v>
      </c>
      <c r="L204" t="e">
        <f>+IF(E204="","",VLOOKUP(E204,CATALOGO!G:I,3,0))</f>
        <v>#N/A</v>
      </c>
      <c r="M204" s="15">
        <v>46277</v>
      </c>
      <c r="N204">
        <v>42912</v>
      </c>
    </row>
    <row r="205" spans="1:14" x14ac:dyDescent="0.25">
      <c r="A205" s="13" t="s">
        <v>1312</v>
      </c>
      <c r="B205" s="13" t="s">
        <v>1320</v>
      </c>
      <c r="C205" s="17" t="s">
        <v>1484</v>
      </c>
      <c r="D205" t="s">
        <v>174</v>
      </c>
      <c r="E205" s="88" t="s">
        <v>1565</v>
      </c>
      <c r="F205" s="6" t="e">
        <f>+VLOOKUP(E205,CATALOGO!G:L,6,0)</f>
        <v>#N/A</v>
      </c>
      <c r="G205" s="14">
        <v>1200</v>
      </c>
      <c r="H205" s="14">
        <v>25</v>
      </c>
      <c r="I205" s="16">
        <v>46274</v>
      </c>
      <c r="J205" s="12">
        <f t="shared" si="3"/>
        <v>37</v>
      </c>
      <c r="K205" t="e">
        <f>+IF(E205="","",VLOOKUP(E205,CATALOGO!G:I,2,0))</f>
        <v>#N/A</v>
      </c>
      <c r="L205" t="e">
        <f>+IF(E205="","",VLOOKUP(E205,CATALOGO!G:I,3,0))</f>
        <v>#N/A</v>
      </c>
      <c r="M205" s="15">
        <v>46277</v>
      </c>
      <c r="N205">
        <v>42908</v>
      </c>
    </row>
    <row r="206" spans="1:14" x14ac:dyDescent="0.25">
      <c r="A206" s="13" t="s">
        <v>1318</v>
      </c>
      <c r="B206" s="13" t="s">
        <v>1326</v>
      </c>
      <c r="C206" s="17" t="s">
        <v>1484</v>
      </c>
      <c r="D206" t="s">
        <v>174</v>
      </c>
      <c r="E206" s="88" t="s">
        <v>1565</v>
      </c>
      <c r="F206" s="6" t="e">
        <f>+VLOOKUP(E206,CATALOGO!G:L,6,0)</f>
        <v>#N/A</v>
      </c>
      <c r="G206" s="14">
        <v>96</v>
      </c>
      <c r="H206" s="14">
        <v>2</v>
      </c>
      <c r="I206" s="16">
        <v>46274</v>
      </c>
      <c r="J206" s="12">
        <f t="shared" ref="J206:J269" si="4">+WEEKNUM(I206)</f>
        <v>37</v>
      </c>
      <c r="K206" t="e">
        <f>+IF(E206="","",VLOOKUP(E206,CATALOGO!G:I,2,0))</f>
        <v>#N/A</v>
      </c>
      <c r="L206" t="e">
        <f>+IF(E206="","",VLOOKUP(E206,CATALOGO!G:I,3,0))</f>
        <v>#N/A</v>
      </c>
      <c r="M206" s="15">
        <v>46277</v>
      </c>
      <c r="N206">
        <v>42909</v>
      </c>
    </row>
    <row r="207" spans="1:14" x14ac:dyDescent="0.25">
      <c r="A207" s="13" t="s">
        <v>1334</v>
      </c>
      <c r="B207" s="13" t="s">
        <v>1354</v>
      </c>
      <c r="C207" s="17" t="s">
        <v>1485</v>
      </c>
      <c r="D207" t="s">
        <v>1559</v>
      </c>
      <c r="E207" s="88" t="s">
        <v>1563</v>
      </c>
      <c r="F207" s="6">
        <f>+VLOOKUP(E207,CATALOGO!G:L,6,0)</f>
        <v>0</v>
      </c>
      <c r="G207" s="14">
        <v>384</v>
      </c>
      <c r="H207" s="14">
        <v>8</v>
      </c>
      <c r="I207" s="16">
        <v>46275</v>
      </c>
      <c r="J207" s="12">
        <f t="shared" si="4"/>
        <v>37</v>
      </c>
      <c r="K207">
        <f>+IF(E207="","",VLOOKUP(E207,CATALOGO!G:I,2,0))</f>
        <v>1.5</v>
      </c>
      <c r="L207">
        <f>+IF(E207="","",VLOOKUP(E207,CATALOGO!G:I,3,0))</f>
        <v>36</v>
      </c>
      <c r="M207" s="15">
        <v>46276</v>
      </c>
    </row>
    <row r="208" spans="1:14" x14ac:dyDescent="0.25">
      <c r="A208" s="13" t="s">
        <v>1335</v>
      </c>
      <c r="B208" s="13" t="s">
        <v>1355</v>
      </c>
      <c r="C208" s="17" t="s">
        <v>1485</v>
      </c>
      <c r="D208" t="s">
        <v>1559</v>
      </c>
      <c r="E208" s="88" t="s">
        <v>1563</v>
      </c>
      <c r="F208" s="6">
        <f>+VLOOKUP(E208,CATALOGO!G:L,6,0)</f>
        <v>0</v>
      </c>
      <c r="G208" s="14">
        <v>480</v>
      </c>
      <c r="H208" s="14">
        <v>10</v>
      </c>
      <c r="I208" s="16">
        <v>46275</v>
      </c>
      <c r="J208" s="12">
        <f t="shared" si="4"/>
        <v>37</v>
      </c>
      <c r="K208">
        <f>+IF(E208="","",VLOOKUP(E208,CATALOGO!G:I,2,0))</f>
        <v>1.5</v>
      </c>
      <c r="L208">
        <f>+IF(E208="","",VLOOKUP(E208,CATALOGO!G:I,3,0))</f>
        <v>36</v>
      </c>
      <c r="M208" s="15">
        <v>46276</v>
      </c>
    </row>
    <row r="209" spans="1:14" x14ac:dyDescent="0.25">
      <c r="A209" s="13" t="s">
        <v>1318</v>
      </c>
      <c r="B209" s="13" t="s">
        <v>1326</v>
      </c>
      <c r="C209" s="17" t="s">
        <v>1485</v>
      </c>
      <c r="D209" t="s">
        <v>1559</v>
      </c>
      <c r="E209" s="88" t="s">
        <v>1563</v>
      </c>
      <c r="F209" s="6">
        <f>+VLOOKUP(E209,CATALOGO!G:L,6,0)</f>
        <v>0</v>
      </c>
      <c r="G209" s="14">
        <v>288</v>
      </c>
      <c r="H209" s="14">
        <v>6</v>
      </c>
      <c r="I209" s="16">
        <v>46275</v>
      </c>
      <c r="J209" s="12">
        <f t="shared" si="4"/>
        <v>37</v>
      </c>
      <c r="K209">
        <f>+IF(E209="","",VLOOKUP(E209,CATALOGO!G:I,2,0))</f>
        <v>1.5</v>
      </c>
      <c r="L209">
        <f>+IF(E209="","",VLOOKUP(E209,CATALOGO!G:I,3,0))</f>
        <v>36</v>
      </c>
      <c r="M209" s="15">
        <v>46276</v>
      </c>
    </row>
    <row r="210" spans="1:14" x14ac:dyDescent="0.25">
      <c r="A210" s="13" t="s">
        <v>1336</v>
      </c>
      <c r="B210" s="13" t="s">
        <v>1356</v>
      </c>
      <c r="C210" s="17" t="s">
        <v>1486</v>
      </c>
      <c r="D210" t="s">
        <v>355</v>
      </c>
      <c r="E210" s="88" t="s">
        <v>14</v>
      </c>
      <c r="F210" s="6">
        <f>+VLOOKUP(E210,CATALOGO!G:L,6,0)</f>
        <v>8</v>
      </c>
      <c r="G210" s="14">
        <v>960</v>
      </c>
      <c r="H210" s="14">
        <v>20</v>
      </c>
      <c r="I210" s="16">
        <v>46275</v>
      </c>
      <c r="J210" s="12">
        <f t="shared" si="4"/>
        <v>37</v>
      </c>
      <c r="K210">
        <f>+IF(E210="","",VLOOKUP(E210,CATALOGO!G:I,2,0))</f>
        <v>3</v>
      </c>
      <c r="L210">
        <f>+IF(E210="","",VLOOKUP(E210,CATALOGO!G:I,3,0))</f>
        <v>72</v>
      </c>
      <c r="M210" s="15">
        <v>46279</v>
      </c>
      <c r="N210">
        <v>43687</v>
      </c>
    </row>
    <row r="211" spans="1:14" x14ac:dyDescent="0.25">
      <c r="A211" s="13" t="s">
        <v>1336</v>
      </c>
      <c r="B211" s="13" t="s">
        <v>1356</v>
      </c>
      <c r="C211" s="17" t="s">
        <v>1487</v>
      </c>
      <c r="D211" t="s">
        <v>311</v>
      </c>
      <c r="E211" s="88" t="s">
        <v>14</v>
      </c>
      <c r="F211" s="6">
        <f>+VLOOKUP(E211,CATALOGO!G:L,6,0)</f>
        <v>8</v>
      </c>
      <c r="G211" s="14">
        <v>960</v>
      </c>
      <c r="H211" s="14">
        <v>20</v>
      </c>
      <c r="I211" s="16">
        <v>46275</v>
      </c>
      <c r="J211" s="12">
        <f t="shared" si="4"/>
        <v>37</v>
      </c>
      <c r="K211">
        <f>+IF(E211="","",VLOOKUP(E211,CATALOGO!G:I,2,0))</f>
        <v>3</v>
      </c>
      <c r="L211">
        <f>+IF(E211="","",VLOOKUP(E211,CATALOGO!G:I,3,0))</f>
        <v>72</v>
      </c>
      <c r="M211" s="15">
        <v>46277</v>
      </c>
      <c r="N211">
        <v>42958</v>
      </c>
    </row>
    <row r="212" spans="1:14" x14ac:dyDescent="0.25">
      <c r="A212" s="13" t="s">
        <v>1343</v>
      </c>
      <c r="B212" s="13" t="s">
        <v>1363</v>
      </c>
      <c r="C212" s="17" t="s">
        <v>1488</v>
      </c>
      <c r="D212" t="s">
        <v>196</v>
      </c>
      <c r="E212" s="88" t="s">
        <v>26</v>
      </c>
      <c r="F212" s="6">
        <f>+VLOOKUP(E212,CATALOGO!G:L,6,0)</f>
        <v>0</v>
      </c>
      <c r="G212" s="14">
        <v>540</v>
      </c>
      <c r="H212" s="14">
        <v>10</v>
      </c>
      <c r="I212" s="16">
        <v>46275</v>
      </c>
      <c r="J212" s="12">
        <f t="shared" si="4"/>
        <v>37</v>
      </c>
      <c r="K212">
        <f>+IF(E212="","",VLOOKUP(E212,CATALOGO!G:I,2,0))</f>
        <v>2</v>
      </c>
      <c r="L212">
        <f>+IF(E212="","",VLOOKUP(E212,CATALOGO!G:I,3,0))</f>
        <v>48</v>
      </c>
      <c r="M212" s="15">
        <v>46278</v>
      </c>
      <c r="N212">
        <v>44047</v>
      </c>
    </row>
    <row r="213" spans="1:14" x14ac:dyDescent="0.25">
      <c r="A213" s="13" t="s">
        <v>1344</v>
      </c>
      <c r="B213" s="13" t="s">
        <v>1364</v>
      </c>
      <c r="C213" s="17" t="s">
        <v>1488</v>
      </c>
      <c r="D213" t="s">
        <v>196</v>
      </c>
      <c r="E213" s="88" t="s">
        <v>26</v>
      </c>
      <c r="F213" s="6">
        <f>+VLOOKUP(E213,CATALOGO!G:L,6,0)</f>
        <v>0</v>
      </c>
      <c r="G213" s="14">
        <v>540</v>
      </c>
      <c r="H213" s="14">
        <v>10</v>
      </c>
      <c r="I213" s="16">
        <v>46275</v>
      </c>
      <c r="J213" s="12">
        <f t="shared" si="4"/>
        <v>37</v>
      </c>
      <c r="K213">
        <f>+IF(E213="","",VLOOKUP(E213,CATALOGO!G:I,2,0))</f>
        <v>2</v>
      </c>
      <c r="L213">
        <f>+IF(E213="","",VLOOKUP(E213,CATALOGO!G:I,3,0))</f>
        <v>48</v>
      </c>
      <c r="M213" s="15">
        <v>46278</v>
      </c>
      <c r="N213">
        <v>44047</v>
      </c>
    </row>
    <row r="214" spans="1:14" x14ac:dyDescent="0.25">
      <c r="A214" s="13" t="s">
        <v>1345</v>
      </c>
      <c r="B214" s="13" t="s">
        <v>1365</v>
      </c>
      <c r="C214" s="17" t="s">
        <v>1489</v>
      </c>
      <c r="D214" t="s">
        <v>405</v>
      </c>
      <c r="E214" s="88" t="s">
        <v>26</v>
      </c>
      <c r="F214" s="6">
        <f>+VLOOKUP(E214,CATALOGO!G:L,6,0)</f>
        <v>0</v>
      </c>
      <c r="G214" s="14">
        <v>864</v>
      </c>
      <c r="H214" s="14">
        <v>16</v>
      </c>
      <c r="I214" s="16">
        <v>46275</v>
      </c>
      <c r="J214" s="12">
        <f t="shared" si="4"/>
        <v>37</v>
      </c>
      <c r="K214">
        <f>+IF(E214="","",VLOOKUP(E214,CATALOGO!G:I,2,0))</f>
        <v>2</v>
      </c>
      <c r="L214">
        <f>+IF(E214="","",VLOOKUP(E214,CATALOGO!G:I,3,0))</f>
        <v>48</v>
      </c>
      <c r="M214" s="15">
        <v>46278</v>
      </c>
      <c r="N214">
        <v>44045</v>
      </c>
    </row>
    <row r="215" spans="1:14" x14ac:dyDescent="0.25">
      <c r="A215" s="13" t="s">
        <v>1346</v>
      </c>
      <c r="B215" s="13" t="s">
        <v>1366</v>
      </c>
      <c r="C215" s="17" t="s">
        <v>1489</v>
      </c>
      <c r="D215" t="s">
        <v>405</v>
      </c>
      <c r="E215" s="88" t="s">
        <v>26</v>
      </c>
      <c r="F215" s="6">
        <f>+VLOOKUP(E215,CATALOGO!G:L,6,0)</f>
        <v>0</v>
      </c>
      <c r="G215" s="14">
        <v>216</v>
      </c>
      <c r="H215" s="14">
        <v>4</v>
      </c>
      <c r="I215" s="16">
        <v>46275</v>
      </c>
      <c r="J215" s="12">
        <f t="shared" si="4"/>
        <v>37</v>
      </c>
      <c r="K215">
        <f>+IF(E215="","",VLOOKUP(E215,CATALOGO!G:I,2,0))</f>
        <v>2</v>
      </c>
      <c r="L215">
        <f>+IF(E215="","",VLOOKUP(E215,CATALOGO!G:I,3,0))</f>
        <v>48</v>
      </c>
      <c r="M215" s="15">
        <v>46278</v>
      </c>
      <c r="N215">
        <v>44045</v>
      </c>
    </row>
    <row r="216" spans="1:14" x14ac:dyDescent="0.25">
      <c r="A216" s="13" t="s">
        <v>1312</v>
      </c>
      <c r="B216" s="13" t="s">
        <v>1320</v>
      </c>
      <c r="C216" s="17" t="s">
        <v>1490</v>
      </c>
      <c r="D216" t="s">
        <v>347</v>
      </c>
      <c r="E216" s="88" t="s">
        <v>1565</v>
      </c>
      <c r="F216" s="6" t="e">
        <f>+VLOOKUP(E216,CATALOGO!G:L,6,0)</f>
        <v>#N/A</v>
      </c>
      <c r="G216" s="14">
        <v>576</v>
      </c>
      <c r="H216" s="14">
        <v>12</v>
      </c>
      <c r="I216" s="16">
        <v>46275</v>
      </c>
      <c r="J216" s="12">
        <f t="shared" si="4"/>
        <v>37</v>
      </c>
      <c r="K216" t="e">
        <f>+IF(E216="","",VLOOKUP(E216,CATALOGO!G:I,2,0))</f>
        <v>#N/A</v>
      </c>
      <c r="L216" t="e">
        <f>+IF(E216="","",VLOOKUP(E216,CATALOGO!G:I,3,0))</f>
        <v>#N/A</v>
      </c>
      <c r="M216" s="15">
        <v>46278</v>
      </c>
      <c r="N216">
        <v>42919</v>
      </c>
    </row>
    <row r="217" spans="1:14" x14ac:dyDescent="0.25">
      <c r="A217" s="13" t="s">
        <v>1312</v>
      </c>
      <c r="B217" s="13" t="s">
        <v>1320</v>
      </c>
      <c r="C217" s="17" t="s">
        <v>1491</v>
      </c>
      <c r="D217" t="s">
        <v>334</v>
      </c>
      <c r="E217" s="88" t="s">
        <v>1565</v>
      </c>
      <c r="F217" s="6" t="e">
        <f>+VLOOKUP(E217,CATALOGO!G:L,6,0)</f>
        <v>#N/A</v>
      </c>
      <c r="G217" s="14">
        <v>576</v>
      </c>
      <c r="H217" s="14">
        <v>12</v>
      </c>
      <c r="I217" s="16">
        <v>46275</v>
      </c>
      <c r="J217" s="12">
        <f t="shared" si="4"/>
        <v>37</v>
      </c>
      <c r="K217" t="e">
        <f>+IF(E217="","",VLOOKUP(E217,CATALOGO!G:I,2,0))</f>
        <v>#N/A</v>
      </c>
      <c r="L217" t="e">
        <f>+IF(E217="","",VLOOKUP(E217,CATALOGO!G:I,3,0))</f>
        <v>#N/A</v>
      </c>
      <c r="M217" s="15">
        <v>46278</v>
      </c>
      <c r="N217">
        <v>42919</v>
      </c>
    </row>
    <row r="218" spans="1:14" x14ac:dyDescent="0.25">
      <c r="A218" s="13" t="s">
        <v>1312</v>
      </c>
      <c r="B218" s="13" t="s">
        <v>1320</v>
      </c>
      <c r="C218" s="17" t="s">
        <v>1492</v>
      </c>
      <c r="D218" t="s">
        <v>1560</v>
      </c>
      <c r="E218" s="88" t="s">
        <v>31</v>
      </c>
      <c r="F218" s="6">
        <f>+VLOOKUP(E218,CATALOGO!G:L,6,0)</f>
        <v>2</v>
      </c>
      <c r="G218" s="14">
        <v>1147</v>
      </c>
      <c r="H218" s="14">
        <v>23.895833333333332</v>
      </c>
      <c r="I218" s="16">
        <v>46275</v>
      </c>
      <c r="J218" s="12">
        <f t="shared" si="4"/>
        <v>37</v>
      </c>
      <c r="K218">
        <f>+IF(E218="","",VLOOKUP(E218,CATALOGO!G:I,2,0))</f>
        <v>2.5</v>
      </c>
      <c r="L218">
        <f>+IF(E218="","",VLOOKUP(E218,CATALOGO!G:I,3,0))</f>
        <v>60</v>
      </c>
      <c r="M218" s="15">
        <v>46278</v>
      </c>
      <c r="N218">
        <v>42913</v>
      </c>
    </row>
    <row r="219" spans="1:14" x14ac:dyDescent="0.25">
      <c r="A219" s="13" t="s">
        <v>1313</v>
      </c>
      <c r="B219" s="13" t="s">
        <v>1321</v>
      </c>
      <c r="C219" s="17" t="s">
        <v>1492</v>
      </c>
      <c r="D219" t="s">
        <v>1560</v>
      </c>
      <c r="E219" s="88" t="s">
        <v>31</v>
      </c>
      <c r="F219" s="6">
        <f>+VLOOKUP(E219,CATALOGO!G:L,6,0)</f>
        <v>2</v>
      </c>
      <c r="G219" s="14">
        <v>5</v>
      </c>
      <c r="H219" s="14">
        <v>0.10416666666666667</v>
      </c>
      <c r="I219" s="16">
        <v>46275</v>
      </c>
      <c r="J219" s="12">
        <f t="shared" si="4"/>
        <v>37</v>
      </c>
      <c r="K219">
        <f>+IF(E219="","",VLOOKUP(E219,CATALOGO!G:I,2,0))</f>
        <v>2.5</v>
      </c>
      <c r="L219">
        <f>+IF(E219="","",VLOOKUP(E219,CATALOGO!G:I,3,0))</f>
        <v>60</v>
      </c>
      <c r="M219" s="15">
        <v>46278</v>
      </c>
      <c r="N219">
        <v>42913</v>
      </c>
    </row>
    <row r="220" spans="1:14" x14ac:dyDescent="0.25">
      <c r="A220" s="13" t="s">
        <v>1335</v>
      </c>
      <c r="B220" s="13" t="s">
        <v>1355</v>
      </c>
      <c r="C220" s="17" t="s">
        <v>1493</v>
      </c>
      <c r="D220" t="s">
        <v>1561</v>
      </c>
      <c r="E220" s="88" t="s">
        <v>19</v>
      </c>
      <c r="F220" s="6">
        <f>+VLOOKUP(E220,CATALOGO!G:L,6,0)</f>
        <v>0</v>
      </c>
      <c r="G220" s="14">
        <v>624</v>
      </c>
      <c r="H220" s="14">
        <v>13</v>
      </c>
      <c r="I220" s="16">
        <v>46275</v>
      </c>
      <c r="J220" s="12">
        <f t="shared" si="4"/>
        <v>37</v>
      </c>
      <c r="K220">
        <f>+IF(E220="","",VLOOKUP(E220,CATALOGO!G:I,2,0))</f>
        <v>1.5</v>
      </c>
      <c r="L220">
        <f>+IF(E220="","",VLOOKUP(E220,CATALOGO!G:I,3,0))</f>
        <v>36</v>
      </c>
      <c r="M220" s="15">
        <v>46277</v>
      </c>
    </row>
    <row r="221" spans="1:14" x14ac:dyDescent="0.25">
      <c r="A221" s="13" t="s">
        <v>1334</v>
      </c>
      <c r="B221" s="13" t="s">
        <v>1354</v>
      </c>
      <c r="C221" s="17" t="s">
        <v>1493</v>
      </c>
      <c r="D221" t="s">
        <v>1561</v>
      </c>
      <c r="E221" s="88" t="s">
        <v>19</v>
      </c>
      <c r="F221" s="6">
        <f>+VLOOKUP(E221,CATALOGO!G:L,6,0)</f>
        <v>0</v>
      </c>
      <c r="G221" s="14">
        <v>384</v>
      </c>
      <c r="H221" s="14">
        <v>8</v>
      </c>
      <c r="I221" s="16">
        <v>46275</v>
      </c>
      <c r="J221" s="12">
        <f t="shared" si="4"/>
        <v>37</v>
      </c>
      <c r="K221">
        <f>+IF(E221="","",VLOOKUP(E221,CATALOGO!G:I,2,0))</f>
        <v>1.5</v>
      </c>
      <c r="L221">
        <f>+IF(E221="","",VLOOKUP(E221,CATALOGO!G:I,3,0))</f>
        <v>36</v>
      </c>
      <c r="M221" s="15">
        <v>46277</v>
      </c>
    </row>
    <row r="222" spans="1:14" x14ac:dyDescent="0.25">
      <c r="A222" s="13" t="s">
        <v>1318</v>
      </c>
      <c r="B222" s="13" t="s">
        <v>1326</v>
      </c>
      <c r="C222" s="17" t="s">
        <v>1493</v>
      </c>
      <c r="D222" t="s">
        <v>1561</v>
      </c>
      <c r="E222" s="88" t="s">
        <v>1563</v>
      </c>
      <c r="F222" s="6">
        <f>+VLOOKUP(E222,CATALOGO!G:L,6,0)</f>
        <v>0</v>
      </c>
      <c r="G222" s="14">
        <v>100</v>
      </c>
      <c r="H222" s="14">
        <v>2.0833333333333335</v>
      </c>
      <c r="I222" s="16">
        <v>46275</v>
      </c>
      <c r="J222" s="12">
        <f t="shared" si="4"/>
        <v>37</v>
      </c>
      <c r="K222">
        <f>+IF(E222="","",VLOOKUP(E222,CATALOGO!G:I,2,0))</f>
        <v>1.5</v>
      </c>
      <c r="L222">
        <f>+IF(E222="","",VLOOKUP(E222,CATALOGO!G:I,3,0))</f>
        <v>36</v>
      </c>
      <c r="M222" s="15">
        <v>46277</v>
      </c>
    </row>
    <row r="223" spans="1:14" x14ac:dyDescent="0.25">
      <c r="A223" s="13" t="s">
        <v>1335</v>
      </c>
      <c r="B223" s="13" t="s">
        <v>1355</v>
      </c>
      <c r="C223" s="17" t="s">
        <v>1494</v>
      </c>
      <c r="D223" t="s">
        <v>453</v>
      </c>
      <c r="E223" s="88" t="s">
        <v>19</v>
      </c>
      <c r="F223" s="6">
        <f>+VLOOKUP(E223,CATALOGO!G:L,6,0)</f>
        <v>0</v>
      </c>
      <c r="G223" s="14">
        <v>480</v>
      </c>
      <c r="H223" s="14">
        <v>10</v>
      </c>
      <c r="I223" s="16">
        <v>46276</v>
      </c>
      <c r="J223" s="12">
        <f t="shared" si="4"/>
        <v>37</v>
      </c>
      <c r="K223">
        <f>+IF(E223="","",VLOOKUP(E223,CATALOGO!G:I,2,0))</f>
        <v>1.5</v>
      </c>
      <c r="L223">
        <f>+IF(E223="","",VLOOKUP(E223,CATALOGO!G:I,3,0))</f>
        <v>36</v>
      </c>
      <c r="M223" s="15">
        <v>46277</v>
      </c>
    </row>
    <row r="224" spans="1:14" x14ac:dyDescent="0.25">
      <c r="A224" s="13" t="s">
        <v>1318</v>
      </c>
      <c r="B224" s="13" t="s">
        <v>1326</v>
      </c>
      <c r="C224" s="17" t="s">
        <v>1494</v>
      </c>
      <c r="D224" t="s">
        <v>453</v>
      </c>
      <c r="E224" s="88" t="s">
        <v>1563</v>
      </c>
      <c r="F224" s="6">
        <f>+VLOOKUP(E224,CATALOGO!G:L,6,0)</f>
        <v>0</v>
      </c>
      <c r="G224" s="14">
        <v>576</v>
      </c>
      <c r="H224" s="14">
        <v>12</v>
      </c>
      <c r="I224" s="16">
        <v>46276</v>
      </c>
      <c r="J224" s="12">
        <f t="shared" si="4"/>
        <v>37</v>
      </c>
      <c r="K224">
        <f>+IF(E224="","",VLOOKUP(E224,CATALOGO!G:I,2,0))</f>
        <v>1.5</v>
      </c>
      <c r="L224">
        <f>+IF(E224="","",VLOOKUP(E224,CATALOGO!G:I,3,0))</f>
        <v>36</v>
      </c>
      <c r="M224" s="15">
        <v>46277</v>
      </c>
    </row>
    <row r="225" spans="1:14" x14ac:dyDescent="0.25">
      <c r="A225" s="13" t="s">
        <v>1311</v>
      </c>
      <c r="B225" s="13" t="s">
        <v>1319</v>
      </c>
      <c r="C225" s="17" t="s">
        <v>1494</v>
      </c>
      <c r="D225" t="s">
        <v>453</v>
      </c>
      <c r="E225" s="88" t="s">
        <v>1563</v>
      </c>
      <c r="F225" s="6">
        <f>+VLOOKUP(E225,CATALOGO!G:L,6,0)</f>
        <v>0</v>
      </c>
      <c r="G225" s="14">
        <v>240</v>
      </c>
      <c r="H225" s="14">
        <v>5</v>
      </c>
      <c r="I225" s="16">
        <v>46276</v>
      </c>
      <c r="J225" s="12">
        <f t="shared" si="4"/>
        <v>37</v>
      </c>
      <c r="K225">
        <f>+IF(E225="","",VLOOKUP(E225,CATALOGO!G:I,2,0))</f>
        <v>1.5</v>
      </c>
      <c r="L225">
        <f>+IF(E225="","",VLOOKUP(E225,CATALOGO!G:I,3,0))</f>
        <v>36</v>
      </c>
      <c r="M225" s="15">
        <v>46277</v>
      </c>
    </row>
    <row r="226" spans="1:14" x14ac:dyDescent="0.25">
      <c r="A226" s="13" t="s">
        <v>1345</v>
      </c>
      <c r="B226" s="13" t="s">
        <v>1365</v>
      </c>
      <c r="C226" s="17" t="s">
        <v>1495</v>
      </c>
      <c r="D226" t="s">
        <v>309</v>
      </c>
      <c r="E226" s="88" t="s">
        <v>26</v>
      </c>
      <c r="F226" s="6">
        <f>+VLOOKUP(E226,CATALOGO!G:L,6,0)</f>
        <v>0</v>
      </c>
      <c r="G226" s="14">
        <v>1080</v>
      </c>
      <c r="H226" s="14">
        <v>20</v>
      </c>
      <c r="I226" s="16">
        <v>46276</v>
      </c>
      <c r="J226" s="12">
        <f t="shared" si="4"/>
        <v>37</v>
      </c>
      <c r="K226">
        <f>+IF(E226="","",VLOOKUP(E226,CATALOGO!G:I,2,0))</f>
        <v>2</v>
      </c>
      <c r="L226">
        <f>+IF(E226="","",VLOOKUP(E226,CATALOGO!G:I,3,0))</f>
        <v>48</v>
      </c>
      <c r="M226" s="15">
        <v>46278</v>
      </c>
      <c r="N226">
        <v>44046</v>
      </c>
    </row>
    <row r="227" spans="1:14" x14ac:dyDescent="0.25">
      <c r="A227" s="13" t="s">
        <v>1336</v>
      </c>
      <c r="B227" s="13" t="s">
        <v>1356</v>
      </c>
      <c r="C227" s="17" t="s">
        <v>1496</v>
      </c>
      <c r="D227" t="s">
        <v>214</v>
      </c>
      <c r="E227" s="88" t="s">
        <v>14</v>
      </c>
      <c r="F227" s="6">
        <f>+VLOOKUP(E227,CATALOGO!G:L,6,0)</f>
        <v>8</v>
      </c>
      <c r="G227" s="14">
        <v>960</v>
      </c>
      <c r="H227" s="14">
        <v>20</v>
      </c>
      <c r="I227" s="16">
        <v>46276</v>
      </c>
      <c r="J227" s="12">
        <f t="shared" si="4"/>
        <v>37</v>
      </c>
      <c r="K227">
        <f>+IF(E227="","",VLOOKUP(E227,CATALOGO!G:I,2,0))</f>
        <v>3</v>
      </c>
      <c r="L227">
        <f>+IF(E227="","",VLOOKUP(E227,CATALOGO!G:I,3,0))</f>
        <v>72</v>
      </c>
      <c r="M227" s="15">
        <v>46279</v>
      </c>
      <c r="N227">
        <v>43690</v>
      </c>
    </row>
    <row r="228" spans="1:14" x14ac:dyDescent="0.25">
      <c r="A228" s="13" t="s">
        <v>1336</v>
      </c>
      <c r="B228" s="13" t="s">
        <v>1356</v>
      </c>
      <c r="C228" s="17" t="s">
        <v>1497</v>
      </c>
      <c r="D228" t="s">
        <v>233</v>
      </c>
      <c r="E228" s="88" t="s">
        <v>14</v>
      </c>
      <c r="F228" s="6">
        <f>+VLOOKUP(E228,CATALOGO!G:L,6,0)</f>
        <v>8</v>
      </c>
      <c r="G228" s="14">
        <v>960</v>
      </c>
      <c r="H228" s="14">
        <v>20</v>
      </c>
      <c r="I228" s="16">
        <v>46276</v>
      </c>
      <c r="J228" s="12">
        <f t="shared" si="4"/>
        <v>37</v>
      </c>
      <c r="K228">
        <f>+IF(E228="","",VLOOKUP(E228,CATALOGO!G:I,2,0))</f>
        <v>3</v>
      </c>
      <c r="L228">
        <f>+IF(E228="","",VLOOKUP(E228,CATALOGO!G:I,3,0))</f>
        <v>72</v>
      </c>
      <c r="M228" s="15">
        <v>46281</v>
      </c>
      <c r="N228">
        <v>43693</v>
      </c>
    </row>
    <row r="229" spans="1:14" x14ac:dyDescent="0.25">
      <c r="A229" s="13" t="s">
        <v>1336</v>
      </c>
      <c r="B229" s="13" t="s">
        <v>1356</v>
      </c>
      <c r="C229" s="17" t="s">
        <v>1498</v>
      </c>
      <c r="D229" t="s">
        <v>162</v>
      </c>
      <c r="E229" s="88" t="s">
        <v>14</v>
      </c>
      <c r="F229" s="6">
        <f>+VLOOKUP(E229,CATALOGO!G:L,6,0)</f>
        <v>8</v>
      </c>
      <c r="G229" s="14">
        <v>960</v>
      </c>
      <c r="H229" s="14">
        <v>20</v>
      </c>
      <c r="I229" s="16">
        <v>46276</v>
      </c>
      <c r="J229" s="12">
        <f t="shared" si="4"/>
        <v>37</v>
      </c>
      <c r="K229">
        <f>+IF(E229="","",VLOOKUP(E229,CATALOGO!G:I,2,0))</f>
        <v>3</v>
      </c>
      <c r="L229">
        <f>+IF(E229="","",VLOOKUP(E229,CATALOGO!G:I,3,0))</f>
        <v>72</v>
      </c>
      <c r="M229" s="15">
        <v>46280</v>
      </c>
      <c r="N229">
        <v>43691</v>
      </c>
    </row>
    <row r="230" spans="1:14" x14ac:dyDescent="0.25">
      <c r="A230" s="13" t="s">
        <v>1336</v>
      </c>
      <c r="B230" s="13" t="s">
        <v>1356</v>
      </c>
      <c r="C230" s="17" t="s">
        <v>1499</v>
      </c>
      <c r="D230" t="s">
        <v>437</v>
      </c>
      <c r="E230" s="88" t="s">
        <v>14</v>
      </c>
      <c r="F230" s="6">
        <f>+VLOOKUP(E230,CATALOGO!G:L,6,0)</f>
        <v>8</v>
      </c>
      <c r="G230" s="14">
        <v>960</v>
      </c>
      <c r="H230" s="14">
        <v>20</v>
      </c>
      <c r="I230" s="16">
        <v>46276</v>
      </c>
      <c r="J230" s="12">
        <f t="shared" si="4"/>
        <v>37</v>
      </c>
      <c r="K230">
        <f>+IF(E230="","",VLOOKUP(E230,CATALOGO!G:I,2,0))</f>
        <v>3</v>
      </c>
      <c r="L230">
        <f>+IF(E230="","",VLOOKUP(E230,CATALOGO!G:I,3,0))</f>
        <v>72</v>
      </c>
      <c r="M230" s="15">
        <v>46280</v>
      </c>
      <c r="N230">
        <v>43692</v>
      </c>
    </row>
    <row r="231" spans="1:14" x14ac:dyDescent="0.25">
      <c r="A231" s="13" t="s">
        <v>1336</v>
      </c>
      <c r="B231" s="13" t="s">
        <v>1356</v>
      </c>
      <c r="C231" s="17" t="s">
        <v>1500</v>
      </c>
      <c r="D231" t="s">
        <v>409</v>
      </c>
      <c r="E231" s="88" t="s">
        <v>14</v>
      </c>
      <c r="F231" s="6">
        <f>+VLOOKUP(E231,CATALOGO!G:L,6,0)</f>
        <v>8</v>
      </c>
      <c r="G231" s="14">
        <v>960</v>
      </c>
      <c r="H231" s="14">
        <v>20</v>
      </c>
      <c r="I231" s="16">
        <v>46276</v>
      </c>
      <c r="J231" s="12">
        <f t="shared" si="4"/>
        <v>37</v>
      </c>
      <c r="K231">
        <f>+IF(E231="","",VLOOKUP(E231,CATALOGO!G:I,2,0))</f>
        <v>3</v>
      </c>
      <c r="L231">
        <f>+IF(E231="","",VLOOKUP(E231,CATALOGO!G:I,3,0))</f>
        <v>72</v>
      </c>
      <c r="M231" s="15">
        <v>46281</v>
      </c>
      <c r="N231">
        <v>43695</v>
      </c>
    </row>
    <row r="232" spans="1:14" x14ac:dyDescent="0.25">
      <c r="A232" s="13" t="s">
        <v>1312</v>
      </c>
      <c r="B232" s="13" t="s">
        <v>1320</v>
      </c>
      <c r="C232" s="17" t="s">
        <v>1501</v>
      </c>
      <c r="D232" t="s">
        <v>299</v>
      </c>
      <c r="E232" s="88" t="s">
        <v>1566</v>
      </c>
      <c r="F232" s="6" t="e">
        <f>+VLOOKUP(E232,CATALOGO!G:L,6,0)</f>
        <v>#N/A</v>
      </c>
      <c r="G232" s="14">
        <v>1056</v>
      </c>
      <c r="H232" s="14">
        <v>22</v>
      </c>
      <c r="I232" s="16">
        <v>46276</v>
      </c>
      <c r="J232" s="12">
        <f t="shared" si="4"/>
        <v>37</v>
      </c>
      <c r="K232" t="e">
        <f>+IF(E232="","",VLOOKUP(E232,CATALOGO!G:I,2,0))</f>
        <v>#N/A</v>
      </c>
      <c r="L232" t="e">
        <f>+IF(E232="","",VLOOKUP(E232,CATALOGO!G:I,3,0))</f>
        <v>#N/A</v>
      </c>
      <c r="M232" s="15">
        <v>46279</v>
      </c>
      <c r="N232">
        <v>43475</v>
      </c>
    </row>
    <row r="233" spans="1:14" x14ac:dyDescent="0.25">
      <c r="A233" s="13" t="s">
        <v>1318</v>
      </c>
      <c r="B233" s="13" t="s">
        <v>1326</v>
      </c>
      <c r="C233" s="17" t="s">
        <v>1501</v>
      </c>
      <c r="D233" t="s">
        <v>299</v>
      </c>
      <c r="E233" s="88" t="s">
        <v>1566</v>
      </c>
      <c r="F233" s="6" t="e">
        <f>+VLOOKUP(E233,CATALOGO!G:L,6,0)</f>
        <v>#N/A</v>
      </c>
      <c r="G233" s="14">
        <v>96</v>
      </c>
      <c r="H233" s="14">
        <v>2</v>
      </c>
      <c r="I233" s="16">
        <v>46276</v>
      </c>
      <c r="J233" s="12">
        <f t="shared" si="4"/>
        <v>37</v>
      </c>
      <c r="K233" t="e">
        <f>+IF(E233="","",VLOOKUP(E233,CATALOGO!G:I,2,0))</f>
        <v>#N/A</v>
      </c>
      <c r="L233" t="e">
        <f>+IF(E233="","",VLOOKUP(E233,CATALOGO!G:I,3,0))</f>
        <v>#N/A</v>
      </c>
      <c r="M233" s="15">
        <v>46279</v>
      </c>
      <c r="N233">
        <v>43476</v>
      </c>
    </row>
    <row r="234" spans="1:14" x14ac:dyDescent="0.25">
      <c r="A234" s="13" t="s">
        <v>1312</v>
      </c>
      <c r="B234" s="13" t="s">
        <v>1320</v>
      </c>
      <c r="C234" s="17" t="s">
        <v>1502</v>
      </c>
      <c r="D234" t="s">
        <v>1559</v>
      </c>
      <c r="E234" s="88" t="s">
        <v>1565</v>
      </c>
      <c r="F234" s="6" t="e">
        <f>+VLOOKUP(E234,CATALOGO!G:L,6,0)</f>
        <v>#N/A</v>
      </c>
      <c r="G234" s="14">
        <v>1152</v>
      </c>
      <c r="H234" s="14">
        <v>24</v>
      </c>
      <c r="I234" s="16">
        <v>46276</v>
      </c>
      <c r="J234" s="12">
        <f t="shared" si="4"/>
        <v>37</v>
      </c>
      <c r="K234" t="e">
        <f>+IF(E234="","",VLOOKUP(E234,CATALOGO!G:I,2,0))</f>
        <v>#N/A</v>
      </c>
      <c r="L234" t="e">
        <f>+IF(E234="","",VLOOKUP(E234,CATALOGO!G:I,3,0))</f>
        <v>#N/A</v>
      </c>
      <c r="M234" s="15">
        <v>46279</v>
      </c>
      <c r="N234">
        <v>43128</v>
      </c>
    </row>
    <row r="235" spans="1:14" x14ac:dyDescent="0.25">
      <c r="A235" s="13" t="s">
        <v>1318</v>
      </c>
      <c r="B235" s="13" t="s">
        <v>1326</v>
      </c>
      <c r="C235" s="17" t="s">
        <v>1502</v>
      </c>
      <c r="D235" t="s">
        <v>1559</v>
      </c>
      <c r="E235" s="88" t="s">
        <v>1565</v>
      </c>
      <c r="F235" s="6" t="e">
        <f>+VLOOKUP(E235,CATALOGO!G:L,6,0)</f>
        <v>#N/A</v>
      </c>
      <c r="G235" s="14">
        <v>144</v>
      </c>
      <c r="H235" s="14">
        <v>3</v>
      </c>
      <c r="I235" s="16">
        <v>46276</v>
      </c>
      <c r="J235" s="12">
        <f t="shared" si="4"/>
        <v>37</v>
      </c>
      <c r="K235" t="e">
        <f>+IF(E235="","",VLOOKUP(E235,CATALOGO!G:I,2,0))</f>
        <v>#N/A</v>
      </c>
      <c r="L235" t="e">
        <f>+IF(E235="","",VLOOKUP(E235,CATALOGO!G:I,3,0))</f>
        <v>#N/A</v>
      </c>
      <c r="M235" s="15">
        <v>46279</v>
      </c>
      <c r="N235">
        <v>43129</v>
      </c>
    </row>
    <row r="236" spans="1:14" x14ac:dyDescent="0.25">
      <c r="A236" s="13" t="s">
        <v>1312</v>
      </c>
      <c r="B236" s="13" t="s">
        <v>1320</v>
      </c>
      <c r="C236" s="17" t="s">
        <v>1503</v>
      </c>
      <c r="D236" t="s">
        <v>174</v>
      </c>
      <c r="E236" s="88" t="s">
        <v>1565</v>
      </c>
      <c r="F236" s="6" t="e">
        <f>+VLOOKUP(E236,CATALOGO!G:L,6,0)</f>
        <v>#N/A</v>
      </c>
      <c r="G236" s="14">
        <v>1152</v>
      </c>
      <c r="H236" s="14">
        <v>24</v>
      </c>
      <c r="I236" s="16">
        <v>46277</v>
      </c>
      <c r="J236" s="12">
        <f t="shared" si="4"/>
        <v>37</v>
      </c>
      <c r="K236" t="e">
        <f>+IF(E236="","",VLOOKUP(E236,CATALOGO!G:I,2,0))</f>
        <v>#N/A</v>
      </c>
      <c r="L236" t="e">
        <f>+IF(E236="","",VLOOKUP(E236,CATALOGO!G:I,3,0))</f>
        <v>#N/A</v>
      </c>
      <c r="M236" s="15">
        <v>46281</v>
      </c>
      <c r="N236">
        <v>44249</v>
      </c>
    </row>
    <row r="237" spans="1:14" x14ac:dyDescent="0.25">
      <c r="A237" s="13" t="s">
        <v>1335</v>
      </c>
      <c r="B237" s="13" t="s">
        <v>1355</v>
      </c>
      <c r="C237" s="17" t="s">
        <v>1504</v>
      </c>
      <c r="D237" t="s">
        <v>416</v>
      </c>
      <c r="E237" s="88" t="s">
        <v>19</v>
      </c>
      <c r="F237" s="6">
        <f>+VLOOKUP(E237,CATALOGO!G:L,6,0)</f>
        <v>0</v>
      </c>
      <c r="G237" s="14">
        <v>624</v>
      </c>
      <c r="H237" s="14">
        <v>13</v>
      </c>
      <c r="I237" s="16">
        <v>46277</v>
      </c>
      <c r="J237" s="12">
        <f t="shared" si="4"/>
        <v>37</v>
      </c>
      <c r="K237">
        <f>+IF(E237="","",VLOOKUP(E237,CATALOGO!G:I,2,0))</f>
        <v>1.5</v>
      </c>
      <c r="L237">
        <f>+IF(E237="","",VLOOKUP(E237,CATALOGO!G:I,3,0))</f>
        <v>36</v>
      </c>
      <c r="M237" s="15">
        <v>46278</v>
      </c>
    </row>
    <row r="238" spans="1:14" x14ac:dyDescent="0.25">
      <c r="A238" s="13" t="s">
        <v>1311</v>
      </c>
      <c r="B238" s="13" t="s">
        <v>1319</v>
      </c>
      <c r="C238" s="17" t="s">
        <v>1504</v>
      </c>
      <c r="D238" t="s">
        <v>416</v>
      </c>
      <c r="E238" s="88" t="s">
        <v>1563</v>
      </c>
      <c r="F238" s="6">
        <f>+VLOOKUP(E238,CATALOGO!G:L,6,0)</f>
        <v>0</v>
      </c>
      <c r="G238" s="14">
        <v>672</v>
      </c>
      <c r="H238" s="14">
        <v>14</v>
      </c>
      <c r="I238" s="16">
        <v>46277</v>
      </c>
      <c r="J238" s="12">
        <f t="shared" si="4"/>
        <v>37</v>
      </c>
      <c r="K238">
        <f>+IF(E238="","",VLOOKUP(E238,CATALOGO!G:I,2,0))</f>
        <v>1.5</v>
      </c>
      <c r="L238">
        <f>+IF(E238="","",VLOOKUP(E238,CATALOGO!G:I,3,0))</f>
        <v>36</v>
      </c>
      <c r="M238" s="15">
        <v>46278</v>
      </c>
    </row>
    <row r="239" spans="1:14" x14ac:dyDescent="0.25">
      <c r="A239" s="13" t="s">
        <v>1335</v>
      </c>
      <c r="B239" s="13" t="s">
        <v>1355</v>
      </c>
      <c r="C239" s="17" t="s">
        <v>1505</v>
      </c>
      <c r="D239" t="s">
        <v>344</v>
      </c>
      <c r="E239" s="88" t="s">
        <v>19</v>
      </c>
      <c r="F239" s="6">
        <f>+VLOOKUP(E239,CATALOGO!G:L,6,0)</f>
        <v>0</v>
      </c>
      <c r="G239" s="14">
        <v>288</v>
      </c>
      <c r="H239" s="14">
        <v>6</v>
      </c>
      <c r="I239" s="16">
        <v>46277</v>
      </c>
      <c r="J239" s="12">
        <f t="shared" si="4"/>
        <v>37</v>
      </c>
      <c r="K239">
        <f>+IF(E239="","",VLOOKUP(E239,CATALOGO!G:I,2,0))</f>
        <v>1.5</v>
      </c>
      <c r="L239">
        <f>+IF(E239="","",VLOOKUP(E239,CATALOGO!G:I,3,0))</f>
        <v>36</v>
      </c>
      <c r="M239" s="15">
        <v>46278</v>
      </c>
    </row>
    <row r="240" spans="1:14" x14ac:dyDescent="0.25">
      <c r="A240" s="13" t="s">
        <v>1311</v>
      </c>
      <c r="B240" s="13" t="s">
        <v>1319</v>
      </c>
      <c r="C240" s="17" t="s">
        <v>1505</v>
      </c>
      <c r="D240" t="s">
        <v>344</v>
      </c>
      <c r="E240" s="88" t="s">
        <v>1563</v>
      </c>
      <c r="F240" s="6">
        <f>+VLOOKUP(E240,CATALOGO!G:L,6,0)</f>
        <v>0</v>
      </c>
      <c r="G240" s="14">
        <v>912</v>
      </c>
      <c r="H240" s="14">
        <v>19</v>
      </c>
      <c r="I240" s="16">
        <v>46277</v>
      </c>
      <c r="J240" s="12">
        <f t="shared" si="4"/>
        <v>37</v>
      </c>
      <c r="K240">
        <f>+IF(E240="","",VLOOKUP(E240,CATALOGO!G:I,2,0))</f>
        <v>1.5</v>
      </c>
      <c r="L240">
        <f>+IF(E240="","",VLOOKUP(E240,CATALOGO!G:I,3,0))</f>
        <v>36</v>
      </c>
      <c r="M240" s="15">
        <v>46278</v>
      </c>
    </row>
    <row r="241" spans="1:14" x14ac:dyDescent="0.25">
      <c r="A241" s="13" t="s">
        <v>1338</v>
      </c>
      <c r="B241" s="13" t="s">
        <v>1358</v>
      </c>
      <c r="C241" s="17" t="s">
        <v>1506</v>
      </c>
      <c r="D241" t="s">
        <v>372</v>
      </c>
      <c r="E241" s="88" t="s">
        <v>1564</v>
      </c>
      <c r="F241" s="6" t="e">
        <f>+VLOOKUP(E241,CATALOGO!G:L,6,0)</f>
        <v>#N/A</v>
      </c>
      <c r="G241" s="14">
        <v>960</v>
      </c>
      <c r="H241" s="14">
        <v>20</v>
      </c>
      <c r="I241" s="16">
        <v>46277</v>
      </c>
      <c r="J241" s="12">
        <f t="shared" si="4"/>
        <v>37</v>
      </c>
      <c r="K241" t="e">
        <f>+IF(E241="","",VLOOKUP(E241,CATALOGO!G:I,2,0))</f>
        <v>#N/A</v>
      </c>
      <c r="L241" t="e">
        <f>+IF(E241="","",VLOOKUP(E241,CATALOGO!G:I,3,0))</f>
        <v>#N/A</v>
      </c>
      <c r="M241" s="15">
        <v>46281</v>
      </c>
      <c r="N241">
        <v>43726</v>
      </c>
    </row>
    <row r="242" spans="1:14" x14ac:dyDescent="0.25">
      <c r="A242" s="13" t="s">
        <v>1312</v>
      </c>
      <c r="B242" s="13" t="s">
        <v>1320</v>
      </c>
      <c r="C242" s="17" t="s">
        <v>1507</v>
      </c>
      <c r="D242" t="s">
        <v>353</v>
      </c>
      <c r="E242" s="88" t="s">
        <v>1566</v>
      </c>
      <c r="F242" s="6" t="e">
        <f>+VLOOKUP(E242,CATALOGO!G:L,6,0)</f>
        <v>#N/A</v>
      </c>
      <c r="G242" s="14">
        <v>1152</v>
      </c>
      <c r="H242" s="14">
        <v>24</v>
      </c>
      <c r="I242" s="16">
        <v>46277</v>
      </c>
      <c r="J242" s="12">
        <f t="shared" si="4"/>
        <v>37</v>
      </c>
      <c r="K242" t="e">
        <f>+IF(E242="","",VLOOKUP(E242,CATALOGO!G:I,2,0))</f>
        <v>#N/A</v>
      </c>
      <c r="L242" t="e">
        <f>+IF(E242="","",VLOOKUP(E242,CATALOGO!G:I,3,0))</f>
        <v>#N/A</v>
      </c>
      <c r="M242" s="15">
        <v>46280</v>
      </c>
      <c r="N242">
        <v>43477</v>
      </c>
    </row>
    <row r="243" spans="1:14" x14ac:dyDescent="0.25">
      <c r="A243" s="13" t="s">
        <v>1312</v>
      </c>
      <c r="B243" s="13" t="s">
        <v>1320</v>
      </c>
      <c r="C243" s="17" t="s">
        <v>1508</v>
      </c>
      <c r="D243" t="s">
        <v>1560</v>
      </c>
      <c r="E243" s="88" t="s">
        <v>1566</v>
      </c>
      <c r="F243" s="6" t="e">
        <f>+VLOOKUP(E243,CATALOGO!G:L,6,0)</f>
        <v>#N/A</v>
      </c>
      <c r="G243" s="14">
        <v>1056</v>
      </c>
      <c r="H243" s="14">
        <v>22</v>
      </c>
      <c r="I243" s="16">
        <v>46277</v>
      </c>
      <c r="J243" s="12">
        <f t="shared" si="4"/>
        <v>37</v>
      </c>
      <c r="K243" t="e">
        <f>+IF(E243="","",VLOOKUP(E243,CATALOGO!G:I,2,0))</f>
        <v>#N/A</v>
      </c>
      <c r="L243" t="e">
        <f>+IF(E243="","",VLOOKUP(E243,CATALOGO!G:I,3,0))</f>
        <v>#N/A</v>
      </c>
      <c r="M243" s="15">
        <v>46281</v>
      </c>
      <c r="N243">
        <v>43487</v>
      </c>
    </row>
    <row r="244" spans="1:14" x14ac:dyDescent="0.25">
      <c r="A244" s="13" t="s">
        <v>1318</v>
      </c>
      <c r="B244" s="13" t="s">
        <v>1326</v>
      </c>
      <c r="C244" s="17" t="s">
        <v>1508</v>
      </c>
      <c r="D244" t="s">
        <v>1560</v>
      </c>
      <c r="E244" s="88" t="s">
        <v>1566</v>
      </c>
      <c r="F244" s="6" t="e">
        <f>+VLOOKUP(E244,CATALOGO!G:L,6,0)</f>
        <v>#N/A</v>
      </c>
      <c r="G244" s="14">
        <v>96</v>
      </c>
      <c r="H244" s="14">
        <v>2</v>
      </c>
      <c r="I244" s="16">
        <v>46277</v>
      </c>
      <c r="J244" s="12">
        <f t="shared" si="4"/>
        <v>37</v>
      </c>
      <c r="K244" t="e">
        <f>+IF(E244="","",VLOOKUP(E244,CATALOGO!G:I,2,0))</f>
        <v>#N/A</v>
      </c>
      <c r="L244" t="e">
        <f>+IF(E244="","",VLOOKUP(E244,CATALOGO!G:I,3,0))</f>
        <v>#N/A</v>
      </c>
      <c r="M244" s="15">
        <v>46281</v>
      </c>
      <c r="N244">
        <v>43488</v>
      </c>
    </row>
    <row r="245" spans="1:14" x14ac:dyDescent="0.25">
      <c r="A245" s="13" t="s">
        <v>1312</v>
      </c>
      <c r="B245" s="13" t="s">
        <v>1320</v>
      </c>
      <c r="C245" s="17" t="s">
        <v>1509</v>
      </c>
      <c r="D245" t="s">
        <v>405</v>
      </c>
      <c r="E245" s="88" t="s">
        <v>31</v>
      </c>
      <c r="F245" s="6">
        <f>+VLOOKUP(E245,CATALOGO!G:L,6,0)</f>
        <v>2</v>
      </c>
      <c r="G245" s="14">
        <v>1056</v>
      </c>
      <c r="H245" s="14">
        <v>22</v>
      </c>
      <c r="I245" s="16">
        <v>46277</v>
      </c>
      <c r="J245" s="12">
        <f t="shared" si="4"/>
        <v>37</v>
      </c>
      <c r="K245">
        <f>+IF(E245="","",VLOOKUP(E245,CATALOGO!G:I,2,0))</f>
        <v>2.5</v>
      </c>
      <c r="L245">
        <f>+IF(E245="","",VLOOKUP(E245,CATALOGO!G:I,3,0))</f>
        <v>60</v>
      </c>
      <c r="M245" s="15">
        <v>46281</v>
      </c>
      <c r="N245">
        <v>43479</v>
      </c>
    </row>
    <row r="246" spans="1:14" x14ac:dyDescent="0.25">
      <c r="A246" s="13" t="s">
        <v>1318</v>
      </c>
      <c r="B246" s="13" t="s">
        <v>1326</v>
      </c>
      <c r="C246" s="17" t="s">
        <v>1509</v>
      </c>
      <c r="D246" t="s">
        <v>405</v>
      </c>
      <c r="E246" s="88" t="s">
        <v>31</v>
      </c>
      <c r="F246" s="6">
        <f>+VLOOKUP(E246,CATALOGO!G:L,6,0)</f>
        <v>2</v>
      </c>
      <c r="G246" s="14">
        <v>96</v>
      </c>
      <c r="H246" s="14">
        <v>2</v>
      </c>
      <c r="I246" s="16">
        <v>46277</v>
      </c>
      <c r="J246" s="12">
        <f t="shared" si="4"/>
        <v>37</v>
      </c>
      <c r="K246">
        <f>+IF(E246="","",VLOOKUP(E246,CATALOGO!G:I,2,0))</f>
        <v>2.5</v>
      </c>
      <c r="L246">
        <f>+IF(E246="","",VLOOKUP(E246,CATALOGO!G:I,3,0))</f>
        <v>60</v>
      </c>
      <c r="M246" s="15">
        <v>46281</v>
      </c>
      <c r="N246">
        <v>43483</v>
      </c>
    </row>
    <row r="247" spans="1:14" x14ac:dyDescent="0.25">
      <c r="A247" s="13" t="s">
        <v>1347</v>
      </c>
      <c r="B247" s="13" t="s">
        <v>1367</v>
      </c>
      <c r="C247" s="17" t="s">
        <v>1510</v>
      </c>
      <c r="D247" t="s">
        <v>504</v>
      </c>
      <c r="E247" s="88" t="s">
        <v>1563</v>
      </c>
      <c r="F247" s="6">
        <f>+VLOOKUP(E247,CATALOGO!G:L,6,0)</f>
        <v>0</v>
      </c>
      <c r="G247" s="14">
        <v>50</v>
      </c>
      <c r="H247" s="14" t="s">
        <v>1327</v>
      </c>
      <c r="I247" s="16">
        <v>46272</v>
      </c>
      <c r="J247" s="12">
        <f t="shared" si="4"/>
        <v>37</v>
      </c>
      <c r="K247">
        <f>+IF(E247="","",VLOOKUP(E247,CATALOGO!G:I,2,0))</f>
        <v>1.5</v>
      </c>
      <c r="L247">
        <f>+IF(E247="","",VLOOKUP(E247,CATALOGO!G:I,3,0))</f>
        <v>36</v>
      </c>
      <c r="M247" s="15">
        <v>46273</v>
      </c>
    </row>
    <row r="248" spans="1:14" x14ac:dyDescent="0.25">
      <c r="A248" s="13" t="s">
        <v>1314</v>
      </c>
      <c r="B248" s="13" t="s">
        <v>1322</v>
      </c>
      <c r="C248" s="17" t="s">
        <v>1511</v>
      </c>
      <c r="D248" t="s">
        <v>481</v>
      </c>
      <c r="E248" s="88" t="s">
        <v>19</v>
      </c>
      <c r="F248" s="6">
        <f>+VLOOKUP(E248,CATALOGO!G:L,6,0)</f>
        <v>0</v>
      </c>
      <c r="G248" s="14">
        <v>343</v>
      </c>
      <c r="H248" s="14" t="s">
        <v>1327</v>
      </c>
      <c r="I248" s="16">
        <v>46272</v>
      </c>
      <c r="J248" s="12">
        <f t="shared" si="4"/>
        <v>37</v>
      </c>
      <c r="K248">
        <f>+IF(E248="","",VLOOKUP(E248,CATALOGO!G:I,2,0))</f>
        <v>1.5</v>
      </c>
      <c r="L248">
        <f>+IF(E248="","",VLOOKUP(E248,CATALOGO!G:I,3,0))</f>
        <v>36</v>
      </c>
      <c r="M248" s="15">
        <v>46277</v>
      </c>
    </row>
    <row r="249" spans="1:14" x14ac:dyDescent="0.25">
      <c r="A249" s="13" t="s">
        <v>1314</v>
      </c>
      <c r="B249" s="13" t="s">
        <v>1322</v>
      </c>
      <c r="C249" s="17" t="s">
        <v>1512</v>
      </c>
      <c r="D249" t="s">
        <v>460</v>
      </c>
      <c r="E249" s="88" t="s">
        <v>19</v>
      </c>
      <c r="F249" s="6">
        <f>+VLOOKUP(E249,CATALOGO!G:L,6,0)</f>
        <v>0</v>
      </c>
      <c r="G249" s="14">
        <v>539</v>
      </c>
      <c r="H249" s="14" t="s">
        <v>1327</v>
      </c>
      <c r="I249" s="16">
        <v>46272</v>
      </c>
      <c r="J249" s="12">
        <f t="shared" si="4"/>
        <v>37</v>
      </c>
      <c r="K249">
        <f>+IF(E249="","",VLOOKUP(E249,CATALOGO!G:I,2,0))</f>
        <v>1.5</v>
      </c>
      <c r="L249">
        <f>+IF(E249="","",VLOOKUP(E249,CATALOGO!G:I,3,0))</f>
        <v>36</v>
      </c>
      <c r="M249" s="15">
        <v>46274</v>
      </c>
    </row>
    <row r="250" spans="1:14" x14ac:dyDescent="0.25">
      <c r="A250" s="13" t="s">
        <v>1311</v>
      </c>
      <c r="B250" s="13" t="s">
        <v>1319</v>
      </c>
      <c r="C250" s="17" t="s">
        <v>1512</v>
      </c>
      <c r="D250" t="s">
        <v>460</v>
      </c>
      <c r="E250" s="88" t="s">
        <v>1563</v>
      </c>
      <c r="F250" s="6">
        <f>+VLOOKUP(E250,CATALOGO!G:L,6,0)</f>
        <v>0</v>
      </c>
      <c r="G250" s="14">
        <v>912</v>
      </c>
      <c r="H250" s="14">
        <v>19</v>
      </c>
      <c r="I250" s="16">
        <v>46272</v>
      </c>
      <c r="J250" s="12">
        <f t="shared" si="4"/>
        <v>37</v>
      </c>
      <c r="K250">
        <f>+IF(E250="","",VLOOKUP(E250,CATALOGO!G:I,2,0))</f>
        <v>1.5</v>
      </c>
      <c r="L250">
        <f>+IF(E250="","",VLOOKUP(E250,CATALOGO!G:I,3,0))</f>
        <v>36</v>
      </c>
      <c r="M250" s="15">
        <v>46275</v>
      </c>
    </row>
    <row r="251" spans="1:14" x14ac:dyDescent="0.25">
      <c r="A251" s="13" t="s">
        <v>1315</v>
      </c>
      <c r="B251" s="13" t="s">
        <v>1323</v>
      </c>
      <c r="C251" s="17" t="s">
        <v>1513</v>
      </c>
      <c r="D251" t="s">
        <v>460</v>
      </c>
      <c r="E251" s="88" t="s">
        <v>19</v>
      </c>
      <c r="F251" s="6">
        <f>+VLOOKUP(E251,CATALOGO!G:L,6,0)</f>
        <v>0</v>
      </c>
      <c r="G251" s="14">
        <v>177</v>
      </c>
      <c r="H251" s="14" t="s">
        <v>1327</v>
      </c>
      <c r="I251" s="16">
        <v>46272</v>
      </c>
      <c r="J251" s="12">
        <f t="shared" si="4"/>
        <v>37</v>
      </c>
      <c r="K251">
        <f>+IF(E251="","",VLOOKUP(E251,CATALOGO!G:I,2,0))</f>
        <v>1.5</v>
      </c>
      <c r="L251">
        <f>+IF(E251="","",VLOOKUP(E251,CATALOGO!G:I,3,0))</f>
        <v>36</v>
      </c>
      <c r="M251" s="15">
        <v>46276</v>
      </c>
    </row>
    <row r="252" spans="1:14" x14ac:dyDescent="0.25">
      <c r="A252" s="13" t="s">
        <v>1316</v>
      </c>
      <c r="B252" s="13" t="s">
        <v>1324</v>
      </c>
      <c r="C252" s="17" t="s">
        <v>1514</v>
      </c>
      <c r="D252" t="s">
        <v>460</v>
      </c>
      <c r="E252" s="88" t="s">
        <v>19</v>
      </c>
      <c r="F252" s="6">
        <f>+VLOOKUP(E252,CATALOGO!G:L,6,0)</f>
        <v>0</v>
      </c>
      <c r="G252" s="14">
        <v>44</v>
      </c>
      <c r="H252" s="14" t="s">
        <v>1327</v>
      </c>
      <c r="I252" s="16">
        <v>46272</v>
      </c>
      <c r="J252" s="12">
        <f t="shared" si="4"/>
        <v>37</v>
      </c>
      <c r="K252">
        <f>+IF(E252="","",VLOOKUP(E252,CATALOGO!G:I,2,0))</f>
        <v>1.5</v>
      </c>
      <c r="L252">
        <f>+IF(E252="","",VLOOKUP(E252,CATALOGO!G:I,3,0))</f>
        <v>36</v>
      </c>
      <c r="M252" s="15">
        <v>46276</v>
      </c>
    </row>
    <row r="253" spans="1:14" x14ac:dyDescent="0.25">
      <c r="A253" s="13" t="s">
        <v>1317</v>
      </c>
      <c r="B253" s="13" t="s">
        <v>1325</v>
      </c>
      <c r="C253" s="17" t="s">
        <v>1515</v>
      </c>
      <c r="D253" t="s">
        <v>460</v>
      </c>
      <c r="E253" s="88" t="s">
        <v>19</v>
      </c>
      <c r="F253" s="6">
        <f>+VLOOKUP(E253,CATALOGO!G:L,6,0)</f>
        <v>0</v>
      </c>
      <c r="G253" s="14">
        <v>62</v>
      </c>
      <c r="H253" s="14" t="s">
        <v>1327</v>
      </c>
      <c r="I253" s="16">
        <v>46272</v>
      </c>
      <c r="J253" s="12">
        <f t="shared" si="4"/>
        <v>37</v>
      </c>
      <c r="K253">
        <f>+IF(E253="","",VLOOKUP(E253,CATALOGO!G:I,2,0))</f>
        <v>1.5</v>
      </c>
      <c r="L253">
        <f>+IF(E253="","",VLOOKUP(E253,CATALOGO!G:I,3,0))</f>
        <v>36</v>
      </c>
      <c r="M253" s="15">
        <v>46276</v>
      </c>
    </row>
    <row r="254" spans="1:14" x14ac:dyDescent="0.25">
      <c r="A254" s="13" t="s">
        <v>1314</v>
      </c>
      <c r="B254" s="13" t="s">
        <v>1322</v>
      </c>
      <c r="C254" s="17" t="s">
        <v>1516</v>
      </c>
      <c r="D254" t="s">
        <v>461</v>
      </c>
      <c r="E254" s="88" t="s">
        <v>19</v>
      </c>
      <c r="F254" s="6">
        <f>+VLOOKUP(E254,CATALOGO!G:L,6,0)</f>
        <v>0</v>
      </c>
      <c r="G254" s="14">
        <v>81</v>
      </c>
      <c r="H254" s="14" t="s">
        <v>1327</v>
      </c>
      <c r="I254" s="16">
        <v>46272</v>
      </c>
      <c r="J254" s="12">
        <f t="shared" si="4"/>
        <v>37</v>
      </c>
      <c r="K254">
        <f>+IF(E254="","",VLOOKUP(E254,CATALOGO!G:I,2,0))</f>
        <v>1.5</v>
      </c>
      <c r="L254">
        <f>+IF(E254="","",VLOOKUP(E254,CATALOGO!G:I,3,0))</f>
        <v>36</v>
      </c>
      <c r="M254" s="15">
        <v>46274</v>
      </c>
    </row>
    <row r="255" spans="1:14" x14ac:dyDescent="0.25">
      <c r="A255" s="13" t="s">
        <v>1314</v>
      </c>
      <c r="B255" s="13" t="s">
        <v>1322</v>
      </c>
      <c r="C255" s="17" t="s">
        <v>1516</v>
      </c>
      <c r="D255" t="s">
        <v>461</v>
      </c>
      <c r="E255" s="88" t="s">
        <v>19</v>
      </c>
      <c r="F255" s="6">
        <f>+VLOOKUP(E255,CATALOGO!G:L,6,0)</f>
        <v>0</v>
      </c>
      <c r="G255" s="14">
        <v>761</v>
      </c>
      <c r="H255" s="14" t="s">
        <v>1327</v>
      </c>
      <c r="I255" s="16">
        <v>46272</v>
      </c>
      <c r="J255" s="12">
        <f t="shared" si="4"/>
        <v>37</v>
      </c>
      <c r="K255">
        <f>+IF(E255="","",VLOOKUP(E255,CATALOGO!G:I,2,0))</f>
        <v>1.5</v>
      </c>
      <c r="L255">
        <f>+IF(E255="","",VLOOKUP(E255,CATALOGO!G:I,3,0))</f>
        <v>36</v>
      </c>
      <c r="M255" s="15">
        <v>46274</v>
      </c>
    </row>
    <row r="256" spans="1:14" x14ac:dyDescent="0.25">
      <c r="A256" s="13" t="s">
        <v>1311</v>
      </c>
      <c r="B256" s="13" t="s">
        <v>1319</v>
      </c>
      <c r="C256" s="17" t="s">
        <v>1516</v>
      </c>
      <c r="D256" t="s">
        <v>461</v>
      </c>
      <c r="E256" s="88" t="s">
        <v>1563</v>
      </c>
      <c r="F256" s="6">
        <f>+VLOOKUP(E256,CATALOGO!G:L,6,0)</f>
        <v>0</v>
      </c>
      <c r="G256" s="14">
        <v>336</v>
      </c>
      <c r="H256" s="14">
        <v>7</v>
      </c>
      <c r="I256" s="16">
        <v>46272</v>
      </c>
      <c r="J256" s="12">
        <f t="shared" si="4"/>
        <v>37</v>
      </c>
      <c r="K256">
        <f>+IF(E256="","",VLOOKUP(E256,CATALOGO!G:I,2,0))</f>
        <v>1.5</v>
      </c>
      <c r="L256">
        <f>+IF(E256="","",VLOOKUP(E256,CATALOGO!G:I,3,0))</f>
        <v>36</v>
      </c>
      <c r="M256" s="15">
        <v>46275</v>
      </c>
    </row>
    <row r="257" spans="1:14" x14ac:dyDescent="0.25">
      <c r="A257" s="13" t="s">
        <v>1315</v>
      </c>
      <c r="B257" s="13" t="s">
        <v>1323</v>
      </c>
      <c r="C257" s="17" t="s">
        <v>1517</v>
      </c>
      <c r="D257" t="s">
        <v>461</v>
      </c>
      <c r="E257" s="88" t="s">
        <v>19</v>
      </c>
      <c r="F257" s="6">
        <f>+VLOOKUP(E257,CATALOGO!G:L,6,0)</f>
        <v>0</v>
      </c>
      <c r="G257" s="14">
        <v>454</v>
      </c>
      <c r="H257" s="14" t="s">
        <v>1327</v>
      </c>
      <c r="I257" s="16">
        <v>46272</v>
      </c>
      <c r="J257" s="12">
        <f t="shared" si="4"/>
        <v>37</v>
      </c>
      <c r="K257">
        <f>+IF(E257="","",VLOOKUP(E257,CATALOGO!G:I,2,0))</f>
        <v>1.5</v>
      </c>
      <c r="L257">
        <f>+IF(E257="","",VLOOKUP(E257,CATALOGO!G:I,3,0))</f>
        <v>36</v>
      </c>
      <c r="M257" s="15">
        <v>46276</v>
      </c>
    </row>
    <row r="258" spans="1:14" x14ac:dyDescent="0.25">
      <c r="A258" s="13" t="s">
        <v>1316</v>
      </c>
      <c r="B258" s="13" t="s">
        <v>1324</v>
      </c>
      <c r="C258" s="17" t="s">
        <v>1518</v>
      </c>
      <c r="D258" t="s">
        <v>461</v>
      </c>
      <c r="E258" s="88" t="s">
        <v>19</v>
      </c>
      <c r="F258" s="6">
        <f>+VLOOKUP(E258,CATALOGO!G:L,6,0)</f>
        <v>0</v>
      </c>
      <c r="G258" s="14">
        <v>138</v>
      </c>
      <c r="H258" s="14" t="s">
        <v>1327</v>
      </c>
      <c r="I258" s="16">
        <v>46272</v>
      </c>
      <c r="J258" s="12">
        <f t="shared" si="4"/>
        <v>37</v>
      </c>
      <c r="K258">
        <f>+IF(E258="","",VLOOKUP(E258,CATALOGO!G:I,2,0))</f>
        <v>1.5</v>
      </c>
      <c r="L258">
        <f>+IF(E258="","",VLOOKUP(E258,CATALOGO!G:I,3,0))</f>
        <v>36</v>
      </c>
      <c r="M258" s="15">
        <v>46276</v>
      </c>
    </row>
    <row r="259" spans="1:14" x14ac:dyDescent="0.25">
      <c r="A259" s="13" t="s">
        <v>1317</v>
      </c>
      <c r="B259" s="13" t="s">
        <v>1325</v>
      </c>
      <c r="C259" s="17" t="s">
        <v>1519</v>
      </c>
      <c r="D259" t="s">
        <v>461</v>
      </c>
      <c r="E259" s="88" t="s">
        <v>19</v>
      </c>
      <c r="F259" s="6">
        <f>+VLOOKUP(E259,CATALOGO!G:L,6,0)</f>
        <v>0</v>
      </c>
      <c r="G259" s="14">
        <v>95</v>
      </c>
      <c r="H259" s="14" t="s">
        <v>1327</v>
      </c>
      <c r="I259" s="16">
        <v>46272</v>
      </c>
      <c r="J259" s="12">
        <f t="shared" si="4"/>
        <v>37</v>
      </c>
      <c r="K259">
        <f>+IF(E259="","",VLOOKUP(E259,CATALOGO!G:I,2,0))</f>
        <v>1.5</v>
      </c>
      <c r="L259">
        <f>+IF(E259="","",VLOOKUP(E259,CATALOGO!G:I,3,0))</f>
        <v>36</v>
      </c>
      <c r="M259" s="15">
        <v>46276</v>
      </c>
    </row>
    <row r="260" spans="1:14" x14ac:dyDescent="0.25">
      <c r="A260" s="13" t="s">
        <v>1314</v>
      </c>
      <c r="B260" s="13" t="s">
        <v>1322</v>
      </c>
      <c r="C260" s="17" t="s">
        <v>1520</v>
      </c>
      <c r="D260" t="s">
        <v>460</v>
      </c>
      <c r="E260" s="88" t="s">
        <v>19</v>
      </c>
      <c r="F260" s="6">
        <f>+VLOOKUP(E260,CATALOGO!G:L,6,0)</f>
        <v>0</v>
      </c>
      <c r="G260" s="14">
        <v>557</v>
      </c>
      <c r="H260" s="14" t="s">
        <v>1327</v>
      </c>
      <c r="I260" s="16">
        <v>46273</v>
      </c>
      <c r="J260" s="12">
        <f t="shared" si="4"/>
        <v>37</v>
      </c>
      <c r="K260">
        <f>+IF(E260="","",VLOOKUP(E260,CATALOGO!G:I,2,0))</f>
        <v>1.5</v>
      </c>
      <c r="L260">
        <f>+IF(E260="","",VLOOKUP(E260,CATALOGO!G:I,3,0))</f>
        <v>36</v>
      </c>
      <c r="M260" s="15">
        <v>46274</v>
      </c>
    </row>
    <row r="261" spans="1:14" x14ac:dyDescent="0.25">
      <c r="A261" s="13" t="s">
        <v>1312</v>
      </c>
      <c r="B261" s="13" t="s">
        <v>1320</v>
      </c>
      <c r="C261" s="17" t="s">
        <v>1520</v>
      </c>
      <c r="D261" t="s">
        <v>460</v>
      </c>
      <c r="E261" s="88" t="s">
        <v>19</v>
      </c>
      <c r="F261" s="6">
        <f>+VLOOKUP(E261,CATALOGO!G:L,6,0)</f>
        <v>0</v>
      </c>
      <c r="G261" s="14">
        <v>816</v>
      </c>
      <c r="H261" s="14">
        <v>17</v>
      </c>
      <c r="I261" s="16">
        <v>46273</v>
      </c>
      <c r="J261" s="12">
        <f t="shared" si="4"/>
        <v>37</v>
      </c>
      <c r="K261">
        <f>+IF(E261="","",VLOOKUP(E261,CATALOGO!G:I,2,0))</f>
        <v>1.5</v>
      </c>
      <c r="L261">
        <f>+IF(E261="","",VLOOKUP(E261,CATALOGO!G:I,3,0))</f>
        <v>36</v>
      </c>
      <c r="M261" s="15">
        <v>46278</v>
      </c>
    </row>
    <row r="262" spans="1:14" x14ac:dyDescent="0.25">
      <c r="A262" s="13" t="s">
        <v>1315</v>
      </c>
      <c r="B262" s="13" t="s">
        <v>1323</v>
      </c>
      <c r="C262" s="17" t="s">
        <v>1521</v>
      </c>
      <c r="D262" t="s">
        <v>460</v>
      </c>
      <c r="E262" s="88" t="s">
        <v>19</v>
      </c>
      <c r="F262" s="6">
        <f>+VLOOKUP(E262,CATALOGO!G:L,6,0)</f>
        <v>0</v>
      </c>
      <c r="G262" s="14">
        <v>70</v>
      </c>
      <c r="H262" s="14" t="s">
        <v>1327</v>
      </c>
      <c r="I262" s="16">
        <v>46273</v>
      </c>
      <c r="J262" s="12">
        <f t="shared" si="4"/>
        <v>37</v>
      </c>
      <c r="K262">
        <f>+IF(E262="","",VLOOKUP(E262,CATALOGO!G:I,2,0))</f>
        <v>1.5</v>
      </c>
      <c r="L262">
        <f>+IF(E262="","",VLOOKUP(E262,CATALOGO!G:I,3,0))</f>
        <v>36</v>
      </c>
      <c r="M262" s="15">
        <v>46275</v>
      </c>
      <c r="N262" t="s">
        <v>1568</v>
      </c>
    </row>
    <row r="263" spans="1:14" x14ac:dyDescent="0.25">
      <c r="A263" s="13" t="s">
        <v>1315</v>
      </c>
      <c r="B263" s="13" t="s">
        <v>1323</v>
      </c>
      <c r="C263" s="17" t="s">
        <v>1521</v>
      </c>
      <c r="D263" t="s">
        <v>460</v>
      </c>
      <c r="E263" s="88" t="s">
        <v>19</v>
      </c>
      <c r="F263" s="6">
        <f>+VLOOKUP(E263,CATALOGO!G:L,6,0)</f>
        <v>0</v>
      </c>
      <c r="G263" s="14">
        <v>117</v>
      </c>
      <c r="H263" s="14" t="s">
        <v>1327</v>
      </c>
      <c r="I263" s="16">
        <v>46273</v>
      </c>
      <c r="J263" s="12">
        <f t="shared" si="4"/>
        <v>37</v>
      </c>
      <c r="K263">
        <f>+IF(E263="","",VLOOKUP(E263,CATALOGO!G:I,2,0))</f>
        <v>1.5</v>
      </c>
      <c r="L263">
        <f>+IF(E263="","",VLOOKUP(E263,CATALOGO!G:I,3,0))</f>
        <v>36</v>
      </c>
      <c r="M263" s="15">
        <v>46275</v>
      </c>
      <c r="N263" t="s">
        <v>1568</v>
      </c>
    </row>
    <row r="264" spans="1:14" x14ac:dyDescent="0.25">
      <c r="A264" s="13" t="s">
        <v>1316</v>
      </c>
      <c r="B264" s="13" t="s">
        <v>1324</v>
      </c>
      <c r="C264" s="17" t="s">
        <v>1522</v>
      </c>
      <c r="D264" t="s">
        <v>460</v>
      </c>
      <c r="E264" s="88" t="s">
        <v>19</v>
      </c>
      <c r="F264" s="6">
        <f>+VLOOKUP(E264,CATALOGO!G:L,6,0)</f>
        <v>0</v>
      </c>
      <c r="G264" s="14">
        <v>84</v>
      </c>
      <c r="H264" s="14" t="s">
        <v>1327</v>
      </c>
      <c r="I264" s="16">
        <v>46273</v>
      </c>
      <c r="J264" s="12">
        <f t="shared" si="4"/>
        <v>37</v>
      </c>
      <c r="K264">
        <f>+IF(E264="","",VLOOKUP(E264,CATALOGO!G:I,2,0))</f>
        <v>1.5</v>
      </c>
      <c r="L264">
        <f>+IF(E264="","",VLOOKUP(E264,CATALOGO!G:I,3,0))</f>
        <v>36</v>
      </c>
      <c r="M264" s="15">
        <v>46275</v>
      </c>
      <c r="N264" t="s">
        <v>1568</v>
      </c>
    </row>
    <row r="265" spans="1:14" x14ac:dyDescent="0.25">
      <c r="A265" s="13" t="s">
        <v>1317</v>
      </c>
      <c r="B265" s="13" t="s">
        <v>1325</v>
      </c>
      <c r="C265" s="17" t="s">
        <v>1523</v>
      </c>
      <c r="D265" t="s">
        <v>460</v>
      </c>
      <c r="E265" s="88" t="s">
        <v>19</v>
      </c>
      <c r="F265" s="6">
        <f>+VLOOKUP(E265,CATALOGO!G:L,6,0)</f>
        <v>0</v>
      </c>
      <c r="G265" s="14">
        <v>57</v>
      </c>
      <c r="H265" s="14" t="s">
        <v>1327</v>
      </c>
      <c r="I265" s="16">
        <v>46273</v>
      </c>
      <c r="J265" s="12">
        <f t="shared" si="4"/>
        <v>37</v>
      </c>
      <c r="K265">
        <f>+IF(E265="","",VLOOKUP(E265,CATALOGO!G:I,2,0))</f>
        <v>1.5</v>
      </c>
      <c r="L265">
        <f>+IF(E265="","",VLOOKUP(E265,CATALOGO!G:I,3,0))</f>
        <v>36</v>
      </c>
      <c r="M265" s="15">
        <v>46275</v>
      </c>
      <c r="N265" t="s">
        <v>1568</v>
      </c>
    </row>
    <row r="266" spans="1:14" x14ac:dyDescent="0.25">
      <c r="A266" s="13" t="s">
        <v>1314</v>
      </c>
      <c r="B266" s="13" t="s">
        <v>1322</v>
      </c>
      <c r="C266" s="17" t="s">
        <v>1524</v>
      </c>
      <c r="D266" t="s">
        <v>461</v>
      </c>
      <c r="E266" s="88" t="s">
        <v>19</v>
      </c>
      <c r="F266" s="6">
        <f>+VLOOKUP(E266,CATALOGO!G:L,6,0)</f>
        <v>0</v>
      </c>
      <c r="G266" s="14">
        <v>190</v>
      </c>
      <c r="H266" s="14" t="s">
        <v>1327</v>
      </c>
      <c r="I266" s="16">
        <v>46273</v>
      </c>
      <c r="J266" s="12">
        <f t="shared" si="4"/>
        <v>37</v>
      </c>
      <c r="K266">
        <f>+IF(E266="","",VLOOKUP(E266,CATALOGO!G:I,2,0))</f>
        <v>1.5</v>
      </c>
      <c r="L266">
        <f>+IF(E266="","",VLOOKUP(E266,CATALOGO!G:I,3,0))</f>
        <v>36</v>
      </c>
      <c r="M266" s="15">
        <v>46274</v>
      </c>
    </row>
    <row r="267" spans="1:14" x14ac:dyDescent="0.25">
      <c r="A267" s="13" t="s">
        <v>1314</v>
      </c>
      <c r="B267" s="13" t="s">
        <v>1322</v>
      </c>
      <c r="C267" s="17" t="s">
        <v>1524</v>
      </c>
      <c r="D267" t="s">
        <v>461</v>
      </c>
      <c r="E267" s="88" t="s">
        <v>19</v>
      </c>
      <c r="F267" s="6">
        <f>+VLOOKUP(E267,CATALOGO!G:L,6,0)</f>
        <v>0</v>
      </c>
      <c r="G267" s="14">
        <v>662</v>
      </c>
      <c r="H267" s="14" t="s">
        <v>1327</v>
      </c>
      <c r="I267" s="16">
        <v>46273</v>
      </c>
      <c r="J267" s="12">
        <f t="shared" si="4"/>
        <v>37</v>
      </c>
      <c r="K267">
        <f>+IF(E267="","",VLOOKUP(E267,CATALOGO!G:I,2,0))</f>
        <v>1.5</v>
      </c>
      <c r="L267">
        <f>+IF(E267="","",VLOOKUP(E267,CATALOGO!G:I,3,0))</f>
        <v>36</v>
      </c>
      <c r="M267" s="15">
        <v>46274</v>
      </c>
    </row>
    <row r="268" spans="1:14" x14ac:dyDescent="0.25">
      <c r="A268" s="13" t="s">
        <v>1312</v>
      </c>
      <c r="B268" s="13" t="s">
        <v>1320</v>
      </c>
      <c r="C268" s="17" t="s">
        <v>1524</v>
      </c>
      <c r="D268" t="s">
        <v>461</v>
      </c>
      <c r="E268" s="88" t="s">
        <v>19</v>
      </c>
      <c r="F268" s="6">
        <f>+VLOOKUP(E268,CATALOGO!G:L,6,0)</f>
        <v>0</v>
      </c>
      <c r="G268" s="14">
        <v>480</v>
      </c>
      <c r="H268" s="14">
        <v>10</v>
      </c>
      <c r="I268" s="16">
        <v>46273</v>
      </c>
      <c r="J268" s="12">
        <f t="shared" si="4"/>
        <v>37</v>
      </c>
      <c r="K268">
        <f>+IF(E268="","",VLOOKUP(E268,CATALOGO!G:I,2,0))</f>
        <v>1.5</v>
      </c>
      <c r="L268">
        <f>+IF(E268="","",VLOOKUP(E268,CATALOGO!G:I,3,0))</f>
        <v>36</v>
      </c>
      <c r="M268" s="15">
        <v>46278</v>
      </c>
    </row>
    <row r="269" spans="1:14" x14ac:dyDescent="0.25">
      <c r="A269" s="13" t="s">
        <v>1315</v>
      </c>
      <c r="B269" s="13" t="s">
        <v>1323</v>
      </c>
      <c r="C269" s="17" t="s">
        <v>1525</v>
      </c>
      <c r="D269" t="s">
        <v>461</v>
      </c>
      <c r="E269" s="88" t="s">
        <v>19</v>
      </c>
      <c r="F269" s="6">
        <f>+VLOOKUP(E269,CATALOGO!G:L,6,0)</f>
        <v>0</v>
      </c>
      <c r="G269" s="14">
        <v>132</v>
      </c>
      <c r="H269" s="14" t="s">
        <v>1327</v>
      </c>
      <c r="I269" s="16">
        <v>46273</v>
      </c>
      <c r="J269" s="12">
        <f t="shared" si="4"/>
        <v>37</v>
      </c>
      <c r="K269">
        <f>+IF(E269="","",VLOOKUP(E269,CATALOGO!G:I,2,0))</f>
        <v>1.5</v>
      </c>
      <c r="L269">
        <f>+IF(E269="","",VLOOKUP(E269,CATALOGO!G:I,3,0))</f>
        <v>36</v>
      </c>
      <c r="M269" s="15">
        <v>46275</v>
      </c>
      <c r="N269" t="s">
        <v>1568</v>
      </c>
    </row>
    <row r="270" spans="1:14" x14ac:dyDescent="0.25">
      <c r="A270" s="13" t="s">
        <v>1315</v>
      </c>
      <c r="B270" s="13" t="s">
        <v>1323</v>
      </c>
      <c r="C270" s="17" t="s">
        <v>1525</v>
      </c>
      <c r="D270" t="s">
        <v>461</v>
      </c>
      <c r="E270" s="88" t="s">
        <v>19</v>
      </c>
      <c r="F270" s="6">
        <f>+VLOOKUP(E270,CATALOGO!G:L,6,0)</f>
        <v>0</v>
      </c>
      <c r="G270" s="14">
        <v>213</v>
      </c>
      <c r="H270" s="14" t="s">
        <v>1327</v>
      </c>
      <c r="I270" s="16">
        <v>46273</v>
      </c>
      <c r="J270" s="12">
        <f t="shared" ref="J270:J313" si="5">+WEEKNUM(I270)</f>
        <v>37</v>
      </c>
      <c r="K270">
        <f>+IF(E270="","",VLOOKUP(E270,CATALOGO!G:I,2,0))</f>
        <v>1.5</v>
      </c>
      <c r="L270">
        <f>+IF(E270="","",VLOOKUP(E270,CATALOGO!G:I,3,0))</f>
        <v>36</v>
      </c>
      <c r="M270" s="15">
        <v>46275</v>
      </c>
      <c r="N270" t="s">
        <v>1568</v>
      </c>
    </row>
    <row r="271" spans="1:14" x14ac:dyDescent="0.25">
      <c r="A271" s="13" t="s">
        <v>1316</v>
      </c>
      <c r="B271" s="13" t="s">
        <v>1324</v>
      </c>
      <c r="C271" s="17" t="s">
        <v>1526</v>
      </c>
      <c r="D271" t="s">
        <v>461</v>
      </c>
      <c r="E271" s="88" t="s">
        <v>19</v>
      </c>
      <c r="F271" s="6">
        <f>+VLOOKUP(E271,CATALOGO!G:L,6,0)</f>
        <v>0</v>
      </c>
      <c r="G271" s="14">
        <v>139</v>
      </c>
      <c r="H271" s="14" t="s">
        <v>1327</v>
      </c>
      <c r="I271" s="16">
        <v>46273</v>
      </c>
      <c r="J271" s="12">
        <f t="shared" si="5"/>
        <v>37</v>
      </c>
      <c r="K271">
        <f>+IF(E271="","",VLOOKUP(E271,CATALOGO!G:I,2,0))</f>
        <v>1.5</v>
      </c>
      <c r="L271">
        <f>+IF(E271="","",VLOOKUP(E271,CATALOGO!G:I,3,0))</f>
        <v>36</v>
      </c>
      <c r="M271" s="15">
        <v>46275</v>
      </c>
      <c r="N271" t="s">
        <v>1568</v>
      </c>
    </row>
    <row r="272" spans="1:14" x14ac:dyDescent="0.25">
      <c r="A272" s="13" t="s">
        <v>1317</v>
      </c>
      <c r="B272" s="13" t="s">
        <v>1325</v>
      </c>
      <c r="C272" s="17" t="s">
        <v>1527</v>
      </c>
      <c r="D272" t="s">
        <v>461</v>
      </c>
      <c r="E272" s="88" t="s">
        <v>19</v>
      </c>
      <c r="F272" s="6">
        <f>+VLOOKUP(E272,CATALOGO!G:L,6,0)</f>
        <v>0</v>
      </c>
      <c r="G272" s="14">
        <v>24</v>
      </c>
      <c r="H272" s="14" t="s">
        <v>1327</v>
      </c>
      <c r="I272" s="16">
        <v>46273</v>
      </c>
      <c r="J272" s="12">
        <f t="shared" si="5"/>
        <v>37</v>
      </c>
      <c r="K272">
        <f>+IF(E272="","",VLOOKUP(E272,CATALOGO!G:I,2,0))</f>
        <v>1.5</v>
      </c>
      <c r="L272">
        <f>+IF(E272="","",VLOOKUP(E272,CATALOGO!G:I,3,0))</f>
        <v>36</v>
      </c>
      <c r="M272" s="15">
        <v>46275</v>
      </c>
      <c r="N272" t="s">
        <v>1568</v>
      </c>
    </row>
    <row r="273" spans="1:14" x14ac:dyDescent="0.25">
      <c r="A273" s="13" t="s">
        <v>1317</v>
      </c>
      <c r="B273" s="13" t="s">
        <v>1325</v>
      </c>
      <c r="C273" s="17" t="s">
        <v>1527</v>
      </c>
      <c r="D273" t="s">
        <v>461</v>
      </c>
      <c r="E273" s="88" t="s">
        <v>19</v>
      </c>
      <c r="F273" s="6">
        <f>+VLOOKUP(E273,CATALOGO!G:L,6,0)</f>
        <v>0</v>
      </c>
      <c r="G273" s="14">
        <v>24</v>
      </c>
      <c r="H273" s="14" t="s">
        <v>1327</v>
      </c>
      <c r="I273" s="16">
        <v>46273</v>
      </c>
      <c r="J273" s="12">
        <f t="shared" si="5"/>
        <v>37</v>
      </c>
      <c r="K273">
        <f>+IF(E273="","",VLOOKUP(E273,CATALOGO!G:I,2,0))</f>
        <v>1.5</v>
      </c>
      <c r="L273">
        <f>+IF(E273="","",VLOOKUP(E273,CATALOGO!G:I,3,0))</f>
        <v>36</v>
      </c>
      <c r="M273" s="15">
        <v>46275</v>
      </c>
      <c r="N273" t="s">
        <v>1568</v>
      </c>
    </row>
    <row r="274" spans="1:14" x14ac:dyDescent="0.25">
      <c r="A274" s="13" t="s">
        <v>1314</v>
      </c>
      <c r="B274" s="13" t="s">
        <v>1322</v>
      </c>
      <c r="C274" s="17" t="s">
        <v>1528</v>
      </c>
      <c r="D274" t="s">
        <v>482</v>
      </c>
      <c r="E274" s="88" t="s">
        <v>19</v>
      </c>
      <c r="F274" s="6">
        <f>+VLOOKUP(E274,CATALOGO!G:L,6,0)</f>
        <v>0</v>
      </c>
      <c r="G274" s="14">
        <v>957</v>
      </c>
      <c r="H274" s="14" t="s">
        <v>1327</v>
      </c>
      <c r="I274" s="16">
        <v>46273</v>
      </c>
      <c r="J274" s="12">
        <f t="shared" si="5"/>
        <v>37</v>
      </c>
      <c r="K274">
        <f>+IF(E274="","",VLOOKUP(E274,CATALOGO!G:I,2,0))</f>
        <v>1.5</v>
      </c>
      <c r="L274">
        <f>+IF(E274="","",VLOOKUP(E274,CATALOGO!G:I,3,0))</f>
        <v>36</v>
      </c>
      <c r="M274" s="15">
        <v>46277</v>
      </c>
    </row>
    <row r="275" spans="1:14" x14ac:dyDescent="0.25">
      <c r="A275" s="13" t="s">
        <v>1312</v>
      </c>
      <c r="B275" s="13" t="s">
        <v>1320</v>
      </c>
      <c r="C275" s="17" t="s">
        <v>1529</v>
      </c>
      <c r="D275" t="s">
        <v>478</v>
      </c>
      <c r="E275" s="88" t="s">
        <v>19</v>
      </c>
      <c r="F275" s="6">
        <f>+VLOOKUP(E275,CATALOGO!G:L,6,0)</f>
        <v>0</v>
      </c>
      <c r="G275" s="14">
        <v>1296</v>
      </c>
      <c r="H275" s="14">
        <v>27</v>
      </c>
      <c r="I275" s="16">
        <v>46273</v>
      </c>
      <c r="J275" s="12">
        <f t="shared" si="5"/>
        <v>37</v>
      </c>
      <c r="K275">
        <f>+IF(E275="","",VLOOKUP(E275,CATALOGO!G:I,2,0))</f>
        <v>1.5</v>
      </c>
      <c r="L275">
        <f>+IF(E275="","",VLOOKUP(E275,CATALOGO!G:I,3,0))</f>
        <v>36</v>
      </c>
      <c r="M275" s="15">
        <v>46280</v>
      </c>
    </row>
    <row r="276" spans="1:14" x14ac:dyDescent="0.25">
      <c r="A276" s="13" t="s">
        <v>1312</v>
      </c>
      <c r="B276" s="13" t="s">
        <v>1320</v>
      </c>
      <c r="C276" s="17" t="s">
        <v>1529</v>
      </c>
      <c r="D276" t="s">
        <v>478</v>
      </c>
      <c r="E276" s="88" t="s">
        <v>19</v>
      </c>
      <c r="F276" s="6">
        <f>+VLOOKUP(E276,CATALOGO!G:L,6,0)</f>
        <v>0</v>
      </c>
      <c r="G276" s="14">
        <v>4</v>
      </c>
      <c r="H276" s="14" t="s">
        <v>1327</v>
      </c>
      <c r="I276" s="16">
        <v>46273</v>
      </c>
      <c r="J276" s="12">
        <f t="shared" si="5"/>
        <v>37</v>
      </c>
      <c r="K276">
        <f>+IF(E276="","",VLOOKUP(E276,CATALOGO!G:I,2,0))</f>
        <v>1.5</v>
      </c>
      <c r="L276">
        <f>+IF(E276="","",VLOOKUP(E276,CATALOGO!G:I,3,0))</f>
        <v>36</v>
      </c>
      <c r="M276" s="15">
        <v>46280</v>
      </c>
    </row>
    <row r="277" spans="1:14" x14ac:dyDescent="0.25">
      <c r="A277" s="13" t="s">
        <v>1311</v>
      </c>
      <c r="B277" s="13" t="s">
        <v>1319</v>
      </c>
      <c r="C277" s="17" t="s">
        <v>1529</v>
      </c>
      <c r="D277" t="s">
        <v>478</v>
      </c>
      <c r="E277" s="88" t="s">
        <v>1563</v>
      </c>
      <c r="F277" s="6">
        <f>+VLOOKUP(E277,CATALOGO!G:L,6,0)</f>
        <v>0</v>
      </c>
      <c r="G277" s="14">
        <v>335</v>
      </c>
      <c r="H277" s="14">
        <v>6.979166666666667</v>
      </c>
      <c r="I277" s="16">
        <v>46273</v>
      </c>
      <c r="J277" s="12">
        <f t="shared" si="5"/>
        <v>37</v>
      </c>
      <c r="K277">
        <f>+IF(E277="","",VLOOKUP(E277,CATALOGO!G:I,2,0))</f>
        <v>1.5</v>
      </c>
      <c r="L277">
        <f>+IF(E277="","",VLOOKUP(E277,CATALOGO!G:I,3,0))</f>
        <v>36</v>
      </c>
      <c r="M277" s="15">
        <v>46280</v>
      </c>
    </row>
    <row r="278" spans="1:14" x14ac:dyDescent="0.25">
      <c r="A278" s="13" t="s">
        <v>1312</v>
      </c>
      <c r="B278" s="13" t="s">
        <v>1320</v>
      </c>
      <c r="C278" s="17" t="s">
        <v>1530</v>
      </c>
      <c r="D278" t="s">
        <v>464</v>
      </c>
      <c r="E278" s="88" t="s">
        <v>53</v>
      </c>
      <c r="F278" s="6">
        <f>+VLOOKUP(E278,CATALOGO!G:L,6,0)</f>
        <v>9</v>
      </c>
      <c r="G278" s="14">
        <v>1296</v>
      </c>
      <c r="H278" s="14">
        <v>27</v>
      </c>
      <c r="I278" s="16">
        <v>46273</v>
      </c>
      <c r="J278" s="12">
        <f t="shared" si="5"/>
        <v>37</v>
      </c>
      <c r="K278">
        <f>+IF(E278="","",VLOOKUP(E278,CATALOGO!G:I,2,0))</f>
        <v>3.5</v>
      </c>
      <c r="L278">
        <f>+IF(E278="","",VLOOKUP(E278,CATALOGO!G:I,3,0))</f>
        <v>84</v>
      </c>
      <c r="M278" s="15">
        <v>46277</v>
      </c>
    </row>
    <row r="279" spans="1:14" x14ac:dyDescent="0.25">
      <c r="A279" s="13" t="s">
        <v>1311</v>
      </c>
      <c r="B279" s="13" t="s">
        <v>1319</v>
      </c>
      <c r="C279" s="17" t="s">
        <v>1531</v>
      </c>
      <c r="D279" t="s">
        <v>478</v>
      </c>
      <c r="E279" s="88" t="s">
        <v>1563</v>
      </c>
      <c r="F279" s="6">
        <f>+VLOOKUP(E279,CATALOGO!G:L,6,0)</f>
        <v>0</v>
      </c>
      <c r="G279" s="14">
        <v>961</v>
      </c>
      <c r="H279" s="14">
        <v>20.020833333333332</v>
      </c>
      <c r="I279" s="16">
        <v>46274</v>
      </c>
      <c r="J279" s="12">
        <f t="shared" si="5"/>
        <v>37</v>
      </c>
      <c r="K279">
        <f>+IF(E279="","",VLOOKUP(E279,CATALOGO!G:I,2,0))</f>
        <v>1.5</v>
      </c>
      <c r="L279">
        <f>+IF(E279="","",VLOOKUP(E279,CATALOGO!G:I,3,0))</f>
        <v>36</v>
      </c>
      <c r="M279" s="15">
        <v>46280</v>
      </c>
    </row>
    <row r="280" spans="1:14" x14ac:dyDescent="0.25">
      <c r="A280" s="13" t="s">
        <v>1314</v>
      </c>
      <c r="B280" s="13" t="s">
        <v>1322</v>
      </c>
      <c r="C280" s="17" t="s">
        <v>1532</v>
      </c>
      <c r="D280" t="s">
        <v>482</v>
      </c>
      <c r="E280" s="88" t="s">
        <v>19</v>
      </c>
      <c r="F280" s="6">
        <f>+VLOOKUP(E280,CATALOGO!G:L,6,0)</f>
        <v>0</v>
      </c>
      <c r="G280" s="14">
        <v>110</v>
      </c>
      <c r="H280" s="14" t="s">
        <v>1327</v>
      </c>
      <c r="I280" s="16">
        <v>46274</v>
      </c>
      <c r="J280" s="12">
        <f t="shared" si="5"/>
        <v>37</v>
      </c>
      <c r="K280">
        <f>+IF(E280="","",VLOOKUP(E280,CATALOGO!G:I,2,0))</f>
        <v>1.5</v>
      </c>
      <c r="L280">
        <f>+IF(E280="","",VLOOKUP(E280,CATALOGO!G:I,3,0))</f>
        <v>36</v>
      </c>
      <c r="M280" s="15">
        <v>46276</v>
      </c>
    </row>
    <row r="281" spans="1:14" x14ac:dyDescent="0.25">
      <c r="A281" s="13" t="s">
        <v>1312</v>
      </c>
      <c r="B281" s="13" t="s">
        <v>1320</v>
      </c>
      <c r="C281" s="17" t="s">
        <v>1533</v>
      </c>
      <c r="D281" t="s">
        <v>464</v>
      </c>
      <c r="E281" s="88" t="s">
        <v>19</v>
      </c>
      <c r="F281" s="6">
        <f>+VLOOKUP(E281,CATALOGO!G:L,6,0)</f>
        <v>0</v>
      </c>
      <c r="G281" s="14">
        <v>1296</v>
      </c>
      <c r="H281" s="14">
        <v>27</v>
      </c>
      <c r="I281" s="16">
        <v>46274</v>
      </c>
      <c r="J281" s="12">
        <f t="shared" si="5"/>
        <v>37</v>
      </c>
      <c r="K281">
        <f>+IF(E281="","",VLOOKUP(E281,CATALOGO!G:I,2,0))</f>
        <v>1.5</v>
      </c>
      <c r="L281">
        <f>+IF(E281="","",VLOOKUP(E281,CATALOGO!G:I,3,0))</f>
        <v>36</v>
      </c>
      <c r="M281" s="15">
        <v>46277</v>
      </c>
    </row>
    <row r="282" spans="1:14" x14ac:dyDescent="0.25">
      <c r="A282" s="13" t="s">
        <v>1312</v>
      </c>
      <c r="B282" s="13" t="s">
        <v>1320</v>
      </c>
      <c r="C282" s="17" t="s">
        <v>1534</v>
      </c>
      <c r="D282" t="s">
        <v>460</v>
      </c>
      <c r="E282" s="88" t="s">
        <v>22</v>
      </c>
      <c r="F282" s="6">
        <f>+VLOOKUP(E282,CATALOGO!G:L,6,0)</f>
        <v>4</v>
      </c>
      <c r="G282" s="14">
        <v>816</v>
      </c>
      <c r="H282" s="14">
        <v>17</v>
      </c>
      <c r="I282" s="16">
        <v>46274</v>
      </c>
      <c r="J282" s="12">
        <f t="shared" si="5"/>
        <v>37</v>
      </c>
      <c r="K282">
        <f>+IF(E282="","",VLOOKUP(E282,CATALOGO!G:I,2,0))</f>
        <v>1.5</v>
      </c>
      <c r="L282">
        <f>+IF(E282="","",VLOOKUP(E282,CATALOGO!G:I,3,0))</f>
        <v>36</v>
      </c>
      <c r="M282" s="15">
        <v>46278</v>
      </c>
      <c r="N282">
        <v>44247</v>
      </c>
    </row>
    <row r="283" spans="1:14" x14ac:dyDescent="0.25">
      <c r="A283" s="13" t="s">
        <v>1314</v>
      </c>
      <c r="B283" s="13" t="s">
        <v>1322</v>
      </c>
      <c r="C283" s="17" t="s">
        <v>1534</v>
      </c>
      <c r="D283" t="s">
        <v>460</v>
      </c>
      <c r="E283" s="88" t="s">
        <v>19</v>
      </c>
      <c r="F283" s="6">
        <f>+VLOOKUP(E283,CATALOGO!G:L,6,0)</f>
        <v>0</v>
      </c>
      <c r="G283" s="14">
        <v>864</v>
      </c>
      <c r="H283" s="14" t="s">
        <v>1327</v>
      </c>
      <c r="I283" s="16">
        <v>46274</v>
      </c>
      <c r="J283" s="12">
        <f t="shared" si="5"/>
        <v>37</v>
      </c>
      <c r="K283">
        <f>+IF(E283="","",VLOOKUP(E283,CATALOGO!G:I,2,0))</f>
        <v>1.5</v>
      </c>
      <c r="L283">
        <f>+IF(E283="","",VLOOKUP(E283,CATALOGO!G:I,3,0))</f>
        <v>36</v>
      </c>
      <c r="M283" s="15">
        <v>46279</v>
      </c>
    </row>
    <row r="284" spans="1:14" x14ac:dyDescent="0.25">
      <c r="A284" s="13" t="s">
        <v>1315</v>
      </c>
      <c r="B284" s="13" t="s">
        <v>1323</v>
      </c>
      <c r="C284" s="17" t="s">
        <v>1535</v>
      </c>
      <c r="D284" t="s">
        <v>460</v>
      </c>
      <c r="E284" s="88" t="s">
        <v>19</v>
      </c>
      <c r="F284" s="6">
        <f>+VLOOKUP(E284,CATALOGO!G:L,6,0)</f>
        <v>0</v>
      </c>
      <c r="G284" s="14">
        <v>157</v>
      </c>
      <c r="H284" s="14" t="s">
        <v>1327</v>
      </c>
      <c r="I284" s="16">
        <v>46274</v>
      </c>
      <c r="J284" s="12">
        <f t="shared" si="5"/>
        <v>37</v>
      </c>
      <c r="K284">
        <f>+IF(E284="","",VLOOKUP(E284,CATALOGO!G:I,2,0))</f>
        <v>1.5</v>
      </c>
      <c r="L284">
        <f>+IF(E284="","",VLOOKUP(E284,CATALOGO!G:I,3,0))</f>
        <v>36</v>
      </c>
      <c r="M284" s="15">
        <v>46276</v>
      </c>
    </row>
    <row r="285" spans="1:14" x14ac:dyDescent="0.25">
      <c r="A285" s="13" t="s">
        <v>1315</v>
      </c>
      <c r="B285" s="13" t="s">
        <v>1323</v>
      </c>
      <c r="C285" s="17" t="s">
        <v>1535</v>
      </c>
      <c r="D285" t="s">
        <v>460</v>
      </c>
      <c r="E285" s="88" t="s">
        <v>19</v>
      </c>
      <c r="F285" s="6">
        <f>+VLOOKUP(E285,CATALOGO!G:L,6,0)</f>
        <v>0</v>
      </c>
      <c r="G285" s="14">
        <v>114</v>
      </c>
      <c r="H285" s="14" t="s">
        <v>1327</v>
      </c>
      <c r="I285" s="16">
        <v>46274</v>
      </c>
      <c r="J285" s="12">
        <f t="shared" si="5"/>
        <v>37</v>
      </c>
      <c r="K285">
        <f>+IF(E285="","",VLOOKUP(E285,CATALOGO!G:I,2,0))</f>
        <v>1.5</v>
      </c>
      <c r="L285">
        <f>+IF(E285="","",VLOOKUP(E285,CATALOGO!G:I,3,0))</f>
        <v>36</v>
      </c>
      <c r="M285" s="15">
        <v>46276</v>
      </c>
      <c r="N285" t="s">
        <v>1568</v>
      </c>
    </row>
    <row r="286" spans="1:14" x14ac:dyDescent="0.25">
      <c r="A286" s="13" t="s">
        <v>1316</v>
      </c>
      <c r="B286" s="13" t="s">
        <v>1324</v>
      </c>
      <c r="C286" s="17" t="s">
        <v>1536</v>
      </c>
      <c r="D286" t="s">
        <v>460</v>
      </c>
      <c r="E286" s="88" t="s">
        <v>19</v>
      </c>
      <c r="F286" s="6">
        <f>+VLOOKUP(E286,CATALOGO!G:L,6,0)</f>
        <v>0</v>
      </c>
      <c r="G286" s="14">
        <v>128</v>
      </c>
      <c r="H286" s="14" t="s">
        <v>1327</v>
      </c>
      <c r="I286" s="16">
        <v>46274</v>
      </c>
      <c r="J286" s="12">
        <f t="shared" si="5"/>
        <v>37</v>
      </c>
      <c r="K286">
        <f>+IF(E286="","",VLOOKUP(E286,CATALOGO!G:I,2,0))</f>
        <v>1.5</v>
      </c>
      <c r="L286">
        <f>+IF(E286="","",VLOOKUP(E286,CATALOGO!G:I,3,0))</f>
        <v>36</v>
      </c>
      <c r="M286" s="15">
        <v>46276</v>
      </c>
    </row>
    <row r="287" spans="1:14" x14ac:dyDescent="0.25">
      <c r="A287" s="13" t="s">
        <v>1317</v>
      </c>
      <c r="B287" s="13" t="s">
        <v>1325</v>
      </c>
      <c r="C287" s="17" t="s">
        <v>1537</v>
      </c>
      <c r="D287" t="s">
        <v>460</v>
      </c>
      <c r="E287" s="88" t="s">
        <v>19</v>
      </c>
      <c r="F287" s="6">
        <f>+VLOOKUP(E287,CATALOGO!G:L,6,0)</f>
        <v>0</v>
      </c>
      <c r="G287" s="14">
        <v>69</v>
      </c>
      <c r="H287" s="14" t="s">
        <v>1327</v>
      </c>
      <c r="I287" s="16">
        <v>46274</v>
      </c>
      <c r="J287" s="12">
        <f t="shared" si="5"/>
        <v>37</v>
      </c>
      <c r="K287">
        <f>+IF(E287="","",VLOOKUP(E287,CATALOGO!G:I,2,0))</f>
        <v>1.5</v>
      </c>
      <c r="L287">
        <f>+IF(E287="","",VLOOKUP(E287,CATALOGO!G:I,3,0))</f>
        <v>36</v>
      </c>
      <c r="M287" s="15">
        <v>46276</v>
      </c>
    </row>
    <row r="288" spans="1:14" x14ac:dyDescent="0.25">
      <c r="A288" s="13" t="s">
        <v>1312</v>
      </c>
      <c r="B288" s="13" t="s">
        <v>1320</v>
      </c>
      <c r="C288" s="17" t="s">
        <v>1538</v>
      </c>
      <c r="D288" t="s">
        <v>461</v>
      </c>
      <c r="E288" s="88" t="s">
        <v>22</v>
      </c>
      <c r="F288" s="6">
        <f>+VLOOKUP(E288,CATALOGO!G:L,6,0)</f>
        <v>4</v>
      </c>
      <c r="G288" s="14">
        <v>336</v>
      </c>
      <c r="H288" s="14">
        <v>7</v>
      </c>
      <c r="I288" s="16">
        <v>46274</v>
      </c>
      <c r="J288" s="12">
        <f t="shared" si="5"/>
        <v>37</v>
      </c>
      <c r="K288">
        <f>+IF(E288="","",VLOOKUP(E288,CATALOGO!G:I,2,0))</f>
        <v>1.5</v>
      </c>
      <c r="L288">
        <f>+IF(E288="","",VLOOKUP(E288,CATALOGO!G:I,3,0))</f>
        <v>36</v>
      </c>
      <c r="M288" s="15">
        <v>46278</v>
      </c>
      <c r="N288">
        <v>44247</v>
      </c>
    </row>
    <row r="289" spans="1:14" x14ac:dyDescent="0.25">
      <c r="A289" s="13" t="s">
        <v>1314</v>
      </c>
      <c r="B289" s="13" t="s">
        <v>1322</v>
      </c>
      <c r="C289" s="17" t="s">
        <v>1538</v>
      </c>
      <c r="D289" t="s">
        <v>461</v>
      </c>
      <c r="E289" s="88" t="s">
        <v>19</v>
      </c>
      <c r="F289" s="6">
        <f>+VLOOKUP(E289,CATALOGO!G:L,6,0)</f>
        <v>0</v>
      </c>
      <c r="G289" s="14">
        <v>691</v>
      </c>
      <c r="H289" s="14" t="s">
        <v>1327</v>
      </c>
      <c r="I289" s="16">
        <v>46274</v>
      </c>
      <c r="J289" s="12">
        <f t="shared" si="5"/>
        <v>37</v>
      </c>
      <c r="K289">
        <f>+IF(E289="","",VLOOKUP(E289,CATALOGO!G:I,2,0))</f>
        <v>1.5</v>
      </c>
      <c r="L289">
        <f>+IF(E289="","",VLOOKUP(E289,CATALOGO!G:I,3,0))</f>
        <v>36</v>
      </c>
      <c r="M289" s="15">
        <v>46279</v>
      </c>
    </row>
    <row r="290" spans="1:14" x14ac:dyDescent="0.25">
      <c r="A290" s="13" t="s">
        <v>1314</v>
      </c>
      <c r="B290" s="13" t="s">
        <v>1322</v>
      </c>
      <c r="C290" s="17" t="s">
        <v>1538</v>
      </c>
      <c r="D290" t="s">
        <v>461</v>
      </c>
      <c r="E290" s="88" t="s">
        <v>19</v>
      </c>
      <c r="F290" s="6">
        <f>+VLOOKUP(E290,CATALOGO!G:L,6,0)</f>
        <v>0</v>
      </c>
      <c r="G290" s="14">
        <v>292</v>
      </c>
      <c r="H290" s="14" t="s">
        <v>1327</v>
      </c>
      <c r="I290" s="16">
        <v>46274</v>
      </c>
      <c r="J290" s="12">
        <f t="shared" si="5"/>
        <v>37</v>
      </c>
      <c r="K290">
        <f>+IF(E290="","",VLOOKUP(E290,CATALOGO!G:I,2,0))</f>
        <v>1.5</v>
      </c>
      <c r="L290">
        <f>+IF(E290="","",VLOOKUP(E290,CATALOGO!G:I,3,0))</f>
        <v>36</v>
      </c>
      <c r="M290" s="15">
        <v>46279</v>
      </c>
    </row>
    <row r="291" spans="1:14" x14ac:dyDescent="0.25">
      <c r="A291" s="13" t="s">
        <v>1315</v>
      </c>
      <c r="B291" s="13" t="s">
        <v>1323</v>
      </c>
      <c r="C291" s="17" t="s">
        <v>1539</v>
      </c>
      <c r="D291" t="s">
        <v>461</v>
      </c>
      <c r="E291" s="88" t="s">
        <v>19</v>
      </c>
      <c r="F291" s="6">
        <f>+VLOOKUP(E291,CATALOGO!G:L,6,0)</f>
        <v>0</v>
      </c>
      <c r="G291" s="14">
        <v>365</v>
      </c>
      <c r="H291" s="14" t="s">
        <v>1327</v>
      </c>
      <c r="I291" s="16">
        <v>46274</v>
      </c>
      <c r="J291" s="12">
        <f t="shared" si="5"/>
        <v>37</v>
      </c>
      <c r="K291">
        <f>+IF(E291="","",VLOOKUP(E291,CATALOGO!G:I,2,0))</f>
        <v>1.5</v>
      </c>
      <c r="L291">
        <f>+IF(E291="","",VLOOKUP(E291,CATALOGO!G:I,3,0))</f>
        <v>36</v>
      </c>
      <c r="M291" s="15">
        <v>46276</v>
      </c>
    </row>
    <row r="292" spans="1:14" x14ac:dyDescent="0.25">
      <c r="A292" s="13" t="s">
        <v>1316</v>
      </c>
      <c r="B292" s="13" t="s">
        <v>1324</v>
      </c>
      <c r="C292" s="17" t="s">
        <v>1540</v>
      </c>
      <c r="D292" t="s">
        <v>461</v>
      </c>
      <c r="E292" s="88" t="s">
        <v>19</v>
      </c>
      <c r="F292" s="6">
        <f>+VLOOKUP(E292,CATALOGO!G:L,6,0)</f>
        <v>0</v>
      </c>
      <c r="G292" s="14">
        <v>139</v>
      </c>
      <c r="H292" s="14" t="s">
        <v>1327</v>
      </c>
      <c r="I292" s="16">
        <v>46274</v>
      </c>
      <c r="J292" s="12">
        <f t="shared" si="5"/>
        <v>37</v>
      </c>
      <c r="K292">
        <f>+IF(E292="","",VLOOKUP(E292,CATALOGO!G:I,2,0))</f>
        <v>1.5</v>
      </c>
      <c r="L292">
        <f>+IF(E292="","",VLOOKUP(E292,CATALOGO!G:I,3,0))</f>
        <v>36</v>
      </c>
      <c r="M292" s="15">
        <v>46276</v>
      </c>
    </row>
    <row r="293" spans="1:14" x14ac:dyDescent="0.25">
      <c r="A293" s="13" t="s">
        <v>1317</v>
      </c>
      <c r="B293" s="13" t="s">
        <v>1325</v>
      </c>
      <c r="C293" s="17" t="s">
        <v>1541</v>
      </c>
      <c r="D293" t="s">
        <v>461</v>
      </c>
      <c r="E293" s="88" t="s">
        <v>19</v>
      </c>
      <c r="F293" s="6">
        <f>+VLOOKUP(E293,CATALOGO!G:L,6,0)</f>
        <v>0</v>
      </c>
      <c r="G293" s="14">
        <v>46</v>
      </c>
      <c r="H293" s="14" t="s">
        <v>1327</v>
      </c>
      <c r="I293" s="16">
        <v>46274</v>
      </c>
      <c r="J293" s="12">
        <f t="shared" si="5"/>
        <v>37</v>
      </c>
      <c r="K293">
        <f>+IF(E293="","",VLOOKUP(E293,CATALOGO!G:I,2,0))</f>
        <v>1.5</v>
      </c>
      <c r="L293">
        <f>+IF(E293="","",VLOOKUP(E293,CATALOGO!G:I,3,0))</f>
        <v>36</v>
      </c>
      <c r="M293" s="15">
        <v>46276</v>
      </c>
    </row>
    <row r="294" spans="1:14" x14ac:dyDescent="0.25">
      <c r="A294" s="13" t="s">
        <v>1314</v>
      </c>
      <c r="B294" s="13" t="s">
        <v>1322</v>
      </c>
      <c r="C294" s="17" t="s">
        <v>1542</v>
      </c>
      <c r="D294" t="s">
        <v>482</v>
      </c>
      <c r="E294" s="88" t="s">
        <v>19</v>
      </c>
      <c r="F294" s="6">
        <f>+VLOOKUP(E294,CATALOGO!G:L,6,0)</f>
        <v>0</v>
      </c>
      <c r="G294" s="14">
        <v>640</v>
      </c>
      <c r="H294" s="14" t="s">
        <v>1327</v>
      </c>
      <c r="I294" s="16">
        <v>46275</v>
      </c>
      <c r="J294" s="12">
        <f t="shared" si="5"/>
        <v>37</v>
      </c>
      <c r="K294">
        <f>+IF(E294="","",VLOOKUP(E294,CATALOGO!G:I,2,0))</f>
        <v>1.5</v>
      </c>
      <c r="L294">
        <f>+IF(E294="","",VLOOKUP(E294,CATALOGO!G:I,3,0))</f>
        <v>36</v>
      </c>
      <c r="M294" s="15">
        <v>46276</v>
      </c>
    </row>
    <row r="295" spans="1:14" x14ac:dyDescent="0.25">
      <c r="A295" s="13" t="s">
        <v>1314</v>
      </c>
      <c r="B295" s="13" t="s">
        <v>1322</v>
      </c>
      <c r="C295" s="17" t="s">
        <v>1543</v>
      </c>
      <c r="D295" t="s">
        <v>1562</v>
      </c>
      <c r="E295" s="88" t="s">
        <v>19</v>
      </c>
      <c r="F295" s="6">
        <f>+VLOOKUP(E295,CATALOGO!G:L,6,0)</f>
        <v>0</v>
      </c>
      <c r="G295" s="14">
        <v>550</v>
      </c>
      <c r="H295" s="14" t="s">
        <v>1327</v>
      </c>
      <c r="I295" s="16">
        <v>46275</v>
      </c>
      <c r="J295" s="12">
        <f t="shared" si="5"/>
        <v>37</v>
      </c>
      <c r="K295">
        <f>+IF(E295="","",VLOOKUP(E295,CATALOGO!G:I,2,0))</f>
        <v>1.5</v>
      </c>
      <c r="L295">
        <f>+IF(E295="","",VLOOKUP(E295,CATALOGO!G:I,3,0))</f>
        <v>36</v>
      </c>
      <c r="M295" s="15">
        <v>46276</v>
      </c>
    </row>
    <row r="296" spans="1:14" x14ac:dyDescent="0.25">
      <c r="A296" s="13" t="s">
        <v>1311</v>
      </c>
      <c r="B296" s="13" t="s">
        <v>1319</v>
      </c>
      <c r="C296" s="17" t="s">
        <v>1544</v>
      </c>
      <c r="D296" t="s">
        <v>460</v>
      </c>
      <c r="E296" s="88" t="s">
        <v>1563</v>
      </c>
      <c r="F296" s="6">
        <f>+VLOOKUP(E296,CATALOGO!G:L,6,0)</f>
        <v>0</v>
      </c>
      <c r="G296" s="14">
        <v>912</v>
      </c>
      <c r="H296" s="14">
        <v>19</v>
      </c>
      <c r="I296" s="16">
        <v>46275</v>
      </c>
      <c r="J296" s="12">
        <f t="shared" si="5"/>
        <v>37</v>
      </c>
      <c r="K296">
        <f>+IF(E296="","",VLOOKUP(E296,CATALOGO!G:I,2,0))</f>
        <v>1.5</v>
      </c>
      <c r="L296">
        <f>+IF(E296="","",VLOOKUP(E296,CATALOGO!G:I,3,0))</f>
        <v>36</v>
      </c>
      <c r="M296" s="15">
        <v>46279</v>
      </c>
    </row>
    <row r="297" spans="1:14" x14ac:dyDescent="0.25">
      <c r="A297" s="13" t="s">
        <v>1314</v>
      </c>
      <c r="B297" s="13" t="s">
        <v>1322</v>
      </c>
      <c r="C297" s="17" t="s">
        <v>1544</v>
      </c>
      <c r="D297" t="s">
        <v>460</v>
      </c>
      <c r="E297" s="88" t="s">
        <v>19</v>
      </c>
      <c r="F297" s="6">
        <f>+VLOOKUP(E297,CATALOGO!G:L,6,0)</f>
        <v>0</v>
      </c>
      <c r="G297" s="14">
        <v>722</v>
      </c>
      <c r="H297" s="14" t="s">
        <v>1327</v>
      </c>
      <c r="I297" s="16">
        <v>46275</v>
      </c>
      <c r="J297" s="12">
        <f t="shared" si="5"/>
        <v>37</v>
      </c>
      <c r="K297">
        <f>+IF(E297="","",VLOOKUP(E297,CATALOGO!G:I,2,0))</f>
        <v>1.5</v>
      </c>
      <c r="L297">
        <f>+IF(E297="","",VLOOKUP(E297,CATALOGO!G:I,3,0))</f>
        <v>36</v>
      </c>
      <c r="M297" s="15">
        <v>46280</v>
      </c>
    </row>
    <row r="298" spans="1:14" x14ac:dyDescent="0.25">
      <c r="A298" s="13" t="s">
        <v>1315</v>
      </c>
      <c r="B298" s="13" t="s">
        <v>1323</v>
      </c>
      <c r="C298" s="17" t="s">
        <v>1545</v>
      </c>
      <c r="D298" t="s">
        <v>460</v>
      </c>
      <c r="E298" s="88" t="s">
        <v>19</v>
      </c>
      <c r="F298" s="6">
        <f>+VLOOKUP(E298,CATALOGO!G:L,6,0)</f>
        <v>0</v>
      </c>
      <c r="G298" s="14">
        <v>240</v>
      </c>
      <c r="H298" s="14" t="s">
        <v>1327</v>
      </c>
      <c r="I298" s="16">
        <v>46275</v>
      </c>
      <c r="J298" s="12">
        <f t="shared" si="5"/>
        <v>37</v>
      </c>
      <c r="K298">
        <f>+IF(E298="","",VLOOKUP(E298,CATALOGO!G:I,2,0))</f>
        <v>1.5</v>
      </c>
      <c r="L298">
        <f>+IF(E298="","",VLOOKUP(E298,CATALOGO!G:I,3,0))</f>
        <v>36</v>
      </c>
      <c r="M298" s="15">
        <v>46277</v>
      </c>
      <c r="N298" t="s">
        <v>1568</v>
      </c>
    </row>
    <row r="299" spans="1:14" x14ac:dyDescent="0.25">
      <c r="A299" s="13" t="s">
        <v>1316</v>
      </c>
      <c r="B299" s="13" t="s">
        <v>1324</v>
      </c>
      <c r="C299" s="17" t="s">
        <v>1546</v>
      </c>
      <c r="D299" t="s">
        <v>460</v>
      </c>
      <c r="E299" s="88" t="s">
        <v>19</v>
      </c>
      <c r="F299" s="6">
        <f>+VLOOKUP(E299,CATALOGO!G:L,6,0)</f>
        <v>0</v>
      </c>
      <c r="G299" s="14">
        <v>150</v>
      </c>
      <c r="H299" s="14" t="s">
        <v>1327</v>
      </c>
      <c r="I299" s="16">
        <v>46275</v>
      </c>
      <c r="J299" s="12">
        <f t="shared" si="5"/>
        <v>37</v>
      </c>
      <c r="K299">
        <f>+IF(E299="","",VLOOKUP(E299,CATALOGO!G:I,2,0))</f>
        <v>1.5</v>
      </c>
      <c r="L299">
        <f>+IF(E299="","",VLOOKUP(E299,CATALOGO!G:I,3,0))</f>
        <v>36</v>
      </c>
      <c r="M299" s="15">
        <v>46277</v>
      </c>
      <c r="N299" t="s">
        <v>1568</v>
      </c>
    </row>
    <row r="300" spans="1:14" x14ac:dyDescent="0.25">
      <c r="A300" s="13" t="s">
        <v>1317</v>
      </c>
      <c r="B300" s="13" t="s">
        <v>1325</v>
      </c>
      <c r="C300" s="17" t="s">
        <v>1547</v>
      </c>
      <c r="D300" t="s">
        <v>460</v>
      </c>
      <c r="E300" s="88" t="s">
        <v>19</v>
      </c>
      <c r="F300" s="6">
        <f>+VLOOKUP(E300,CATALOGO!G:L,6,0)</f>
        <v>0</v>
      </c>
      <c r="G300" s="14">
        <v>65</v>
      </c>
      <c r="H300" s="14" t="s">
        <v>1327</v>
      </c>
      <c r="I300" s="16">
        <v>46275</v>
      </c>
      <c r="J300" s="12">
        <f t="shared" si="5"/>
        <v>37</v>
      </c>
      <c r="K300">
        <f>+IF(E300="","",VLOOKUP(E300,CATALOGO!G:I,2,0))</f>
        <v>1.5</v>
      </c>
      <c r="L300">
        <f>+IF(E300="","",VLOOKUP(E300,CATALOGO!G:I,3,0))</f>
        <v>36</v>
      </c>
      <c r="M300" s="15">
        <v>46277</v>
      </c>
      <c r="N300" t="s">
        <v>1568</v>
      </c>
    </row>
    <row r="301" spans="1:14" x14ac:dyDescent="0.25">
      <c r="A301" s="13" t="s">
        <v>1311</v>
      </c>
      <c r="B301" s="13" t="s">
        <v>1319</v>
      </c>
      <c r="C301" s="17" t="s">
        <v>1548</v>
      </c>
      <c r="D301" t="s">
        <v>461</v>
      </c>
      <c r="E301" s="88" t="s">
        <v>1563</v>
      </c>
      <c r="F301" s="6">
        <f>+VLOOKUP(E301,CATALOGO!G:L,6,0)</f>
        <v>0</v>
      </c>
      <c r="G301" s="14">
        <v>384</v>
      </c>
      <c r="H301" s="14">
        <v>8</v>
      </c>
      <c r="I301" s="16">
        <v>46275</v>
      </c>
      <c r="J301" s="12">
        <f t="shared" si="5"/>
        <v>37</v>
      </c>
      <c r="K301">
        <f>+IF(E301="","",VLOOKUP(E301,CATALOGO!G:I,2,0))</f>
        <v>1.5</v>
      </c>
      <c r="L301">
        <f>+IF(E301="","",VLOOKUP(E301,CATALOGO!G:I,3,0))</f>
        <v>36</v>
      </c>
      <c r="M301" s="15">
        <v>46279</v>
      </c>
    </row>
    <row r="302" spans="1:14" x14ac:dyDescent="0.25">
      <c r="A302" s="13" t="s">
        <v>1314</v>
      </c>
      <c r="B302" s="13" t="s">
        <v>1322</v>
      </c>
      <c r="C302" s="17" t="s">
        <v>1548</v>
      </c>
      <c r="D302" t="s">
        <v>461</v>
      </c>
      <c r="E302" s="88" t="s">
        <v>19</v>
      </c>
      <c r="F302" s="6">
        <f>+VLOOKUP(E302,CATALOGO!G:L,6,0)</f>
        <v>0</v>
      </c>
      <c r="G302" s="14">
        <v>224</v>
      </c>
      <c r="H302" s="14" t="s">
        <v>1327</v>
      </c>
      <c r="I302" s="16">
        <v>46275</v>
      </c>
      <c r="J302" s="12">
        <f t="shared" si="5"/>
        <v>37</v>
      </c>
      <c r="K302">
        <f>+IF(E302="","",VLOOKUP(E302,CATALOGO!G:I,2,0))</f>
        <v>1.5</v>
      </c>
      <c r="L302">
        <f>+IF(E302="","",VLOOKUP(E302,CATALOGO!G:I,3,0))</f>
        <v>36</v>
      </c>
      <c r="M302" s="15">
        <v>46280</v>
      </c>
    </row>
    <row r="303" spans="1:14" x14ac:dyDescent="0.25">
      <c r="A303" s="13" t="s">
        <v>1314</v>
      </c>
      <c r="B303" s="13" t="s">
        <v>1322</v>
      </c>
      <c r="C303" s="17" t="s">
        <v>1548</v>
      </c>
      <c r="D303" t="s">
        <v>461</v>
      </c>
      <c r="E303" s="88" t="s">
        <v>19</v>
      </c>
      <c r="F303" s="6">
        <f>+VLOOKUP(E303,CATALOGO!G:L,6,0)</f>
        <v>0</v>
      </c>
      <c r="G303" s="14">
        <v>739</v>
      </c>
      <c r="H303" s="14" t="s">
        <v>1327</v>
      </c>
      <c r="I303" s="16">
        <v>46275</v>
      </c>
      <c r="J303" s="12">
        <f t="shared" si="5"/>
        <v>37</v>
      </c>
      <c r="K303">
        <f>+IF(E303="","",VLOOKUP(E303,CATALOGO!G:I,2,0))</f>
        <v>1.5</v>
      </c>
      <c r="L303">
        <f>+IF(E303="","",VLOOKUP(E303,CATALOGO!G:I,3,0))</f>
        <v>36</v>
      </c>
      <c r="M303" s="15">
        <v>46280</v>
      </c>
    </row>
    <row r="304" spans="1:14" x14ac:dyDescent="0.25">
      <c r="A304" s="13" t="s">
        <v>1315</v>
      </c>
      <c r="B304" s="13" t="s">
        <v>1323</v>
      </c>
      <c r="C304" s="17" t="s">
        <v>1549</v>
      </c>
      <c r="D304" t="s">
        <v>461</v>
      </c>
      <c r="E304" s="88" t="s">
        <v>19</v>
      </c>
      <c r="F304" s="6">
        <f>+VLOOKUP(E304,CATALOGO!G:L,6,0)</f>
        <v>0</v>
      </c>
      <c r="G304" s="14">
        <v>388</v>
      </c>
      <c r="H304" s="14" t="s">
        <v>1327</v>
      </c>
      <c r="I304" s="16">
        <v>46275</v>
      </c>
      <c r="J304" s="12">
        <f t="shared" si="5"/>
        <v>37</v>
      </c>
      <c r="K304">
        <f>+IF(E304="","",VLOOKUP(E304,CATALOGO!G:I,2,0))</f>
        <v>1.5</v>
      </c>
      <c r="L304">
        <f>+IF(E304="","",VLOOKUP(E304,CATALOGO!G:I,3,0))</f>
        <v>36</v>
      </c>
      <c r="M304" s="15">
        <v>46277</v>
      </c>
      <c r="N304" t="s">
        <v>1568</v>
      </c>
    </row>
    <row r="305" spans="1:14" x14ac:dyDescent="0.25">
      <c r="A305" s="13" t="s">
        <v>1316</v>
      </c>
      <c r="B305" s="13" t="s">
        <v>1324</v>
      </c>
      <c r="C305" s="17" t="s">
        <v>1550</v>
      </c>
      <c r="D305" t="s">
        <v>461</v>
      </c>
      <c r="E305" s="88" t="s">
        <v>19</v>
      </c>
      <c r="F305" s="6">
        <f>+VLOOKUP(E305,CATALOGO!G:L,6,0)</f>
        <v>0</v>
      </c>
      <c r="G305" s="14">
        <v>113</v>
      </c>
      <c r="H305" s="14" t="s">
        <v>1327</v>
      </c>
      <c r="I305" s="16">
        <v>46275</v>
      </c>
      <c r="J305" s="12">
        <f t="shared" si="5"/>
        <v>37</v>
      </c>
      <c r="K305">
        <f>+IF(E305="","",VLOOKUP(E305,CATALOGO!G:I,2,0))</f>
        <v>1.5</v>
      </c>
      <c r="L305">
        <f>+IF(E305="","",VLOOKUP(E305,CATALOGO!G:I,3,0))</f>
        <v>36</v>
      </c>
      <c r="M305" s="15">
        <v>46277</v>
      </c>
      <c r="N305" t="s">
        <v>1568</v>
      </c>
    </row>
    <row r="306" spans="1:14" x14ac:dyDescent="0.25">
      <c r="A306" s="13" t="s">
        <v>1317</v>
      </c>
      <c r="B306" s="13" t="s">
        <v>1325</v>
      </c>
      <c r="C306" s="17" t="s">
        <v>1551</v>
      </c>
      <c r="D306" t="s">
        <v>461</v>
      </c>
      <c r="E306" s="88" t="s">
        <v>19</v>
      </c>
      <c r="F306" s="6">
        <f>+VLOOKUP(E306,CATALOGO!G:L,6,0)</f>
        <v>0</v>
      </c>
      <c r="G306" s="14">
        <v>57</v>
      </c>
      <c r="H306" s="14" t="s">
        <v>1327</v>
      </c>
      <c r="I306" s="16">
        <v>46275</v>
      </c>
      <c r="J306" s="12">
        <f t="shared" si="5"/>
        <v>37</v>
      </c>
      <c r="K306">
        <f>+IF(E306="","",VLOOKUP(E306,CATALOGO!G:I,2,0))</f>
        <v>1.5</v>
      </c>
      <c r="L306">
        <f>+IF(E306="","",VLOOKUP(E306,CATALOGO!G:I,3,0))</f>
        <v>36</v>
      </c>
      <c r="M306" s="15">
        <v>46277</v>
      </c>
      <c r="N306" t="s">
        <v>1568</v>
      </c>
    </row>
    <row r="307" spans="1:14" x14ac:dyDescent="0.25">
      <c r="A307" s="13" t="s">
        <v>1314</v>
      </c>
      <c r="B307" s="13" t="s">
        <v>1322</v>
      </c>
      <c r="C307" s="17" t="s">
        <v>1552</v>
      </c>
      <c r="D307" t="s">
        <v>460</v>
      </c>
      <c r="E307" s="88" t="s">
        <v>19</v>
      </c>
      <c r="F307" s="6">
        <f>+VLOOKUP(E307,CATALOGO!G:L,6,0)</f>
        <v>0</v>
      </c>
      <c r="G307" s="14">
        <v>1300</v>
      </c>
      <c r="H307" s="14" t="s">
        <v>1327</v>
      </c>
      <c r="I307" s="16">
        <v>46276</v>
      </c>
      <c r="J307" s="12">
        <f t="shared" si="5"/>
        <v>37</v>
      </c>
      <c r="K307">
        <f>+IF(E307="","",VLOOKUP(E307,CATALOGO!G:I,2,0))</f>
        <v>1.5</v>
      </c>
      <c r="L307">
        <f>+IF(E307="","",VLOOKUP(E307,CATALOGO!G:I,3,0))</f>
        <v>36</v>
      </c>
      <c r="M307" s="15">
        <v>46280</v>
      </c>
    </row>
    <row r="308" spans="1:14" x14ac:dyDescent="0.25">
      <c r="A308" s="13" t="s">
        <v>1314</v>
      </c>
      <c r="B308" s="13" t="s">
        <v>1322</v>
      </c>
      <c r="C308" s="17" t="s">
        <v>1552</v>
      </c>
      <c r="D308" t="s">
        <v>460</v>
      </c>
      <c r="E308" s="88" t="s">
        <v>19</v>
      </c>
      <c r="F308" s="6">
        <f>+VLOOKUP(E308,CATALOGO!G:L,6,0)</f>
        <v>0</v>
      </c>
      <c r="G308" s="14">
        <v>87</v>
      </c>
      <c r="H308" s="14" t="s">
        <v>1327</v>
      </c>
      <c r="I308" s="16">
        <v>46276</v>
      </c>
      <c r="J308" s="12">
        <f t="shared" si="5"/>
        <v>37</v>
      </c>
      <c r="K308">
        <f>+IF(E308="","",VLOOKUP(E308,CATALOGO!G:I,2,0))</f>
        <v>1.5</v>
      </c>
      <c r="L308">
        <f>+IF(E308="","",VLOOKUP(E308,CATALOGO!G:I,3,0))</f>
        <v>36</v>
      </c>
      <c r="M308" s="15">
        <v>46280</v>
      </c>
    </row>
    <row r="309" spans="1:14" x14ac:dyDescent="0.25">
      <c r="A309" s="13" t="s">
        <v>1315</v>
      </c>
      <c r="B309" s="13" t="s">
        <v>1323</v>
      </c>
      <c r="C309" s="17" t="s">
        <v>1553</v>
      </c>
      <c r="D309" t="s">
        <v>460</v>
      </c>
      <c r="E309" s="88" t="s">
        <v>19</v>
      </c>
      <c r="F309" s="6">
        <f>+VLOOKUP(E309,CATALOGO!G:L,6,0)</f>
        <v>0</v>
      </c>
      <c r="G309" s="14">
        <v>173</v>
      </c>
      <c r="H309" s="14" t="s">
        <v>1327</v>
      </c>
      <c r="I309" s="16">
        <v>46276</v>
      </c>
      <c r="J309" s="12">
        <f t="shared" si="5"/>
        <v>37</v>
      </c>
      <c r="K309">
        <f>+IF(E309="","",VLOOKUP(E309,CATALOGO!G:I,2,0))</f>
        <v>1.5</v>
      </c>
      <c r="L309">
        <f>+IF(E309="","",VLOOKUP(E309,CATALOGO!G:I,3,0))</f>
        <v>36</v>
      </c>
      <c r="M309" s="15">
        <v>46278</v>
      </c>
      <c r="N309" t="s">
        <v>1568</v>
      </c>
    </row>
    <row r="310" spans="1:14" x14ac:dyDescent="0.25">
      <c r="A310" s="13" t="s">
        <v>1316</v>
      </c>
      <c r="B310" s="13" t="s">
        <v>1324</v>
      </c>
      <c r="C310" s="17" t="s">
        <v>1554</v>
      </c>
      <c r="D310" t="s">
        <v>460</v>
      </c>
      <c r="E310" s="88" t="s">
        <v>19</v>
      </c>
      <c r="F310" s="6">
        <f>+VLOOKUP(E310,CATALOGO!G:L,6,0)</f>
        <v>0</v>
      </c>
      <c r="G310" s="14">
        <v>147</v>
      </c>
      <c r="H310" s="14" t="s">
        <v>1327</v>
      </c>
      <c r="I310" s="16">
        <v>46276</v>
      </c>
      <c r="J310" s="12">
        <f t="shared" si="5"/>
        <v>37</v>
      </c>
      <c r="K310">
        <f>+IF(E310="","",VLOOKUP(E310,CATALOGO!G:I,2,0))</f>
        <v>1.5</v>
      </c>
      <c r="L310">
        <f>+IF(E310="","",VLOOKUP(E310,CATALOGO!G:I,3,0))</f>
        <v>36</v>
      </c>
      <c r="M310" s="15">
        <v>46278</v>
      </c>
      <c r="N310" t="s">
        <v>1568</v>
      </c>
    </row>
    <row r="311" spans="1:14" x14ac:dyDescent="0.25">
      <c r="A311" s="13" t="s">
        <v>1317</v>
      </c>
      <c r="B311" s="13" t="s">
        <v>1325</v>
      </c>
      <c r="C311" s="17" t="s">
        <v>1555</v>
      </c>
      <c r="D311" t="s">
        <v>460</v>
      </c>
      <c r="E311" s="88" t="s">
        <v>19</v>
      </c>
      <c r="F311" s="6">
        <f>+VLOOKUP(E311,CATALOGO!G:L,6,0)</f>
        <v>0</v>
      </c>
      <c r="G311" s="14">
        <v>43</v>
      </c>
      <c r="H311" s="14" t="s">
        <v>1327</v>
      </c>
      <c r="I311" s="16">
        <v>46276</v>
      </c>
      <c r="J311" s="12">
        <f t="shared" si="5"/>
        <v>37</v>
      </c>
      <c r="K311">
        <f>+IF(E311="","",VLOOKUP(E311,CATALOGO!G:I,2,0))</f>
        <v>1.5</v>
      </c>
      <c r="L311">
        <f>+IF(E311="","",VLOOKUP(E311,CATALOGO!G:I,3,0))</f>
        <v>36</v>
      </c>
      <c r="M311" s="15">
        <v>46278</v>
      </c>
      <c r="N311" t="s">
        <v>1568</v>
      </c>
    </row>
    <row r="312" spans="1:14" x14ac:dyDescent="0.25">
      <c r="A312" s="13" t="s">
        <v>1311</v>
      </c>
      <c r="B312" s="13" t="s">
        <v>1319</v>
      </c>
      <c r="C312" s="17" t="s">
        <v>1556</v>
      </c>
      <c r="D312" t="s">
        <v>481</v>
      </c>
      <c r="E312" s="88" t="s">
        <v>1563</v>
      </c>
      <c r="F312" s="6">
        <f>+VLOOKUP(E312,CATALOGO!G:L,6,0)</f>
        <v>0</v>
      </c>
      <c r="G312" s="14">
        <v>1296</v>
      </c>
      <c r="H312" s="14">
        <v>27</v>
      </c>
      <c r="I312" s="16">
        <v>46277</v>
      </c>
      <c r="J312" s="12">
        <f t="shared" si="5"/>
        <v>37</v>
      </c>
      <c r="K312">
        <f>+IF(E312="","",VLOOKUP(E312,CATALOGO!G:I,2,0))</f>
        <v>1.5</v>
      </c>
      <c r="L312">
        <f>+IF(E312="","",VLOOKUP(E312,CATALOGO!G:I,3,0))</f>
        <v>36</v>
      </c>
      <c r="M312" s="15">
        <v>46280</v>
      </c>
      <c r="N312" t="s">
        <v>1568</v>
      </c>
    </row>
    <row r="313" spans="1:14" x14ac:dyDescent="0.25">
      <c r="A313" s="13" t="s">
        <v>1314</v>
      </c>
      <c r="B313" s="13" t="s">
        <v>1322</v>
      </c>
      <c r="C313" s="17" t="s">
        <v>1556</v>
      </c>
      <c r="D313" t="s">
        <v>481</v>
      </c>
      <c r="E313" s="88" t="s">
        <v>1563</v>
      </c>
      <c r="F313" s="6">
        <f>+VLOOKUP(E313,CATALOGO!G:L,6,0)</f>
        <v>0</v>
      </c>
      <c r="G313" s="14">
        <v>4</v>
      </c>
      <c r="H313" s="14" t="s">
        <v>1327</v>
      </c>
      <c r="I313" s="16">
        <v>46277</v>
      </c>
      <c r="J313" s="12">
        <f t="shared" si="5"/>
        <v>37</v>
      </c>
      <c r="K313">
        <f>+IF(E313="","",VLOOKUP(E313,CATALOGO!G:I,2,0))</f>
        <v>1.5</v>
      </c>
      <c r="L313">
        <f>+IF(E313="","",VLOOKUP(E313,CATALOGO!G:I,3,0))</f>
        <v>36</v>
      </c>
      <c r="M313" s="15">
        <v>46280</v>
      </c>
      <c r="N313" t="s">
        <v>1568</v>
      </c>
    </row>
  </sheetData>
  <autoFilter ref="A1:N313" xr:uid="{F6943C4E-D0C1-4399-9277-8C3BA29014B7}"/>
  <conditionalFormatting sqref="M2:M313">
    <cfRule type="cellIs" dxfId="1" priority="1" operator="equal">
      <formula>#REF!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86081-BF6C-483A-B6B1-9AA4B669E9A1}">
  <dimension ref="A1:H468"/>
  <sheetViews>
    <sheetView workbookViewId="0">
      <pane ySplit="1" topLeftCell="A2" activePane="bottomLeft" state="frozen"/>
      <selection pane="bottomLeft" activeCell="A4" sqref="A4"/>
    </sheetView>
  </sheetViews>
  <sheetFormatPr baseColWidth="10" defaultRowHeight="15" x14ac:dyDescent="0.25"/>
  <cols>
    <col min="1" max="1" width="55.28515625" bestFit="1" customWidth="1"/>
    <col min="2" max="2" width="35.42578125" customWidth="1"/>
    <col min="3" max="3" width="11.28515625" bestFit="1" customWidth="1"/>
    <col min="4" max="4" width="31.140625" bestFit="1" customWidth="1"/>
    <col min="5" max="5" width="20.5703125" bestFit="1" customWidth="1"/>
    <col min="6" max="6" width="35.42578125" bestFit="1" customWidth="1"/>
    <col min="7" max="7" width="32.85546875" customWidth="1"/>
    <col min="8" max="8" width="9.140625" bestFit="1" customWidth="1"/>
  </cols>
  <sheetData>
    <row r="1" spans="1:8" x14ac:dyDescent="0.25">
      <c r="A1" s="18" t="s">
        <v>69</v>
      </c>
      <c r="B1" s="27" t="s">
        <v>522</v>
      </c>
      <c r="C1" s="27" t="s">
        <v>523</v>
      </c>
      <c r="D1" s="28" t="s">
        <v>524</v>
      </c>
      <c r="E1" s="29" t="s">
        <v>525</v>
      </c>
      <c r="F1" s="30" t="s">
        <v>526</v>
      </c>
      <c r="G1" s="30" t="s">
        <v>527</v>
      </c>
      <c r="H1" s="27" t="s">
        <v>528</v>
      </c>
    </row>
    <row r="2" spans="1:8" x14ac:dyDescent="0.25">
      <c r="A2" t="s">
        <v>33</v>
      </c>
      <c r="B2" s="31" t="s">
        <v>540</v>
      </c>
      <c r="C2" s="31" t="s">
        <v>530</v>
      </c>
      <c r="D2" s="32" t="s">
        <v>541</v>
      </c>
      <c r="E2" s="33">
        <v>30670</v>
      </c>
      <c r="F2" s="33" t="s">
        <v>542</v>
      </c>
      <c r="G2" s="33" t="s">
        <v>543</v>
      </c>
      <c r="H2" s="31"/>
    </row>
    <row r="3" spans="1:8" x14ac:dyDescent="0.25">
      <c r="A3" t="s">
        <v>43</v>
      </c>
      <c r="B3" s="31" t="s">
        <v>535</v>
      </c>
      <c r="C3" s="31" t="s">
        <v>536</v>
      </c>
      <c r="D3" s="32" t="s">
        <v>537</v>
      </c>
      <c r="E3" s="33">
        <v>30650</v>
      </c>
      <c r="F3" s="33" t="s">
        <v>538</v>
      </c>
      <c r="G3" s="33" t="s">
        <v>539</v>
      </c>
      <c r="H3" s="31"/>
    </row>
    <row r="4" spans="1:8" x14ac:dyDescent="0.25">
      <c r="A4" t="s">
        <v>20</v>
      </c>
      <c r="B4" s="31" t="s">
        <v>529</v>
      </c>
      <c r="C4" s="31" t="s">
        <v>530</v>
      </c>
      <c r="D4" s="32" t="s">
        <v>531</v>
      </c>
      <c r="E4" s="33">
        <v>30846</v>
      </c>
      <c r="F4" s="33" t="s">
        <v>532</v>
      </c>
      <c r="G4" s="33" t="s">
        <v>533</v>
      </c>
      <c r="H4" s="34" t="s">
        <v>534</v>
      </c>
    </row>
    <row r="5" spans="1:8" x14ac:dyDescent="0.25">
      <c r="A5" t="s">
        <v>15</v>
      </c>
      <c r="B5" s="31" t="s">
        <v>535</v>
      </c>
      <c r="C5" s="31" t="s">
        <v>536</v>
      </c>
      <c r="D5" s="32" t="s">
        <v>537</v>
      </c>
      <c r="E5" s="33">
        <v>30650</v>
      </c>
      <c r="F5" s="33" t="s">
        <v>538</v>
      </c>
      <c r="G5" s="33" t="s">
        <v>539</v>
      </c>
      <c r="H5" s="31"/>
    </row>
    <row r="6" spans="1:8" x14ac:dyDescent="0.25">
      <c r="A6" t="s">
        <v>21</v>
      </c>
      <c r="B6" s="31" t="s">
        <v>540</v>
      </c>
      <c r="C6" s="31" t="s">
        <v>530</v>
      </c>
      <c r="D6" s="32" t="s">
        <v>541</v>
      </c>
      <c r="E6" s="33">
        <v>30670</v>
      </c>
      <c r="F6" s="33" t="s">
        <v>542</v>
      </c>
      <c r="G6" s="33" t="s">
        <v>543</v>
      </c>
      <c r="H6" s="31"/>
    </row>
    <row r="7" spans="1:8" x14ac:dyDescent="0.25">
      <c r="A7" t="s">
        <v>28</v>
      </c>
      <c r="B7" s="31" t="s">
        <v>544</v>
      </c>
      <c r="C7" s="31" t="s">
        <v>530</v>
      </c>
      <c r="D7" s="32" t="s">
        <v>541</v>
      </c>
      <c r="E7" s="33">
        <v>30673</v>
      </c>
      <c r="F7" s="33" t="s">
        <v>545</v>
      </c>
      <c r="G7" s="33" t="s">
        <v>546</v>
      </c>
      <c r="H7" s="31"/>
    </row>
    <row r="8" spans="1:8" x14ac:dyDescent="0.25">
      <c r="A8" t="s">
        <v>71</v>
      </c>
      <c r="B8" s="31" t="s">
        <v>547</v>
      </c>
      <c r="C8" s="31" t="s">
        <v>536</v>
      </c>
      <c r="D8" s="32" t="s">
        <v>548</v>
      </c>
      <c r="E8" s="33">
        <v>30837</v>
      </c>
      <c r="F8" s="33" t="s">
        <v>549</v>
      </c>
      <c r="G8" s="33" t="s">
        <v>550</v>
      </c>
      <c r="H8" s="31"/>
    </row>
    <row r="9" spans="1:8" x14ac:dyDescent="0.25">
      <c r="A9" t="s">
        <v>72</v>
      </c>
      <c r="B9" s="31" t="s">
        <v>551</v>
      </c>
      <c r="C9" s="31" t="s">
        <v>530</v>
      </c>
      <c r="D9" s="32" t="s">
        <v>548</v>
      </c>
      <c r="E9" s="33">
        <v>30847</v>
      </c>
      <c r="F9" s="33" t="s">
        <v>552</v>
      </c>
      <c r="G9" s="33" t="s">
        <v>553</v>
      </c>
      <c r="H9" s="31"/>
    </row>
    <row r="10" spans="1:8" x14ac:dyDescent="0.25">
      <c r="A10" t="s">
        <v>73</v>
      </c>
      <c r="B10" s="31" t="s">
        <v>535</v>
      </c>
      <c r="C10" s="31" t="s">
        <v>536</v>
      </c>
      <c r="D10" s="32" t="s">
        <v>537</v>
      </c>
      <c r="E10" s="33">
        <v>30650</v>
      </c>
      <c r="F10" s="33" t="s">
        <v>554</v>
      </c>
      <c r="G10" s="33" t="s">
        <v>555</v>
      </c>
      <c r="H10" s="31"/>
    </row>
    <row r="11" spans="1:8" x14ac:dyDescent="0.25">
      <c r="A11" t="s">
        <v>74</v>
      </c>
      <c r="B11" s="31" t="s">
        <v>556</v>
      </c>
      <c r="C11" s="31" t="s">
        <v>536</v>
      </c>
      <c r="D11" s="32" t="s">
        <v>557</v>
      </c>
      <c r="E11" s="33">
        <v>30583</v>
      </c>
      <c r="F11" s="33" t="s">
        <v>558</v>
      </c>
      <c r="G11" s="33" t="s">
        <v>559</v>
      </c>
      <c r="H11" s="31"/>
    </row>
    <row r="12" spans="1:8" x14ac:dyDescent="0.25">
      <c r="A12" t="s">
        <v>75</v>
      </c>
      <c r="B12" s="31" t="s">
        <v>560</v>
      </c>
      <c r="C12" s="31" t="s">
        <v>530</v>
      </c>
      <c r="D12" s="32" t="s">
        <v>557</v>
      </c>
      <c r="E12" s="33">
        <v>30583</v>
      </c>
      <c r="F12" s="33" t="s">
        <v>561</v>
      </c>
      <c r="G12" s="33" t="s">
        <v>562</v>
      </c>
      <c r="H12" s="31"/>
    </row>
    <row r="13" spans="1:8" x14ac:dyDescent="0.25">
      <c r="A13" t="s">
        <v>76</v>
      </c>
      <c r="B13" s="31" t="s">
        <v>548</v>
      </c>
      <c r="C13" s="31" t="s">
        <v>530</v>
      </c>
      <c r="D13" s="32" t="s">
        <v>548</v>
      </c>
      <c r="E13" s="33">
        <v>30840</v>
      </c>
      <c r="F13" s="33" t="s">
        <v>563</v>
      </c>
      <c r="G13" s="33" t="s">
        <v>564</v>
      </c>
      <c r="H13" s="31"/>
    </row>
    <row r="14" spans="1:8" x14ac:dyDescent="0.25">
      <c r="A14" t="s">
        <v>77</v>
      </c>
      <c r="B14" s="31" t="s">
        <v>565</v>
      </c>
      <c r="C14" s="31" t="s">
        <v>530</v>
      </c>
      <c r="D14" s="32" t="s">
        <v>537</v>
      </c>
      <c r="E14" s="33">
        <v>30820</v>
      </c>
      <c r="F14" s="33" t="s">
        <v>566</v>
      </c>
      <c r="G14" s="33" t="s">
        <v>567</v>
      </c>
      <c r="H14" s="31"/>
    </row>
    <row r="15" spans="1:8" x14ac:dyDescent="0.25">
      <c r="A15" t="s">
        <v>78</v>
      </c>
      <c r="B15" s="31" t="s">
        <v>568</v>
      </c>
      <c r="C15" s="31" t="s">
        <v>530</v>
      </c>
      <c r="D15" s="32" t="s">
        <v>548</v>
      </c>
      <c r="E15" s="33">
        <v>30800</v>
      </c>
      <c r="F15" s="33" t="s">
        <v>569</v>
      </c>
      <c r="G15" s="33" t="s">
        <v>570</v>
      </c>
      <c r="H15" s="31"/>
    </row>
    <row r="16" spans="1:8" x14ac:dyDescent="0.25">
      <c r="A16" t="s">
        <v>79</v>
      </c>
      <c r="B16" s="31" t="s">
        <v>571</v>
      </c>
      <c r="C16" s="31" t="s">
        <v>530</v>
      </c>
      <c r="D16" s="32" t="s">
        <v>548</v>
      </c>
      <c r="E16" s="33">
        <v>30844</v>
      </c>
      <c r="F16" s="33" t="s">
        <v>572</v>
      </c>
      <c r="G16" s="33" t="s">
        <v>573</v>
      </c>
      <c r="H16" s="31"/>
    </row>
    <row r="17" spans="1:8" x14ac:dyDescent="0.25">
      <c r="A17" t="s">
        <v>80</v>
      </c>
      <c r="B17" s="31" t="s">
        <v>574</v>
      </c>
      <c r="C17" s="31" t="s">
        <v>530</v>
      </c>
      <c r="D17" s="32" t="s">
        <v>537</v>
      </c>
      <c r="E17" s="33">
        <v>30655</v>
      </c>
      <c r="F17" s="33" t="s">
        <v>575</v>
      </c>
      <c r="G17" s="33" t="s">
        <v>576</v>
      </c>
      <c r="H17" s="31"/>
    </row>
    <row r="18" spans="1:8" x14ac:dyDescent="0.25">
      <c r="A18" t="s">
        <v>81</v>
      </c>
      <c r="B18" s="31" t="s">
        <v>535</v>
      </c>
      <c r="C18" s="31" t="s">
        <v>530</v>
      </c>
      <c r="D18" s="32" t="s">
        <v>537</v>
      </c>
      <c r="E18" s="33">
        <v>30650</v>
      </c>
      <c r="F18" s="33" t="s">
        <v>577</v>
      </c>
      <c r="G18" s="33" t="s">
        <v>578</v>
      </c>
      <c r="H18" s="31"/>
    </row>
    <row r="19" spans="1:8" x14ac:dyDescent="0.25">
      <c r="A19" t="s">
        <v>82</v>
      </c>
      <c r="B19" s="31" t="s">
        <v>579</v>
      </c>
      <c r="C19" s="31" t="s">
        <v>536</v>
      </c>
      <c r="D19" s="32" t="s">
        <v>548</v>
      </c>
      <c r="E19" s="33">
        <v>30844</v>
      </c>
      <c r="F19" s="33" t="s">
        <v>580</v>
      </c>
      <c r="G19" s="33" t="s">
        <v>581</v>
      </c>
      <c r="H19" s="31"/>
    </row>
    <row r="20" spans="1:8" x14ac:dyDescent="0.25">
      <c r="A20" t="s">
        <v>83</v>
      </c>
      <c r="B20" s="31" t="s">
        <v>582</v>
      </c>
      <c r="C20" s="31" t="s">
        <v>530</v>
      </c>
      <c r="D20" s="32" t="s">
        <v>548</v>
      </c>
      <c r="E20" s="33">
        <v>30847</v>
      </c>
      <c r="F20" s="33" t="s">
        <v>583</v>
      </c>
      <c r="G20" s="33" t="s">
        <v>584</v>
      </c>
      <c r="H20" s="31"/>
    </row>
    <row r="21" spans="1:8" x14ac:dyDescent="0.25">
      <c r="A21" t="s">
        <v>84</v>
      </c>
      <c r="B21" s="31" t="s">
        <v>571</v>
      </c>
      <c r="C21" s="31" t="s">
        <v>536</v>
      </c>
      <c r="D21" s="32" t="s">
        <v>548</v>
      </c>
      <c r="E21" s="33">
        <v>30844</v>
      </c>
      <c r="F21" s="33" t="s">
        <v>585</v>
      </c>
      <c r="G21" s="33" t="s">
        <v>586</v>
      </c>
      <c r="H21" s="31"/>
    </row>
    <row r="22" spans="1:8" x14ac:dyDescent="0.25">
      <c r="A22" t="s">
        <v>85</v>
      </c>
      <c r="B22" s="31" t="s">
        <v>535</v>
      </c>
      <c r="C22" s="31" t="s">
        <v>530</v>
      </c>
      <c r="D22" s="32" t="s">
        <v>537</v>
      </c>
      <c r="E22" s="33">
        <v>30650</v>
      </c>
      <c r="F22" s="33" t="s">
        <v>587</v>
      </c>
      <c r="G22" s="33" t="s">
        <v>588</v>
      </c>
      <c r="H22" s="31"/>
    </row>
    <row r="23" spans="1:8" x14ac:dyDescent="0.25">
      <c r="A23" t="s">
        <v>86</v>
      </c>
      <c r="B23" s="31" t="s">
        <v>568</v>
      </c>
      <c r="C23" s="31" t="s">
        <v>530</v>
      </c>
      <c r="D23" s="32" t="s">
        <v>548</v>
      </c>
      <c r="E23" s="33">
        <v>30800</v>
      </c>
      <c r="F23" s="33" t="s">
        <v>589</v>
      </c>
      <c r="G23" s="33" t="s">
        <v>590</v>
      </c>
      <c r="H23" s="31"/>
    </row>
    <row r="24" spans="1:8" x14ac:dyDescent="0.25">
      <c r="A24" t="s">
        <v>87</v>
      </c>
      <c r="B24" s="31" t="s">
        <v>591</v>
      </c>
      <c r="C24" s="31" t="s">
        <v>536</v>
      </c>
      <c r="D24" s="32" t="s">
        <v>537</v>
      </c>
      <c r="E24" s="33">
        <v>30657</v>
      </c>
      <c r="F24" s="33" t="s">
        <v>592</v>
      </c>
      <c r="G24" s="33" t="s">
        <v>593</v>
      </c>
      <c r="H24" s="31"/>
    </row>
    <row r="25" spans="1:8" x14ac:dyDescent="0.25">
      <c r="A25" t="s">
        <v>88</v>
      </c>
      <c r="B25" s="31" t="s">
        <v>574</v>
      </c>
      <c r="C25" s="31" t="s">
        <v>530</v>
      </c>
      <c r="D25" s="32" t="s">
        <v>537</v>
      </c>
      <c r="E25" s="33">
        <v>30655</v>
      </c>
      <c r="F25" s="33" t="s">
        <v>594</v>
      </c>
      <c r="G25" s="33" t="s">
        <v>595</v>
      </c>
      <c r="H25" s="31"/>
    </row>
    <row r="26" spans="1:8" x14ac:dyDescent="0.25">
      <c r="A26" t="s">
        <v>89</v>
      </c>
      <c r="B26" s="31" t="s">
        <v>596</v>
      </c>
      <c r="C26" s="31" t="s">
        <v>530</v>
      </c>
      <c r="D26" s="32" t="s">
        <v>531</v>
      </c>
      <c r="E26" s="33">
        <v>30832</v>
      </c>
      <c r="F26" s="33" t="s">
        <v>597</v>
      </c>
      <c r="G26" s="33" t="s">
        <v>598</v>
      </c>
      <c r="H26" s="31"/>
    </row>
    <row r="27" spans="1:8" x14ac:dyDescent="0.25">
      <c r="A27" t="s">
        <v>90</v>
      </c>
      <c r="B27" s="31"/>
      <c r="C27" s="31" t="s">
        <v>530</v>
      </c>
      <c r="D27" s="32" t="s">
        <v>531</v>
      </c>
      <c r="E27" s="33"/>
      <c r="F27" s="35"/>
      <c r="G27" s="35"/>
      <c r="H27" s="36"/>
    </row>
    <row r="28" spans="1:8" x14ac:dyDescent="0.25">
      <c r="A28" t="s">
        <v>91</v>
      </c>
      <c r="B28" s="31" t="s">
        <v>599</v>
      </c>
      <c r="C28" s="31" t="s">
        <v>530</v>
      </c>
      <c r="D28" s="32" t="s">
        <v>531</v>
      </c>
      <c r="E28" s="33">
        <v>30814</v>
      </c>
      <c r="F28" s="33" t="s">
        <v>600</v>
      </c>
      <c r="G28" s="33" t="s">
        <v>601</v>
      </c>
      <c r="H28" s="31"/>
    </row>
    <row r="29" spans="1:8" x14ac:dyDescent="0.25">
      <c r="A29" t="s">
        <v>92</v>
      </c>
      <c r="B29" s="31" t="s">
        <v>602</v>
      </c>
      <c r="C29" s="31" t="s">
        <v>530</v>
      </c>
      <c r="D29" s="32" t="s">
        <v>548</v>
      </c>
      <c r="E29" s="33">
        <v>30844</v>
      </c>
      <c r="F29" s="33" t="s">
        <v>603</v>
      </c>
      <c r="G29" s="33" t="s">
        <v>604</v>
      </c>
      <c r="H29" s="31"/>
    </row>
    <row r="30" spans="1:8" x14ac:dyDescent="0.25">
      <c r="A30" t="s">
        <v>93</v>
      </c>
      <c r="B30" s="31" t="s">
        <v>605</v>
      </c>
      <c r="C30" s="31" t="s">
        <v>530</v>
      </c>
      <c r="D30" s="32" t="s">
        <v>531</v>
      </c>
      <c r="E30" s="33">
        <v>30838</v>
      </c>
      <c r="F30" s="33" t="s">
        <v>606</v>
      </c>
      <c r="G30" s="33" t="s">
        <v>607</v>
      </c>
      <c r="H30" s="31"/>
    </row>
    <row r="31" spans="1:8" x14ac:dyDescent="0.25">
      <c r="A31" t="s">
        <v>94</v>
      </c>
      <c r="B31" s="31" t="s">
        <v>608</v>
      </c>
      <c r="C31" s="31" t="s">
        <v>536</v>
      </c>
      <c r="D31" s="32" t="s">
        <v>531</v>
      </c>
      <c r="E31" s="33">
        <v>30790</v>
      </c>
      <c r="F31" s="33" t="s">
        <v>609</v>
      </c>
      <c r="G31" s="33" t="s">
        <v>610</v>
      </c>
      <c r="H31" s="31"/>
    </row>
    <row r="32" spans="1:8" x14ac:dyDescent="0.25">
      <c r="A32" t="s">
        <v>95</v>
      </c>
      <c r="B32" s="31" t="s">
        <v>611</v>
      </c>
      <c r="C32" s="31" t="s">
        <v>530</v>
      </c>
      <c r="D32" s="32" t="s">
        <v>548</v>
      </c>
      <c r="E32" s="33">
        <v>30844</v>
      </c>
      <c r="F32" s="33" t="s">
        <v>612</v>
      </c>
      <c r="G32" s="33" t="s">
        <v>613</v>
      </c>
      <c r="H32" s="31"/>
    </row>
    <row r="33" spans="1:8" x14ac:dyDescent="0.25">
      <c r="A33" t="s">
        <v>96</v>
      </c>
      <c r="B33" s="31" t="s">
        <v>614</v>
      </c>
      <c r="C33" s="31" t="s">
        <v>530</v>
      </c>
      <c r="D33" s="32" t="s">
        <v>531</v>
      </c>
      <c r="E33" s="33">
        <v>30828</v>
      </c>
      <c r="F33" s="33" t="s">
        <v>615</v>
      </c>
      <c r="G33" s="33" t="s">
        <v>616</v>
      </c>
      <c r="H33" s="31"/>
    </row>
    <row r="34" spans="1:8" x14ac:dyDescent="0.25">
      <c r="A34" t="s">
        <v>97</v>
      </c>
      <c r="B34" s="31" t="s">
        <v>617</v>
      </c>
      <c r="C34" s="31" t="s">
        <v>530</v>
      </c>
      <c r="D34" s="32" t="s">
        <v>548</v>
      </c>
      <c r="E34" s="33">
        <v>30844</v>
      </c>
      <c r="F34" s="33" t="s">
        <v>618</v>
      </c>
      <c r="G34" s="33" t="s">
        <v>619</v>
      </c>
      <c r="H34" s="31"/>
    </row>
    <row r="35" spans="1:8" x14ac:dyDescent="0.25">
      <c r="A35" t="s">
        <v>98</v>
      </c>
      <c r="B35" s="31" t="s">
        <v>620</v>
      </c>
      <c r="C35" s="31" t="s">
        <v>530</v>
      </c>
      <c r="D35" s="32" t="s">
        <v>537</v>
      </c>
      <c r="E35" s="33">
        <v>30650</v>
      </c>
      <c r="F35" s="33" t="s">
        <v>621</v>
      </c>
      <c r="G35" s="33" t="s">
        <v>622</v>
      </c>
      <c r="H35" s="31"/>
    </row>
    <row r="36" spans="1:8" x14ac:dyDescent="0.25">
      <c r="A36" t="s">
        <v>99</v>
      </c>
      <c r="B36" s="31" t="s">
        <v>623</v>
      </c>
      <c r="C36" s="31" t="s">
        <v>536</v>
      </c>
      <c r="D36" s="32" t="s">
        <v>531</v>
      </c>
      <c r="E36" s="33">
        <v>30807</v>
      </c>
      <c r="F36" s="33" t="s">
        <v>624</v>
      </c>
      <c r="G36" s="33" t="s">
        <v>625</v>
      </c>
      <c r="H36" s="31"/>
    </row>
    <row r="37" spans="1:8" x14ac:dyDescent="0.25">
      <c r="A37" t="s">
        <v>100</v>
      </c>
      <c r="B37" s="31" t="s">
        <v>626</v>
      </c>
      <c r="C37" s="31" t="s">
        <v>530</v>
      </c>
      <c r="D37" s="32" t="s">
        <v>531</v>
      </c>
      <c r="E37" s="33">
        <v>30833</v>
      </c>
      <c r="F37" s="33" t="s">
        <v>627</v>
      </c>
      <c r="G37" s="33" t="s">
        <v>628</v>
      </c>
      <c r="H37" s="31"/>
    </row>
    <row r="38" spans="1:8" x14ac:dyDescent="0.25">
      <c r="A38" t="s">
        <v>101</v>
      </c>
      <c r="B38" s="31" t="s">
        <v>629</v>
      </c>
      <c r="C38" s="31" t="s">
        <v>530</v>
      </c>
      <c r="D38" s="32" t="s">
        <v>548</v>
      </c>
      <c r="E38" s="33">
        <v>30840</v>
      </c>
      <c r="F38" s="33" t="s">
        <v>630</v>
      </c>
      <c r="G38" s="33" t="s">
        <v>631</v>
      </c>
      <c r="H38" s="31"/>
    </row>
    <row r="39" spans="1:8" x14ac:dyDescent="0.25">
      <c r="A39" t="s">
        <v>102</v>
      </c>
      <c r="B39" s="31" t="s">
        <v>632</v>
      </c>
      <c r="C39" s="31" t="s">
        <v>530</v>
      </c>
      <c r="D39" s="32" t="s">
        <v>531</v>
      </c>
      <c r="E39" s="33">
        <v>30832</v>
      </c>
      <c r="F39" s="33" t="s">
        <v>633</v>
      </c>
      <c r="G39" s="33" t="s">
        <v>634</v>
      </c>
      <c r="H39" s="31"/>
    </row>
    <row r="40" spans="1:8" x14ac:dyDescent="0.25">
      <c r="A40" t="s">
        <v>29</v>
      </c>
      <c r="B40" s="31" t="s">
        <v>635</v>
      </c>
      <c r="C40" s="31" t="s">
        <v>530</v>
      </c>
      <c r="D40" s="32" t="s">
        <v>548</v>
      </c>
      <c r="E40" s="33">
        <v>30844</v>
      </c>
      <c r="F40" s="33" t="s">
        <v>636</v>
      </c>
      <c r="G40" s="33" t="s">
        <v>637</v>
      </c>
      <c r="H40" s="31"/>
    </row>
    <row r="41" spans="1:8" x14ac:dyDescent="0.25">
      <c r="A41" t="s">
        <v>103</v>
      </c>
      <c r="B41" s="31" t="s">
        <v>638</v>
      </c>
      <c r="C41" s="31" t="s">
        <v>530</v>
      </c>
      <c r="D41" s="32" t="s">
        <v>548</v>
      </c>
      <c r="E41" s="33">
        <v>30844</v>
      </c>
      <c r="F41" s="33" t="s">
        <v>639</v>
      </c>
      <c r="G41" s="33" t="s">
        <v>640</v>
      </c>
      <c r="H41" s="31"/>
    </row>
    <row r="42" spans="1:8" x14ac:dyDescent="0.25">
      <c r="A42" t="s">
        <v>24</v>
      </c>
      <c r="B42" s="31" t="s">
        <v>602</v>
      </c>
      <c r="C42" s="31" t="s">
        <v>530</v>
      </c>
      <c r="D42" s="32" t="s">
        <v>548</v>
      </c>
      <c r="E42" s="33">
        <v>30844</v>
      </c>
      <c r="F42" s="33" t="s">
        <v>641</v>
      </c>
      <c r="G42" s="33" t="s">
        <v>642</v>
      </c>
      <c r="H42" s="31"/>
    </row>
    <row r="43" spans="1:8" x14ac:dyDescent="0.25">
      <c r="A43" t="s">
        <v>104</v>
      </c>
      <c r="B43" s="31" t="s">
        <v>638</v>
      </c>
      <c r="C43" s="31" t="s">
        <v>530</v>
      </c>
      <c r="D43" s="32" t="s">
        <v>548</v>
      </c>
      <c r="E43" s="33">
        <v>30844</v>
      </c>
      <c r="F43" s="33" t="s">
        <v>643</v>
      </c>
      <c r="G43" s="37" t="s">
        <v>644</v>
      </c>
      <c r="H43" s="31"/>
    </row>
    <row r="44" spans="1:8" x14ac:dyDescent="0.25">
      <c r="A44" t="s">
        <v>105</v>
      </c>
      <c r="B44" s="31" t="s">
        <v>645</v>
      </c>
      <c r="C44" s="31" t="s">
        <v>530</v>
      </c>
      <c r="D44" s="32" t="s">
        <v>548</v>
      </c>
      <c r="E44" s="33">
        <v>30844</v>
      </c>
      <c r="F44" s="33" t="s">
        <v>646</v>
      </c>
      <c r="G44" s="33" t="s">
        <v>647</v>
      </c>
      <c r="H44" s="31"/>
    </row>
    <row r="45" spans="1:8" x14ac:dyDescent="0.25">
      <c r="A45" t="s">
        <v>106</v>
      </c>
      <c r="B45" s="31" t="s">
        <v>548</v>
      </c>
      <c r="C45" s="31" t="s">
        <v>530</v>
      </c>
      <c r="D45" s="32" t="s">
        <v>548</v>
      </c>
      <c r="E45" s="33">
        <v>30843</v>
      </c>
      <c r="F45" s="33" t="s">
        <v>648</v>
      </c>
      <c r="G45" s="33" t="s">
        <v>649</v>
      </c>
      <c r="H45" s="31"/>
    </row>
    <row r="46" spans="1:8" x14ac:dyDescent="0.25">
      <c r="A46" t="s">
        <v>30</v>
      </c>
      <c r="B46" s="31" t="s">
        <v>620</v>
      </c>
      <c r="C46" s="31" t="s">
        <v>530</v>
      </c>
      <c r="D46" s="32" t="s">
        <v>537</v>
      </c>
      <c r="E46" s="33">
        <v>30650</v>
      </c>
      <c r="F46" s="33" t="s">
        <v>650</v>
      </c>
      <c r="G46" s="33" t="s">
        <v>651</v>
      </c>
      <c r="H46" s="31"/>
    </row>
    <row r="47" spans="1:8" x14ac:dyDescent="0.25">
      <c r="A47" t="s">
        <v>107</v>
      </c>
      <c r="B47" s="31" t="s">
        <v>620</v>
      </c>
      <c r="C47" s="31" t="s">
        <v>530</v>
      </c>
      <c r="D47" s="32" t="s">
        <v>537</v>
      </c>
      <c r="E47" s="33">
        <v>30650</v>
      </c>
      <c r="F47" s="33" t="s">
        <v>652</v>
      </c>
      <c r="G47" s="33" t="s">
        <v>653</v>
      </c>
      <c r="H47" s="31"/>
    </row>
    <row r="48" spans="1:8" x14ac:dyDescent="0.25">
      <c r="A48" t="s">
        <v>13</v>
      </c>
      <c r="B48" s="31" t="s">
        <v>654</v>
      </c>
      <c r="C48" s="31" t="s">
        <v>530</v>
      </c>
      <c r="D48" s="32" t="s">
        <v>537</v>
      </c>
      <c r="E48" s="33">
        <v>30650</v>
      </c>
      <c r="F48" s="33" t="s">
        <v>655</v>
      </c>
      <c r="G48" s="33" t="s">
        <v>656</v>
      </c>
      <c r="H48" s="31"/>
    </row>
    <row r="49" spans="1:8" x14ac:dyDescent="0.25">
      <c r="A49" t="s">
        <v>108</v>
      </c>
      <c r="B49" s="31" t="s">
        <v>605</v>
      </c>
      <c r="C49" s="31" t="s">
        <v>530</v>
      </c>
      <c r="D49" s="32" t="s">
        <v>531</v>
      </c>
      <c r="E49" s="33">
        <v>30838</v>
      </c>
      <c r="F49" s="33" t="s">
        <v>657</v>
      </c>
      <c r="G49" s="33" t="s">
        <v>658</v>
      </c>
      <c r="H49" s="31"/>
    </row>
    <row r="50" spans="1:8" x14ac:dyDescent="0.25">
      <c r="A50" t="s">
        <v>109</v>
      </c>
      <c r="B50" s="31" t="s">
        <v>547</v>
      </c>
      <c r="C50" s="31" t="s">
        <v>530</v>
      </c>
      <c r="D50" s="32" t="s">
        <v>531</v>
      </c>
      <c r="E50" s="33">
        <v>30837</v>
      </c>
      <c r="F50" s="33" t="s">
        <v>659</v>
      </c>
      <c r="G50" s="33" t="s">
        <v>660</v>
      </c>
      <c r="H50" s="31"/>
    </row>
    <row r="51" spans="1:8" x14ac:dyDescent="0.25">
      <c r="A51" t="s">
        <v>110</v>
      </c>
      <c r="B51" s="31" t="s">
        <v>632</v>
      </c>
      <c r="C51" s="31" t="s">
        <v>530</v>
      </c>
      <c r="D51" s="32" t="s">
        <v>531</v>
      </c>
      <c r="E51" s="33">
        <v>30832</v>
      </c>
      <c r="F51" s="33" t="s">
        <v>661</v>
      </c>
      <c r="G51" s="33" t="s">
        <v>662</v>
      </c>
      <c r="H51" s="31"/>
    </row>
    <row r="52" spans="1:8" x14ac:dyDescent="0.25">
      <c r="A52" t="s">
        <v>111</v>
      </c>
      <c r="B52" s="31" t="s">
        <v>663</v>
      </c>
      <c r="C52" s="31" t="s">
        <v>530</v>
      </c>
      <c r="D52" s="32" t="s">
        <v>531</v>
      </c>
      <c r="E52" s="33">
        <v>30835</v>
      </c>
      <c r="F52" s="33" t="s">
        <v>664</v>
      </c>
      <c r="G52" s="33" t="s">
        <v>665</v>
      </c>
      <c r="H52" s="31"/>
    </row>
    <row r="53" spans="1:8" x14ac:dyDescent="0.25">
      <c r="A53" t="s">
        <v>112</v>
      </c>
      <c r="B53" s="31" t="s">
        <v>666</v>
      </c>
      <c r="C53" s="31" t="s">
        <v>530</v>
      </c>
      <c r="D53" s="32" t="s">
        <v>548</v>
      </c>
      <c r="E53" s="33">
        <v>30845</v>
      </c>
      <c r="F53" s="33" t="s">
        <v>667</v>
      </c>
      <c r="G53" s="33" t="s">
        <v>668</v>
      </c>
      <c r="H53" s="31"/>
    </row>
    <row r="54" spans="1:8" x14ac:dyDescent="0.25">
      <c r="A54" t="s">
        <v>113</v>
      </c>
      <c r="B54" s="31" t="s">
        <v>669</v>
      </c>
      <c r="C54" s="31" t="s">
        <v>530</v>
      </c>
      <c r="D54" s="32" t="s">
        <v>548</v>
      </c>
      <c r="E54" s="33">
        <v>30844</v>
      </c>
      <c r="F54" s="33" t="s">
        <v>670</v>
      </c>
      <c r="G54" s="33" t="s">
        <v>671</v>
      </c>
      <c r="H54" s="31"/>
    </row>
    <row r="55" spans="1:8" x14ac:dyDescent="0.25">
      <c r="A55" t="s">
        <v>114</v>
      </c>
      <c r="B55" s="31" t="s">
        <v>669</v>
      </c>
      <c r="C55" s="31" t="s">
        <v>530</v>
      </c>
      <c r="D55" s="32" t="s">
        <v>548</v>
      </c>
      <c r="E55" s="33">
        <v>30844</v>
      </c>
      <c r="F55" s="33" t="s">
        <v>672</v>
      </c>
      <c r="G55" s="33" t="s">
        <v>673</v>
      </c>
      <c r="H55" s="31"/>
    </row>
    <row r="56" spans="1:8" x14ac:dyDescent="0.25">
      <c r="A56" t="s">
        <v>115</v>
      </c>
      <c r="B56" s="31" t="s">
        <v>674</v>
      </c>
      <c r="C56" s="31" t="s">
        <v>530</v>
      </c>
      <c r="D56" s="32" t="s">
        <v>548</v>
      </c>
      <c r="E56" s="33">
        <v>30845</v>
      </c>
      <c r="F56" s="33" t="s">
        <v>675</v>
      </c>
      <c r="G56" s="33" t="s">
        <v>676</v>
      </c>
      <c r="H56" s="31"/>
    </row>
    <row r="57" spans="1:8" x14ac:dyDescent="0.25">
      <c r="A57" t="s">
        <v>116</v>
      </c>
      <c r="B57" s="31" t="s">
        <v>677</v>
      </c>
      <c r="C57" s="31" t="s">
        <v>530</v>
      </c>
      <c r="D57" s="32" t="s">
        <v>548</v>
      </c>
      <c r="E57" s="33">
        <v>30845</v>
      </c>
      <c r="F57" s="33" t="s">
        <v>678</v>
      </c>
      <c r="G57" s="33" t="s">
        <v>679</v>
      </c>
      <c r="H57" s="31"/>
    </row>
    <row r="58" spans="1:8" x14ac:dyDescent="0.25">
      <c r="A58" t="s">
        <v>117</v>
      </c>
      <c r="B58" s="31" t="s">
        <v>654</v>
      </c>
      <c r="C58" s="31" t="s">
        <v>530</v>
      </c>
      <c r="D58" s="32" t="s">
        <v>537</v>
      </c>
      <c r="E58" s="33">
        <v>30650</v>
      </c>
      <c r="F58" s="33" t="s">
        <v>680</v>
      </c>
      <c r="G58" s="33" t="s">
        <v>681</v>
      </c>
      <c r="H58" s="31"/>
    </row>
    <row r="59" spans="1:8" x14ac:dyDescent="0.25">
      <c r="A59" t="s">
        <v>118</v>
      </c>
      <c r="B59" s="31" t="s">
        <v>682</v>
      </c>
      <c r="C59" s="31" t="s">
        <v>530</v>
      </c>
      <c r="D59" s="32" t="s">
        <v>537</v>
      </c>
      <c r="E59" s="33">
        <v>30837</v>
      </c>
      <c r="F59" s="33" t="s">
        <v>683</v>
      </c>
      <c r="G59" s="33" t="s">
        <v>684</v>
      </c>
      <c r="H59" s="31"/>
    </row>
    <row r="60" spans="1:8" x14ac:dyDescent="0.25">
      <c r="A60" t="s">
        <v>119</v>
      </c>
      <c r="B60" s="31" t="s">
        <v>685</v>
      </c>
      <c r="C60" s="31" t="s">
        <v>530</v>
      </c>
      <c r="D60" s="32" t="s">
        <v>537</v>
      </c>
      <c r="E60" s="33">
        <v>30656</v>
      </c>
      <c r="F60" s="33" t="s">
        <v>686</v>
      </c>
      <c r="G60" s="33" t="s">
        <v>687</v>
      </c>
      <c r="H60" s="31"/>
    </row>
    <row r="61" spans="1:8" x14ac:dyDescent="0.25">
      <c r="A61" t="s">
        <v>120</v>
      </c>
      <c r="B61" s="31" t="s">
        <v>688</v>
      </c>
      <c r="C61" s="31" t="s">
        <v>530</v>
      </c>
      <c r="D61" s="32" t="s">
        <v>537</v>
      </c>
      <c r="E61" s="33">
        <v>30837</v>
      </c>
      <c r="F61" s="33" t="s">
        <v>689</v>
      </c>
      <c r="G61" s="33" t="s">
        <v>690</v>
      </c>
      <c r="H61" s="31"/>
    </row>
    <row r="62" spans="1:8" x14ac:dyDescent="0.25">
      <c r="A62" t="s">
        <v>121</v>
      </c>
      <c r="B62" s="31"/>
      <c r="C62" s="31"/>
      <c r="D62" s="32" t="s">
        <v>537</v>
      </c>
      <c r="E62" s="33"/>
      <c r="F62" s="35"/>
      <c r="G62" s="35"/>
      <c r="H62" s="31"/>
    </row>
    <row r="63" spans="1:8" x14ac:dyDescent="0.25">
      <c r="A63" t="s">
        <v>122</v>
      </c>
      <c r="B63" s="31"/>
      <c r="C63" s="31"/>
      <c r="D63" s="32" t="s">
        <v>537</v>
      </c>
      <c r="E63" s="33"/>
      <c r="F63" s="35"/>
      <c r="G63" s="35"/>
      <c r="H63" s="31"/>
    </row>
    <row r="64" spans="1:8" x14ac:dyDescent="0.25">
      <c r="A64" t="s">
        <v>123</v>
      </c>
      <c r="B64" s="31" t="s">
        <v>691</v>
      </c>
      <c r="C64" s="31" t="s">
        <v>530</v>
      </c>
      <c r="D64" s="32" t="s">
        <v>541</v>
      </c>
      <c r="E64" s="33">
        <v>30656</v>
      </c>
      <c r="F64" s="33" t="s">
        <v>692</v>
      </c>
      <c r="G64" s="33" t="s">
        <v>693</v>
      </c>
      <c r="H64" s="31"/>
    </row>
    <row r="65" spans="1:8" x14ac:dyDescent="0.25">
      <c r="A65" t="s">
        <v>124</v>
      </c>
      <c r="B65" s="31" t="s">
        <v>674</v>
      </c>
      <c r="C65" s="31" t="s">
        <v>530</v>
      </c>
      <c r="D65" s="32" t="s">
        <v>548</v>
      </c>
      <c r="E65" s="33">
        <v>30845</v>
      </c>
      <c r="F65" s="33" t="s">
        <v>694</v>
      </c>
      <c r="G65" s="33" t="s">
        <v>695</v>
      </c>
      <c r="H65" s="31"/>
    </row>
    <row r="66" spans="1:8" x14ac:dyDescent="0.25">
      <c r="A66" t="s">
        <v>125</v>
      </c>
      <c r="B66" s="31" t="s">
        <v>696</v>
      </c>
      <c r="C66" s="31" t="s">
        <v>530</v>
      </c>
      <c r="D66" s="32" t="s">
        <v>548</v>
      </c>
      <c r="E66" s="33">
        <v>30845</v>
      </c>
      <c r="F66" s="33" t="s">
        <v>697</v>
      </c>
      <c r="G66" s="33" t="s">
        <v>698</v>
      </c>
      <c r="H66" s="31"/>
    </row>
    <row r="67" spans="1:8" x14ac:dyDescent="0.25">
      <c r="A67" t="s">
        <v>126</v>
      </c>
      <c r="B67" s="31" t="s">
        <v>699</v>
      </c>
      <c r="C67" s="31" t="s">
        <v>530</v>
      </c>
      <c r="D67" s="32" t="s">
        <v>537</v>
      </c>
      <c r="E67" s="33">
        <v>30656</v>
      </c>
      <c r="F67" s="33" t="s">
        <v>700</v>
      </c>
      <c r="G67" s="33" t="s">
        <v>701</v>
      </c>
      <c r="H67" s="31"/>
    </row>
    <row r="68" spans="1:8" x14ac:dyDescent="0.25">
      <c r="A68" t="s">
        <v>127</v>
      </c>
      <c r="B68" s="31"/>
      <c r="C68" s="31"/>
      <c r="D68" s="32" t="s">
        <v>541</v>
      </c>
      <c r="E68" s="33"/>
      <c r="F68" s="35"/>
      <c r="G68" s="35"/>
      <c r="H68" s="31"/>
    </row>
    <row r="69" spans="1:8" x14ac:dyDescent="0.25">
      <c r="A69" t="s">
        <v>128</v>
      </c>
      <c r="B69" s="31" t="s">
        <v>702</v>
      </c>
      <c r="C69" s="31" t="s">
        <v>530</v>
      </c>
      <c r="D69" s="32" t="s">
        <v>548</v>
      </c>
      <c r="E69" s="33">
        <v>30845</v>
      </c>
      <c r="F69" s="33" t="s">
        <v>703</v>
      </c>
      <c r="G69" s="33" t="s">
        <v>704</v>
      </c>
      <c r="H69" s="31"/>
    </row>
    <row r="70" spans="1:8" x14ac:dyDescent="0.25">
      <c r="A70" t="s">
        <v>129</v>
      </c>
      <c r="B70" s="31" t="s">
        <v>705</v>
      </c>
      <c r="C70" s="31" t="s">
        <v>530</v>
      </c>
      <c r="D70" s="32" t="s">
        <v>531</v>
      </c>
      <c r="E70" s="33">
        <v>30827</v>
      </c>
      <c r="F70" s="33" t="s">
        <v>706</v>
      </c>
      <c r="G70" s="33" t="s">
        <v>707</v>
      </c>
      <c r="H70" s="31"/>
    </row>
    <row r="71" spans="1:8" x14ac:dyDescent="0.25">
      <c r="A71" t="s">
        <v>130</v>
      </c>
      <c r="B71" s="31" t="s">
        <v>708</v>
      </c>
      <c r="C71" s="31" t="s">
        <v>530</v>
      </c>
      <c r="D71" s="32" t="s">
        <v>537</v>
      </c>
      <c r="E71" s="33">
        <v>30656</v>
      </c>
      <c r="F71" s="33" t="s">
        <v>709</v>
      </c>
      <c r="G71" s="33" t="s">
        <v>710</v>
      </c>
      <c r="H71" s="31"/>
    </row>
    <row r="72" spans="1:8" x14ac:dyDescent="0.25">
      <c r="A72" t="s">
        <v>131</v>
      </c>
      <c r="B72" s="31" t="s">
        <v>711</v>
      </c>
      <c r="C72" s="31" t="s">
        <v>530</v>
      </c>
      <c r="D72" s="32" t="s">
        <v>548</v>
      </c>
      <c r="E72" s="33">
        <v>30844</v>
      </c>
      <c r="F72" s="33" t="s">
        <v>712</v>
      </c>
      <c r="G72" s="33" t="s">
        <v>713</v>
      </c>
      <c r="H72" s="31"/>
    </row>
    <row r="73" spans="1:8" x14ac:dyDescent="0.25">
      <c r="A73" t="s">
        <v>132</v>
      </c>
      <c r="B73" s="31" t="s">
        <v>714</v>
      </c>
      <c r="C73" s="31" t="s">
        <v>530</v>
      </c>
      <c r="D73" s="32" t="s">
        <v>537</v>
      </c>
      <c r="E73" s="33">
        <v>30650</v>
      </c>
      <c r="F73" s="33" t="s">
        <v>715</v>
      </c>
      <c r="G73" s="33" t="s">
        <v>716</v>
      </c>
      <c r="H73" s="31"/>
    </row>
    <row r="74" spans="1:8" x14ac:dyDescent="0.25">
      <c r="A74" t="s">
        <v>133</v>
      </c>
      <c r="B74" s="31" t="s">
        <v>717</v>
      </c>
      <c r="C74" s="31" t="s">
        <v>530</v>
      </c>
      <c r="D74" s="32" t="s">
        <v>548</v>
      </c>
      <c r="E74" s="33">
        <v>30847</v>
      </c>
      <c r="F74" s="33" t="s">
        <v>718</v>
      </c>
      <c r="G74" s="33" t="s">
        <v>719</v>
      </c>
      <c r="H74" s="31"/>
    </row>
    <row r="75" spans="1:8" x14ac:dyDescent="0.25">
      <c r="A75" s="19" t="s">
        <v>134</v>
      </c>
      <c r="B75" s="38" t="s">
        <v>720</v>
      </c>
      <c r="C75" s="38" t="s">
        <v>530</v>
      </c>
      <c r="D75" s="39" t="s">
        <v>548</v>
      </c>
      <c r="E75" s="40">
        <v>30843</v>
      </c>
      <c r="F75" s="40" t="s">
        <v>721</v>
      </c>
      <c r="G75" s="40" t="s">
        <v>722</v>
      </c>
      <c r="H75" s="38"/>
    </row>
    <row r="76" spans="1:8" x14ac:dyDescent="0.25">
      <c r="A76" t="s">
        <v>32</v>
      </c>
      <c r="B76" s="31" t="s">
        <v>548</v>
      </c>
      <c r="C76" s="31" t="s">
        <v>530</v>
      </c>
      <c r="D76" s="32" t="s">
        <v>548</v>
      </c>
      <c r="E76" s="33">
        <v>30843</v>
      </c>
      <c r="F76" s="33" t="s">
        <v>723</v>
      </c>
      <c r="G76" s="33" t="s">
        <v>724</v>
      </c>
      <c r="H76" s="31" t="s">
        <v>725</v>
      </c>
    </row>
    <row r="77" spans="1:8" x14ac:dyDescent="0.25">
      <c r="A77" t="s">
        <v>135</v>
      </c>
      <c r="B77" s="31" t="s">
        <v>726</v>
      </c>
      <c r="C77" s="31" t="s">
        <v>530</v>
      </c>
      <c r="D77" s="32" t="s">
        <v>537</v>
      </c>
      <c r="E77" s="33">
        <v>30843</v>
      </c>
      <c r="F77" s="33" t="s">
        <v>727</v>
      </c>
      <c r="G77" s="33" t="s">
        <v>728</v>
      </c>
      <c r="H77" s="31" t="s">
        <v>725</v>
      </c>
    </row>
    <row r="78" spans="1:8" x14ac:dyDescent="0.25">
      <c r="A78" t="s">
        <v>136</v>
      </c>
      <c r="B78" s="31" t="s">
        <v>608</v>
      </c>
      <c r="C78" s="31" t="s">
        <v>530</v>
      </c>
      <c r="D78" s="32" t="s">
        <v>548</v>
      </c>
      <c r="E78" s="33">
        <v>30843</v>
      </c>
      <c r="F78" s="33" t="s">
        <v>729</v>
      </c>
      <c r="G78" s="33" t="s">
        <v>730</v>
      </c>
      <c r="H78" s="31" t="s">
        <v>725</v>
      </c>
    </row>
    <row r="79" spans="1:8" x14ac:dyDescent="0.25">
      <c r="A79" t="s">
        <v>137</v>
      </c>
      <c r="B79" s="31"/>
      <c r="C79" s="31"/>
      <c r="D79" s="32" t="s">
        <v>548</v>
      </c>
      <c r="E79" s="33"/>
      <c r="F79" s="35"/>
      <c r="G79" s="35"/>
      <c r="H79" s="36"/>
    </row>
    <row r="80" spans="1:8" x14ac:dyDescent="0.25">
      <c r="A80" t="s">
        <v>138</v>
      </c>
      <c r="B80" s="31" t="s">
        <v>731</v>
      </c>
      <c r="C80" s="31" t="s">
        <v>530</v>
      </c>
      <c r="D80" s="32" t="s">
        <v>548</v>
      </c>
      <c r="E80" s="33">
        <v>30845</v>
      </c>
      <c r="F80" s="33" t="s">
        <v>732</v>
      </c>
      <c r="G80" s="33" t="s">
        <v>733</v>
      </c>
      <c r="H80" s="31" t="s">
        <v>725</v>
      </c>
    </row>
    <row r="81" spans="1:8" x14ac:dyDescent="0.25">
      <c r="A81" t="s">
        <v>139</v>
      </c>
      <c r="B81" s="31" t="s">
        <v>734</v>
      </c>
      <c r="C81" s="31" t="s">
        <v>530</v>
      </c>
      <c r="D81" s="32" t="s">
        <v>537</v>
      </c>
      <c r="E81" s="33">
        <v>30820</v>
      </c>
      <c r="F81" s="33" t="s">
        <v>735</v>
      </c>
      <c r="G81" s="33" t="s">
        <v>736</v>
      </c>
      <c r="H81" s="31" t="s">
        <v>725</v>
      </c>
    </row>
    <row r="82" spans="1:8" x14ac:dyDescent="0.25">
      <c r="A82" t="s">
        <v>140</v>
      </c>
      <c r="B82" s="31" t="s">
        <v>737</v>
      </c>
      <c r="C82" s="31" t="s">
        <v>530</v>
      </c>
      <c r="D82" s="32" t="s">
        <v>531</v>
      </c>
      <c r="E82" s="33">
        <v>30810</v>
      </c>
      <c r="F82" s="33" t="s">
        <v>738</v>
      </c>
      <c r="G82" s="33" t="s">
        <v>739</v>
      </c>
      <c r="H82" s="31"/>
    </row>
    <row r="83" spans="1:8" x14ac:dyDescent="0.25">
      <c r="A83" t="s">
        <v>141</v>
      </c>
      <c r="B83" s="31" t="s">
        <v>599</v>
      </c>
      <c r="C83" s="31" t="s">
        <v>530</v>
      </c>
      <c r="D83" s="32" t="s">
        <v>531</v>
      </c>
      <c r="E83" s="33">
        <v>30814</v>
      </c>
      <c r="F83" s="33" t="s">
        <v>740</v>
      </c>
      <c r="G83" s="33" t="s">
        <v>741</v>
      </c>
      <c r="H83" s="31" t="s">
        <v>725</v>
      </c>
    </row>
    <row r="84" spans="1:8" x14ac:dyDescent="0.25">
      <c r="A84" t="s">
        <v>142</v>
      </c>
      <c r="B84" s="31"/>
      <c r="C84" s="31"/>
      <c r="D84" s="32" t="s">
        <v>531</v>
      </c>
      <c r="E84" s="33"/>
      <c r="F84" s="35"/>
      <c r="G84" s="35"/>
      <c r="H84" s="36" t="s">
        <v>725</v>
      </c>
    </row>
    <row r="85" spans="1:8" x14ac:dyDescent="0.25">
      <c r="A85" t="s">
        <v>143</v>
      </c>
      <c r="B85" s="31" t="s">
        <v>742</v>
      </c>
      <c r="C85" s="31" t="s">
        <v>530</v>
      </c>
      <c r="D85" s="32" t="s">
        <v>548</v>
      </c>
      <c r="E85" s="33">
        <v>30844</v>
      </c>
      <c r="F85" s="33" t="s">
        <v>743</v>
      </c>
      <c r="G85" s="33" t="s">
        <v>744</v>
      </c>
      <c r="H85" s="31" t="s">
        <v>725</v>
      </c>
    </row>
    <row r="86" spans="1:8" x14ac:dyDescent="0.25">
      <c r="A86" t="s">
        <v>144</v>
      </c>
      <c r="B86" s="31" t="s">
        <v>737</v>
      </c>
      <c r="C86" s="31" t="s">
        <v>530</v>
      </c>
      <c r="D86" s="32" t="s">
        <v>531</v>
      </c>
      <c r="E86" s="33">
        <v>30810</v>
      </c>
      <c r="F86" s="33" t="s">
        <v>745</v>
      </c>
      <c r="G86" s="33" t="s">
        <v>746</v>
      </c>
      <c r="H86" s="31"/>
    </row>
    <row r="87" spans="1:8" x14ac:dyDescent="0.25">
      <c r="A87" t="s">
        <v>23</v>
      </c>
      <c r="B87" s="31" t="s">
        <v>632</v>
      </c>
      <c r="C87" s="31" t="s">
        <v>530</v>
      </c>
      <c r="D87" s="32" t="s">
        <v>531</v>
      </c>
      <c r="E87" s="33">
        <v>30832</v>
      </c>
      <c r="F87" s="33" t="s">
        <v>747</v>
      </c>
      <c r="G87" s="37" t="s">
        <v>748</v>
      </c>
      <c r="H87" s="31"/>
    </row>
    <row r="88" spans="1:8" x14ac:dyDescent="0.25">
      <c r="A88" t="s">
        <v>145</v>
      </c>
      <c r="B88" s="25"/>
      <c r="C88" s="31" t="s">
        <v>530</v>
      </c>
      <c r="D88" s="32" t="s">
        <v>557</v>
      </c>
      <c r="E88" s="33"/>
      <c r="F88" s="35"/>
      <c r="G88" s="35"/>
      <c r="H88" s="36"/>
    </row>
    <row r="89" spans="1:8" x14ac:dyDescent="0.25">
      <c r="A89" t="s">
        <v>146</v>
      </c>
      <c r="B89" s="31" t="s">
        <v>632</v>
      </c>
      <c r="C89" s="31" t="s">
        <v>530</v>
      </c>
      <c r="D89" s="32" t="s">
        <v>531</v>
      </c>
      <c r="E89" s="33">
        <v>30832</v>
      </c>
      <c r="F89" s="33" t="s">
        <v>749</v>
      </c>
      <c r="G89" s="33" t="s">
        <v>750</v>
      </c>
      <c r="H89" s="31"/>
    </row>
    <row r="90" spans="1:8" x14ac:dyDescent="0.25">
      <c r="A90" t="s">
        <v>147</v>
      </c>
      <c r="B90" s="31" t="s">
        <v>751</v>
      </c>
      <c r="C90" s="31" t="s">
        <v>530</v>
      </c>
      <c r="D90" s="32" t="s">
        <v>537</v>
      </c>
      <c r="E90" s="33">
        <v>30656</v>
      </c>
      <c r="F90" s="33" t="s">
        <v>752</v>
      </c>
      <c r="G90" s="41" t="s">
        <v>753</v>
      </c>
      <c r="H90" s="31"/>
    </row>
    <row r="91" spans="1:8" x14ac:dyDescent="0.25">
      <c r="A91" t="s">
        <v>148</v>
      </c>
      <c r="B91" s="31" t="s">
        <v>751</v>
      </c>
      <c r="C91" s="31" t="s">
        <v>530</v>
      </c>
      <c r="D91" s="32" t="s">
        <v>548</v>
      </c>
      <c r="E91" s="33">
        <v>30656</v>
      </c>
      <c r="F91" s="33" t="s">
        <v>752</v>
      </c>
      <c r="G91" s="41" t="s">
        <v>753</v>
      </c>
      <c r="H91" s="31"/>
    </row>
    <row r="92" spans="1:8" x14ac:dyDescent="0.25">
      <c r="A92" t="s">
        <v>149</v>
      </c>
      <c r="B92" s="31" t="s">
        <v>751</v>
      </c>
      <c r="C92" s="31" t="s">
        <v>530</v>
      </c>
      <c r="D92" s="32" t="s">
        <v>548</v>
      </c>
      <c r="E92" s="33">
        <v>30656</v>
      </c>
      <c r="F92" s="33" t="s">
        <v>752</v>
      </c>
      <c r="G92" s="41" t="s">
        <v>753</v>
      </c>
      <c r="H92" s="31"/>
    </row>
    <row r="93" spans="1:8" x14ac:dyDescent="0.25">
      <c r="A93" t="s">
        <v>150</v>
      </c>
      <c r="B93" s="31" t="s">
        <v>714</v>
      </c>
      <c r="C93" s="31" t="s">
        <v>530</v>
      </c>
      <c r="D93" s="32" t="s">
        <v>537</v>
      </c>
      <c r="E93" s="33">
        <v>30650</v>
      </c>
      <c r="F93" s="33" t="s">
        <v>754</v>
      </c>
      <c r="G93" s="41" t="s">
        <v>755</v>
      </c>
      <c r="H93" s="31"/>
    </row>
    <row r="94" spans="1:8" x14ac:dyDescent="0.25">
      <c r="A94" t="s">
        <v>151</v>
      </c>
      <c r="B94" s="31" t="s">
        <v>756</v>
      </c>
      <c r="C94" s="31" t="s">
        <v>530</v>
      </c>
      <c r="D94" s="32" t="s">
        <v>531</v>
      </c>
      <c r="E94" s="33">
        <v>30805</v>
      </c>
      <c r="F94" s="33" t="s">
        <v>757</v>
      </c>
      <c r="G94" s="33" t="s">
        <v>758</v>
      </c>
      <c r="H94" s="31"/>
    </row>
    <row r="95" spans="1:8" x14ac:dyDescent="0.25">
      <c r="A95" t="s">
        <v>152</v>
      </c>
      <c r="B95" s="31" t="s">
        <v>654</v>
      </c>
      <c r="C95" s="31" t="s">
        <v>530</v>
      </c>
      <c r="D95" s="32" t="s">
        <v>537</v>
      </c>
      <c r="E95" s="33">
        <v>30650</v>
      </c>
      <c r="F95" s="33" t="s">
        <v>759</v>
      </c>
      <c r="G95" s="41" t="s">
        <v>760</v>
      </c>
      <c r="H95" s="31"/>
    </row>
    <row r="96" spans="1:8" x14ac:dyDescent="0.25">
      <c r="A96" t="s">
        <v>153</v>
      </c>
      <c r="B96" s="31" t="s">
        <v>761</v>
      </c>
      <c r="C96" s="31" t="s">
        <v>530</v>
      </c>
      <c r="D96" s="32" t="s">
        <v>548</v>
      </c>
      <c r="E96" s="33">
        <v>30847</v>
      </c>
      <c r="F96" s="33" t="s">
        <v>762</v>
      </c>
      <c r="G96" s="41"/>
      <c r="H96" s="31" t="s">
        <v>725</v>
      </c>
    </row>
    <row r="97" spans="1:8" x14ac:dyDescent="0.25">
      <c r="A97" t="s">
        <v>154</v>
      </c>
      <c r="B97" s="31" t="s">
        <v>763</v>
      </c>
      <c r="C97" s="31" t="s">
        <v>530</v>
      </c>
      <c r="D97" s="32" t="s">
        <v>531</v>
      </c>
      <c r="E97" s="33">
        <v>30828</v>
      </c>
      <c r="F97" s="33" t="s">
        <v>764</v>
      </c>
      <c r="G97" s="41" t="s">
        <v>765</v>
      </c>
      <c r="H97" s="31" t="s">
        <v>725</v>
      </c>
    </row>
    <row r="98" spans="1:8" x14ac:dyDescent="0.25">
      <c r="A98" t="s">
        <v>155</v>
      </c>
      <c r="B98" s="31" t="s">
        <v>766</v>
      </c>
      <c r="C98" s="31" t="s">
        <v>530</v>
      </c>
      <c r="D98" s="32" t="s">
        <v>537</v>
      </c>
      <c r="E98" s="33">
        <v>30827</v>
      </c>
      <c r="F98" s="33" t="s">
        <v>767</v>
      </c>
      <c r="G98" s="41" t="s">
        <v>768</v>
      </c>
      <c r="H98" s="31" t="s">
        <v>725</v>
      </c>
    </row>
    <row r="99" spans="1:8" x14ac:dyDescent="0.25">
      <c r="A99" t="s">
        <v>156</v>
      </c>
      <c r="B99" s="42" t="s">
        <v>611</v>
      </c>
      <c r="C99" s="31" t="s">
        <v>530</v>
      </c>
      <c r="D99" s="32" t="s">
        <v>548</v>
      </c>
      <c r="E99" s="33">
        <v>30844</v>
      </c>
      <c r="F99" s="33" t="s">
        <v>769</v>
      </c>
      <c r="G99" s="41" t="s">
        <v>770</v>
      </c>
      <c r="H99" s="31" t="s">
        <v>725</v>
      </c>
    </row>
    <row r="100" spans="1:8" x14ac:dyDescent="0.25">
      <c r="A100" t="s">
        <v>157</v>
      </c>
      <c r="B100" s="31"/>
      <c r="C100" s="31" t="s">
        <v>530</v>
      </c>
      <c r="D100" s="32" t="s">
        <v>541</v>
      </c>
      <c r="E100" s="33"/>
      <c r="F100" s="33"/>
      <c r="G100" s="41"/>
      <c r="H100" s="31" t="s">
        <v>725</v>
      </c>
    </row>
    <row r="101" spans="1:8" x14ac:dyDescent="0.25">
      <c r="A101" t="s">
        <v>158</v>
      </c>
      <c r="B101" s="31" t="s">
        <v>771</v>
      </c>
      <c r="C101" s="31" t="s">
        <v>530</v>
      </c>
      <c r="D101" s="32" t="s">
        <v>531</v>
      </c>
      <c r="E101" s="33">
        <v>30820</v>
      </c>
      <c r="F101" s="33" t="s">
        <v>772</v>
      </c>
      <c r="G101" s="41" t="s">
        <v>773</v>
      </c>
      <c r="H101" s="31" t="s">
        <v>774</v>
      </c>
    </row>
    <row r="102" spans="1:8" x14ac:dyDescent="0.25">
      <c r="A102" t="s">
        <v>159</v>
      </c>
      <c r="B102" s="31" t="s">
        <v>775</v>
      </c>
      <c r="C102" s="31" t="s">
        <v>530</v>
      </c>
      <c r="D102" s="32" t="s">
        <v>548</v>
      </c>
      <c r="E102" s="33"/>
      <c r="F102" s="33" t="s">
        <v>776</v>
      </c>
      <c r="G102" s="41" t="s">
        <v>777</v>
      </c>
      <c r="H102" s="31" t="s">
        <v>725</v>
      </c>
    </row>
    <row r="103" spans="1:8" ht="15.75" thickBot="1" x14ac:dyDescent="0.3">
      <c r="A103" s="20" t="s">
        <v>27</v>
      </c>
      <c r="B103" s="43"/>
      <c r="C103" s="43" t="s">
        <v>530</v>
      </c>
      <c r="D103" s="44" t="s">
        <v>531</v>
      </c>
      <c r="E103" s="45"/>
      <c r="F103" s="45" t="s">
        <v>778</v>
      </c>
      <c r="G103" s="46" t="s">
        <v>779</v>
      </c>
      <c r="H103" s="43" t="s">
        <v>725</v>
      </c>
    </row>
    <row r="104" spans="1:8" ht="15.75" thickTop="1" x14ac:dyDescent="0.25">
      <c r="A104" t="s">
        <v>160</v>
      </c>
      <c r="B104" s="47" t="s">
        <v>780</v>
      </c>
      <c r="C104" s="48" t="s">
        <v>781</v>
      </c>
      <c r="D104" s="32" t="s">
        <v>782</v>
      </c>
      <c r="E104" s="33"/>
      <c r="F104" s="33" t="s">
        <v>783</v>
      </c>
      <c r="G104" s="33"/>
      <c r="H104" s="31"/>
    </row>
    <row r="105" spans="1:8" x14ac:dyDescent="0.25">
      <c r="A105" t="s">
        <v>161</v>
      </c>
      <c r="B105" s="49" t="s">
        <v>784</v>
      </c>
      <c r="C105" s="48"/>
      <c r="D105" s="32" t="s">
        <v>782</v>
      </c>
      <c r="E105" s="33"/>
      <c r="F105" s="33" t="s">
        <v>785</v>
      </c>
      <c r="G105" s="33" t="s">
        <v>786</v>
      </c>
      <c r="H105" s="31"/>
    </row>
    <row r="106" spans="1:8" x14ac:dyDescent="0.25">
      <c r="A106" t="s">
        <v>162</v>
      </c>
      <c r="B106" s="48" t="s">
        <v>787</v>
      </c>
      <c r="C106" s="48" t="s">
        <v>781</v>
      </c>
      <c r="D106" s="32" t="s">
        <v>782</v>
      </c>
      <c r="E106" s="33">
        <v>60805</v>
      </c>
      <c r="F106" s="33" t="s">
        <v>788</v>
      </c>
      <c r="G106" s="33" t="s">
        <v>789</v>
      </c>
      <c r="H106" s="31"/>
    </row>
    <row r="107" spans="1:8" x14ac:dyDescent="0.25">
      <c r="A107" t="s">
        <v>163</v>
      </c>
      <c r="B107" s="48" t="s">
        <v>790</v>
      </c>
      <c r="C107" s="48" t="s">
        <v>781</v>
      </c>
      <c r="D107" s="32" t="s">
        <v>791</v>
      </c>
      <c r="E107" s="33">
        <v>60804</v>
      </c>
      <c r="F107" s="33" t="s">
        <v>792</v>
      </c>
      <c r="G107" s="33" t="s">
        <v>793</v>
      </c>
      <c r="H107" s="31"/>
    </row>
    <row r="108" spans="1:8" x14ac:dyDescent="0.25">
      <c r="A108" t="s">
        <v>164</v>
      </c>
      <c r="B108" s="36"/>
      <c r="C108" s="50"/>
      <c r="D108" s="51"/>
      <c r="E108" s="35"/>
      <c r="F108" s="35"/>
      <c r="G108" s="35"/>
      <c r="H108" s="36"/>
    </row>
    <row r="109" spans="1:8" x14ac:dyDescent="0.25">
      <c r="A109" t="s">
        <v>165</v>
      </c>
      <c r="B109" s="48" t="s">
        <v>794</v>
      </c>
      <c r="C109" s="48" t="s">
        <v>781</v>
      </c>
      <c r="D109" s="32" t="s">
        <v>782</v>
      </c>
      <c r="E109" s="33">
        <v>60800</v>
      </c>
      <c r="F109" s="33" t="s">
        <v>795</v>
      </c>
      <c r="G109" s="33" t="s">
        <v>796</v>
      </c>
      <c r="H109" s="31"/>
    </row>
    <row r="110" spans="1:8" x14ac:dyDescent="0.25">
      <c r="A110" t="s">
        <v>166</v>
      </c>
      <c r="B110" s="32" t="s">
        <v>782</v>
      </c>
      <c r="C110" s="48" t="s">
        <v>781</v>
      </c>
      <c r="D110" s="32" t="s">
        <v>782</v>
      </c>
      <c r="E110" s="33">
        <v>60800</v>
      </c>
      <c r="F110" s="33" t="s">
        <v>797</v>
      </c>
      <c r="G110" s="37" t="s">
        <v>798</v>
      </c>
      <c r="H110" s="31"/>
    </row>
    <row r="111" spans="1:8" x14ac:dyDescent="0.25">
      <c r="A111" t="s">
        <v>167</v>
      </c>
      <c r="B111" s="36"/>
      <c r="C111" s="50"/>
      <c r="D111" s="51" t="s">
        <v>782</v>
      </c>
      <c r="E111" s="35"/>
      <c r="F111" s="35"/>
      <c r="G111" s="35"/>
      <c r="H111" s="36"/>
    </row>
    <row r="112" spans="1:8" x14ac:dyDescent="0.25">
      <c r="A112" t="s">
        <v>168</v>
      </c>
      <c r="B112" s="31"/>
      <c r="C112" s="48"/>
      <c r="D112" s="32" t="s">
        <v>782</v>
      </c>
      <c r="E112" s="33"/>
      <c r="F112" s="33"/>
      <c r="G112" s="33"/>
      <c r="H112" s="31"/>
    </row>
    <row r="113" spans="1:8" x14ac:dyDescent="0.25">
      <c r="A113" t="s">
        <v>169</v>
      </c>
      <c r="B113" s="36"/>
      <c r="C113" s="36"/>
      <c r="D113" s="51"/>
      <c r="E113" s="35"/>
      <c r="F113" s="35"/>
      <c r="G113" s="35"/>
      <c r="H113" s="36"/>
    </row>
    <row r="114" spans="1:8" x14ac:dyDescent="0.25">
      <c r="A114" t="s">
        <v>170</v>
      </c>
      <c r="B114" s="36"/>
      <c r="C114" s="36"/>
      <c r="D114" s="51"/>
      <c r="E114" s="35"/>
      <c r="F114" s="35"/>
      <c r="G114" s="35"/>
      <c r="H114" s="36"/>
    </row>
    <row r="115" spans="1:8" x14ac:dyDescent="0.25">
      <c r="A115" t="s">
        <v>171</v>
      </c>
      <c r="B115" s="36"/>
      <c r="C115" s="36"/>
      <c r="D115" s="51"/>
      <c r="E115" s="35"/>
      <c r="F115" s="35"/>
      <c r="G115" s="35"/>
      <c r="H115" s="36"/>
    </row>
    <row r="116" spans="1:8" x14ac:dyDescent="0.25">
      <c r="A116" t="s">
        <v>172</v>
      </c>
      <c r="B116" s="36"/>
      <c r="C116" s="36"/>
      <c r="D116" s="51"/>
      <c r="E116" s="35"/>
      <c r="F116" s="35"/>
      <c r="G116" s="35"/>
      <c r="H116" s="36"/>
    </row>
    <row r="117" spans="1:8" x14ac:dyDescent="0.25">
      <c r="A117" t="s">
        <v>173</v>
      </c>
      <c r="B117" s="31" t="s">
        <v>799</v>
      </c>
      <c r="C117" s="31" t="s">
        <v>781</v>
      </c>
      <c r="D117" s="32" t="s">
        <v>782</v>
      </c>
      <c r="E117" s="33">
        <v>60800</v>
      </c>
      <c r="F117" s="33" t="s">
        <v>800</v>
      </c>
      <c r="G117" s="33" t="s">
        <v>801</v>
      </c>
      <c r="H117" s="31"/>
    </row>
    <row r="118" spans="1:8" x14ac:dyDescent="0.25">
      <c r="A118" t="s">
        <v>174</v>
      </c>
      <c r="B118" s="31" t="s">
        <v>802</v>
      </c>
      <c r="C118" s="31" t="s">
        <v>58</v>
      </c>
      <c r="D118" s="32" t="s">
        <v>803</v>
      </c>
      <c r="E118" s="33">
        <v>28048</v>
      </c>
      <c r="F118" s="33" t="s">
        <v>804</v>
      </c>
      <c r="G118" s="33" t="s">
        <v>805</v>
      </c>
      <c r="H118" s="31"/>
    </row>
    <row r="119" spans="1:8" x14ac:dyDescent="0.25">
      <c r="A119" t="s">
        <v>175</v>
      </c>
      <c r="B119" s="31" t="s">
        <v>806</v>
      </c>
      <c r="C119" s="31" t="s">
        <v>781</v>
      </c>
      <c r="D119" s="32" t="s">
        <v>782</v>
      </c>
      <c r="E119" s="33">
        <v>60807</v>
      </c>
      <c r="F119" s="33" t="s">
        <v>807</v>
      </c>
      <c r="G119" s="33" t="s">
        <v>808</v>
      </c>
      <c r="H119" s="31"/>
    </row>
    <row r="120" spans="1:8" x14ac:dyDescent="0.25">
      <c r="A120" t="s">
        <v>176</v>
      </c>
      <c r="B120" s="31"/>
      <c r="C120" s="31"/>
      <c r="D120" s="32" t="s">
        <v>809</v>
      </c>
      <c r="E120" s="33"/>
      <c r="F120" s="33"/>
      <c r="G120" s="33"/>
      <c r="H120" s="31"/>
    </row>
    <row r="121" spans="1:8" x14ac:dyDescent="0.25">
      <c r="A121" t="s">
        <v>177</v>
      </c>
      <c r="B121" s="31"/>
      <c r="C121" s="31"/>
      <c r="D121" s="32" t="s">
        <v>782</v>
      </c>
      <c r="E121" s="33"/>
      <c r="F121" s="33"/>
      <c r="G121" s="33"/>
      <c r="H121" s="31"/>
    </row>
    <row r="122" spans="1:8" x14ac:dyDescent="0.25">
      <c r="A122" t="s">
        <v>178</v>
      </c>
      <c r="B122" t="s">
        <v>810</v>
      </c>
      <c r="C122" s="31" t="s">
        <v>811</v>
      </c>
      <c r="D122" s="32" t="s">
        <v>782</v>
      </c>
      <c r="E122" s="33">
        <v>60805</v>
      </c>
      <c r="F122" t="s">
        <v>812</v>
      </c>
      <c r="G122" s="33"/>
      <c r="H122" s="31"/>
    </row>
    <row r="123" spans="1:8" x14ac:dyDescent="0.25">
      <c r="A123" t="s">
        <v>179</v>
      </c>
      <c r="B123" s="31" t="s">
        <v>813</v>
      </c>
      <c r="C123" s="31" t="s">
        <v>811</v>
      </c>
      <c r="D123" s="32" t="s">
        <v>782</v>
      </c>
      <c r="E123" s="33"/>
      <c r="F123" s="33" t="s">
        <v>814</v>
      </c>
      <c r="G123" s="33"/>
      <c r="H123" s="31"/>
    </row>
    <row r="124" spans="1:8" x14ac:dyDescent="0.25">
      <c r="A124" t="s">
        <v>180</v>
      </c>
      <c r="B124" s="36"/>
      <c r="C124" s="36"/>
      <c r="D124" s="51"/>
      <c r="E124" s="35"/>
      <c r="F124" s="35"/>
      <c r="G124" s="35"/>
      <c r="H124" s="36"/>
    </row>
    <row r="125" spans="1:8" x14ac:dyDescent="0.25">
      <c r="A125" t="s">
        <v>181</v>
      </c>
      <c r="B125" s="31" t="s">
        <v>815</v>
      </c>
      <c r="C125" s="31" t="s">
        <v>816</v>
      </c>
      <c r="D125" s="32" t="s">
        <v>782</v>
      </c>
      <c r="E125" s="33"/>
      <c r="F125" s="33" t="s">
        <v>817</v>
      </c>
      <c r="G125" s="33" t="s">
        <v>818</v>
      </c>
      <c r="H125" s="31"/>
    </row>
    <row r="126" spans="1:8" x14ac:dyDescent="0.25">
      <c r="A126" s="21" t="s">
        <v>182</v>
      </c>
      <c r="B126" s="36"/>
      <c r="C126" s="36"/>
      <c r="D126" s="51" t="s">
        <v>782</v>
      </c>
      <c r="E126" s="35"/>
      <c r="F126" s="35"/>
      <c r="G126" s="35"/>
      <c r="H126" s="36"/>
    </row>
    <row r="127" spans="1:8" x14ac:dyDescent="0.25">
      <c r="A127" s="22" t="s">
        <v>183</v>
      </c>
      <c r="B127" s="52"/>
      <c r="C127" s="52"/>
      <c r="D127" s="53"/>
      <c r="E127" s="54"/>
      <c r="F127" s="54"/>
      <c r="G127" s="54"/>
      <c r="H127" s="52"/>
    </row>
    <row r="128" spans="1:8" x14ac:dyDescent="0.25">
      <c r="A128" t="s">
        <v>184</v>
      </c>
      <c r="B128" s="31" t="s">
        <v>819</v>
      </c>
      <c r="C128" s="31" t="s">
        <v>58</v>
      </c>
      <c r="D128" s="32" t="s">
        <v>803</v>
      </c>
      <c r="E128" s="33">
        <v>28904</v>
      </c>
      <c r="F128" s="33" t="s">
        <v>820</v>
      </c>
      <c r="G128" s="33" t="s">
        <v>821</v>
      </c>
      <c r="H128" s="31"/>
    </row>
    <row r="129" spans="1:8" x14ac:dyDescent="0.25">
      <c r="A129" t="s">
        <v>185</v>
      </c>
      <c r="B129" s="31" t="s">
        <v>822</v>
      </c>
      <c r="C129" s="31" t="s">
        <v>781</v>
      </c>
      <c r="D129" s="32" t="s">
        <v>782</v>
      </c>
      <c r="E129" s="33">
        <v>60804</v>
      </c>
      <c r="F129" s="33" t="s">
        <v>823</v>
      </c>
      <c r="G129" s="55" t="s">
        <v>824</v>
      </c>
      <c r="H129" s="31"/>
    </row>
    <row r="130" spans="1:8" x14ac:dyDescent="0.25">
      <c r="A130" t="s">
        <v>186</v>
      </c>
      <c r="B130" s="31" t="s">
        <v>825</v>
      </c>
      <c r="C130" s="31" t="s">
        <v>58</v>
      </c>
      <c r="D130" s="32" t="s">
        <v>826</v>
      </c>
      <c r="E130" s="33">
        <v>28900</v>
      </c>
      <c r="F130" s="33" t="s">
        <v>827</v>
      </c>
      <c r="G130" s="33" t="s">
        <v>828</v>
      </c>
      <c r="H130" s="31"/>
    </row>
    <row r="131" spans="1:8" x14ac:dyDescent="0.25">
      <c r="A131" t="s">
        <v>187</v>
      </c>
      <c r="B131" s="31"/>
      <c r="C131" s="31"/>
      <c r="D131" s="32" t="s">
        <v>782</v>
      </c>
      <c r="E131" s="33"/>
      <c r="F131" s="33"/>
      <c r="G131" s="33"/>
      <c r="H131" s="31"/>
    </row>
    <row r="132" spans="1:8" x14ac:dyDescent="0.25">
      <c r="A132" t="s">
        <v>188</v>
      </c>
      <c r="B132" s="36"/>
      <c r="C132" s="36"/>
      <c r="D132" s="51"/>
      <c r="E132" s="35"/>
      <c r="F132" s="35"/>
      <c r="G132" s="35"/>
      <c r="H132" s="36"/>
    </row>
    <row r="133" spans="1:8" x14ac:dyDescent="0.25">
      <c r="A133" t="s">
        <v>189</v>
      </c>
      <c r="B133" s="31" t="s">
        <v>829</v>
      </c>
      <c r="C133" s="31" t="s">
        <v>58</v>
      </c>
      <c r="D133" s="32" t="s">
        <v>58</v>
      </c>
      <c r="E133" s="56">
        <v>28900</v>
      </c>
      <c r="F133" s="33" t="s">
        <v>830</v>
      </c>
      <c r="G133" s="33" t="s">
        <v>831</v>
      </c>
      <c r="H133" s="31"/>
    </row>
    <row r="134" spans="1:8" x14ac:dyDescent="0.25">
      <c r="A134" t="s">
        <v>190</v>
      </c>
      <c r="B134" s="36"/>
      <c r="C134" s="36"/>
      <c r="D134" s="51"/>
      <c r="E134" s="35"/>
      <c r="F134" s="35"/>
      <c r="G134" s="35"/>
      <c r="H134" s="36"/>
    </row>
    <row r="135" spans="1:8" x14ac:dyDescent="0.25">
      <c r="A135" t="s">
        <v>191</v>
      </c>
      <c r="B135" s="31" t="s">
        <v>822</v>
      </c>
      <c r="C135" s="31" t="s">
        <v>781</v>
      </c>
      <c r="D135" s="32" t="s">
        <v>782</v>
      </c>
      <c r="E135" s="33">
        <v>60804</v>
      </c>
      <c r="F135" s="33" t="s">
        <v>832</v>
      </c>
      <c r="G135" s="33" t="s">
        <v>833</v>
      </c>
      <c r="H135" s="31"/>
    </row>
    <row r="136" spans="1:8" x14ac:dyDescent="0.25">
      <c r="A136" t="s">
        <v>192</v>
      </c>
      <c r="B136" s="31" t="s">
        <v>819</v>
      </c>
      <c r="C136" s="31" t="s">
        <v>58</v>
      </c>
      <c r="D136" s="32" t="s">
        <v>826</v>
      </c>
      <c r="E136" s="33">
        <v>28904</v>
      </c>
      <c r="F136" s="33" t="s">
        <v>834</v>
      </c>
      <c r="G136" s="33" t="s">
        <v>835</v>
      </c>
      <c r="H136" s="31"/>
    </row>
    <row r="137" spans="1:8" x14ac:dyDescent="0.25">
      <c r="A137" t="s">
        <v>193</v>
      </c>
      <c r="B137" s="31" t="s">
        <v>825</v>
      </c>
      <c r="C137" s="31" t="s">
        <v>58</v>
      </c>
      <c r="D137" s="32" t="s">
        <v>826</v>
      </c>
      <c r="E137" s="33">
        <v>28900</v>
      </c>
      <c r="F137" s="33" t="s">
        <v>836</v>
      </c>
      <c r="G137" s="33" t="s">
        <v>837</v>
      </c>
      <c r="H137" s="31"/>
    </row>
    <row r="138" spans="1:8" x14ac:dyDescent="0.25">
      <c r="A138" t="s">
        <v>194</v>
      </c>
      <c r="B138" s="36"/>
      <c r="C138" s="36"/>
      <c r="D138" s="51"/>
      <c r="E138" s="35"/>
      <c r="F138" s="35"/>
      <c r="G138" s="35"/>
      <c r="H138" s="36"/>
    </row>
    <row r="139" spans="1:8" x14ac:dyDescent="0.25">
      <c r="A139" t="s">
        <v>195</v>
      </c>
      <c r="B139" s="31" t="s">
        <v>838</v>
      </c>
      <c r="C139" s="31" t="s">
        <v>781</v>
      </c>
      <c r="D139" s="32" t="s">
        <v>782</v>
      </c>
      <c r="E139" s="33">
        <v>60804</v>
      </c>
      <c r="F139" s="33" t="s">
        <v>839</v>
      </c>
      <c r="G139" s="33" t="s">
        <v>840</v>
      </c>
      <c r="H139" s="31"/>
    </row>
    <row r="140" spans="1:8" x14ac:dyDescent="0.25">
      <c r="A140" t="s">
        <v>196</v>
      </c>
      <c r="B140" s="57" t="s">
        <v>841</v>
      </c>
      <c r="C140" s="57" t="s">
        <v>58</v>
      </c>
      <c r="D140" s="32" t="s">
        <v>826</v>
      </c>
      <c r="E140" s="33"/>
      <c r="F140" s="33" t="s">
        <v>842</v>
      </c>
      <c r="G140" s="37" t="s">
        <v>843</v>
      </c>
      <c r="H140" s="31"/>
    </row>
    <row r="141" spans="1:8" x14ac:dyDescent="0.25">
      <c r="A141" t="s">
        <v>197</v>
      </c>
      <c r="B141" s="31" t="s">
        <v>844</v>
      </c>
      <c r="C141" s="31" t="s">
        <v>58</v>
      </c>
      <c r="D141" s="32" t="s">
        <v>826</v>
      </c>
      <c r="E141" s="33">
        <v>28900</v>
      </c>
      <c r="F141" s="33" t="s">
        <v>845</v>
      </c>
      <c r="G141" s="33" t="s">
        <v>846</v>
      </c>
      <c r="H141" s="31"/>
    </row>
    <row r="142" spans="1:8" x14ac:dyDescent="0.25">
      <c r="A142" t="s">
        <v>198</v>
      </c>
      <c r="B142" s="31" t="s">
        <v>847</v>
      </c>
      <c r="C142" s="31" t="s">
        <v>58</v>
      </c>
      <c r="D142" s="32" t="s">
        <v>803</v>
      </c>
      <c r="E142" s="33">
        <v>28935</v>
      </c>
      <c r="F142" s="33" t="s">
        <v>848</v>
      </c>
      <c r="G142" s="33" t="s">
        <v>849</v>
      </c>
      <c r="H142" s="31"/>
    </row>
    <row r="143" spans="1:8" x14ac:dyDescent="0.25">
      <c r="A143" t="s">
        <v>199</v>
      </c>
      <c r="B143" s="57" t="s">
        <v>850</v>
      </c>
      <c r="C143" s="57" t="s">
        <v>816</v>
      </c>
      <c r="D143" s="33" t="s">
        <v>851</v>
      </c>
      <c r="E143" s="33"/>
      <c r="F143" s="33" t="s">
        <v>852</v>
      </c>
      <c r="G143" s="33" t="s">
        <v>853</v>
      </c>
      <c r="H143" s="31"/>
    </row>
    <row r="144" spans="1:8" x14ac:dyDescent="0.25">
      <c r="A144" t="s">
        <v>200</v>
      </c>
      <c r="B144" s="31" t="s">
        <v>854</v>
      </c>
      <c r="C144" s="31" t="s">
        <v>58</v>
      </c>
      <c r="D144" s="32" t="s">
        <v>803</v>
      </c>
      <c r="E144" s="33">
        <v>28944</v>
      </c>
      <c r="F144" s="33" t="s">
        <v>855</v>
      </c>
      <c r="G144" s="33" t="s">
        <v>856</v>
      </c>
      <c r="H144" s="31"/>
    </row>
    <row r="145" spans="1:8" x14ac:dyDescent="0.25">
      <c r="A145" t="s">
        <v>201</v>
      </c>
      <c r="B145" s="31" t="s">
        <v>854</v>
      </c>
      <c r="C145" s="31" t="s">
        <v>58</v>
      </c>
      <c r="D145" s="32" t="s">
        <v>803</v>
      </c>
      <c r="E145" s="33">
        <v>28944</v>
      </c>
      <c r="F145" s="33" t="s">
        <v>857</v>
      </c>
      <c r="G145" s="33" t="s">
        <v>858</v>
      </c>
      <c r="H145" s="31"/>
    </row>
    <row r="146" spans="1:8" x14ac:dyDescent="0.25">
      <c r="A146" t="s">
        <v>202</v>
      </c>
      <c r="B146" s="31" t="s">
        <v>854</v>
      </c>
      <c r="C146" s="31" t="s">
        <v>58</v>
      </c>
      <c r="D146" s="32" t="s">
        <v>803</v>
      </c>
      <c r="E146" s="33">
        <v>28944</v>
      </c>
      <c r="F146" s="33" t="s">
        <v>859</v>
      </c>
      <c r="G146" s="33" t="s">
        <v>860</v>
      </c>
      <c r="H146" s="31"/>
    </row>
    <row r="147" spans="1:8" x14ac:dyDescent="0.25">
      <c r="A147" t="s">
        <v>203</v>
      </c>
      <c r="B147" s="57" t="s">
        <v>854</v>
      </c>
      <c r="C147" s="57" t="s">
        <v>58</v>
      </c>
      <c r="D147" s="33" t="s">
        <v>803</v>
      </c>
      <c r="E147" s="33"/>
      <c r="F147" s="33" t="s">
        <v>861</v>
      </c>
      <c r="G147" s="33" t="s">
        <v>862</v>
      </c>
      <c r="H147" s="31"/>
    </row>
    <row r="148" spans="1:8" x14ac:dyDescent="0.25">
      <c r="A148" t="s">
        <v>204</v>
      </c>
      <c r="B148" s="31" t="s">
        <v>863</v>
      </c>
      <c r="C148" s="31" t="s">
        <v>58</v>
      </c>
      <c r="D148" s="32" t="s">
        <v>803</v>
      </c>
      <c r="E148" s="33">
        <v>28900</v>
      </c>
      <c r="F148" s="33" t="s">
        <v>864</v>
      </c>
      <c r="G148" s="33" t="s">
        <v>865</v>
      </c>
      <c r="H148" s="31"/>
    </row>
    <row r="149" spans="1:8" x14ac:dyDescent="0.25">
      <c r="A149" t="s">
        <v>205</v>
      </c>
      <c r="B149" s="31" t="s">
        <v>863</v>
      </c>
      <c r="C149" s="31" t="s">
        <v>58</v>
      </c>
      <c r="D149" s="32" t="s">
        <v>803</v>
      </c>
      <c r="E149" s="33">
        <v>28900</v>
      </c>
      <c r="F149" s="33" t="s">
        <v>866</v>
      </c>
      <c r="G149" s="33" t="s">
        <v>867</v>
      </c>
      <c r="H149" s="31"/>
    </row>
    <row r="150" spans="1:8" x14ac:dyDescent="0.25">
      <c r="A150" t="s">
        <v>206</v>
      </c>
      <c r="B150" s="31" t="s">
        <v>868</v>
      </c>
      <c r="C150" s="31" t="s">
        <v>58</v>
      </c>
      <c r="D150" s="32" t="s">
        <v>803</v>
      </c>
      <c r="E150" s="33">
        <v>28300</v>
      </c>
      <c r="F150" s="33" t="s">
        <v>869</v>
      </c>
      <c r="G150" s="33" t="s">
        <v>870</v>
      </c>
      <c r="H150" s="31"/>
    </row>
    <row r="151" spans="1:8" x14ac:dyDescent="0.25">
      <c r="A151" t="s">
        <v>207</v>
      </c>
      <c r="B151" s="57" t="s">
        <v>871</v>
      </c>
      <c r="C151" s="57" t="s">
        <v>58</v>
      </c>
      <c r="D151" s="33" t="s">
        <v>803</v>
      </c>
      <c r="E151" s="33"/>
      <c r="F151" s="33" t="s">
        <v>872</v>
      </c>
      <c r="G151" s="33" t="s">
        <v>873</v>
      </c>
      <c r="H151" s="31"/>
    </row>
    <row r="152" spans="1:8" x14ac:dyDescent="0.25">
      <c r="A152" t="s">
        <v>208</v>
      </c>
      <c r="B152" s="36"/>
      <c r="C152" s="36"/>
      <c r="D152" s="51"/>
      <c r="E152" s="35"/>
      <c r="F152" s="35"/>
      <c r="G152" s="35"/>
      <c r="H152" s="36"/>
    </row>
    <row r="153" spans="1:8" x14ac:dyDescent="0.25">
      <c r="A153" t="s">
        <v>209</v>
      </c>
      <c r="B153" s="36"/>
      <c r="C153" s="36"/>
      <c r="D153" s="51"/>
      <c r="E153" s="35"/>
      <c r="F153" s="35"/>
      <c r="G153" s="35"/>
      <c r="H153" s="36"/>
    </row>
    <row r="154" spans="1:8" x14ac:dyDescent="0.25">
      <c r="A154" t="s">
        <v>210</v>
      </c>
      <c r="B154" s="31" t="s">
        <v>874</v>
      </c>
      <c r="C154" s="31" t="s">
        <v>781</v>
      </c>
      <c r="D154" s="32" t="s">
        <v>875</v>
      </c>
      <c r="E154" s="33">
        <v>60800</v>
      </c>
      <c r="F154" s="33" t="s">
        <v>876</v>
      </c>
      <c r="G154" s="33" t="s">
        <v>877</v>
      </c>
      <c r="H154" s="31"/>
    </row>
    <row r="155" spans="1:8" x14ac:dyDescent="0.25">
      <c r="A155" t="s">
        <v>211</v>
      </c>
      <c r="B155" s="48" t="s">
        <v>787</v>
      </c>
      <c r="C155" s="31" t="s">
        <v>781</v>
      </c>
      <c r="D155" s="32" t="s">
        <v>782</v>
      </c>
      <c r="E155" s="33">
        <v>60805</v>
      </c>
      <c r="F155" s="33" t="s">
        <v>878</v>
      </c>
      <c r="G155" s="33" t="s">
        <v>879</v>
      </c>
      <c r="H155" s="31"/>
    </row>
    <row r="156" spans="1:8" x14ac:dyDescent="0.25">
      <c r="A156" t="s">
        <v>212</v>
      </c>
      <c r="B156" s="48" t="s">
        <v>787</v>
      </c>
      <c r="C156" s="31" t="s">
        <v>781</v>
      </c>
      <c r="D156" s="32" t="s">
        <v>803</v>
      </c>
      <c r="E156" s="33">
        <v>60805</v>
      </c>
      <c r="F156" s="33" t="s">
        <v>880</v>
      </c>
      <c r="G156" s="33" t="s">
        <v>881</v>
      </c>
      <c r="H156" s="34"/>
    </row>
    <row r="157" spans="1:8" x14ac:dyDescent="0.25">
      <c r="A157" t="s">
        <v>213</v>
      </c>
      <c r="B157" s="36"/>
      <c r="C157" s="36"/>
      <c r="D157" s="51"/>
      <c r="E157" s="35"/>
      <c r="F157" s="35"/>
      <c r="G157" s="35"/>
      <c r="H157" s="36"/>
    </row>
    <row r="158" spans="1:8" x14ac:dyDescent="0.25">
      <c r="A158" t="s">
        <v>214</v>
      </c>
      <c r="B158" s="31" t="s">
        <v>882</v>
      </c>
      <c r="C158" s="31" t="s">
        <v>58</v>
      </c>
      <c r="D158" s="32" t="s">
        <v>803</v>
      </c>
      <c r="E158" s="33">
        <v>28930</v>
      </c>
      <c r="F158" s="33" t="s">
        <v>883</v>
      </c>
      <c r="G158" s="33" t="s">
        <v>884</v>
      </c>
      <c r="H158" s="34"/>
    </row>
    <row r="159" spans="1:8" x14ac:dyDescent="0.25">
      <c r="A159" t="s">
        <v>215</v>
      </c>
      <c r="B159" s="31"/>
      <c r="C159" s="31"/>
      <c r="D159" s="32" t="s">
        <v>885</v>
      </c>
      <c r="E159" s="33"/>
      <c r="F159" s="33"/>
      <c r="G159" s="33"/>
      <c r="H159" s="31"/>
    </row>
    <row r="160" spans="1:8" x14ac:dyDescent="0.25">
      <c r="A160" t="s">
        <v>216</v>
      </c>
      <c r="B160" s="31" t="s">
        <v>886</v>
      </c>
      <c r="C160" s="31" t="s">
        <v>58</v>
      </c>
      <c r="D160" s="32" t="s">
        <v>885</v>
      </c>
      <c r="E160" s="33">
        <v>28803</v>
      </c>
      <c r="F160" s="33" t="s">
        <v>887</v>
      </c>
      <c r="G160" s="37" t="s">
        <v>888</v>
      </c>
      <c r="H160" s="31"/>
    </row>
    <row r="161" spans="1:8" x14ac:dyDescent="0.25">
      <c r="A161" t="s">
        <v>217</v>
      </c>
      <c r="B161" s="31" t="s">
        <v>889</v>
      </c>
      <c r="C161" s="31" t="s">
        <v>58</v>
      </c>
      <c r="D161" s="32" t="s">
        <v>890</v>
      </c>
      <c r="E161" s="33">
        <v>28834</v>
      </c>
      <c r="F161" s="33" t="s">
        <v>891</v>
      </c>
      <c r="G161" s="33" t="s">
        <v>892</v>
      </c>
      <c r="H161" s="31"/>
    </row>
    <row r="162" spans="1:8" x14ac:dyDescent="0.25">
      <c r="A162" t="s">
        <v>218</v>
      </c>
      <c r="B162" s="31"/>
      <c r="C162" s="31"/>
      <c r="D162" s="32" t="s">
        <v>890</v>
      </c>
      <c r="E162" s="33"/>
      <c r="F162" s="33"/>
      <c r="G162" s="33"/>
      <c r="H162" s="31"/>
    </row>
    <row r="163" spans="1:8" x14ac:dyDescent="0.25">
      <c r="A163" t="s">
        <v>219</v>
      </c>
      <c r="B163" s="31"/>
      <c r="C163" s="31"/>
      <c r="D163" s="32" t="s">
        <v>885</v>
      </c>
      <c r="E163" s="33"/>
      <c r="F163" s="33"/>
      <c r="G163" s="33"/>
      <c r="H163" s="31"/>
    </row>
    <row r="164" spans="1:8" ht="24.75" x14ac:dyDescent="0.25">
      <c r="A164" t="s">
        <v>220</v>
      </c>
      <c r="B164" s="58" t="s">
        <v>893</v>
      </c>
      <c r="C164" s="31" t="s">
        <v>58</v>
      </c>
      <c r="D164" s="32" t="s">
        <v>890</v>
      </c>
      <c r="E164" s="33">
        <v>28838</v>
      </c>
      <c r="F164" t="s">
        <v>894</v>
      </c>
      <c r="G164" s="33"/>
      <c r="H164" s="31"/>
    </row>
    <row r="165" spans="1:8" x14ac:dyDescent="0.25">
      <c r="A165" t="s">
        <v>221</v>
      </c>
      <c r="B165" s="31" t="s">
        <v>886</v>
      </c>
      <c r="C165" s="31" t="s">
        <v>58</v>
      </c>
      <c r="D165" s="32" t="s">
        <v>885</v>
      </c>
      <c r="E165" s="33">
        <v>28803</v>
      </c>
      <c r="F165" s="33" t="s">
        <v>895</v>
      </c>
      <c r="G165" s="33" t="s">
        <v>896</v>
      </c>
      <c r="H165" s="31"/>
    </row>
    <row r="166" spans="1:8" x14ac:dyDescent="0.25">
      <c r="A166" t="s">
        <v>222</v>
      </c>
      <c r="B166" s="31" t="s">
        <v>897</v>
      </c>
      <c r="C166" s="31" t="s">
        <v>898</v>
      </c>
      <c r="D166" s="32" t="s">
        <v>890</v>
      </c>
      <c r="E166" s="33">
        <v>48995</v>
      </c>
      <c r="F166" s="33" t="s">
        <v>899</v>
      </c>
      <c r="G166" s="33" t="s">
        <v>900</v>
      </c>
      <c r="H166" s="31"/>
    </row>
    <row r="167" spans="1:8" x14ac:dyDescent="0.25">
      <c r="A167" t="s">
        <v>223</v>
      </c>
      <c r="B167" s="31"/>
      <c r="C167" s="31"/>
      <c r="D167" s="32"/>
      <c r="E167" s="33"/>
      <c r="F167" s="33"/>
      <c r="G167" s="33"/>
      <c r="H167" s="31"/>
    </row>
    <row r="168" spans="1:8" x14ac:dyDescent="0.25">
      <c r="A168" t="s">
        <v>224</v>
      </c>
      <c r="B168" s="31" t="s">
        <v>897</v>
      </c>
      <c r="C168" s="31" t="s">
        <v>898</v>
      </c>
      <c r="D168" s="32" t="s">
        <v>890</v>
      </c>
      <c r="E168" s="33">
        <v>48995</v>
      </c>
      <c r="F168" s="33" t="s">
        <v>901</v>
      </c>
      <c r="G168" s="33" t="s">
        <v>902</v>
      </c>
      <c r="H168" s="31"/>
    </row>
    <row r="169" spans="1:8" x14ac:dyDescent="0.25">
      <c r="A169" t="s">
        <v>225</v>
      </c>
      <c r="B169" s="36"/>
      <c r="C169" s="36"/>
      <c r="D169" s="51"/>
      <c r="E169" s="35"/>
      <c r="F169" s="35"/>
      <c r="G169" s="35"/>
      <c r="H169" s="36"/>
    </row>
    <row r="170" spans="1:8" x14ac:dyDescent="0.25">
      <c r="A170" t="s">
        <v>226</v>
      </c>
      <c r="B170" s="36" t="s">
        <v>903</v>
      </c>
      <c r="C170" s="36"/>
      <c r="D170" s="51"/>
      <c r="E170" s="35"/>
      <c r="F170" s="35"/>
      <c r="G170" s="35"/>
      <c r="H170" s="36"/>
    </row>
    <row r="171" spans="1:8" x14ac:dyDescent="0.25">
      <c r="A171" t="s">
        <v>227</v>
      </c>
      <c r="B171" s="36"/>
      <c r="C171" s="36"/>
      <c r="D171" s="51"/>
      <c r="E171" s="35"/>
      <c r="F171" s="35"/>
      <c r="G171" s="35"/>
      <c r="H171" s="36"/>
    </row>
    <row r="172" spans="1:8" x14ac:dyDescent="0.25">
      <c r="A172" t="s">
        <v>228</v>
      </c>
      <c r="B172" s="48" t="s">
        <v>787</v>
      </c>
      <c r="C172" s="31" t="s">
        <v>781</v>
      </c>
      <c r="D172" s="32" t="s">
        <v>782</v>
      </c>
      <c r="E172" s="33">
        <v>60806</v>
      </c>
      <c r="F172" s="33" t="s">
        <v>880</v>
      </c>
      <c r="G172" s="33" t="s">
        <v>904</v>
      </c>
      <c r="H172" s="31"/>
    </row>
    <row r="173" spans="1:8" x14ac:dyDescent="0.25">
      <c r="A173" t="s">
        <v>229</v>
      </c>
      <c r="B173" s="48" t="s">
        <v>787</v>
      </c>
      <c r="C173" s="31" t="s">
        <v>781</v>
      </c>
      <c r="D173" s="32" t="s">
        <v>782</v>
      </c>
      <c r="E173" s="59">
        <v>60805</v>
      </c>
      <c r="F173" s="33" t="s">
        <v>905</v>
      </c>
      <c r="G173" s="37" t="s">
        <v>906</v>
      </c>
      <c r="H173" s="31"/>
    </row>
    <row r="174" spans="1:8" x14ac:dyDescent="0.25">
      <c r="A174" t="s">
        <v>230</v>
      </c>
      <c r="B174" s="31" t="s">
        <v>907</v>
      </c>
      <c r="C174" s="31" t="s">
        <v>58</v>
      </c>
      <c r="D174" s="32" t="s">
        <v>907</v>
      </c>
      <c r="E174" s="33">
        <v>28834</v>
      </c>
      <c r="F174" s="33" t="s">
        <v>908</v>
      </c>
      <c r="G174" s="37" t="s">
        <v>909</v>
      </c>
      <c r="H174" s="60"/>
    </row>
    <row r="175" spans="1:8" x14ac:dyDescent="0.25">
      <c r="A175" t="s">
        <v>231</v>
      </c>
      <c r="B175" s="36"/>
      <c r="C175" s="36"/>
      <c r="D175" s="51"/>
      <c r="E175" s="35"/>
      <c r="F175" s="35"/>
      <c r="G175" s="35"/>
      <c r="H175" s="36"/>
    </row>
    <row r="176" spans="1:8" x14ac:dyDescent="0.25">
      <c r="A176" t="s">
        <v>232</v>
      </c>
      <c r="B176" s="31"/>
      <c r="C176" s="31"/>
      <c r="D176" s="32" t="s">
        <v>826</v>
      </c>
      <c r="E176" s="33"/>
      <c r="F176" s="33"/>
      <c r="G176" s="33"/>
      <c r="H176" s="31"/>
    </row>
    <row r="177" spans="1:8" x14ac:dyDescent="0.25">
      <c r="A177" t="s">
        <v>233</v>
      </c>
      <c r="B177" s="31" t="s">
        <v>910</v>
      </c>
      <c r="C177" s="31" t="s">
        <v>58</v>
      </c>
      <c r="D177" s="32" t="s">
        <v>826</v>
      </c>
      <c r="E177" s="33">
        <v>28940</v>
      </c>
      <c r="F177" s="33" t="s">
        <v>911</v>
      </c>
      <c r="G177" s="33" t="s">
        <v>912</v>
      </c>
      <c r="H177" s="31"/>
    </row>
    <row r="178" spans="1:8" x14ac:dyDescent="0.25">
      <c r="A178" s="23" t="s">
        <v>234</v>
      </c>
      <c r="B178" s="36" t="s">
        <v>910</v>
      </c>
      <c r="C178" s="36" t="s">
        <v>58</v>
      </c>
      <c r="D178" s="51" t="s">
        <v>826</v>
      </c>
      <c r="E178" s="35">
        <v>28940</v>
      </c>
      <c r="F178" s="35" t="s">
        <v>913</v>
      </c>
      <c r="G178" s="35" t="s">
        <v>914</v>
      </c>
      <c r="H178" s="36"/>
    </row>
    <row r="179" spans="1:8" x14ac:dyDescent="0.25">
      <c r="A179" t="s">
        <v>235</v>
      </c>
      <c r="B179" s="57" t="s">
        <v>915</v>
      </c>
      <c r="C179" s="57" t="s">
        <v>816</v>
      </c>
      <c r="D179" s="33" t="s">
        <v>916</v>
      </c>
      <c r="E179" s="33"/>
      <c r="F179" s="33" t="s">
        <v>917</v>
      </c>
      <c r="G179" s="33" t="s">
        <v>918</v>
      </c>
      <c r="H179" s="31"/>
    </row>
    <row r="180" spans="1:8" x14ac:dyDescent="0.25">
      <c r="A180" t="s">
        <v>236</v>
      </c>
      <c r="B180" s="31" t="s">
        <v>919</v>
      </c>
      <c r="C180" s="31" t="s">
        <v>816</v>
      </c>
      <c r="D180" s="32" t="s">
        <v>782</v>
      </c>
      <c r="E180" s="33"/>
      <c r="F180" s="33" t="s">
        <v>920</v>
      </c>
      <c r="G180" s="33"/>
      <c r="H180" s="31"/>
    </row>
    <row r="181" spans="1:8" x14ac:dyDescent="0.25">
      <c r="A181" t="s">
        <v>237</v>
      </c>
      <c r="B181" s="31" t="s">
        <v>822</v>
      </c>
      <c r="C181" s="31" t="s">
        <v>781</v>
      </c>
      <c r="D181" s="32" t="s">
        <v>782</v>
      </c>
      <c r="E181" s="33">
        <v>60804</v>
      </c>
      <c r="F181" s="33" t="s">
        <v>921</v>
      </c>
      <c r="G181" s="33" t="s">
        <v>922</v>
      </c>
      <c r="H181" s="31"/>
    </row>
    <row r="182" spans="1:8" x14ac:dyDescent="0.25">
      <c r="A182" t="s">
        <v>238</v>
      </c>
      <c r="B182" s="31" t="s">
        <v>923</v>
      </c>
      <c r="C182" s="31" t="s">
        <v>781</v>
      </c>
      <c r="D182" s="32" t="s">
        <v>782</v>
      </c>
      <c r="E182" s="33">
        <v>60800</v>
      </c>
      <c r="F182" s="33" t="s">
        <v>924</v>
      </c>
      <c r="G182" s="33" t="s">
        <v>925</v>
      </c>
      <c r="H182" s="31"/>
    </row>
    <row r="183" spans="1:8" x14ac:dyDescent="0.25">
      <c r="A183" t="s">
        <v>239</v>
      </c>
      <c r="B183" s="31" t="s">
        <v>926</v>
      </c>
      <c r="C183" s="31" t="s">
        <v>781</v>
      </c>
      <c r="D183" s="32" t="s">
        <v>927</v>
      </c>
      <c r="E183" s="33">
        <v>60807</v>
      </c>
      <c r="F183" s="33" t="s">
        <v>928</v>
      </c>
      <c r="G183" s="33" t="s">
        <v>929</v>
      </c>
      <c r="H183" s="31"/>
    </row>
    <row r="184" spans="1:8" x14ac:dyDescent="0.25">
      <c r="A184" t="s">
        <v>240</v>
      </c>
      <c r="B184" s="31" t="s">
        <v>930</v>
      </c>
      <c r="C184" s="31" t="s">
        <v>781</v>
      </c>
      <c r="D184" s="32" t="s">
        <v>927</v>
      </c>
      <c r="E184" s="33">
        <v>60807</v>
      </c>
      <c r="F184" s="33" t="s">
        <v>931</v>
      </c>
      <c r="G184" s="33" t="s">
        <v>932</v>
      </c>
      <c r="H184" s="31"/>
    </row>
    <row r="185" spans="1:8" x14ac:dyDescent="0.25">
      <c r="A185" t="s">
        <v>241</v>
      </c>
      <c r="B185" s="31" t="s">
        <v>923</v>
      </c>
      <c r="C185" s="31" t="s">
        <v>781</v>
      </c>
      <c r="D185" s="32" t="s">
        <v>782</v>
      </c>
      <c r="E185" s="33">
        <v>60800</v>
      </c>
      <c r="F185" s="33" t="s">
        <v>933</v>
      </c>
      <c r="G185" s="33" t="s">
        <v>934</v>
      </c>
      <c r="H185" s="31"/>
    </row>
    <row r="186" spans="1:8" x14ac:dyDescent="0.25">
      <c r="A186" t="s">
        <v>242</v>
      </c>
      <c r="B186" s="31" t="s">
        <v>923</v>
      </c>
      <c r="C186" s="31" t="s">
        <v>781</v>
      </c>
      <c r="D186" s="32" t="s">
        <v>782</v>
      </c>
      <c r="E186" s="33">
        <v>60800</v>
      </c>
      <c r="F186" s="33" t="s">
        <v>935</v>
      </c>
      <c r="G186" s="33" t="s">
        <v>936</v>
      </c>
      <c r="H186" s="31"/>
    </row>
    <row r="187" spans="1:8" x14ac:dyDescent="0.25">
      <c r="A187" t="s">
        <v>243</v>
      </c>
      <c r="B187" s="48" t="s">
        <v>787</v>
      </c>
      <c r="C187" s="31" t="s">
        <v>781</v>
      </c>
      <c r="D187" s="32" t="s">
        <v>782</v>
      </c>
      <c r="E187" s="33">
        <v>60380</v>
      </c>
      <c r="F187" s="33" t="s">
        <v>937</v>
      </c>
      <c r="G187" s="37" t="s">
        <v>938</v>
      </c>
      <c r="H187" s="31"/>
    </row>
    <row r="188" spans="1:8" x14ac:dyDescent="0.25">
      <c r="A188" t="s">
        <v>244</v>
      </c>
      <c r="B188" s="36"/>
      <c r="C188" s="36"/>
      <c r="D188" s="51"/>
      <c r="E188" s="35"/>
      <c r="F188" s="35"/>
      <c r="G188" s="35"/>
      <c r="H188" s="36"/>
    </row>
    <row r="189" spans="1:8" x14ac:dyDescent="0.25">
      <c r="A189" t="s">
        <v>245</v>
      </c>
      <c r="B189" s="31" t="s">
        <v>939</v>
      </c>
      <c r="C189" s="31"/>
      <c r="D189" s="32" t="s">
        <v>782</v>
      </c>
      <c r="E189" s="59">
        <v>60805</v>
      </c>
      <c r="F189" s="33" t="s">
        <v>940</v>
      </c>
      <c r="G189" s="33"/>
      <c r="H189" s="31"/>
    </row>
    <row r="190" spans="1:8" x14ac:dyDescent="0.25">
      <c r="A190" t="s">
        <v>246</v>
      </c>
      <c r="B190" s="36"/>
      <c r="C190" s="36"/>
      <c r="D190" s="51"/>
      <c r="E190" s="35"/>
      <c r="F190" s="35"/>
      <c r="G190" s="35"/>
      <c r="H190" s="36"/>
    </row>
    <row r="191" spans="1:8" x14ac:dyDescent="0.25">
      <c r="A191" t="s">
        <v>247</v>
      </c>
      <c r="B191" s="36"/>
      <c r="C191" s="36"/>
      <c r="D191" s="51"/>
      <c r="E191" s="35"/>
      <c r="F191" s="35"/>
      <c r="G191" s="35"/>
      <c r="H191" s="36"/>
    </row>
    <row r="192" spans="1:8" x14ac:dyDescent="0.25">
      <c r="A192" t="s">
        <v>248</v>
      </c>
      <c r="B192" s="61" t="s">
        <v>841</v>
      </c>
      <c r="C192" s="61" t="s">
        <v>58</v>
      </c>
      <c r="D192" s="32" t="s">
        <v>826</v>
      </c>
      <c r="E192" s="33">
        <v>28900</v>
      </c>
      <c r="F192" s="33" t="s">
        <v>941</v>
      </c>
      <c r="G192" s="33" t="s">
        <v>942</v>
      </c>
      <c r="H192" s="31"/>
    </row>
    <row r="193" spans="1:8" x14ac:dyDescent="0.25">
      <c r="A193" t="s">
        <v>249</v>
      </c>
      <c r="B193" s="25" t="s">
        <v>844</v>
      </c>
      <c r="C193" s="31" t="s">
        <v>58</v>
      </c>
      <c r="D193" s="32" t="s">
        <v>826</v>
      </c>
      <c r="E193" s="33">
        <v>28900</v>
      </c>
      <c r="F193" s="33"/>
      <c r="G193" s="33"/>
      <c r="H193" s="31"/>
    </row>
    <row r="194" spans="1:8" x14ac:dyDescent="0.25">
      <c r="A194" s="23" t="s">
        <v>250</v>
      </c>
      <c r="B194" s="38"/>
      <c r="C194" s="38"/>
      <c r="D194" s="39" t="s">
        <v>782</v>
      </c>
      <c r="E194" s="40"/>
      <c r="F194" s="40"/>
      <c r="G194" s="40"/>
      <c r="H194" s="38"/>
    </row>
    <row r="195" spans="1:8" x14ac:dyDescent="0.25">
      <c r="A195" t="s">
        <v>251</v>
      </c>
      <c r="B195" s="36"/>
      <c r="C195" s="36"/>
      <c r="D195" s="51"/>
      <c r="E195" s="35"/>
      <c r="F195" s="35"/>
      <c r="G195" s="35"/>
      <c r="H195" s="36"/>
    </row>
    <row r="196" spans="1:8" ht="36.75" x14ac:dyDescent="0.25">
      <c r="A196" t="s">
        <v>252</v>
      </c>
      <c r="B196" s="58" t="s">
        <v>943</v>
      </c>
      <c r="C196" s="31" t="s">
        <v>781</v>
      </c>
      <c r="D196" s="32" t="s">
        <v>782</v>
      </c>
      <c r="E196" s="33"/>
      <c r="F196" t="s">
        <v>944</v>
      </c>
      <c r="G196" s="33"/>
      <c r="H196" s="31"/>
    </row>
    <row r="197" spans="1:8" x14ac:dyDescent="0.25">
      <c r="A197" t="s">
        <v>253</v>
      </c>
      <c r="B197" s="31"/>
      <c r="C197" s="31"/>
      <c r="D197" s="32" t="s">
        <v>927</v>
      </c>
      <c r="E197" s="33"/>
      <c r="F197" s="33"/>
      <c r="G197" s="33"/>
      <c r="H197" s="31"/>
    </row>
    <row r="198" spans="1:8" x14ac:dyDescent="0.25">
      <c r="A198" t="s">
        <v>254</v>
      </c>
      <c r="B198" s="31"/>
      <c r="C198" s="31"/>
      <c r="D198" s="32" t="s">
        <v>782</v>
      </c>
      <c r="E198" s="33"/>
      <c r="F198" s="33"/>
      <c r="G198" s="33"/>
      <c r="H198" s="31"/>
    </row>
    <row r="199" spans="1:8" x14ac:dyDescent="0.25">
      <c r="A199" t="s">
        <v>255</v>
      </c>
      <c r="B199" s="31" t="s">
        <v>923</v>
      </c>
      <c r="C199" s="31" t="s">
        <v>781</v>
      </c>
      <c r="D199" s="32" t="s">
        <v>945</v>
      </c>
      <c r="E199" s="33">
        <v>61800</v>
      </c>
      <c r="F199" s="33" t="s">
        <v>946</v>
      </c>
      <c r="G199" s="33" t="s">
        <v>947</v>
      </c>
      <c r="H199" s="31"/>
    </row>
    <row r="200" spans="1:8" x14ac:dyDescent="0.25">
      <c r="A200" t="s">
        <v>256</v>
      </c>
      <c r="B200" s="31" t="s">
        <v>815</v>
      </c>
      <c r="C200" s="31" t="s">
        <v>816</v>
      </c>
      <c r="D200" s="32" t="s">
        <v>782</v>
      </c>
      <c r="E200" s="33"/>
      <c r="F200" s="33" t="s">
        <v>948</v>
      </c>
      <c r="G200" s="33"/>
      <c r="H200" s="31"/>
    </row>
    <row r="201" spans="1:8" x14ac:dyDescent="0.25">
      <c r="A201" t="s">
        <v>257</v>
      </c>
      <c r="B201" s="31" t="s">
        <v>949</v>
      </c>
      <c r="C201" s="31" t="s">
        <v>781</v>
      </c>
      <c r="D201" s="32" t="s">
        <v>851</v>
      </c>
      <c r="E201" s="33">
        <v>60727</v>
      </c>
      <c r="F201" s="33" t="s">
        <v>950</v>
      </c>
      <c r="G201" s="33" t="s">
        <v>951</v>
      </c>
      <c r="H201" s="31"/>
    </row>
    <row r="202" spans="1:8" ht="15.75" thickBot="1" x14ac:dyDescent="0.3">
      <c r="A202" t="s">
        <v>258</v>
      </c>
      <c r="B202" s="62"/>
      <c r="C202" s="31"/>
      <c r="D202" s="32" t="s">
        <v>782</v>
      </c>
      <c r="E202" s="33"/>
      <c r="F202" s="33"/>
      <c r="G202" s="33"/>
      <c r="H202" s="31"/>
    </row>
    <row r="203" spans="1:8" x14ac:dyDescent="0.25">
      <c r="A203" t="s">
        <v>259</v>
      </c>
      <c r="B203" s="31" t="s">
        <v>841</v>
      </c>
      <c r="C203" s="31" t="s">
        <v>58</v>
      </c>
      <c r="D203" s="32" t="s">
        <v>826</v>
      </c>
      <c r="E203" s="33">
        <v>28900</v>
      </c>
      <c r="F203" s="33" t="s">
        <v>952</v>
      </c>
      <c r="G203" s="33" t="s">
        <v>953</v>
      </c>
      <c r="H203" s="31"/>
    </row>
    <row r="204" spans="1:8" x14ac:dyDescent="0.25">
      <c r="A204" t="s">
        <v>260</v>
      </c>
      <c r="B204" s="36" t="s">
        <v>954</v>
      </c>
      <c r="C204" s="36" t="s">
        <v>58</v>
      </c>
      <c r="D204" s="51" t="s">
        <v>955</v>
      </c>
      <c r="E204" s="35">
        <v>28936</v>
      </c>
      <c r="F204" s="35" t="s">
        <v>956</v>
      </c>
      <c r="G204" s="35" t="s">
        <v>957</v>
      </c>
      <c r="H204" s="36"/>
    </row>
    <row r="205" spans="1:8" x14ac:dyDescent="0.25">
      <c r="A205" t="s">
        <v>261</v>
      </c>
      <c r="B205" s="49" t="s">
        <v>958</v>
      </c>
      <c r="C205" s="31" t="s">
        <v>816</v>
      </c>
      <c r="D205" s="32" t="s">
        <v>782</v>
      </c>
      <c r="E205" s="33"/>
      <c r="F205" s="33" t="s">
        <v>959</v>
      </c>
      <c r="G205" s="33"/>
      <c r="H205" s="31"/>
    </row>
    <row r="206" spans="1:8" x14ac:dyDescent="0.25">
      <c r="A206" s="23" t="s">
        <v>262</v>
      </c>
      <c r="B206" s="36"/>
      <c r="C206" s="36"/>
      <c r="D206" s="51" t="s">
        <v>782</v>
      </c>
      <c r="E206" s="35"/>
      <c r="F206" s="35"/>
      <c r="G206" s="35"/>
      <c r="H206" s="36"/>
    </row>
    <row r="207" spans="1:8" x14ac:dyDescent="0.25">
      <c r="A207" t="s">
        <v>263</v>
      </c>
      <c r="B207" s="36"/>
      <c r="C207" s="31"/>
      <c r="D207" s="32" t="s">
        <v>782</v>
      </c>
      <c r="E207" s="33"/>
      <c r="F207" s="33" t="s">
        <v>960</v>
      </c>
      <c r="G207" s="33"/>
      <c r="H207" s="31"/>
    </row>
    <row r="208" spans="1:8" x14ac:dyDescent="0.25">
      <c r="A208" t="s">
        <v>264</v>
      </c>
      <c r="B208" s="63" t="s">
        <v>813</v>
      </c>
      <c r="C208" s="31" t="s">
        <v>781</v>
      </c>
      <c r="D208" s="32" t="s">
        <v>782</v>
      </c>
      <c r="E208" s="33"/>
      <c r="F208" s="33" t="s">
        <v>961</v>
      </c>
      <c r="G208" s="33"/>
      <c r="H208" s="31"/>
    </row>
    <row r="209" spans="1:8" x14ac:dyDescent="0.25">
      <c r="A209" t="s">
        <v>265</v>
      </c>
      <c r="B209" s="48" t="s">
        <v>787</v>
      </c>
      <c r="C209" s="31" t="s">
        <v>781</v>
      </c>
      <c r="D209" s="32" t="s">
        <v>782</v>
      </c>
      <c r="E209" s="33">
        <v>60805</v>
      </c>
      <c r="F209" s="33" t="s">
        <v>962</v>
      </c>
      <c r="G209" s="33" t="s">
        <v>963</v>
      </c>
      <c r="H209" s="31"/>
    </row>
    <row r="210" spans="1:8" x14ac:dyDescent="0.25">
      <c r="A210" t="s">
        <v>266</v>
      </c>
      <c r="B210" s="48" t="s">
        <v>787</v>
      </c>
      <c r="C210" s="31" t="s">
        <v>781</v>
      </c>
      <c r="D210" s="32" t="s">
        <v>782</v>
      </c>
      <c r="E210" s="33">
        <v>60805</v>
      </c>
      <c r="F210" s="33" t="s">
        <v>964</v>
      </c>
      <c r="G210" s="33" t="s">
        <v>965</v>
      </c>
      <c r="H210" s="31"/>
    </row>
    <row r="211" spans="1:8" x14ac:dyDescent="0.25">
      <c r="A211" t="s">
        <v>267</v>
      </c>
      <c r="B211" s="31"/>
      <c r="C211" s="31"/>
      <c r="D211" s="32" t="s">
        <v>782</v>
      </c>
      <c r="E211" s="33"/>
      <c r="F211" s="33"/>
      <c r="G211" s="33"/>
      <c r="H211" s="31"/>
    </row>
    <row r="212" spans="1:8" x14ac:dyDescent="0.25">
      <c r="A212" t="s">
        <v>268</v>
      </c>
      <c r="B212" s="36"/>
      <c r="C212" s="36"/>
      <c r="D212" s="51" t="s">
        <v>966</v>
      </c>
      <c r="E212" s="35"/>
      <c r="F212" s="35"/>
      <c r="G212" s="35"/>
      <c r="H212" s="36"/>
    </row>
    <row r="213" spans="1:8" x14ac:dyDescent="0.25">
      <c r="A213" t="s">
        <v>269</v>
      </c>
      <c r="B213" s="31" t="s">
        <v>967</v>
      </c>
      <c r="C213" s="31" t="s">
        <v>58</v>
      </c>
      <c r="D213" s="32" t="s">
        <v>803</v>
      </c>
      <c r="E213" s="33">
        <v>28130</v>
      </c>
      <c r="F213" s="33" t="s">
        <v>968</v>
      </c>
      <c r="G213" s="33" t="s">
        <v>969</v>
      </c>
      <c r="H213" s="34"/>
    </row>
    <row r="214" spans="1:8" x14ac:dyDescent="0.25">
      <c r="A214" t="s">
        <v>270</v>
      </c>
      <c r="B214" s="31" t="s">
        <v>970</v>
      </c>
      <c r="C214" s="31" t="s">
        <v>816</v>
      </c>
      <c r="D214" s="32" t="s">
        <v>782</v>
      </c>
      <c r="E214" s="59">
        <v>60805</v>
      </c>
      <c r="F214" s="33" t="s">
        <v>971</v>
      </c>
      <c r="G214" s="33"/>
      <c r="H214" s="31"/>
    </row>
    <row r="215" spans="1:8" x14ac:dyDescent="0.25">
      <c r="A215" t="s">
        <v>271</v>
      </c>
      <c r="B215" s="31" t="s">
        <v>871</v>
      </c>
      <c r="C215" s="31" t="s">
        <v>58</v>
      </c>
      <c r="D215" s="32" t="s">
        <v>803</v>
      </c>
      <c r="E215" s="56">
        <v>28930</v>
      </c>
      <c r="F215" s="33" t="s">
        <v>972</v>
      </c>
      <c r="G215" s="33" t="s">
        <v>973</v>
      </c>
      <c r="H215" s="31"/>
    </row>
    <row r="216" spans="1:8" x14ac:dyDescent="0.25">
      <c r="A216" t="s">
        <v>272</v>
      </c>
      <c r="B216" s="36"/>
      <c r="C216" s="36"/>
      <c r="D216" s="51"/>
      <c r="E216" s="35"/>
      <c r="F216" s="35"/>
      <c r="G216" s="35"/>
      <c r="H216" s="36"/>
    </row>
    <row r="217" spans="1:8" x14ac:dyDescent="0.25">
      <c r="A217" t="s">
        <v>273</v>
      </c>
      <c r="B217" s="31" t="s">
        <v>974</v>
      </c>
      <c r="C217" s="31" t="s">
        <v>816</v>
      </c>
      <c r="D217" s="32" t="s">
        <v>782</v>
      </c>
      <c r="E217" s="33"/>
      <c r="F217" s="33" t="s">
        <v>975</v>
      </c>
      <c r="G217" s="33" t="s">
        <v>976</v>
      </c>
      <c r="H217" s="31"/>
    </row>
    <row r="218" spans="1:8" x14ac:dyDescent="0.25">
      <c r="A218" t="s">
        <v>274</v>
      </c>
      <c r="B218" s="31" t="s">
        <v>977</v>
      </c>
      <c r="C218" s="31" t="s">
        <v>58</v>
      </c>
      <c r="D218" s="32" t="s">
        <v>803</v>
      </c>
      <c r="E218" s="33"/>
      <c r="F218" s="33" t="s">
        <v>978</v>
      </c>
      <c r="G218" s="33" t="s">
        <v>979</v>
      </c>
      <c r="H218" s="34"/>
    </row>
    <row r="219" spans="1:8" x14ac:dyDescent="0.25">
      <c r="A219" t="s">
        <v>275</v>
      </c>
      <c r="B219" s="31"/>
      <c r="C219" s="31"/>
      <c r="D219" s="32" t="s">
        <v>826</v>
      </c>
      <c r="E219" s="33"/>
      <c r="F219" s="33"/>
      <c r="G219" s="33"/>
      <c r="H219" s="31"/>
    </row>
    <row r="220" spans="1:8" x14ac:dyDescent="0.25">
      <c r="A220" t="s">
        <v>276</v>
      </c>
      <c r="B220" s="31"/>
      <c r="C220" s="31"/>
      <c r="D220" s="32" t="s">
        <v>782</v>
      </c>
      <c r="E220" s="33"/>
      <c r="F220" s="33"/>
      <c r="G220" s="33"/>
      <c r="H220" s="31"/>
    </row>
    <row r="221" spans="1:8" x14ac:dyDescent="0.25">
      <c r="A221" s="23" t="s">
        <v>277</v>
      </c>
      <c r="B221" s="36"/>
      <c r="C221" s="36"/>
      <c r="D221" s="51" t="s">
        <v>782</v>
      </c>
      <c r="E221" s="35"/>
      <c r="F221" s="35"/>
      <c r="G221" s="35"/>
      <c r="H221" s="36"/>
    </row>
    <row r="222" spans="1:8" x14ac:dyDescent="0.25">
      <c r="A222" t="s">
        <v>278</v>
      </c>
      <c r="B222" s="31" t="s">
        <v>980</v>
      </c>
      <c r="C222" s="31" t="s">
        <v>781</v>
      </c>
      <c r="D222" s="32" t="s">
        <v>875</v>
      </c>
      <c r="E222" s="33">
        <v>58000</v>
      </c>
      <c r="F222" s="33" t="s">
        <v>981</v>
      </c>
      <c r="G222" s="37" t="s">
        <v>982</v>
      </c>
      <c r="H222" s="31"/>
    </row>
    <row r="223" spans="1:8" x14ac:dyDescent="0.25">
      <c r="A223" t="s">
        <v>279</v>
      </c>
      <c r="B223" s="57" t="s">
        <v>841</v>
      </c>
      <c r="C223" s="57" t="s">
        <v>58</v>
      </c>
      <c r="D223" s="32" t="s">
        <v>826</v>
      </c>
      <c r="E223" s="33"/>
      <c r="F223" s="33" t="s">
        <v>983</v>
      </c>
      <c r="G223" s="33" t="s">
        <v>984</v>
      </c>
      <c r="H223" s="31"/>
    </row>
    <row r="224" spans="1:8" x14ac:dyDescent="0.25">
      <c r="A224" t="s">
        <v>280</v>
      </c>
      <c r="B224" s="31"/>
      <c r="C224" s="31"/>
      <c r="D224" s="32" t="s">
        <v>826</v>
      </c>
      <c r="E224" s="56">
        <v>28930</v>
      </c>
      <c r="F224" s="33"/>
      <c r="G224" s="33"/>
      <c r="H224" s="31"/>
    </row>
    <row r="225" spans="1:8" x14ac:dyDescent="0.25">
      <c r="A225" t="s">
        <v>281</v>
      </c>
      <c r="B225" s="36"/>
      <c r="C225" s="36"/>
      <c r="D225" s="51"/>
      <c r="E225" s="35"/>
      <c r="F225" s="35"/>
      <c r="G225" s="35"/>
      <c r="H225" s="36"/>
    </row>
    <row r="226" spans="1:8" x14ac:dyDescent="0.25">
      <c r="A226" t="s">
        <v>282</v>
      </c>
      <c r="B226" s="33" t="s">
        <v>985</v>
      </c>
      <c r="C226" s="31" t="s">
        <v>781</v>
      </c>
      <c r="D226" s="32" t="s">
        <v>782</v>
      </c>
      <c r="E226" s="33">
        <v>60804</v>
      </c>
      <c r="F226" s="33" t="s">
        <v>986</v>
      </c>
      <c r="G226" s="33" t="s">
        <v>987</v>
      </c>
      <c r="H226" s="31"/>
    </row>
    <row r="227" spans="1:8" x14ac:dyDescent="0.25">
      <c r="A227" t="s">
        <v>283</v>
      </c>
      <c r="B227" s="31"/>
      <c r="C227" s="31"/>
      <c r="D227" s="64"/>
      <c r="E227" s="65"/>
      <c r="F227" s="33"/>
      <c r="G227" s="33"/>
      <c r="H227" s="31"/>
    </row>
    <row r="228" spans="1:8" ht="15.75" thickBot="1" x14ac:dyDescent="0.3">
      <c r="A228" t="s">
        <v>284</v>
      </c>
      <c r="B228" s="62" t="s">
        <v>988</v>
      </c>
      <c r="C228" s="31" t="s">
        <v>816</v>
      </c>
      <c r="D228" s="32" t="s">
        <v>875</v>
      </c>
      <c r="E228" s="33"/>
      <c r="F228" s="33" t="s">
        <v>989</v>
      </c>
      <c r="G228" s="33" t="s">
        <v>990</v>
      </c>
      <c r="H228" s="31"/>
    </row>
    <row r="229" spans="1:8" x14ac:dyDescent="0.25">
      <c r="A229" t="s">
        <v>285</v>
      </c>
      <c r="B229" s="31"/>
      <c r="C229" s="31"/>
      <c r="D229" s="32" t="s">
        <v>875</v>
      </c>
      <c r="E229" s="33"/>
      <c r="F229" s="33"/>
      <c r="G229" s="33"/>
      <c r="H229" s="31"/>
    </row>
    <row r="230" spans="1:8" x14ac:dyDescent="0.25">
      <c r="A230" t="s">
        <v>286</v>
      </c>
      <c r="B230" s="36"/>
      <c r="C230" s="36"/>
      <c r="D230" s="51"/>
      <c r="E230" s="35"/>
      <c r="F230" s="35"/>
      <c r="G230" s="35"/>
      <c r="H230" s="36"/>
    </row>
    <row r="231" spans="1:8" x14ac:dyDescent="0.25">
      <c r="A231" t="s">
        <v>287</v>
      </c>
      <c r="B231" s="36"/>
      <c r="C231" s="36"/>
      <c r="D231" s="51"/>
      <c r="E231" s="35"/>
      <c r="F231" s="35"/>
      <c r="G231" s="35"/>
      <c r="H231" s="36"/>
    </row>
    <row r="232" spans="1:8" x14ac:dyDescent="0.25">
      <c r="A232" t="s">
        <v>288</v>
      </c>
      <c r="B232" s="25"/>
      <c r="C232" s="25"/>
      <c r="D232" s="32" t="s">
        <v>782</v>
      </c>
      <c r="E232" s="33"/>
      <c r="F232" s="33"/>
      <c r="G232" s="33"/>
      <c r="H232" s="31"/>
    </row>
    <row r="233" spans="1:8" x14ac:dyDescent="0.25">
      <c r="A233" t="s">
        <v>289</v>
      </c>
      <c r="B233" s="25"/>
      <c r="C233" s="25"/>
      <c r="D233" s="32" t="s">
        <v>782</v>
      </c>
      <c r="E233" s="33"/>
      <c r="F233" s="33"/>
      <c r="G233" s="33"/>
      <c r="H233" s="31"/>
    </row>
    <row r="234" spans="1:8" x14ac:dyDescent="0.25">
      <c r="A234" t="s">
        <v>290</v>
      </c>
      <c r="B234" s="31" t="s">
        <v>991</v>
      </c>
      <c r="C234" s="31" t="s">
        <v>898</v>
      </c>
      <c r="D234" s="32" t="s">
        <v>890</v>
      </c>
      <c r="E234" s="33">
        <v>48983</v>
      </c>
      <c r="F234" s="33" t="s">
        <v>992</v>
      </c>
      <c r="G234" s="33" t="s">
        <v>993</v>
      </c>
      <c r="H234" s="31"/>
    </row>
    <row r="235" spans="1:8" x14ac:dyDescent="0.25">
      <c r="A235" t="s">
        <v>291</v>
      </c>
      <c r="B235" s="25"/>
      <c r="C235" s="25"/>
      <c r="D235" s="32" t="s">
        <v>875</v>
      </c>
      <c r="E235" s="33"/>
      <c r="F235" s="33"/>
      <c r="G235" s="33"/>
      <c r="H235" s="31"/>
    </row>
    <row r="236" spans="1:8" x14ac:dyDescent="0.25">
      <c r="A236" t="s">
        <v>292</v>
      </c>
      <c r="B236" s="25"/>
      <c r="C236" s="25"/>
      <c r="D236" s="64" t="s">
        <v>994</v>
      </c>
      <c r="E236" s="65"/>
      <c r="F236" s="33"/>
      <c r="G236" s="33"/>
      <c r="H236" s="31"/>
    </row>
    <row r="237" spans="1:8" x14ac:dyDescent="0.25">
      <c r="A237" t="s">
        <v>293</v>
      </c>
      <c r="B237" s="25"/>
      <c r="C237" s="25"/>
      <c r="D237" s="32" t="s">
        <v>782</v>
      </c>
      <c r="E237" s="33"/>
      <c r="F237" s="33"/>
      <c r="G237" s="33"/>
      <c r="H237" s="31"/>
    </row>
    <row r="238" spans="1:8" x14ac:dyDescent="0.25">
      <c r="A238" t="s">
        <v>294</v>
      </c>
      <c r="B238" s="66" t="s">
        <v>995</v>
      </c>
      <c r="C238" s="66" t="s">
        <v>781</v>
      </c>
      <c r="D238" s="39" t="s">
        <v>994</v>
      </c>
      <c r="E238" s="40">
        <v>60806</v>
      </c>
      <c r="F238" s="40" t="s">
        <v>989</v>
      </c>
      <c r="G238" s="67" t="s">
        <v>996</v>
      </c>
      <c r="H238" s="38"/>
    </row>
    <row r="239" spans="1:8" x14ac:dyDescent="0.25">
      <c r="A239" t="s">
        <v>295</v>
      </c>
      <c r="B239" s="25"/>
      <c r="C239" s="25"/>
      <c r="D239" s="64"/>
      <c r="E239" s="65"/>
      <c r="F239" s="33"/>
      <c r="G239" s="33"/>
      <c r="H239" s="31"/>
    </row>
    <row r="240" spans="1:8" x14ac:dyDescent="0.25">
      <c r="A240" t="s">
        <v>296</v>
      </c>
      <c r="B240" s="25"/>
      <c r="C240" s="25"/>
      <c r="D240" s="64"/>
      <c r="E240" s="65"/>
      <c r="F240" s="33"/>
      <c r="G240" s="33"/>
      <c r="H240" s="31"/>
    </row>
    <row r="241" spans="1:8" x14ac:dyDescent="0.25">
      <c r="A241" t="s">
        <v>297</v>
      </c>
      <c r="B241" s="49" t="s">
        <v>997</v>
      </c>
      <c r="C241" s="25" t="s">
        <v>816</v>
      </c>
      <c r="D241" s="32" t="s">
        <v>875</v>
      </c>
      <c r="E241" s="33">
        <v>60806</v>
      </c>
      <c r="F241" s="33" t="s">
        <v>998</v>
      </c>
      <c r="G241" s="33"/>
      <c r="H241" s="31"/>
    </row>
    <row r="242" spans="1:8" x14ac:dyDescent="0.25">
      <c r="A242" t="s">
        <v>298</v>
      </c>
      <c r="B242" s="25"/>
      <c r="C242" s="25"/>
      <c r="D242" s="32" t="s">
        <v>803</v>
      </c>
      <c r="E242" s="33"/>
      <c r="F242" s="33"/>
      <c r="G242" s="33"/>
      <c r="H242" s="34"/>
    </row>
    <row r="243" spans="1:8" x14ac:dyDescent="0.25">
      <c r="A243" t="s">
        <v>299</v>
      </c>
      <c r="B243" s="31" t="s">
        <v>954</v>
      </c>
      <c r="C243" s="31" t="s">
        <v>58</v>
      </c>
      <c r="D243" s="32" t="s">
        <v>803</v>
      </c>
      <c r="E243" s="33">
        <v>28936</v>
      </c>
      <c r="F243" s="33" t="s">
        <v>956</v>
      </c>
      <c r="G243" s="33" t="s">
        <v>957</v>
      </c>
      <c r="H243" s="31"/>
    </row>
    <row r="244" spans="1:8" x14ac:dyDescent="0.25">
      <c r="A244" t="s">
        <v>300</v>
      </c>
      <c r="B244" s="25"/>
      <c r="C244" s="25"/>
      <c r="D244" s="32" t="s">
        <v>782</v>
      </c>
      <c r="E244" s="33"/>
      <c r="F244" s="33"/>
      <c r="G244" s="33"/>
      <c r="H244" s="31"/>
    </row>
    <row r="245" spans="1:8" x14ac:dyDescent="0.25">
      <c r="A245" t="s">
        <v>301</v>
      </c>
      <c r="B245" s="48" t="s">
        <v>787</v>
      </c>
      <c r="C245" s="25" t="s">
        <v>781</v>
      </c>
      <c r="D245" s="32" t="s">
        <v>782</v>
      </c>
      <c r="E245" s="33">
        <v>60805</v>
      </c>
      <c r="F245" s="33" t="s">
        <v>999</v>
      </c>
      <c r="G245" s="37" t="s">
        <v>1000</v>
      </c>
      <c r="H245" s="31"/>
    </row>
    <row r="246" spans="1:8" x14ac:dyDescent="0.25">
      <c r="A246" t="s">
        <v>302</v>
      </c>
      <c r="B246" s="25"/>
      <c r="C246" s="25"/>
      <c r="D246" s="32" t="s">
        <v>826</v>
      </c>
      <c r="E246" s="33"/>
      <c r="F246" s="33"/>
      <c r="G246" s="33"/>
      <c r="H246" s="31"/>
    </row>
    <row r="247" spans="1:8" x14ac:dyDescent="0.25">
      <c r="A247" t="s">
        <v>303</v>
      </c>
      <c r="B247" s="25"/>
      <c r="C247" s="25"/>
      <c r="D247" s="32" t="s">
        <v>803</v>
      </c>
      <c r="E247" s="33"/>
      <c r="F247" s="33"/>
      <c r="G247" s="33"/>
      <c r="H247" s="31"/>
    </row>
    <row r="248" spans="1:8" x14ac:dyDescent="0.25">
      <c r="A248" t="s">
        <v>304</v>
      </c>
      <c r="B248" s="25"/>
      <c r="C248" s="25"/>
      <c r="D248" s="32" t="s">
        <v>875</v>
      </c>
      <c r="E248" s="33"/>
      <c r="F248" s="33"/>
      <c r="G248" s="33"/>
      <c r="H248" s="31"/>
    </row>
    <row r="249" spans="1:8" x14ac:dyDescent="0.25">
      <c r="A249" t="s">
        <v>305</v>
      </c>
      <c r="B249" s="25"/>
      <c r="C249" s="25"/>
      <c r="D249" s="32" t="s">
        <v>782</v>
      </c>
      <c r="E249" s="33"/>
      <c r="F249" s="33"/>
      <c r="G249" s="33"/>
      <c r="H249" s="31"/>
    </row>
    <row r="250" spans="1:8" x14ac:dyDescent="0.25">
      <c r="A250" t="s">
        <v>306</v>
      </c>
      <c r="B250" s="48" t="s">
        <v>787</v>
      </c>
      <c r="C250" s="25" t="s">
        <v>781</v>
      </c>
      <c r="D250" s="32" t="s">
        <v>782</v>
      </c>
      <c r="E250" s="33">
        <v>60805</v>
      </c>
      <c r="F250" s="33" t="s">
        <v>1001</v>
      </c>
      <c r="G250" s="37" t="s">
        <v>1002</v>
      </c>
      <c r="H250" s="31"/>
    </row>
    <row r="251" spans="1:8" x14ac:dyDescent="0.25">
      <c r="A251" t="s">
        <v>307</v>
      </c>
      <c r="B251" s="25"/>
      <c r="C251" s="25"/>
      <c r="D251" s="32" t="s">
        <v>782</v>
      </c>
      <c r="E251" s="33"/>
      <c r="F251" s="33"/>
      <c r="G251" s="33"/>
      <c r="H251" s="31"/>
    </row>
    <row r="252" spans="1:8" x14ac:dyDescent="0.25">
      <c r="A252" t="s">
        <v>308</v>
      </c>
      <c r="B252" s="66"/>
      <c r="C252" s="66"/>
      <c r="D252" s="39" t="s">
        <v>803</v>
      </c>
      <c r="E252" s="40"/>
      <c r="F252" s="40"/>
      <c r="G252" s="40"/>
      <c r="H252" s="38"/>
    </row>
    <row r="253" spans="1:8" x14ac:dyDescent="0.25">
      <c r="A253" t="s">
        <v>309</v>
      </c>
      <c r="B253" s="49" t="s">
        <v>1003</v>
      </c>
      <c r="C253" s="25" t="s">
        <v>58</v>
      </c>
      <c r="D253" s="32" t="s">
        <v>803</v>
      </c>
      <c r="E253" s="33"/>
      <c r="F253" s="33" t="s">
        <v>1004</v>
      </c>
      <c r="G253" s="33" t="s">
        <v>1005</v>
      </c>
      <c r="H253" s="34"/>
    </row>
    <row r="254" spans="1:8" x14ac:dyDescent="0.25">
      <c r="A254" t="s">
        <v>310</v>
      </c>
      <c r="B254" s="25" t="s">
        <v>1006</v>
      </c>
      <c r="C254" s="25" t="s">
        <v>58</v>
      </c>
      <c r="D254" s="32" t="s">
        <v>803</v>
      </c>
      <c r="E254" s="33">
        <v>28906</v>
      </c>
      <c r="F254" s="33" t="s">
        <v>1007</v>
      </c>
      <c r="G254" s="33" t="s">
        <v>1008</v>
      </c>
      <c r="H254" s="31"/>
    </row>
    <row r="255" spans="1:8" x14ac:dyDescent="0.25">
      <c r="A255" t="s">
        <v>311</v>
      </c>
      <c r="B255" s="25" t="s">
        <v>790</v>
      </c>
      <c r="C255" s="25" t="s">
        <v>781</v>
      </c>
      <c r="D255" s="32" t="s">
        <v>791</v>
      </c>
      <c r="E255" s="33">
        <v>60804</v>
      </c>
      <c r="F255" s="33" t="s">
        <v>1009</v>
      </c>
      <c r="G255" s="33" t="s">
        <v>1010</v>
      </c>
      <c r="H255" s="31"/>
    </row>
    <row r="256" spans="1:8" x14ac:dyDescent="0.25">
      <c r="A256" t="s">
        <v>312</v>
      </c>
      <c r="B256" s="25" t="s">
        <v>1011</v>
      </c>
      <c r="C256" s="25" t="s">
        <v>816</v>
      </c>
      <c r="D256" s="32" t="s">
        <v>782</v>
      </c>
      <c r="E256" s="33"/>
      <c r="F256" s="33" t="s">
        <v>1012</v>
      </c>
      <c r="G256" s="33"/>
      <c r="H256" s="31"/>
    </row>
    <row r="257" spans="1:8" x14ac:dyDescent="0.25">
      <c r="A257" t="s">
        <v>313</v>
      </c>
      <c r="B257" s="25"/>
      <c r="C257" s="25"/>
      <c r="D257" s="32" t="s">
        <v>782</v>
      </c>
      <c r="E257" s="33"/>
      <c r="F257" s="33"/>
      <c r="G257" s="33"/>
      <c r="H257" s="31"/>
    </row>
    <row r="258" spans="1:8" x14ac:dyDescent="0.25">
      <c r="A258" t="s">
        <v>314</v>
      </c>
      <c r="B258" s="25"/>
      <c r="C258" s="25"/>
      <c r="D258" s="32" t="s">
        <v>782</v>
      </c>
      <c r="E258" s="33"/>
      <c r="F258" s="33"/>
      <c r="G258" s="33"/>
      <c r="H258" s="31"/>
    </row>
    <row r="259" spans="1:8" x14ac:dyDescent="0.25">
      <c r="A259" t="s">
        <v>315</v>
      </c>
      <c r="B259" s="25"/>
      <c r="C259" s="25"/>
      <c r="D259" s="32" t="s">
        <v>1013</v>
      </c>
      <c r="E259" s="33"/>
      <c r="F259" s="33"/>
      <c r="G259" s="33"/>
      <c r="H259" s="31"/>
    </row>
    <row r="260" spans="1:8" x14ac:dyDescent="0.25">
      <c r="A260" t="s">
        <v>316</v>
      </c>
      <c r="B260" s="25"/>
      <c r="C260" s="25"/>
      <c r="D260" s="68"/>
      <c r="E260" s="25"/>
      <c r="F260" s="25"/>
      <c r="G260" s="25"/>
      <c r="H260" s="34"/>
    </row>
    <row r="261" spans="1:8" x14ac:dyDescent="0.25">
      <c r="A261" t="s">
        <v>317</v>
      </c>
      <c r="B261" s="69"/>
      <c r="C261" s="69"/>
      <c r="D261" s="70"/>
      <c r="E261" s="69"/>
      <c r="F261" s="69"/>
      <c r="G261" s="69"/>
      <c r="H261" s="31"/>
    </row>
    <row r="262" spans="1:8" x14ac:dyDescent="0.25">
      <c r="A262" t="s">
        <v>318</v>
      </c>
      <c r="B262" s="25"/>
      <c r="C262" s="25"/>
      <c r="D262" s="32" t="s">
        <v>782</v>
      </c>
      <c r="E262" s="33"/>
      <c r="F262" s="33"/>
      <c r="G262" s="33"/>
      <c r="H262" s="31"/>
    </row>
    <row r="263" spans="1:8" x14ac:dyDescent="0.25">
      <c r="A263" t="s">
        <v>319</v>
      </c>
      <c r="B263" s="49" t="s">
        <v>1014</v>
      </c>
      <c r="C263" s="25" t="s">
        <v>898</v>
      </c>
      <c r="D263" s="32" t="s">
        <v>890</v>
      </c>
      <c r="E263" s="33"/>
      <c r="F263" s="33" t="s">
        <v>1015</v>
      </c>
      <c r="G263" s="33"/>
      <c r="H263" s="31"/>
    </row>
    <row r="264" spans="1:8" ht="24.75" x14ac:dyDescent="0.25">
      <c r="A264" t="s">
        <v>320</v>
      </c>
      <c r="B264" s="69" t="s">
        <v>1016</v>
      </c>
      <c r="C264" s="25" t="s">
        <v>816</v>
      </c>
      <c r="D264" s="32" t="s">
        <v>1013</v>
      </c>
      <c r="E264" s="33">
        <v>60804</v>
      </c>
      <c r="F264" s="33" t="s">
        <v>1017</v>
      </c>
      <c r="G264" s="33"/>
      <c r="H264" s="31"/>
    </row>
    <row r="265" spans="1:8" ht="24.75" x14ac:dyDescent="0.25">
      <c r="A265" s="23" t="s">
        <v>321</v>
      </c>
      <c r="B265" s="58" t="s">
        <v>1018</v>
      </c>
      <c r="C265" s="71" t="s">
        <v>58</v>
      </c>
      <c r="D265" s="51" t="s">
        <v>803</v>
      </c>
      <c r="E265" s="35"/>
      <c r="F265" s="35"/>
      <c r="G265" s="35"/>
      <c r="H265" s="36"/>
    </row>
    <row r="266" spans="1:8" x14ac:dyDescent="0.25">
      <c r="A266" t="s">
        <v>322</v>
      </c>
      <c r="B266" s="25"/>
      <c r="C266" s="25"/>
      <c r="D266" s="32" t="s">
        <v>782</v>
      </c>
      <c r="E266" s="33"/>
      <c r="F266" s="33"/>
      <c r="G266" s="33"/>
      <c r="H266" s="60"/>
    </row>
    <row r="267" spans="1:8" x14ac:dyDescent="0.25">
      <c r="A267" s="23" t="s">
        <v>323</v>
      </c>
      <c r="B267" s="71"/>
      <c r="C267" s="71"/>
      <c r="D267" s="51" t="s">
        <v>1019</v>
      </c>
      <c r="E267" s="35"/>
      <c r="F267" s="35"/>
      <c r="G267" s="35"/>
      <c r="H267" s="36"/>
    </row>
    <row r="268" spans="1:8" x14ac:dyDescent="0.25">
      <c r="A268" t="s">
        <v>324</v>
      </c>
      <c r="B268" s="25" t="s">
        <v>1020</v>
      </c>
      <c r="C268" s="25" t="s">
        <v>58</v>
      </c>
      <c r="D268" s="32" t="s">
        <v>803</v>
      </c>
      <c r="E268" s="33">
        <v>28944</v>
      </c>
      <c r="F268" s="33" t="s">
        <v>1021</v>
      </c>
      <c r="G268" s="33" t="s">
        <v>1022</v>
      </c>
      <c r="H268" s="31"/>
    </row>
    <row r="269" spans="1:8" x14ac:dyDescent="0.25">
      <c r="A269" t="s">
        <v>325</v>
      </c>
      <c r="B269" s="25"/>
      <c r="C269" s="25"/>
      <c r="D269" s="32" t="s">
        <v>826</v>
      </c>
      <c r="E269" s="33"/>
      <c r="F269" s="33"/>
      <c r="G269" s="33"/>
      <c r="H269" s="31"/>
    </row>
    <row r="270" spans="1:8" x14ac:dyDescent="0.25">
      <c r="A270" t="s">
        <v>326</v>
      </c>
      <c r="B270" s="25" t="s">
        <v>1023</v>
      </c>
      <c r="C270" s="25" t="s">
        <v>58</v>
      </c>
      <c r="D270" s="32" t="s">
        <v>826</v>
      </c>
      <c r="E270" s="33">
        <v>28129</v>
      </c>
      <c r="F270" s="72" t="s">
        <v>1024</v>
      </c>
      <c r="G270" s="37" t="s">
        <v>1025</v>
      </c>
      <c r="H270" s="31"/>
    </row>
    <row r="271" spans="1:8" x14ac:dyDescent="0.25">
      <c r="A271" t="s">
        <v>327</v>
      </c>
      <c r="B271" s="71"/>
      <c r="C271" s="71"/>
      <c r="D271" s="51" t="s">
        <v>782</v>
      </c>
      <c r="E271" s="35"/>
      <c r="F271" s="35"/>
      <c r="G271" s="35"/>
      <c r="H271" s="36"/>
    </row>
    <row r="272" spans="1:8" x14ac:dyDescent="0.25">
      <c r="A272" t="s">
        <v>328</v>
      </c>
      <c r="B272" s="25" t="s">
        <v>1026</v>
      </c>
      <c r="C272" s="25" t="s">
        <v>58</v>
      </c>
      <c r="D272" s="32" t="s">
        <v>826</v>
      </c>
      <c r="E272" s="33">
        <v>28209</v>
      </c>
      <c r="F272" s="72" t="s">
        <v>1027</v>
      </c>
      <c r="G272" s="37" t="s">
        <v>1028</v>
      </c>
      <c r="H272" s="31"/>
    </row>
    <row r="273" spans="1:8" x14ac:dyDescent="0.25">
      <c r="A273" t="s">
        <v>329</v>
      </c>
      <c r="B273" s="73" t="s">
        <v>854</v>
      </c>
      <c r="C273" s="73" t="s">
        <v>58</v>
      </c>
      <c r="D273" s="33" t="s">
        <v>803</v>
      </c>
      <c r="E273" s="33"/>
      <c r="F273" s="33" t="s">
        <v>1029</v>
      </c>
      <c r="G273" s="33" t="s">
        <v>1030</v>
      </c>
      <c r="H273" s="31"/>
    </row>
    <row r="274" spans="1:8" x14ac:dyDescent="0.25">
      <c r="A274" t="s">
        <v>330</v>
      </c>
      <c r="B274" s="25" t="s">
        <v>1031</v>
      </c>
      <c r="C274" s="25" t="s">
        <v>781</v>
      </c>
      <c r="D274" s="32" t="s">
        <v>782</v>
      </c>
      <c r="E274" s="33">
        <v>60810</v>
      </c>
      <c r="F274" s="33" t="s">
        <v>1032</v>
      </c>
      <c r="G274" s="33" t="s">
        <v>1033</v>
      </c>
      <c r="H274" s="31"/>
    </row>
    <row r="275" spans="1:8" x14ac:dyDescent="0.25">
      <c r="A275" t="s">
        <v>331</v>
      </c>
      <c r="B275" s="25" t="s">
        <v>1034</v>
      </c>
      <c r="C275" s="25" t="s">
        <v>58</v>
      </c>
      <c r="D275" s="32" t="s">
        <v>1035</v>
      </c>
      <c r="E275" s="33">
        <v>28906</v>
      </c>
      <c r="F275" s="33" t="s">
        <v>1036</v>
      </c>
      <c r="G275" s="33" t="s">
        <v>1037</v>
      </c>
      <c r="H275" s="31"/>
    </row>
    <row r="276" spans="1:8" x14ac:dyDescent="0.25">
      <c r="A276" t="s">
        <v>332</v>
      </c>
      <c r="B276" s="25" t="s">
        <v>1038</v>
      </c>
      <c r="C276" s="25" t="s">
        <v>58</v>
      </c>
      <c r="D276" s="32" t="s">
        <v>1039</v>
      </c>
      <c r="E276" s="56">
        <v>28930</v>
      </c>
      <c r="F276" s="33" t="s">
        <v>1040</v>
      </c>
      <c r="G276" s="33"/>
      <c r="H276" s="31"/>
    </row>
    <row r="277" spans="1:8" x14ac:dyDescent="0.25">
      <c r="A277" t="s">
        <v>333</v>
      </c>
      <c r="B277" s="25" t="s">
        <v>1041</v>
      </c>
      <c r="C277" s="25" t="s">
        <v>58</v>
      </c>
      <c r="D277" s="32" t="s">
        <v>1042</v>
      </c>
      <c r="E277" s="33"/>
      <c r="F277" s="33" t="s">
        <v>1043</v>
      </c>
      <c r="G277" s="37" t="s">
        <v>1044</v>
      </c>
      <c r="H277" s="31"/>
    </row>
    <row r="278" spans="1:8" x14ac:dyDescent="0.25">
      <c r="A278" t="s">
        <v>334</v>
      </c>
      <c r="B278" s="25" t="s">
        <v>1045</v>
      </c>
      <c r="C278" s="25" t="s">
        <v>58</v>
      </c>
      <c r="D278" s="32" t="s">
        <v>1046</v>
      </c>
      <c r="E278" s="33">
        <v>28915</v>
      </c>
      <c r="F278" s="33" t="s">
        <v>1047</v>
      </c>
      <c r="G278" s="33" t="s">
        <v>1048</v>
      </c>
      <c r="H278" s="31"/>
    </row>
    <row r="279" spans="1:8" x14ac:dyDescent="0.25">
      <c r="A279" t="s">
        <v>335</v>
      </c>
      <c r="B279" s="25"/>
      <c r="C279" s="25"/>
      <c r="D279" s="32" t="s">
        <v>890</v>
      </c>
      <c r="E279" s="33"/>
      <c r="F279" s="33"/>
      <c r="G279" s="33"/>
      <c r="H279" s="31"/>
    </row>
    <row r="280" spans="1:8" x14ac:dyDescent="0.25">
      <c r="A280" t="s">
        <v>336</v>
      </c>
      <c r="B280" s="25" t="s">
        <v>1049</v>
      </c>
      <c r="C280" s="25" t="s">
        <v>781</v>
      </c>
      <c r="D280" s="32" t="s">
        <v>782</v>
      </c>
      <c r="E280" s="33">
        <v>60805</v>
      </c>
      <c r="F280" s="33" t="s">
        <v>1050</v>
      </c>
      <c r="G280" s="33"/>
      <c r="H280" s="31"/>
    </row>
    <row r="281" spans="1:8" x14ac:dyDescent="0.25">
      <c r="A281" t="s">
        <v>337</v>
      </c>
      <c r="B281" s="48" t="s">
        <v>787</v>
      </c>
      <c r="C281" s="73" t="s">
        <v>816</v>
      </c>
      <c r="D281" s="32" t="s">
        <v>782</v>
      </c>
      <c r="E281" s="33">
        <v>60970</v>
      </c>
      <c r="F281" s="33" t="s">
        <v>1051</v>
      </c>
      <c r="G281" s="37" t="s">
        <v>1052</v>
      </c>
      <c r="H281" s="31"/>
    </row>
    <row r="282" spans="1:8" x14ac:dyDescent="0.25">
      <c r="A282" t="s">
        <v>338</v>
      </c>
      <c r="B282" s="25"/>
      <c r="C282" s="25"/>
      <c r="D282" s="32" t="s">
        <v>1053</v>
      </c>
      <c r="E282" s="33"/>
      <c r="F282" s="33"/>
      <c r="G282" s="33"/>
      <c r="H282" s="31"/>
    </row>
    <row r="283" spans="1:8" x14ac:dyDescent="0.25">
      <c r="A283" t="s">
        <v>339</v>
      </c>
      <c r="B283" s="25" t="s">
        <v>844</v>
      </c>
      <c r="C283" s="31" t="s">
        <v>58</v>
      </c>
      <c r="D283" s="32" t="s">
        <v>826</v>
      </c>
      <c r="E283" s="33">
        <v>28900</v>
      </c>
      <c r="F283" s="33"/>
      <c r="G283" s="33"/>
      <c r="H283" s="31"/>
    </row>
    <row r="284" spans="1:8" x14ac:dyDescent="0.25">
      <c r="A284" t="s">
        <v>340</v>
      </c>
      <c r="B284" t="s">
        <v>810</v>
      </c>
      <c r="C284" s="73" t="s">
        <v>816</v>
      </c>
      <c r="D284" s="32" t="s">
        <v>782</v>
      </c>
      <c r="E284" s="33"/>
      <c r="F284" s="33"/>
      <c r="G284" s="33"/>
      <c r="H284" s="31"/>
    </row>
    <row r="285" spans="1:8" x14ac:dyDescent="0.25">
      <c r="A285" s="23" t="s">
        <v>341</v>
      </c>
      <c r="B285" s="71"/>
      <c r="C285" s="71"/>
      <c r="D285" s="51" t="s">
        <v>1054</v>
      </c>
      <c r="E285" s="35"/>
      <c r="F285" s="35"/>
      <c r="G285" s="35"/>
      <c r="H285" s="36"/>
    </row>
    <row r="286" spans="1:8" x14ac:dyDescent="0.25">
      <c r="A286" t="s">
        <v>342</v>
      </c>
      <c r="B286" s="73" t="s">
        <v>841</v>
      </c>
      <c r="C286" s="73" t="s">
        <v>58</v>
      </c>
      <c r="D286" s="32" t="s">
        <v>826</v>
      </c>
      <c r="E286" s="33"/>
      <c r="F286" s="33" t="s">
        <v>1055</v>
      </c>
      <c r="G286" s="33" t="s">
        <v>1056</v>
      </c>
      <c r="H286" s="31"/>
    </row>
    <row r="287" spans="1:8" x14ac:dyDescent="0.25">
      <c r="A287" t="s">
        <v>343</v>
      </c>
      <c r="B287" s="25"/>
      <c r="C287" s="25"/>
      <c r="D287" s="32" t="s">
        <v>1042</v>
      </c>
      <c r="E287" s="33"/>
      <c r="F287" s="33"/>
      <c r="G287" s="33"/>
      <c r="H287" s="31"/>
    </row>
    <row r="288" spans="1:8" x14ac:dyDescent="0.25">
      <c r="A288" t="s">
        <v>344</v>
      </c>
      <c r="B288" s="25" t="s">
        <v>1057</v>
      </c>
      <c r="C288" s="25" t="s">
        <v>58</v>
      </c>
      <c r="D288" s="32" t="s">
        <v>803</v>
      </c>
      <c r="E288" s="56">
        <v>28940</v>
      </c>
      <c r="F288" s="33" t="s">
        <v>1058</v>
      </c>
      <c r="G288" s="33"/>
      <c r="H288" s="31"/>
    </row>
    <row r="289" spans="1:8" x14ac:dyDescent="0.25">
      <c r="A289" t="s">
        <v>345</v>
      </c>
      <c r="B289" s="49" t="s">
        <v>813</v>
      </c>
      <c r="C289" s="25" t="s">
        <v>816</v>
      </c>
      <c r="D289" s="32" t="s">
        <v>782</v>
      </c>
      <c r="E289" s="33"/>
      <c r="F289" s="33" t="s">
        <v>1059</v>
      </c>
      <c r="G289" s="33"/>
      <c r="H289" s="31"/>
    </row>
    <row r="290" spans="1:8" x14ac:dyDescent="0.25">
      <c r="A290" t="s">
        <v>346</v>
      </c>
      <c r="B290" s="73" t="s">
        <v>874</v>
      </c>
      <c r="C290" s="73" t="s">
        <v>816</v>
      </c>
      <c r="D290" s="33" t="s">
        <v>1060</v>
      </c>
      <c r="E290" s="33"/>
      <c r="F290" s="33" t="s">
        <v>1061</v>
      </c>
      <c r="G290" s="33" t="s">
        <v>1062</v>
      </c>
      <c r="H290" s="31"/>
    </row>
    <row r="291" spans="1:8" x14ac:dyDescent="0.25">
      <c r="A291" t="s">
        <v>347</v>
      </c>
      <c r="B291" s="25" t="s">
        <v>871</v>
      </c>
      <c r="C291" s="25" t="s">
        <v>58</v>
      </c>
      <c r="D291" s="32" t="s">
        <v>1042</v>
      </c>
      <c r="E291" s="33">
        <v>28930</v>
      </c>
      <c r="F291" s="33" t="s">
        <v>972</v>
      </c>
      <c r="G291" s="37" t="s">
        <v>1063</v>
      </c>
      <c r="H291" s="31"/>
    </row>
    <row r="292" spans="1:8" x14ac:dyDescent="0.25">
      <c r="A292" s="24" t="s">
        <v>348</v>
      </c>
      <c r="B292" s="25" t="s">
        <v>1064</v>
      </c>
      <c r="C292" s="25" t="s">
        <v>781</v>
      </c>
      <c r="D292" s="32" t="s">
        <v>782</v>
      </c>
      <c r="E292" s="33"/>
      <c r="F292" s="25" t="s">
        <v>1065</v>
      </c>
      <c r="G292" s="33"/>
      <c r="H292" s="31"/>
    </row>
    <row r="293" spans="1:8" x14ac:dyDescent="0.25">
      <c r="A293" t="s">
        <v>349</v>
      </c>
      <c r="B293" s="25"/>
      <c r="C293" s="25"/>
      <c r="D293" s="32" t="s">
        <v>782</v>
      </c>
      <c r="E293" s="33"/>
      <c r="F293" s="33"/>
      <c r="G293" s="33"/>
      <c r="H293" s="31"/>
    </row>
    <row r="294" spans="1:8" x14ac:dyDescent="0.25">
      <c r="A294" t="s">
        <v>350</v>
      </c>
      <c r="B294" s="48" t="s">
        <v>787</v>
      </c>
      <c r="C294" s="73" t="s">
        <v>816</v>
      </c>
      <c r="D294" s="33" t="s">
        <v>782</v>
      </c>
      <c r="E294" s="33">
        <v>60805</v>
      </c>
      <c r="F294" s="33" t="s">
        <v>1066</v>
      </c>
      <c r="G294" s="37" t="s">
        <v>1067</v>
      </c>
      <c r="H294" s="31"/>
    </row>
    <row r="295" spans="1:8" x14ac:dyDescent="0.25">
      <c r="A295" t="s">
        <v>351</v>
      </c>
      <c r="B295" s="25"/>
      <c r="C295" s="25"/>
      <c r="D295" s="32" t="s">
        <v>875</v>
      </c>
      <c r="E295" s="33"/>
      <c r="F295" s="33"/>
      <c r="G295" s="33"/>
      <c r="H295" s="31"/>
    </row>
    <row r="296" spans="1:8" x14ac:dyDescent="0.25">
      <c r="A296" t="s">
        <v>352</v>
      </c>
      <c r="B296" s="25" t="s">
        <v>790</v>
      </c>
      <c r="C296" s="25" t="s">
        <v>781</v>
      </c>
      <c r="D296" s="32" t="s">
        <v>782</v>
      </c>
      <c r="E296" s="59">
        <v>60958</v>
      </c>
      <c r="F296" s="33" t="s">
        <v>1068</v>
      </c>
      <c r="G296" s="37" t="s">
        <v>1069</v>
      </c>
      <c r="H296" s="31"/>
    </row>
    <row r="297" spans="1:8" x14ac:dyDescent="0.25">
      <c r="A297" t="s">
        <v>353</v>
      </c>
      <c r="B297" s="25" t="s">
        <v>1070</v>
      </c>
      <c r="C297" s="25" t="s">
        <v>58</v>
      </c>
      <c r="D297" s="32" t="s">
        <v>907</v>
      </c>
      <c r="E297" s="33">
        <v>28834</v>
      </c>
      <c r="F297" s="33" t="s">
        <v>1071</v>
      </c>
      <c r="G297" s="33" t="s">
        <v>1072</v>
      </c>
      <c r="H297" s="31"/>
    </row>
    <row r="298" spans="1:8" x14ac:dyDescent="0.25">
      <c r="A298" t="s">
        <v>354</v>
      </c>
      <c r="B298" s="25"/>
      <c r="C298" s="25"/>
      <c r="D298" s="32" t="s">
        <v>890</v>
      </c>
      <c r="E298" s="33"/>
      <c r="F298" s="33"/>
      <c r="G298" s="33"/>
      <c r="H298" s="31"/>
    </row>
    <row r="299" spans="1:8" x14ac:dyDescent="0.25">
      <c r="A299" t="s">
        <v>355</v>
      </c>
      <c r="B299" t="s">
        <v>1073</v>
      </c>
      <c r="C299" s="25" t="s">
        <v>781</v>
      </c>
      <c r="D299" s="32" t="s">
        <v>782</v>
      </c>
      <c r="E299" s="33">
        <v>60805</v>
      </c>
      <c r="F299" t="s">
        <v>1074</v>
      </c>
      <c r="G299" s="33"/>
      <c r="H299" s="31"/>
    </row>
    <row r="300" spans="1:8" x14ac:dyDescent="0.25">
      <c r="A300" t="s">
        <v>356</v>
      </c>
      <c r="B300" s="73" t="s">
        <v>1075</v>
      </c>
      <c r="C300" s="73" t="s">
        <v>58</v>
      </c>
      <c r="D300" s="32" t="s">
        <v>826</v>
      </c>
      <c r="E300" s="33"/>
      <c r="F300" s="33" t="s">
        <v>1076</v>
      </c>
      <c r="G300" s="37" t="s">
        <v>1077</v>
      </c>
      <c r="H300" s="31"/>
    </row>
    <row r="301" spans="1:8" x14ac:dyDescent="0.25">
      <c r="A301" t="s">
        <v>357</v>
      </c>
      <c r="B301" s="25" t="s">
        <v>844</v>
      </c>
      <c r="C301" s="25" t="s">
        <v>58</v>
      </c>
      <c r="D301" s="32" t="s">
        <v>826</v>
      </c>
      <c r="E301" s="33">
        <v>28900</v>
      </c>
      <c r="F301" s="33" t="s">
        <v>1078</v>
      </c>
      <c r="G301" s="33"/>
      <c r="H301" s="31"/>
    </row>
    <row r="302" spans="1:8" ht="24.75" x14ac:dyDescent="0.25">
      <c r="A302" t="s">
        <v>358</v>
      </c>
      <c r="B302" s="58" t="s">
        <v>1079</v>
      </c>
      <c r="C302" s="25" t="s">
        <v>58</v>
      </c>
      <c r="D302" s="32" t="s">
        <v>1039</v>
      </c>
      <c r="E302" s="56">
        <v>28930</v>
      </c>
      <c r="F302" t="s">
        <v>1080</v>
      </c>
      <c r="G302" s="33"/>
      <c r="H302" s="31"/>
    </row>
    <row r="303" spans="1:8" x14ac:dyDescent="0.25">
      <c r="A303" t="s">
        <v>359</v>
      </c>
      <c r="B303" s="25"/>
      <c r="C303" s="25"/>
      <c r="D303" s="32" t="s">
        <v>1039</v>
      </c>
      <c r="E303" s="33"/>
      <c r="F303" s="33"/>
      <c r="G303" s="33"/>
      <c r="H303" s="31"/>
    </row>
    <row r="304" spans="1:8" x14ac:dyDescent="0.25">
      <c r="A304" t="s">
        <v>360</v>
      </c>
      <c r="B304" s="25" t="s">
        <v>910</v>
      </c>
      <c r="C304" s="25" t="s">
        <v>58</v>
      </c>
      <c r="D304" s="33" t="s">
        <v>1039</v>
      </c>
      <c r="E304" s="33">
        <v>28940</v>
      </c>
      <c r="F304" s="33" t="s">
        <v>1081</v>
      </c>
      <c r="G304" s="33" t="s">
        <v>1082</v>
      </c>
      <c r="H304" s="31"/>
    </row>
    <row r="305" spans="1:8" x14ac:dyDescent="0.25">
      <c r="A305" s="23" t="s">
        <v>361</v>
      </c>
      <c r="B305" s="71" t="s">
        <v>844</v>
      </c>
      <c r="C305" s="71" t="s">
        <v>58</v>
      </c>
      <c r="D305" s="51" t="s">
        <v>826</v>
      </c>
      <c r="E305" s="35">
        <v>28900</v>
      </c>
      <c r="F305" s="74" t="s">
        <v>1078</v>
      </c>
      <c r="G305" s="75" t="s">
        <v>1083</v>
      </c>
      <c r="H305" s="36"/>
    </row>
    <row r="306" spans="1:8" x14ac:dyDescent="0.25">
      <c r="A306" s="23" t="s">
        <v>362</v>
      </c>
      <c r="B306" s="71"/>
      <c r="C306" s="71"/>
      <c r="D306" s="51" t="s">
        <v>1042</v>
      </c>
      <c r="E306" s="35"/>
      <c r="F306" s="35"/>
      <c r="G306" s="35"/>
      <c r="H306" s="36"/>
    </row>
    <row r="307" spans="1:8" x14ac:dyDescent="0.25">
      <c r="A307" s="23" t="s">
        <v>363</v>
      </c>
      <c r="B307" s="71"/>
      <c r="C307" s="71"/>
      <c r="D307" s="51" t="s">
        <v>1039</v>
      </c>
      <c r="E307" s="35"/>
      <c r="F307" s="35"/>
      <c r="G307" s="35"/>
      <c r="H307" s="36"/>
    </row>
    <row r="308" spans="1:8" x14ac:dyDescent="0.25">
      <c r="A308" t="s">
        <v>364</v>
      </c>
      <c r="B308" s="25" t="s">
        <v>1084</v>
      </c>
      <c r="C308" s="25" t="s">
        <v>58</v>
      </c>
      <c r="D308" s="32" t="s">
        <v>1085</v>
      </c>
      <c r="E308" s="33">
        <v>28903</v>
      </c>
      <c r="F308" s="33" t="s">
        <v>1086</v>
      </c>
      <c r="G308" s="37" t="s">
        <v>1087</v>
      </c>
      <c r="H308" s="31"/>
    </row>
    <row r="309" spans="1:8" x14ac:dyDescent="0.25">
      <c r="A309" s="25">
        <v>206</v>
      </c>
      <c r="B309" s="25" t="s">
        <v>784</v>
      </c>
      <c r="C309" s="25" t="s">
        <v>816</v>
      </c>
      <c r="D309" s="32" t="s">
        <v>782</v>
      </c>
      <c r="E309" s="33" t="s">
        <v>1088</v>
      </c>
      <c r="F309" s="33" t="s">
        <v>1089</v>
      </c>
      <c r="G309" s="31"/>
    </row>
    <row r="310" spans="1:8" x14ac:dyDescent="0.25">
      <c r="A310" t="s">
        <v>365</v>
      </c>
      <c r="B310" s="25" t="s">
        <v>1090</v>
      </c>
      <c r="C310" s="25" t="s">
        <v>58</v>
      </c>
      <c r="D310" s="32" t="s">
        <v>803</v>
      </c>
      <c r="E310" s="33">
        <v>28930</v>
      </c>
      <c r="F310" s="33" t="s">
        <v>1091</v>
      </c>
      <c r="G310" s="33" t="s">
        <v>1092</v>
      </c>
      <c r="H310" s="31"/>
    </row>
    <row r="311" spans="1:8" x14ac:dyDescent="0.25">
      <c r="A311" t="s">
        <v>366</v>
      </c>
      <c r="B311" s="25"/>
      <c r="C311" s="25"/>
      <c r="D311" s="32" t="s">
        <v>782</v>
      </c>
      <c r="E311" s="33"/>
      <c r="F311" s="33"/>
      <c r="G311" s="33"/>
      <c r="H311" s="31"/>
    </row>
    <row r="312" spans="1:8" x14ac:dyDescent="0.25">
      <c r="A312" t="s">
        <v>367</v>
      </c>
      <c r="B312" s="25" t="s">
        <v>1093</v>
      </c>
      <c r="C312" s="25" t="s">
        <v>816</v>
      </c>
      <c r="D312" s="32" t="s">
        <v>851</v>
      </c>
      <c r="E312" s="33">
        <v>60804</v>
      </c>
      <c r="F312" t="s">
        <v>1094</v>
      </c>
      <c r="G312" s="33"/>
      <c r="H312" s="31"/>
    </row>
    <row r="313" spans="1:8" x14ac:dyDescent="0.25">
      <c r="A313" t="s">
        <v>368</v>
      </c>
      <c r="B313" s="48" t="s">
        <v>787</v>
      </c>
      <c r="C313" s="25" t="s">
        <v>781</v>
      </c>
      <c r="D313" s="32" t="s">
        <v>782</v>
      </c>
      <c r="E313" s="33"/>
      <c r="F313" s="33" t="s">
        <v>1095</v>
      </c>
      <c r="G313" s="33"/>
      <c r="H313" s="31"/>
    </row>
    <row r="314" spans="1:8" x14ac:dyDescent="0.25">
      <c r="A314" t="s">
        <v>369</v>
      </c>
      <c r="B314" s="33" t="s">
        <v>844</v>
      </c>
      <c r="C314" s="33" t="s">
        <v>58</v>
      </c>
      <c r="D314" s="32" t="s">
        <v>826</v>
      </c>
      <c r="E314" s="33">
        <v>28900</v>
      </c>
      <c r="F314" s="33" t="s">
        <v>1096</v>
      </c>
      <c r="G314" s="33" t="s">
        <v>1097</v>
      </c>
      <c r="H314" s="31"/>
    </row>
    <row r="315" spans="1:8" x14ac:dyDescent="0.25">
      <c r="A315" t="s">
        <v>370</v>
      </c>
      <c r="B315" s="71"/>
      <c r="C315" s="71"/>
      <c r="D315" s="32" t="s">
        <v>826</v>
      </c>
      <c r="E315" s="35"/>
      <c r="F315" s="35"/>
      <c r="G315" s="35"/>
      <c r="H315" s="36"/>
    </row>
    <row r="316" spans="1:8" x14ac:dyDescent="0.25">
      <c r="A316" t="s">
        <v>371</v>
      </c>
      <c r="B316" s="71"/>
      <c r="C316" s="71"/>
      <c r="D316" s="51" t="s">
        <v>782</v>
      </c>
      <c r="E316" s="35"/>
      <c r="F316" s="35"/>
      <c r="G316" s="35"/>
      <c r="H316" s="36"/>
    </row>
    <row r="317" spans="1:8" x14ac:dyDescent="0.25">
      <c r="A317" t="s">
        <v>372</v>
      </c>
      <c r="B317" s="25" t="s">
        <v>1064</v>
      </c>
      <c r="C317" s="25" t="s">
        <v>816</v>
      </c>
      <c r="D317" s="32" t="s">
        <v>782</v>
      </c>
      <c r="E317" s="33"/>
      <c r="F317" s="33" t="s">
        <v>1098</v>
      </c>
      <c r="G317" s="33"/>
      <c r="H317" s="31"/>
    </row>
    <row r="318" spans="1:8" x14ac:dyDescent="0.25">
      <c r="A318" t="s">
        <v>373</v>
      </c>
      <c r="B318" s="25"/>
      <c r="C318" s="25"/>
      <c r="D318" s="32" t="s">
        <v>875</v>
      </c>
      <c r="E318" s="33"/>
      <c r="F318" s="33"/>
      <c r="G318" s="33"/>
      <c r="H318" s="31"/>
    </row>
    <row r="319" spans="1:8" x14ac:dyDescent="0.25">
      <c r="A319" t="s">
        <v>374</v>
      </c>
      <c r="B319" s="49" t="s">
        <v>1099</v>
      </c>
      <c r="C319" s="25" t="s">
        <v>58</v>
      </c>
      <c r="D319" s="32" t="s">
        <v>826</v>
      </c>
      <c r="E319" s="33"/>
      <c r="F319" s="33" t="s">
        <v>1100</v>
      </c>
      <c r="G319" s="33"/>
      <c r="H319" s="31"/>
    </row>
    <row r="320" spans="1:8" x14ac:dyDescent="0.25">
      <c r="A320" t="s">
        <v>375</v>
      </c>
      <c r="B320" s="25" t="s">
        <v>844</v>
      </c>
      <c r="C320" s="25" t="s">
        <v>58</v>
      </c>
      <c r="D320" s="32" t="s">
        <v>826</v>
      </c>
      <c r="E320" s="33">
        <v>28900</v>
      </c>
      <c r="F320" s="33" t="s">
        <v>1101</v>
      </c>
      <c r="G320" s="37" t="s">
        <v>1102</v>
      </c>
      <c r="H320" s="31"/>
    </row>
    <row r="321" spans="1:8" x14ac:dyDescent="0.25">
      <c r="A321" t="s">
        <v>376</v>
      </c>
      <c r="B321" s="25" t="s">
        <v>1310</v>
      </c>
      <c r="C321" s="25" t="s">
        <v>816</v>
      </c>
      <c r="D321" s="32" t="s">
        <v>782</v>
      </c>
      <c r="E321" s="33">
        <v>60805</v>
      </c>
      <c r="F321" t="s">
        <v>1103</v>
      </c>
      <c r="G321" s="33"/>
      <c r="H321" s="31"/>
    </row>
    <row r="322" spans="1:8" x14ac:dyDescent="0.25">
      <c r="A322" t="s">
        <v>377</v>
      </c>
      <c r="B322" s="25"/>
      <c r="C322" s="25"/>
      <c r="D322" s="32" t="s">
        <v>782</v>
      </c>
      <c r="E322" s="33"/>
      <c r="F322" s="33"/>
      <c r="G322" s="33"/>
      <c r="H322" s="31"/>
    </row>
    <row r="323" spans="1:8" x14ac:dyDescent="0.25">
      <c r="A323" t="s">
        <v>378</v>
      </c>
      <c r="B323" s="25"/>
      <c r="C323" s="25"/>
      <c r="D323" s="32" t="s">
        <v>782</v>
      </c>
      <c r="E323" s="33"/>
      <c r="F323" s="33"/>
      <c r="G323" s="33"/>
      <c r="H323" s="31"/>
    </row>
    <row r="324" spans="1:8" x14ac:dyDescent="0.25">
      <c r="A324" t="s">
        <v>379</v>
      </c>
      <c r="B324" s="25" t="s">
        <v>844</v>
      </c>
      <c r="C324" s="25" t="s">
        <v>58</v>
      </c>
      <c r="D324" s="32" t="s">
        <v>826</v>
      </c>
      <c r="E324" s="33">
        <v>28900</v>
      </c>
      <c r="F324" s="33"/>
      <c r="G324" s="33"/>
      <c r="H324" s="31"/>
    </row>
    <row r="325" spans="1:8" x14ac:dyDescent="0.25">
      <c r="A325" t="s">
        <v>380</v>
      </c>
      <c r="B325" s="58" t="s">
        <v>1104</v>
      </c>
      <c r="C325" s="25" t="s">
        <v>816</v>
      </c>
      <c r="D325" s="32" t="s">
        <v>782</v>
      </c>
      <c r="E325" s="76">
        <v>60807</v>
      </c>
      <c r="F325" t="s">
        <v>1105</v>
      </c>
      <c r="G325" s="33"/>
      <c r="H325" s="31"/>
    </row>
    <row r="326" spans="1:8" x14ac:dyDescent="0.25">
      <c r="A326" t="s">
        <v>381</v>
      </c>
      <c r="B326" s="58" t="s">
        <v>1106</v>
      </c>
      <c r="C326" s="33" t="s">
        <v>58</v>
      </c>
      <c r="D326" s="32" t="s">
        <v>803</v>
      </c>
      <c r="E326" s="33">
        <v>28900</v>
      </c>
      <c r="F326" t="s">
        <v>1107</v>
      </c>
      <c r="G326" s="33"/>
      <c r="H326" s="31"/>
    </row>
    <row r="327" spans="1:8" x14ac:dyDescent="0.25">
      <c r="A327" t="s">
        <v>382</v>
      </c>
      <c r="B327" s="25"/>
      <c r="C327" s="33"/>
      <c r="D327" s="32"/>
      <c r="E327" s="33"/>
      <c r="F327" s="33"/>
      <c r="G327" s="33"/>
      <c r="H327" s="31"/>
    </row>
    <row r="328" spans="1:8" x14ac:dyDescent="0.25">
      <c r="A328" t="s">
        <v>383</v>
      </c>
      <c r="B328" s="25" t="s">
        <v>1090</v>
      </c>
      <c r="C328" s="25" t="s">
        <v>58</v>
      </c>
      <c r="D328" s="32" t="s">
        <v>1108</v>
      </c>
      <c r="E328" s="33">
        <v>28930</v>
      </c>
      <c r="F328" s="33" t="s">
        <v>1109</v>
      </c>
      <c r="G328" s="37" t="s">
        <v>1110</v>
      </c>
      <c r="H328" s="31"/>
    </row>
    <row r="329" spans="1:8" x14ac:dyDescent="0.25">
      <c r="A329" t="s">
        <v>384</v>
      </c>
      <c r="B329" s="25" t="s">
        <v>1111</v>
      </c>
      <c r="C329" s="25" t="s">
        <v>781</v>
      </c>
      <c r="D329" s="32" t="s">
        <v>994</v>
      </c>
      <c r="E329" s="33">
        <v>60806</v>
      </c>
      <c r="F329" s="33" t="s">
        <v>1112</v>
      </c>
      <c r="G329" s="33" t="s">
        <v>1113</v>
      </c>
      <c r="H329" s="31"/>
    </row>
    <row r="330" spans="1:8" x14ac:dyDescent="0.25">
      <c r="A330" t="s">
        <v>385</v>
      </c>
      <c r="B330" s="25" t="s">
        <v>910</v>
      </c>
      <c r="C330" s="31" t="s">
        <v>58</v>
      </c>
      <c r="D330" s="33" t="s">
        <v>1039</v>
      </c>
      <c r="E330" s="33">
        <v>28940</v>
      </c>
      <c r="F330" s="33"/>
      <c r="G330" s="33"/>
      <c r="H330" s="31"/>
    </row>
    <row r="331" spans="1:8" x14ac:dyDescent="0.25">
      <c r="A331" t="s">
        <v>386</v>
      </c>
      <c r="B331" t="s">
        <v>1114</v>
      </c>
      <c r="C331" s="33" t="s">
        <v>816</v>
      </c>
      <c r="D331" s="32" t="s">
        <v>782</v>
      </c>
      <c r="E331" s="33">
        <v>60804</v>
      </c>
      <c r="F331" t="s">
        <v>1115</v>
      </c>
      <c r="G331" s="33"/>
      <c r="H331" s="31"/>
    </row>
    <row r="332" spans="1:8" x14ac:dyDescent="0.25">
      <c r="A332" t="s">
        <v>387</v>
      </c>
      <c r="B332" s="25" t="s">
        <v>1116</v>
      </c>
      <c r="C332" s="33"/>
      <c r="D332" s="32"/>
      <c r="E332" s="33"/>
      <c r="F332" s="33"/>
      <c r="G332" s="33"/>
      <c r="H332" s="31"/>
    </row>
    <row r="333" spans="1:8" x14ac:dyDescent="0.25">
      <c r="A333" s="23" t="s">
        <v>388</v>
      </c>
      <c r="B333" s="77" t="s">
        <v>1117</v>
      </c>
      <c r="C333" s="35"/>
      <c r="D333" s="51" t="s">
        <v>782</v>
      </c>
      <c r="E333" s="35"/>
      <c r="F333" s="35"/>
      <c r="G333" s="35"/>
      <c r="H333" s="36"/>
    </row>
    <row r="334" spans="1:8" x14ac:dyDescent="0.25">
      <c r="A334" t="s">
        <v>389</v>
      </c>
      <c r="B334" s="25" t="s">
        <v>822</v>
      </c>
      <c r="C334" s="25" t="s">
        <v>781</v>
      </c>
      <c r="D334" s="64" t="s">
        <v>1019</v>
      </c>
      <c r="E334" s="33">
        <v>60804</v>
      </c>
      <c r="F334" s="33" t="s">
        <v>1118</v>
      </c>
      <c r="G334" s="37" t="s">
        <v>1119</v>
      </c>
      <c r="H334" s="31"/>
    </row>
    <row r="335" spans="1:8" x14ac:dyDescent="0.25">
      <c r="A335" t="s">
        <v>390</v>
      </c>
      <c r="B335" s="31" t="s">
        <v>838</v>
      </c>
      <c r="C335" s="78" t="s">
        <v>781</v>
      </c>
      <c r="D335" s="32" t="s">
        <v>782</v>
      </c>
      <c r="E335" s="33">
        <v>60804</v>
      </c>
      <c r="F335" s="33" t="s">
        <v>1120</v>
      </c>
      <c r="G335" s="37" t="s">
        <v>1121</v>
      </c>
      <c r="H335" s="31"/>
    </row>
    <row r="336" spans="1:8" x14ac:dyDescent="0.25">
      <c r="A336" t="s">
        <v>391</v>
      </c>
      <c r="B336" s="25" t="s">
        <v>1122</v>
      </c>
      <c r="C336" s="33" t="s">
        <v>58</v>
      </c>
      <c r="D336" s="32" t="s">
        <v>803</v>
      </c>
      <c r="E336" s="33">
        <v>28865</v>
      </c>
      <c r="F336" s="33" t="s">
        <v>1123</v>
      </c>
      <c r="G336" s="37" t="s">
        <v>1124</v>
      </c>
      <c r="H336" s="31"/>
    </row>
    <row r="337" spans="1:8" x14ac:dyDescent="0.25">
      <c r="A337" t="s">
        <v>392</v>
      </c>
      <c r="B337" s="25" t="s">
        <v>1125</v>
      </c>
      <c r="C337" s="33" t="s">
        <v>58</v>
      </c>
      <c r="D337" s="32" t="s">
        <v>826</v>
      </c>
      <c r="E337" s="33">
        <v>28935</v>
      </c>
      <c r="F337" s="33" t="s">
        <v>1126</v>
      </c>
      <c r="G337" s="37" t="s">
        <v>1127</v>
      </c>
      <c r="H337" s="31"/>
    </row>
    <row r="338" spans="1:8" x14ac:dyDescent="0.25">
      <c r="A338" t="s">
        <v>393</v>
      </c>
      <c r="B338" s="25" t="s">
        <v>1084</v>
      </c>
      <c r="C338" s="33" t="s">
        <v>58</v>
      </c>
      <c r="D338" s="32" t="s">
        <v>803</v>
      </c>
      <c r="E338" s="56">
        <v>28903</v>
      </c>
      <c r="F338" s="33" t="s">
        <v>1128</v>
      </c>
      <c r="G338" s="37" t="s">
        <v>1129</v>
      </c>
      <c r="H338" s="31"/>
    </row>
    <row r="339" spans="1:8" x14ac:dyDescent="0.25">
      <c r="A339" t="s">
        <v>394</v>
      </c>
      <c r="B339" s="33" t="s">
        <v>985</v>
      </c>
      <c r="C339" s="33" t="s">
        <v>781</v>
      </c>
      <c r="D339" s="32" t="s">
        <v>782</v>
      </c>
      <c r="E339" s="33">
        <v>60804</v>
      </c>
      <c r="F339" s="33" t="s">
        <v>1130</v>
      </c>
      <c r="G339" s="37" t="s">
        <v>1131</v>
      </c>
      <c r="H339" s="31"/>
    </row>
    <row r="340" spans="1:8" x14ac:dyDescent="0.25">
      <c r="A340" t="s">
        <v>395</v>
      </c>
      <c r="B340" s="33" t="s">
        <v>1132</v>
      </c>
      <c r="C340" s="33" t="s">
        <v>816</v>
      </c>
      <c r="D340" s="32" t="s">
        <v>782</v>
      </c>
      <c r="E340" s="33"/>
      <c r="F340" s="33" t="s">
        <v>1133</v>
      </c>
      <c r="G340" s="33" t="s">
        <v>1134</v>
      </c>
      <c r="H340" s="31"/>
    </row>
    <row r="341" spans="1:8" ht="30" x14ac:dyDescent="0.25">
      <c r="A341" t="s">
        <v>396</v>
      </c>
      <c r="B341" s="79" t="s">
        <v>1135</v>
      </c>
      <c r="C341" s="33" t="s">
        <v>816</v>
      </c>
      <c r="D341" s="32" t="s">
        <v>875</v>
      </c>
      <c r="E341" s="33"/>
      <c r="F341" t="s">
        <v>1136</v>
      </c>
      <c r="G341" s="33"/>
      <c r="H341" s="31"/>
    </row>
    <row r="342" spans="1:8" x14ac:dyDescent="0.25">
      <c r="A342" t="s">
        <v>397</v>
      </c>
      <c r="B342" s="33"/>
      <c r="C342" s="33"/>
      <c r="D342" s="32" t="s">
        <v>782</v>
      </c>
      <c r="E342" s="33"/>
      <c r="F342" s="33" t="s">
        <v>1137</v>
      </c>
      <c r="G342" s="37" t="s">
        <v>1138</v>
      </c>
      <c r="H342" s="31"/>
    </row>
    <row r="343" spans="1:8" x14ac:dyDescent="0.25">
      <c r="A343" t="s">
        <v>398</v>
      </c>
      <c r="B343" s="32" t="s">
        <v>875</v>
      </c>
      <c r="C343" s="33" t="s">
        <v>816</v>
      </c>
      <c r="D343" s="32" t="s">
        <v>875</v>
      </c>
      <c r="E343" s="33">
        <v>58110</v>
      </c>
      <c r="F343" s="33" t="s">
        <v>1139</v>
      </c>
      <c r="G343" s="37" t="s">
        <v>1140</v>
      </c>
      <c r="H343" s="31"/>
    </row>
    <row r="344" spans="1:8" x14ac:dyDescent="0.25">
      <c r="A344" t="s">
        <v>399</v>
      </c>
      <c r="B344" s="33"/>
      <c r="C344" s="33" t="s">
        <v>58</v>
      </c>
      <c r="D344" s="32" t="s">
        <v>826</v>
      </c>
      <c r="E344" s="56">
        <v>28903</v>
      </c>
      <c r="F344" s="33"/>
      <c r="G344" s="33"/>
      <c r="H344" s="31"/>
    </row>
    <row r="345" spans="1:8" x14ac:dyDescent="0.25">
      <c r="A345" t="s">
        <v>400</v>
      </c>
      <c r="B345" s="33" t="s">
        <v>1141</v>
      </c>
      <c r="C345" s="33" t="s">
        <v>58</v>
      </c>
      <c r="D345" s="32"/>
      <c r="E345" s="33">
        <v>28944</v>
      </c>
      <c r="F345" s="33"/>
      <c r="G345" s="33"/>
      <c r="H345" s="31"/>
    </row>
    <row r="346" spans="1:8" ht="36.75" x14ac:dyDescent="0.25">
      <c r="A346" t="s">
        <v>401</v>
      </c>
      <c r="B346" s="58" t="s">
        <v>1142</v>
      </c>
      <c r="C346" s="33" t="s">
        <v>58</v>
      </c>
      <c r="D346" s="32" t="s">
        <v>803</v>
      </c>
      <c r="E346" s="33"/>
      <c r="F346" t="s">
        <v>1143</v>
      </c>
      <c r="G346" s="33"/>
      <c r="H346" s="31"/>
    </row>
    <row r="347" spans="1:8" ht="36.75" x14ac:dyDescent="0.25">
      <c r="A347" t="s">
        <v>402</v>
      </c>
      <c r="B347" s="80" t="s">
        <v>1142</v>
      </c>
      <c r="C347" s="33" t="s">
        <v>58</v>
      </c>
      <c r="D347" s="32" t="s">
        <v>803</v>
      </c>
      <c r="E347" s="33"/>
      <c r="F347" t="s">
        <v>1144</v>
      </c>
      <c r="G347" s="33"/>
      <c r="H347" s="31"/>
    </row>
    <row r="348" spans="1:8" ht="36.75" x14ac:dyDescent="0.25">
      <c r="A348" t="s">
        <v>403</v>
      </c>
      <c r="B348" s="80" t="s">
        <v>1142</v>
      </c>
      <c r="C348" s="33" t="s">
        <v>58</v>
      </c>
      <c r="D348" s="32" t="s">
        <v>803</v>
      </c>
      <c r="E348" s="33"/>
      <c r="F348" t="s">
        <v>1145</v>
      </c>
      <c r="G348" s="33"/>
      <c r="H348" s="31"/>
    </row>
    <row r="349" spans="1:8" x14ac:dyDescent="0.25">
      <c r="A349" t="s">
        <v>404</v>
      </c>
      <c r="B349" s="33"/>
      <c r="C349" s="33"/>
      <c r="D349" s="32"/>
      <c r="E349" s="33"/>
      <c r="F349" s="33"/>
      <c r="G349" s="33"/>
      <c r="H349" s="31"/>
    </row>
    <row r="350" spans="1:8" x14ac:dyDescent="0.25">
      <c r="A350" t="s">
        <v>405</v>
      </c>
      <c r="B350" s="33" t="s">
        <v>1026</v>
      </c>
      <c r="C350" s="33" t="s">
        <v>58</v>
      </c>
      <c r="D350" s="68" t="s">
        <v>1039</v>
      </c>
      <c r="E350" s="33"/>
      <c r="F350" s="33" t="s">
        <v>1146</v>
      </c>
      <c r="G350" s="33"/>
      <c r="H350" s="31"/>
    </row>
    <row r="351" spans="1:8" x14ac:dyDescent="0.25">
      <c r="A351" t="s">
        <v>406</v>
      </c>
      <c r="B351" t="s">
        <v>1147</v>
      </c>
      <c r="C351" s="33" t="s">
        <v>1148</v>
      </c>
      <c r="D351" s="32" t="s">
        <v>782</v>
      </c>
      <c r="E351" s="33"/>
      <c r="F351" t="s">
        <v>1149</v>
      </c>
      <c r="G351" s="33"/>
      <c r="H351" s="31"/>
    </row>
    <row r="352" spans="1:8" x14ac:dyDescent="0.25">
      <c r="A352" t="s">
        <v>407</v>
      </c>
      <c r="B352" s="33" t="s">
        <v>1026</v>
      </c>
      <c r="C352" s="33" t="s">
        <v>58</v>
      </c>
      <c r="D352" s="32" t="s">
        <v>803</v>
      </c>
      <c r="E352" s="33">
        <v>28219</v>
      </c>
      <c r="F352" s="33" t="s">
        <v>1150</v>
      </c>
      <c r="G352" s="33" t="s">
        <v>1151</v>
      </c>
      <c r="H352" s="31"/>
    </row>
    <row r="353" spans="1:8" x14ac:dyDescent="0.25">
      <c r="A353" t="s">
        <v>408</v>
      </c>
      <c r="B353" s="79" t="s">
        <v>1152</v>
      </c>
      <c r="C353" s="33" t="s">
        <v>58</v>
      </c>
      <c r="D353" s="32" t="s">
        <v>803</v>
      </c>
      <c r="E353" s="33">
        <v>28189</v>
      </c>
      <c r="F353" t="s">
        <v>1153</v>
      </c>
      <c r="G353" s="33"/>
      <c r="H353" s="31"/>
    </row>
    <row r="354" spans="1:8" x14ac:dyDescent="0.25">
      <c r="A354" t="s">
        <v>409</v>
      </c>
      <c r="B354" s="33" t="s">
        <v>923</v>
      </c>
      <c r="C354" s="33" t="s">
        <v>816</v>
      </c>
      <c r="D354" s="32" t="s">
        <v>782</v>
      </c>
      <c r="E354" s="33">
        <v>60805</v>
      </c>
      <c r="F354" s="25" t="s">
        <v>1154</v>
      </c>
      <c r="G354" s="33"/>
      <c r="H354" s="31"/>
    </row>
    <row r="355" spans="1:8" x14ac:dyDescent="0.25">
      <c r="A355" t="s">
        <v>410</v>
      </c>
      <c r="B355" s="33"/>
      <c r="C355" s="33"/>
      <c r="D355" s="32"/>
      <c r="E355" s="33"/>
      <c r="F355" s="33"/>
      <c r="G355" s="33"/>
      <c r="H355" s="31"/>
    </row>
    <row r="356" spans="1:8" ht="36.75" x14ac:dyDescent="0.25">
      <c r="A356" t="s">
        <v>411</v>
      </c>
      <c r="B356" s="58" t="s">
        <v>1155</v>
      </c>
      <c r="C356" s="33" t="s">
        <v>58</v>
      </c>
      <c r="D356" s="32" t="s">
        <v>803</v>
      </c>
      <c r="E356" s="33"/>
      <c r="F356" t="s">
        <v>1156</v>
      </c>
      <c r="G356" s="33"/>
      <c r="H356" s="31"/>
    </row>
    <row r="357" spans="1:8" x14ac:dyDescent="0.25">
      <c r="A357" t="s">
        <v>412</v>
      </c>
      <c r="B357" s="58" t="s">
        <v>1157</v>
      </c>
      <c r="C357" s="33" t="s">
        <v>816</v>
      </c>
      <c r="D357" s="32" t="s">
        <v>1158</v>
      </c>
      <c r="E357" s="33">
        <v>60807</v>
      </c>
      <c r="F357" t="s">
        <v>1159</v>
      </c>
      <c r="G357" s="33"/>
      <c r="H357" s="31"/>
    </row>
    <row r="358" spans="1:8" x14ac:dyDescent="0.25">
      <c r="A358" t="s">
        <v>413</v>
      </c>
      <c r="B358" s="33"/>
      <c r="C358" s="33"/>
      <c r="D358" s="32"/>
      <c r="E358" s="33"/>
      <c r="F358" s="33"/>
      <c r="G358" s="33"/>
      <c r="H358" s="31"/>
    </row>
    <row r="359" spans="1:8" ht="36.75" x14ac:dyDescent="0.25">
      <c r="A359" t="s">
        <v>414</v>
      </c>
      <c r="B359" s="58" t="s">
        <v>1160</v>
      </c>
      <c r="C359" s="33" t="s">
        <v>898</v>
      </c>
      <c r="D359" s="32" t="s">
        <v>890</v>
      </c>
      <c r="E359" s="33">
        <v>48995</v>
      </c>
      <c r="F359" t="s">
        <v>1161</v>
      </c>
      <c r="G359" s="33"/>
      <c r="H359" s="31"/>
    </row>
    <row r="360" spans="1:8" x14ac:dyDescent="0.25">
      <c r="A360" t="s">
        <v>415</v>
      </c>
      <c r="B360" s="33" t="s">
        <v>1162</v>
      </c>
      <c r="C360" s="33" t="s">
        <v>58</v>
      </c>
      <c r="D360" s="32" t="s">
        <v>1163</v>
      </c>
      <c r="E360" s="33">
        <v>28943</v>
      </c>
      <c r="F360" s="33" t="s">
        <v>1164</v>
      </c>
      <c r="G360" s="33" t="s">
        <v>1165</v>
      </c>
      <c r="H360" s="31"/>
    </row>
    <row r="361" spans="1:8" x14ac:dyDescent="0.25">
      <c r="A361" t="s">
        <v>416</v>
      </c>
      <c r="B361" s="33" t="s">
        <v>1166</v>
      </c>
      <c r="C361" s="33" t="s">
        <v>58</v>
      </c>
      <c r="D361" s="32" t="s">
        <v>1167</v>
      </c>
      <c r="E361" s="33">
        <v>28906</v>
      </c>
      <c r="F361" s="33" t="s">
        <v>1168</v>
      </c>
      <c r="G361" s="33"/>
      <c r="H361" s="31"/>
    </row>
    <row r="362" spans="1:8" x14ac:dyDescent="0.25">
      <c r="A362" t="s">
        <v>417</v>
      </c>
      <c r="B362" s="33"/>
      <c r="C362" s="33"/>
      <c r="D362" s="32"/>
      <c r="E362" s="33"/>
      <c r="F362" s="33"/>
      <c r="G362" s="33"/>
      <c r="H362" s="31"/>
    </row>
    <row r="363" spans="1:8" x14ac:dyDescent="0.25">
      <c r="A363" t="s">
        <v>418</v>
      </c>
      <c r="B363" s="33" t="s">
        <v>1049</v>
      </c>
      <c r="C363" s="33"/>
      <c r="D363" s="32" t="s">
        <v>782</v>
      </c>
      <c r="E363" s="33">
        <v>60805</v>
      </c>
      <c r="F363" s="33" t="s">
        <v>1169</v>
      </c>
      <c r="G363" s="33"/>
      <c r="H363" s="31"/>
    </row>
    <row r="364" spans="1:8" x14ac:dyDescent="0.25">
      <c r="A364" t="s">
        <v>419</v>
      </c>
      <c r="B364" s="33" t="s">
        <v>1170</v>
      </c>
      <c r="C364" s="33" t="s">
        <v>816</v>
      </c>
      <c r="D364" s="32" t="s">
        <v>782</v>
      </c>
      <c r="E364" s="33"/>
      <c r="F364" s="33" t="s">
        <v>1171</v>
      </c>
      <c r="G364" s="33"/>
      <c r="H364" s="31"/>
    </row>
    <row r="365" spans="1:8" x14ac:dyDescent="0.25">
      <c r="A365" t="s">
        <v>420</v>
      </c>
      <c r="B365" s="33" t="s">
        <v>1166</v>
      </c>
      <c r="C365" s="33" t="s">
        <v>58</v>
      </c>
      <c r="D365" s="32" t="s">
        <v>826</v>
      </c>
      <c r="E365" s="33">
        <v>28900</v>
      </c>
      <c r="F365" s="33" t="s">
        <v>1172</v>
      </c>
      <c r="G365" s="33" t="s">
        <v>1173</v>
      </c>
      <c r="H365" s="31"/>
    </row>
    <row r="366" spans="1:8" x14ac:dyDescent="0.25">
      <c r="A366" t="s">
        <v>421</v>
      </c>
      <c r="B366" s="33" t="s">
        <v>1174</v>
      </c>
      <c r="C366" s="33" t="s">
        <v>58</v>
      </c>
      <c r="D366" s="32" t="s">
        <v>826</v>
      </c>
      <c r="E366" s="33">
        <v>28900</v>
      </c>
      <c r="F366" s="33" t="s">
        <v>1175</v>
      </c>
      <c r="G366" s="33" t="s">
        <v>1173</v>
      </c>
      <c r="H366" s="31"/>
    </row>
    <row r="367" spans="1:8" x14ac:dyDescent="0.25">
      <c r="A367" t="s">
        <v>422</v>
      </c>
      <c r="B367" s="33" t="s">
        <v>1031</v>
      </c>
      <c r="C367" s="33" t="s">
        <v>816</v>
      </c>
      <c r="D367" s="32" t="s">
        <v>782</v>
      </c>
      <c r="E367" s="33">
        <v>60990</v>
      </c>
      <c r="F367" s="33" t="s">
        <v>1176</v>
      </c>
      <c r="G367" s="33" t="s">
        <v>1177</v>
      </c>
      <c r="H367" s="31"/>
    </row>
    <row r="368" spans="1:8" x14ac:dyDescent="0.25">
      <c r="A368" t="s">
        <v>423</v>
      </c>
      <c r="B368" s="33" t="s">
        <v>1178</v>
      </c>
      <c r="C368" s="33" t="s">
        <v>58</v>
      </c>
      <c r="D368" s="32" t="s">
        <v>803</v>
      </c>
      <c r="E368" s="33">
        <v>28110</v>
      </c>
      <c r="F368" s="33" t="s">
        <v>1179</v>
      </c>
      <c r="G368" s="33" t="s">
        <v>1180</v>
      </c>
      <c r="H368" s="31"/>
    </row>
    <row r="369" spans="1:8" x14ac:dyDescent="0.25">
      <c r="A369" t="s">
        <v>424</v>
      </c>
      <c r="B369" s="33" t="s">
        <v>1181</v>
      </c>
      <c r="C369" s="33" t="s">
        <v>898</v>
      </c>
      <c r="D369" s="32" t="s">
        <v>890</v>
      </c>
      <c r="E369" s="33">
        <v>48990</v>
      </c>
      <c r="F369" s="33" t="s">
        <v>1182</v>
      </c>
      <c r="G369" s="33"/>
      <c r="H369" s="31"/>
    </row>
    <row r="370" spans="1:8" x14ac:dyDescent="0.25">
      <c r="A370" t="s">
        <v>425</v>
      </c>
      <c r="B370" s="33" t="s">
        <v>1183</v>
      </c>
      <c r="C370" s="33" t="s">
        <v>816</v>
      </c>
      <c r="D370" s="32" t="s">
        <v>782</v>
      </c>
      <c r="E370" s="33">
        <v>60806</v>
      </c>
      <c r="F370" s="33" t="s">
        <v>1184</v>
      </c>
      <c r="G370" s="33"/>
      <c r="H370" s="31"/>
    </row>
    <row r="371" spans="1:8" x14ac:dyDescent="0.25">
      <c r="A371" t="s">
        <v>426</v>
      </c>
      <c r="B371" s="33"/>
      <c r="C371" s="33"/>
      <c r="D371" s="32"/>
      <c r="E371" s="33"/>
      <c r="F371" s="33"/>
      <c r="G371" s="33"/>
      <c r="H371" s="31"/>
    </row>
    <row r="372" spans="1:8" x14ac:dyDescent="0.25">
      <c r="A372" t="s">
        <v>427</v>
      </c>
      <c r="B372" s="33" t="s">
        <v>1170</v>
      </c>
      <c r="C372" s="33" t="s">
        <v>816</v>
      </c>
      <c r="D372" s="32" t="s">
        <v>782</v>
      </c>
      <c r="E372" s="33"/>
      <c r="F372" s="33" t="s">
        <v>1185</v>
      </c>
      <c r="G372" s="33"/>
      <c r="H372" s="31"/>
    </row>
    <row r="373" spans="1:8" x14ac:dyDescent="0.25">
      <c r="A373" t="s">
        <v>428</v>
      </c>
      <c r="B373" s="33" t="s">
        <v>1186</v>
      </c>
      <c r="C373" s="33" t="s">
        <v>58</v>
      </c>
      <c r="D373" s="32" t="s">
        <v>803</v>
      </c>
      <c r="E373" s="33"/>
      <c r="F373" s="33" t="s">
        <v>1187</v>
      </c>
      <c r="G373" s="33"/>
      <c r="H373" s="31"/>
    </row>
    <row r="374" spans="1:8" x14ac:dyDescent="0.25">
      <c r="A374" t="s">
        <v>429</v>
      </c>
      <c r="B374" s="49" t="s">
        <v>1188</v>
      </c>
      <c r="C374" s="33" t="s">
        <v>58</v>
      </c>
      <c r="D374" s="32" t="s">
        <v>803</v>
      </c>
      <c r="E374" s="33"/>
      <c r="F374" s="33" t="s">
        <v>1189</v>
      </c>
      <c r="G374" s="33"/>
      <c r="H374" s="31"/>
    </row>
    <row r="375" spans="1:8" x14ac:dyDescent="0.25">
      <c r="A375" t="s">
        <v>430</v>
      </c>
      <c r="B375" s="49" t="s">
        <v>1099</v>
      </c>
      <c r="C375" s="33" t="s">
        <v>816</v>
      </c>
      <c r="D375" s="32" t="s">
        <v>826</v>
      </c>
      <c r="E375" s="33">
        <v>28900</v>
      </c>
      <c r="F375" s="33" t="s">
        <v>1190</v>
      </c>
      <c r="G375" s="33" t="s">
        <v>1191</v>
      </c>
      <c r="H375" s="31"/>
    </row>
    <row r="376" spans="1:8" x14ac:dyDescent="0.25">
      <c r="A376" t="s">
        <v>431</v>
      </c>
      <c r="B376" s="49" t="s">
        <v>1192</v>
      </c>
      <c r="C376" s="33"/>
      <c r="D376" s="32" t="s">
        <v>58</v>
      </c>
      <c r="E376" s="33">
        <v>28110</v>
      </c>
      <c r="F376" s="33" t="s">
        <v>1193</v>
      </c>
      <c r="G376" s="33" t="s">
        <v>1194</v>
      </c>
      <c r="H376" s="31"/>
    </row>
    <row r="377" spans="1:8" x14ac:dyDescent="0.25">
      <c r="A377" t="s">
        <v>70</v>
      </c>
      <c r="B377" s="49" t="s">
        <v>1195</v>
      </c>
      <c r="C377" s="33" t="s">
        <v>816</v>
      </c>
      <c r="D377" s="32" t="s">
        <v>782</v>
      </c>
      <c r="E377" s="33"/>
      <c r="F377" s="33" t="s">
        <v>1196</v>
      </c>
      <c r="G377" s="33"/>
      <c r="H377" s="31"/>
    </row>
    <row r="378" spans="1:8" x14ac:dyDescent="0.25">
      <c r="A378" t="s">
        <v>432</v>
      </c>
      <c r="B378" s="33" t="s">
        <v>1197</v>
      </c>
      <c r="C378" s="33" t="s">
        <v>816</v>
      </c>
      <c r="D378" s="32" t="s">
        <v>782</v>
      </c>
      <c r="E378" s="33"/>
      <c r="F378" s="33" t="s">
        <v>1198</v>
      </c>
      <c r="G378" s="33"/>
      <c r="H378" s="31"/>
    </row>
    <row r="379" spans="1:8" x14ac:dyDescent="0.25">
      <c r="A379" t="s">
        <v>433</v>
      </c>
      <c r="B379" s="49" t="s">
        <v>784</v>
      </c>
      <c r="C379" s="33" t="s">
        <v>816</v>
      </c>
      <c r="D379" s="32" t="s">
        <v>782</v>
      </c>
      <c r="E379" s="33"/>
      <c r="F379" s="33" t="s">
        <v>1199</v>
      </c>
      <c r="G379" s="33"/>
      <c r="H379" s="31"/>
    </row>
    <row r="380" spans="1:8" x14ac:dyDescent="0.25">
      <c r="A380" t="s">
        <v>434</v>
      </c>
      <c r="B380" s="49" t="s">
        <v>1200</v>
      </c>
      <c r="C380" s="33" t="s">
        <v>58</v>
      </c>
      <c r="D380" s="32" t="s">
        <v>1039</v>
      </c>
      <c r="E380" s="33"/>
      <c r="F380" s="33" t="s">
        <v>1201</v>
      </c>
      <c r="G380" s="33"/>
      <c r="H380" s="31"/>
    </row>
    <row r="381" spans="1:8" x14ac:dyDescent="0.25">
      <c r="A381" t="s">
        <v>435</v>
      </c>
      <c r="B381" s="49" t="s">
        <v>1197</v>
      </c>
      <c r="C381" s="33" t="s">
        <v>816</v>
      </c>
      <c r="D381" s="32" t="s">
        <v>1019</v>
      </c>
      <c r="E381" s="33">
        <v>60804</v>
      </c>
      <c r="F381" s="33" t="s">
        <v>1202</v>
      </c>
      <c r="G381" s="33"/>
      <c r="H381" s="31"/>
    </row>
    <row r="382" spans="1:8" x14ac:dyDescent="0.25">
      <c r="A382" t="s">
        <v>436</v>
      </c>
      <c r="B382" s="49" t="s">
        <v>974</v>
      </c>
      <c r="C382" s="33" t="s">
        <v>816</v>
      </c>
      <c r="D382" s="32" t="s">
        <v>1203</v>
      </c>
      <c r="E382" s="33"/>
      <c r="F382" s="33" t="s">
        <v>1204</v>
      </c>
      <c r="G382" s="33"/>
      <c r="H382" s="31"/>
    </row>
    <row r="383" spans="1:8" x14ac:dyDescent="0.25">
      <c r="A383" t="s">
        <v>437</v>
      </c>
      <c r="B383" s="49" t="s">
        <v>1205</v>
      </c>
      <c r="C383" s="33" t="s">
        <v>58</v>
      </c>
      <c r="D383" s="32" t="s">
        <v>826</v>
      </c>
      <c r="E383" s="33"/>
      <c r="F383" s="33" t="s">
        <v>1206</v>
      </c>
      <c r="G383" s="33"/>
      <c r="H383" s="31"/>
    </row>
    <row r="384" spans="1:8" x14ac:dyDescent="0.25">
      <c r="A384" t="s">
        <v>438</v>
      </c>
      <c r="B384" s="49" t="s">
        <v>1207</v>
      </c>
      <c r="C384" s="33" t="s">
        <v>816</v>
      </c>
      <c r="D384" s="32" t="s">
        <v>851</v>
      </c>
      <c r="E384" s="33"/>
      <c r="F384" s="33" t="s">
        <v>1208</v>
      </c>
      <c r="G384" s="33" t="s">
        <v>1209</v>
      </c>
      <c r="H384" s="31"/>
    </row>
    <row r="385" spans="1:8" x14ac:dyDescent="0.25">
      <c r="A385" t="s">
        <v>439</v>
      </c>
      <c r="B385" s="33"/>
      <c r="C385" s="33"/>
      <c r="D385" s="32"/>
      <c r="E385" s="33"/>
      <c r="F385" s="33"/>
      <c r="G385" s="33"/>
      <c r="H385" s="31"/>
    </row>
    <row r="386" spans="1:8" x14ac:dyDescent="0.25">
      <c r="A386" t="s">
        <v>440</v>
      </c>
      <c r="B386" s="33" t="s">
        <v>1210</v>
      </c>
      <c r="C386" s="33" t="s">
        <v>58</v>
      </c>
      <c r="D386" s="32" t="s">
        <v>1042</v>
      </c>
      <c r="E386" s="33">
        <v>28945</v>
      </c>
      <c r="F386" s="33" t="s">
        <v>1211</v>
      </c>
      <c r="G386" s="33"/>
      <c r="H386" s="31"/>
    </row>
    <row r="387" spans="1:8" x14ac:dyDescent="0.25">
      <c r="A387" t="s">
        <v>441</v>
      </c>
      <c r="B387" s="31" t="s">
        <v>813</v>
      </c>
      <c r="C387" s="31" t="s">
        <v>816</v>
      </c>
      <c r="D387" s="32" t="s">
        <v>782</v>
      </c>
      <c r="E387" s="33"/>
      <c r="F387" s="33" t="s">
        <v>1212</v>
      </c>
      <c r="G387" s="41"/>
      <c r="H387" s="31"/>
    </row>
    <row r="388" spans="1:8" x14ac:dyDescent="0.25">
      <c r="A388" t="s">
        <v>442</v>
      </c>
      <c r="B388" s="31" t="s">
        <v>1132</v>
      </c>
      <c r="C388" s="31" t="s">
        <v>816</v>
      </c>
      <c r="D388" s="32" t="s">
        <v>782</v>
      </c>
      <c r="E388" s="33"/>
      <c r="F388" s="33" t="s">
        <v>1213</v>
      </c>
      <c r="G388" s="41"/>
      <c r="H388" s="31"/>
    </row>
    <row r="389" spans="1:8" x14ac:dyDescent="0.25">
      <c r="A389" t="s">
        <v>443</v>
      </c>
      <c r="B389" s="31" t="s">
        <v>813</v>
      </c>
      <c r="C389" s="31" t="s">
        <v>816</v>
      </c>
      <c r="D389" s="32" t="s">
        <v>782</v>
      </c>
      <c r="E389" s="33"/>
      <c r="F389" s="31" t="s">
        <v>1214</v>
      </c>
      <c r="G389" s="41" t="s">
        <v>1215</v>
      </c>
      <c r="H389" s="31"/>
    </row>
    <row r="390" spans="1:8" x14ac:dyDescent="0.25">
      <c r="A390" t="s">
        <v>444</v>
      </c>
      <c r="B390" s="31" t="s">
        <v>1216</v>
      </c>
      <c r="C390" s="31" t="s">
        <v>58</v>
      </c>
      <c r="D390" s="32" t="s">
        <v>1217</v>
      </c>
      <c r="E390" s="33"/>
      <c r="F390" s="33" t="s">
        <v>1218</v>
      </c>
      <c r="G390" s="41" t="s">
        <v>1219</v>
      </c>
      <c r="H390" s="31"/>
    </row>
    <row r="391" spans="1:8" x14ac:dyDescent="0.25">
      <c r="A391" t="s">
        <v>445</v>
      </c>
      <c r="B391" s="31" t="s">
        <v>1125</v>
      </c>
      <c r="C391" s="31" t="s">
        <v>58</v>
      </c>
      <c r="D391" s="32" t="s">
        <v>803</v>
      </c>
      <c r="E391" s="33"/>
      <c r="F391" s="33" t="s">
        <v>1220</v>
      </c>
      <c r="G391" s="41" t="s">
        <v>1221</v>
      </c>
      <c r="H391" s="31"/>
    </row>
    <row r="392" spans="1:8" x14ac:dyDescent="0.25">
      <c r="A392" t="s">
        <v>446</v>
      </c>
      <c r="B392" s="31" t="s">
        <v>1222</v>
      </c>
      <c r="C392" s="33" t="s">
        <v>816</v>
      </c>
      <c r="D392" s="32" t="s">
        <v>782</v>
      </c>
      <c r="E392" s="33"/>
      <c r="F392" s="33" t="s">
        <v>1223</v>
      </c>
      <c r="G392" s="33" t="s">
        <v>1224</v>
      </c>
      <c r="H392" s="31"/>
    </row>
    <row r="393" spans="1:8" x14ac:dyDescent="0.25">
      <c r="A393" t="s">
        <v>447</v>
      </c>
      <c r="B393" s="31" t="s">
        <v>1225</v>
      </c>
      <c r="C393" s="33" t="s">
        <v>816</v>
      </c>
      <c r="D393" s="32" t="s">
        <v>782</v>
      </c>
      <c r="E393" s="33"/>
      <c r="F393" s="33" t="s">
        <v>1226</v>
      </c>
      <c r="G393" s="33" t="s">
        <v>1227</v>
      </c>
      <c r="H393" s="31"/>
    </row>
    <row r="394" spans="1:8" x14ac:dyDescent="0.25">
      <c r="A394" t="s">
        <v>448</v>
      </c>
      <c r="B394" s="31" t="s">
        <v>1228</v>
      </c>
      <c r="C394" s="33" t="s">
        <v>816</v>
      </c>
      <c r="D394" s="32" t="s">
        <v>782</v>
      </c>
      <c r="E394" s="33"/>
      <c r="F394" s="33" t="s">
        <v>1229</v>
      </c>
      <c r="G394" s="41" t="s">
        <v>1230</v>
      </c>
      <c r="H394" s="31"/>
    </row>
    <row r="395" spans="1:8" x14ac:dyDescent="0.25">
      <c r="A395" t="s">
        <v>449</v>
      </c>
      <c r="B395" s="49" t="s">
        <v>958</v>
      </c>
      <c r="C395" s="33" t="s">
        <v>816</v>
      </c>
      <c r="D395" s="32" t="s">
        <v>782</v>
      </c>
      <c r="E395" s="33"/>
      <c r="F395" s="33" t="s">
        <v>1231</v>
      </c>
      <c r="G395" s="33" t="s">
        <v>1232</v>
      </c>
      <c r="H395" s="31"/>
    </row>
    <row r="396" spans="1:8" x14ac:dyDescent="0.25">
      <c r="A396" t="s">
        <v>450</v>
      </c>
      <c r="B396" s="49"/>
      <c r="C396" s="33" t="s">
        <v>58</v>
      </c>
      <c r="D396" s="32" t="s">
        <v>803</v>
      </c>
      <c r="E396" s="33"/>
      <c r="F396" s="81" t="s">
        <v>1233</v>
      </c>
      <c r="G396" s="33" t="s">
        <v>1234</v>
      </c>
      <c r="H396" s="31"/>
    </row>
    <row r="397" spans="1:8" x14ac:dyDescent="0.25">
      <c r="A397" t="s">
        <v>451</v>
      </c>
      <c r="B397" s="31" t="s">
        <v>813</v>
      </c>
      <c r="C397" s="33" t="s">
        <v>816</v>
      </c>
      <c r="D397" s="82" t="s">
        <v>782</v>
      </c>
      <c r="E397" s="31"/>
      <c r="F397" s="33" t="s">
        <v>1235</v>
      </c>
      <c r="G397" s="37" t="s">
        <v>1236</v>
      </c>
    </row>
    <row r="398" spans="1:8" x14ac:dyDescent="0.25">
      <c r="A398" t="s">
        <v>452</v>
      </c>
      <c r="B398" s="31" t="s">
        <v>1237</v>
      </c>
      <c r="C398" s="31" t="s">
        <v>816</v>
      </c>
      <c r="D398" s="32" t="s">
        <v>994</v>
      </c>
      <c r="E398" s="33"/>
      <c r="F398" s="33" t="s">
        <v>1238</v>
      </c>
      <c r="G398" s="41" t="s">
        <v>1239</v>
      </c>
      <c r="H398" s="31"/>
    </row>
    <row r="399" spans="1:8" x14ac:dyDescent="0.25">
      <c r="A399" t="s">
        <v>453</v>
      </c>
      <c r="B399" s="31" t="s">
        <v>826</v>
      </c>
      <c r="C399" s="31" t="s">
        <v>58</v>
      </c>
      <c r="D399" s="82" t="s">
        <v>826</v>
      </c>
      <c r="E399" s="33"/>
      <c r="F399" s="31" t="s">
        <v>1240</v>
      </c>
      <c r="G399" s="83" t="s">
        <v>1241</v>
      </c>
      <c r="H399" s="31"/>
    </row>
    <row r="400" spans="1:8" x14ac:dyDescent="0.25">
      <c r="A400" t="s">
        <v>454</v>
      </c>
      <c r="B400" s="49" t="s">
        <v>1197</v>
      </c>
      <c r="C400" s="33" t="s">
        <v>1148</v>
      </c>
      <c r="D400" s="32" t="s">
        <v>1242</v>
      </c>
      <c r="E400" s="33"/>
      <c r="F400" s="31" t="s">
        <v>1243</v>
      </c>
      <c r="G400" s="83" t="s">
        <v>1244</v>
      </c>
      <c r="H400" s="31"/>
    </row>
    <row r="401" spans="1:8" x14ac:dyDescent="0.25">
      <c r="A401" t="s">
        <v>455</v>
      </c>
      <c r="B401" s="49" t="s">
        <v>1245</v>
      </c>
      <c r="C401" s="33" t="s">
        <v>1148</v>
      </c>
      <c r="D401" s="82" t="s">
        <v>1245</v>
      </c>
      <c r="E401" s="33"/>
      <c r="F401" s="31" t="s">
        <v>1246</v>
      </c>
      <c r="G401" s="31" t="s">
        <v>1247</v>
      </c>
      <c r="H401" s="31"/>
    </row>
    <row r="402" spans="1:8" x14ac:dyDescent="0.25">
      <c r="A402" t="s">
        <v>456</v>
      </c>
      <c r="B402" s="49" t="s">
        <v>1248</v>
      </c>
      <c r="C402" s="33" t="s">
        <v>816</v>
      </c>
      <c r="D402" s="82" t="s">
        <v>1013</v>
      </c>
      <c r="E402" s="33"/>
      <c r="F402" s="31" t="s">
        <v>1249</v>
      </c>
      <c r="G402" s="31" t="s">
        <v>1250</v>
      </c>
      <c r="H402" s="31"/>
    </row>
    <row r="403" spans="1:8" x14ac:dyDescent="0.25">
      <c r="A403" t="s">
        <v>457</v>
      </c>
      <c r="B403" s="31" t="s">
        <v>826</v>
      </c>
      <c r="C403" s="33" t="s">
        <v>58</v>
      </c>
      <c r="D403" s="32" t="s">
        <v>826</v>
      </c>
      <c r="E403" s="33"/>
      <c r="F403" s="33" t="s">
        <v>1100</v>
      </c>
      <c r="G403" s="83" t="s">
        <v>1251</v>
      </c>
      <c r="H403" s="31"/>
    </row>
    <row r="404" spans="1:8" x14ac:dyDescent="0.25">
      <c r="A404" t="s">
        <v>458</v>
      </c>
      <c r="B404" s="31" t="s">
        <v>1252</v>
      </c>
      <c r="C404" s="33" t="s">
        <v>816</v>
      </c>
      <c r="D404" s="32" t="s">
        <v>1203</v>
      </c>
      <c r="E404" s="33"/>
      <c r="F404" s="33" t="s">
        <v>1253</v>
      </c>
      <c r="G404" s="83" t="s">
        <v>1254</v>
      </c>
      <c r="H404" s="31"/>
    </row>
    <row r="405" spans="1:8" ht="30" x14ac:dyDescent="0.25">
      <c r="A405" t="s">
        <v>459</v>
      </c>
      <c r="B405" s="25" t="s">
        <v>1255</v>
      </c>
      <c r="C405" s="25" t="s">
        <v>530</v>
      </c>
      <c r="D405" s="82" t="s">
        <v>1256</v>
      </c>
      <c r="E405" s="31"/>
      <c r="F405" s="31"/>
      <c r="G405" s="31"/>
      <c r="H405" s="79" t="s">
        <v>1257</v>
      </c>
    </row>
    <row r="406" spans="1:8" ht="30" x14ac:dyDescent="0.25">
      <c r="A406" t="s">
        <v>460</v>
      </c>
      <c r="B406" s="25" t="s">
        <v>1255</v>
      </c>
      <c r="C406" s="25" t="s">
        <v>530</v>
      </c>
      <c r="D406" s="82" t="s">
        <v>1256</v>
      </c>
      <c r="E406" s="31">
        <v>30827</v>
      </c>
      <c r="F406" s="31" t="s">
        <v>1258</v>
      </c>
      <c r="G406" s="31" t="s">
        <v>1259</v>
      </c>
      <c r="H406" s="79" t="s">
        <v>1260</v>
      </c>
    </row>
    <row r="407" spans="1:8" ht="30" x14ac:dyDescent="0.25">
      <c r="A407" t="s">
        <v>461</v>
      </c>
      <c r="B407" s="25" t="s">
        <v>1255</v>
      </c>
      <c r="C407" s="25" t="s">
        <v>530</v>
      </c>
      <c r="D407" s="82" t="s">
        <v>1256</v>
      </c>
      <c r="E407" s="31">
        <v>29526</v>
      </c>
      <c r="F407" s="31" t="s">
        <v>1261</v>
      </c>
      <c r="G407" s="31" t="s">
        <v>1262</v>
      </c>
      <c r="H407" s="79" t="s">
        <v>1263</v>
      </c>
    </row>
    <row r="408" spans="1:8" ht="30" x14ac:dyDescent="0.25">
      <c r="A408" t="s">
        <v>462</v>
      </c>
      <c r="B408" s="25" t="s">
        <v>1255</v>
      </c>
      <c r="C408" s="25" t="s">
        <v>530</v>
      </c>
      <c r="D408" s="82" t="s">
        <v>1256</v>
      </c>
      <c r="E408" s="31">
        <v>29526</v>
      </c>
      <c r="F408" s="31" t="s">
        <v>1261</v>
      </c>
      <c r="G408" s="31" t="s">
        <v>1262</v>
      </c>
      <c r="H408" s="79" t="s">
        <v>1264</v>
      </c>
    </row>
    <row r="409" spans="1:8" x14ac:dyDescent="0.25">
      <c r="A409" t="s">
        <v>463</v>
      </c>
      <c r="B409" t="s">
        <v>1265</v>
      </c>
      <c r="C409" t="s">
        <v>67</v>
      </c>
      <c r="D409" s="82" t="s">
        <v>1266</v>
      </c>
      <c r="E409" s="31">
        <v>86823</v>
      </c>
      <c r="F409" s="33" t="s">
        <v>1267</v>
      </c>
      <c r="G409" s="33" t="s">
        <v>1268</v>
      </c>
    </row>
    <row r="410" spans="1:8" x14ac:dyDescent="0.25">
      <c r="A410" t="s">
        <v>464</v>
      </c>
      <c r="B410" s="25" t="s">
        <v>1269</v>
      </c>
      <c r="C410" t="s">
        <v>67</v>
      </c>
      <c r="D410" s="82" t="s">
        <v>1266</v>
      </c>
      <c r="E410" s="31">
        <v>86824</v>
      </c>
      <c r="F410" s="33" t="s">
        <v>1270</v>
      </c>
      <c r="G410" s="37" t="s">
        <v>1271</v>
      </c>
    </row>
    <row r="411" spans="1:8" x14ac:dyDescent="0.25">
      <c r="A411" t="s">
        <v>465</v>
      </c>
      <c r="D411" s="82" t="s">
        <v>1266</v>
      </c>
      <c r="E411" s="31"/>
      <c r="F411" s="31"/>
      <c r="G411" s="31"/>
    </row>
    <row r="412" spans="1:8" x14ac:dyDescent="0.25">
      <c r="A412" t="s">
        <v>466</v>
      </c>
      <c r="B412" s="25" t="s">
        <v>1272</v>
      </c>
      <c r="C412" t="s">
        <v>67</v>
      </c>
      <c r="D412" s="82" t="s">
        <v>1266</v>
      </c>
      <c r="E412" s="31">
        <v>86757</v>
      </c>
      <c r="F412" s="33" t="s">
        <v>1273</v>
      </c>
      <c r="G412" s="33" t="s">
        <v>1274</v>
      </c>
    </row>
    <row r="413" spans="1:8" x14ac:dyDescent="0.25">
      <c r="A413" t="s">
        <v>467</v>
      </c>
      <c r="D413" s="82" t="s">
        <v>1266</v>
      </c>
      <c r="E413" s="31"/>
      <c r="F413" s="31"/>
      <c r="G413" s="31"/>
    </row>
    <row r="414" spans="1:8" x14ac:dyDescent="0.25">
      <c r="A414" t="s">
        <v>468</v>
      </c>
      <c r="D414" s="82" t="s">
        <v>1266</v>
      </c>
      <c r="E414" s="31"/>
      <c r="F414" s="31"/>
      <c r="G414" s="31"/>
    </row>
    <row r="415" spans="1:8" x14ac:dyDescent="0.25">
      <c r="A415" t="s">
        <v>469</v>
      </c>
      <c r="D415" s="82" t="s">
        <v>1266</v>
      </c>
      <c r="E415" s="31"/>
      <c r="F415" s="31"/>
      <c r="G415" s="31"/>
    </row>
    <row r="416" spans="1:8" x14ac:dyDescent="0.25">
      <c r="A416" t="s">
        <v>470</v>
      </c>
      <c r="D416" s="82" t="s">
        <v>1266</v>
      </c>
      <c r="E416" s="48"/>
      <c r="F416" s="31"/>
      <c r="G416" s="31"/>
    </row>
    <row r="417" spans="1:8" x14ac:dyDescent="0.25">
      <c r="A417" t="s">
        <v>471</v>
      </c>
      <c r="D417" s="82" t="s">
        <v>1266</v>
      </c>
      <c r="E417" s="31"/>
      <c r="F417" s="31"/>
      <c r="G417" s="31"/>
    </row>
    <row r="418" spans="1:8" x14ac:dyDescent="0.25">
      <c r="A418" t="s">
        <v>472</v>
      </c>
      <c r="D418" s="82" t="s">
        <v>1266</v>
      </c>
      <c r="E418" s="31"/>
      <c r="F418" s="31"/>
      <c r="G418" s="31"/>
    </row>
    <row r="419" spans="1:8" x14ac:dyDescent="0.25">
      <c r="A419" t="s">
        <v>473</v>
      </c>
      <c r="D419" s="82" t="s">
        <v>1266</v>
      </c>
      <c r="E419" s="31"/>
      <c r="F419" s="31"/>
      <c r="G419" s="31"/>
    </row>
    <row r="420" spans="1:8" x14ac:dyDescent="0.25">
      <c r="A420" t="s">
        <v>474</v>
      </c>
      <c r="D420" s="82" t="s">
        <v>1266</v>
      </c>
      <c r="E420" s="31"/>
      <c r="F420" s="31"/>
      <c r="G420" s="31"/>
    </row>
    <row r="421" spans="1:8" x14ac:dyDescent="0.25">
      <c r="A421" t="s">
        <v>475</v>
      </c>
      <c r="D421" s="82" t="s">
        <v>1266</v>
      </c>
      <c r="E421" s="31"/>
      <c r="F421" s="31"/>
      <c r="G421" s="31"/>
    </row>
    <row r="422" spans="1:8" x14ac:dyDescent="0.25">
      <c r="A422" t="s">
        <v>476</v>
      </c>
      <c r="D422" s="82" t="s">
        <v>1266</v>
      </c>
      <c r="E422" s="31"/>
      <c r="F422" s="31"/>
      <c r="G422" s="31"/>
    </row>
    <row r="423" spans="1:8" x14ac:dyDescent="0.25">
      <c r="A423" t="s">
        <v>477</v>
      </c>
      <c r="D423" s="82" t="s">
        <v>1266</v>
      </c>
      <c r="E423" s="31"/>
      <c r="F423" s="31"/>
      <c r="G423" s="31"/>
    </row>
    <row r="424" spans="1:8" x14ac:dyDescent="0.25">
      <c r="A424" t="s">
        <v>478</v>
      </c>
      <c r="C424" t="s">
        <v>67</v>
      </c>
      <c r="D424" s="82" t="s">
        <v>1266</v>
      </c>
      <c r="E424" s="31"/>
      <c r="F424" s="31" t="s">
        <v>1275</v>
      </c>
      <c r="G424" s="84" t="s">
        <v>1276</v>
      </c>
    </row>
    <row r="425" spans="1:8" x14ac:dyDescent="0.25">
      <c r="A425" t="s">
        <v>479</v>
      </c>
      <c r="D425" s="82" t="s">
        <v>1266</v>
      </c>
      <c r="E425" s="31"/>
      <c r="F425" s="31"/>
      <c r="G425" s="31"/>
    </row>
    <row r="426" spans="1:8" x14ac:dyDescent="0.25">
      <c r="A426" t="s">
        <v>480</v>
      </c>
      <c r="D426" s="82" t="s">
        <v>1266</v>
      </c>
      <c r="E426" s="31"/>
      <c r="F426" s="31"/>
      <c r="G426" s="31"/>
    </row>
    <row r="427" spans="1:8" ht="30" x14ac:dyDescent="0.25">
      <c r="A427" t="s">
        <v>481</v>
      </c>
      <c r="B427" t="s">
        <v>1277</v>
      </c>
      <c r="C427" t="s">
        <v>67</v>
      </c>
      <c r="D427" s="82" t="s">
        <v>1278</v>
      </c>
      <c r="E427" s="31">
        <v>86947</v>
      </c>
      <c r="F427" s="33" t="s">
        <v>1279</v>
      </c>
      <c r="G427" s="33" t="s">
        <v>1280</v>
      </c>
      <c r="H427" s="79" t="s">
        <v>1281</v>
      </c>
    </row>
    <row r="428" spans="1:8" ht="30" x14ac:dyDescent="0.25">
      <c r="A428" t="s">
        <v>482</v>
      </c>
      <c r="B428" t="s">
        <v>1282</v>
      </c>
      <c r="C428" t="s">
        <v>67</v>
      </c>
      <c r="D428" s="82" t="s">
        <v>1283</v>
      </c>
      <c r="E428" s="31">
        <v>86443</v>
      </c>
      <c r="F428" s="33" t="s">
        <v>1284</v>
      </c>
      <c r="G428" s="33" t="s">
        <v>1285</v>
      </c>
      <c r="H428" s="79" t="s">
        <v>1286</v>
      </c>
    </row>
    <row r="429" spans="1:8" x14ac:dyDescent="0.25">
      <c r="A429" t="s">
        <v>483</v>
      </c>
      <c r="B429" t="s">
        <v>1287</v>
      </c>
      <c r="C429" t="s">
        <v>67</v>
      </c>
      <c r="D429" s="82" t="s">
        <v>1266</v>
      </c>
      <c r="E429" s="31"/>
      <c r="F429" s="31" t="s">
        <v>1288</v>
      </c>
      <c r="G429" s="31" t="s">
        <v>1289</v>
      </c>
    </row>
    <row r="430" spans="1:8" x14ac:dyDescent="0.25">
      <c r="A430" t="s">
        <v>484</v>
      </c>
      <c r="D430" s="82" t="s">
        <v>1266</v>
      </c>
      <c r="E430" s="31"/>
      <c r="F430" s="31"/>
      <c r="G430" s="31"/>
    </row>
    <row r="431" spans="1:8" x14ac:dyDescent="0.25">
      <c r="A431" t="s">
        <v>485</v>
      </c>
      <c r="D431" s="82" t="s">
        <v>1266</v>
      </c>
      <c r="E431" s="31"/>
      <c r="F431" s="31"/>
      <c r="G431" s="31"/>
    </row>
    <row r="432" spans="1:8" x14ac:dyDescent="0.25">
      <c r="A432" t="s">
        <v>486</v>
      </c>
      <c r="B432" t="s">
        <v>1290</v>
      </c>
      <c r="C432" t="s">
        <v>67</v>
      </c>
      <c r="D432" s="82" t="s">
        <v>1266</v>
      </c>
      <c r="E432" s="31"/>
      <c r="F432" s="81" t="s">
        <v>1291</v>
      </c>
      <c r="G432" s="84" t="s">
        <v>1292</v>
      </c>
    </row>
    <row r="433" spans="1:8" x14ac:dyDescent="0.25">
      <c r="A433" t="s">
        <v>487</v>
      </c>
      <c r="D433" s="82" t="s">
        <v>1266</v>
      </c>
      <c r="E433" s="31"/>
      <c r="F433" s="31"/>
      <c r="G433" s="31"/>
    </row>
    <row r="434" spans="1:8" x14ac:dyDescent="0.25">
      <c r="A434" t="s">
        <v>488</v>
      </c>
      <c r="D434" s="82" t="s">
        <v>1266</v>
      </c>
      <c r="E434" s="31"/>
      <c r="F434" s="31"/>
      <c r="G434" s="31"/>
    </row>
    <row r="435" spans="1:8" x14ac:dyDescent="0.25">
      <c r="A435" t="s">
        <v>489</v>
      </c>
      <c r="B435" t="s">
        <v>1293</v>
      </c>
      <c r="C435" t="s">
        <v>530</v>
      </c>
      <c r="D435" s="82" t="s">
        <v>1256</v>
      </c>
      <c r="E435" s="31">
        <v>29526</v>
      </c>
      <c r="F435" s="33" t="s">
        <v>1294</v>
      </c>
      <c r="G435" s="33"/>
    </row>
    <row r="436" spans="1:8" x14ac:dyDescent="0.25">
      <c r="A436" t="s">
        <v>490</v>
      </c>
      <c r="D436" s="82" t="s">
        <v>1266</v>
      </c>
      <c r="E436" s="31"/>
      <c r="F436" s="31"/>
      <c r="G436" s="31"/>
    </row>
    <row r="437" spans="1:8" x14ac:dyDescent="0.25">
      <c r="A437" t="s">
        <v>491</v>
      </c>
      <c r="B437" t="s">
        <v>1295</v>
      </c>
      <c r="C437" t="s">
        <v>67</v>
      </c>
      <c r="D437" s="82" t="s">
        <v>1266</v>
      </c>
      <c r="E437" s="31">
        <v>86826</v>
      </c>
      <c r="F437" s="31" t="s">
        <v>1296</v>
      </c>
      <c r="G437" s="84" t="s">
        <v>1297</v>
      </c>
    </row>
    <row r="438" spans="1:8" x14ac:dyDescent="0.25">
      <c r="A438" t="s">
        <v>492</v>
      </c>
      <c r="B438" t="s">
        <v>1293</v>
      </c>
      <c r="C438" t="s">
        <v>530</v>
      </c>
      <c r="D438" s="82" t="s">
        <v>1256</v>
      </c>
      <c r="E438" s="31">
        <v>29526</v>
      </c>
      <c r="F438" s="31" t="s">
        <v>1298</v>
      </c>
      <c r="G438" s="84"/>
    </row>
    <row r="439" spans="1:8" x14ac:dyDescent="0.25">
      <c r="A439" t="s">
        <v>493</v>
      </c>
      <c r="D439" s="82" t="s">
        <v>1266</v>
      </c>
      <c r="E439" s="31"/>
      <c r="F439" s="31"/>
      <c r="G439" s="31"/>
    </row>
    <row r="440" spans="1:8" x14ac:dyDescent="0.25">
      <c r="A440" t="s">
        <v>494</v>
      </c>
      <c r="D440" s="82" t="s">
        <v>1266</v>
      </c>
      <c r="E440" s="31"/>
      <c r="F440" s="31"/>
      <c r="G440" s="31"/>
    </row>
    <row r="441" spans="1:8" x14ac:dyDescent="0.25">
      <c r="A441" t="s">
        <v>495</v>
      </c>
      <c r="D441" s="82" t="s">
        <v>1266</v>
      </c>
      <c r="E441" s="31"/>
      <c r="F441" s="31"/>
      <c r="G441" s="31"/>
    </row>
    <row r="442" spans="1:8" x14ac:dyDescent="0.25">
      <c r="A442" t="s">
        <v>496</v>
      </c>
      <c r="D442" s="82" t="s">
        <v>1266</v>
      </c>
      <c r="E442" s="31"/>
      <c r="F442" s="31"/>
      <c r="G442" s="31"/>
    </row>
    <row r="443" spans="1:8" x14ac:dyDescent="0.25">
      <c r="A443" t="s">
        <v>497</v>
      </c>
      <c r="D443" s="82" t="s">
        <v>1266</v>
      </c>
      <c r="E443" s="31"/>
      <c r="F443" s="31"/>
      <c r="G443" s="31"/>
    </row>
    <row r="444" spans="1:8" x14ac:dyDescent="0.25">
      <c r="A444" t="s">
        <v>498</v>
      </c>
      <c r="D444" s="82" t="s">
        <v>1266</v>
      </c>
      <c r="E444" s="31"/>
      <c r="F444" s="31"/>
      <c r="G444" s="31"/>
    </row>
    <row r="445" spans="1:8" x14ac:dyDescent="0.25">
      <c r="A445" t="s">
        <v>499</v>
      </c>
      <c r="D445" s="82" t="s">
        <v>1266</v>
      </c>
      <c r="E445" s="31"/>
      <c r="F445" s="31"/>
      <c r="G445" s="31"/>
    </row>
    <row r="446" spans="1:8" x14ac:dyDescent="0.25">
      <c r="A446" t="s">
        <v>500</v>
      </c>
      <c r="D446" s="82" t="s">
        <v>1266</v>
      </c>
      <c r="E446" s="31"/>
      <c r="F446" s="31"/>
      <c r="G446" s="31"/>
    </row>
    <row r="447" spans="1:8" x14ac:dyDescent="0.25">
      <c r="A447" t="s">
        <v>501</v>
      </c>
      <c r="B447" s="33"/>
      <c r="C447" s="33"/>
      <c r="D447" s="32" t="s">
        <v>1299</v>
      </c>
      <c r="E447" s="33"/>
      <c r="F447" s="33"/>
      <c r="G447" s="33"/>
      <c r="H447" s="31"/>
    </row>
    <row r="448" spans="1:8" x14ac:dyDescent="0.25">
      <c r="A448" t="s">
        <v>502</v>
      </c>
      <c r="B448" s="33"/>
      <c r="C448" s="33"/>
      <c r="D448" s="32" t="s">
        <v>1266</v>
      </c>
      <c r="E448" s="33"/>
      <c r="F448" s="33"/>
      <c r="G448" s="33"/>
      <c r="H448" s="31"/>
    </row>
    <row r="449" spans="1:8" x14ac:dyDescent="0.25">
      <c r="A449" t="s">
        <v>503</v>
      </c>
      <c r="B449" s="33"/>
      <c r="C449" s="33"/>
      <c r="D449" s="32" t="s">
        <v>1266</v>
      </c>
      <c r="E449" s="33"/>
      <c r="F449" s="33"/>
      <c r="G449" s="33"/>
      <c r="H449" s="31"/>
    </row>
    <row r="450" spans="1:8" x14ac:dyDescent="0.25">
      <c r="A450" t="s">
        <v>504</v>
      </c>
      <c r="B450" s="33"/>
      <c r="C450" s="33"/>
      <c r="D450" s="32" t="s">
        <v>1266</v>
      </c>
      <c r="E450" s="33"/>
      <c r="F450" s="33"/>
      <c r="G450" s="33"/>
      <c r="H450" s="31"/>
    </row>
    <row r="451" spans="1:8" x14ac:dyDescent="0.25">
      <c r="A451" t="s">
        <v>505</v>
      </c>
      <c r="B451" s="33" t="s">
        <v>1300</v>
      </c>
      <c r="C451" s="33" t="s">
        <v>67</v>
      </c>
      <c r="D451" s="32" t="s">
        <v>1301</v>
      </c>
      <c r="E451" s="33"/>
      <c r="F451" s="33" t="s">
        <v>1302</v>
      </c>
      <c r="G451" s="33" t="s">
        <v>1303</v>
      </c>
      <c r="H451" s="31"/>
    </row>
    <row r="452" spans="1:8" x14ac:dyDescent="0.25">
      <c r="A452" t="s">
        <v>506</v>
      </c>
      <c r="B452" s="33"/>
      <c r="C452" s="33" t="s">
        <v>67</v>
      </c>
      <c r="D452" s="32"/>
      <c r="E452" s="33"/>
      <c r="F452" s="33"/>
      <c r="G452" s="33"/>
      <c r="H452" s="31"/>
    </row>
    <row r="453" spans="1:8" x14ac:dyDescent="0.25">
      <c r="A453" t="s">
        <v>507</v>
      </c>
      <c r="B453" s="33" t="s">
        <v>1300</v>
      </c>
      <c r="C453" s="33" t="s">
        <v>67</v>
      </c>
      <c r="D453" s="32" t="s">
        <v>1301</v>
      </c>
      <c r="E453" s="33"/>
      <c r="F453" s="33" t="s">
        <v>1304</v>
      </c>
      <c r="G453" s="41" t="s">
        <v>1305</v>
      </c>
      <c r="H453" s="31"/>
    </row>
    <row r="454" spans="1:8" x14ac:dyDescent="0.25">
      <c r="A454" t="s">
        <v>508</v>
      </c>
      <c r="C454" s="33" t="s">
        <v>67</v>
      </c>
      <c r="D454" s="82"/>
      <c r="E454" s="31"/>
      <c r="F454" s="31"/>
      <c r="G454" s="31"/>
    </row>
    <row r="455" spans="1:8" ht="15.75" thickBot="1" x14ac:dyDescent="0.3">
      <c r="A455" s="26" t="s">
        <v>509</v>
      </c>
      <c r="B455" s="85"/>
      <c r="C455" s="85" t="s">
        <v>67</v>
      </c>
      <c r="D455" s="86" t="s">
        <v>1266</v>
      </c>
      <c r="E455" s="85"/>
      <c r="F455" s="85" t="s">
        <v>1306</v>
      </c>
      <c r="G455" s="85" t="s">
        <v>1307</v>
      </c>
      <c r="H455" s="87"/>
    </row>
    <row r="456" spans="1:8" ht="16.5" thickTop="1" thickBot="1" x14ac:dyDescent="0.3">
      <c r="A456" t="s">
        <v>510</v>
      </c>
      <c r="B456" s="85"/>
      <c r="C456" s="85"/>
      <c r="D456" s="86" t="s">
        <v>1308</v>
      </c>
      <c r="E456" s="85"/>
      <c r="F456" s="85"/>
      <c r="G456" s="85"/>
      <c r="H456" s="87"/>
    </row>
    <row r="457" spans="1:8" ht="15.75" thickTop="1" x14ac:dyDescent="0.25">
      <c r="A457" t="s">
        <v>511</v>
      </c>
      <c r="B457" s="33"/>
      <c r="C457" s="33"/>
      <c r="D457" s="32" t="s">
        <v>1309</v>
      </c>
      <c r="E457" s="33"/>
      <c r="F457" s="33"/>
      <c r="G457" s="33"/>
      <c r="H457" s="31"/>
    </row>
    <row r="458" spans="1:8" x14ac:dyDescent="0.25">
      <c r="A458" t="s">
        <v>512</v>
      </c>
      <c r="D458" s="32" t="s">
        <v>1309</v>
      </c>
      <c r="E458" s="31"/>
      <c r="F458" s="31"/>
      <c r="G458" s="31"/>
    </row>
    <row r="459" spans="1:8" x14ac:dyDescent="0.25">
      <c r="A459" t="s">
        <v>513</v>
      </c>
      <c r="D459" s="32" t="s">
        <v>1309</v>
      </c>
      <c r="E459" s="31"/>
      <c r="F459" s="31"/>
      <c r="G459" s="31"/>
    </row>
    <row r="460" spans="1:8" x14ac:dyDescent="0.25">
      <c r="A460" t="s">
        <v>514</v>
      </c>
      <c r="D460" s="32" t="s">
        <v>1309</v>
      </c>
      <c r="E460" s="31"/>
      <c r="F460" s="31"/>
      <c r="G460" s="31"/>
    </row>
    <row r="461" spans="1:8" x14ac:dyDescent="0.25">
      <c r="A461" t="s">
        <v>515</v>
      </c>
      <c r="D461" s="32" t="s">
        <v>1309</v>
      </c>
      <c r="E461" s="31"/>
      <c r="F461" s="31"/>
      <c r="G461" s="31"/>
    </row>
    <row r="462" spans="1:8" x14ac:dyDescent="0.25">
      <c r="A462" t="s">
        <v>516</v>
      </c>
      <c r="D462" s="32" t="s">
        <v>1266</v>
      </c>
      <c r="E462" s="31"/>
      <c r="F462" s="31"/>
      <c r="G462" s="31"/>
    </row>
    <row r="463" spans="1:8" x14ac:dyDescent="0.25">
      <c r="A463" t="s">
        <v>517</v>
      </c>
      <c r="D463" s="32" t="s">
        <v>1309</v>
      </c>
      <c r="E463" s="31"/>
      <c r="F463" s="31"/>
      <c r="G463" s="31"/>
    </row>
    <row r="464" spans="1:8" x14ac:dyDescent="0.25">
      <c r="A464" t="s">
        <v>518</v>
      </c>
      <c r="D464" s="32" t="s">
        <v>1309</v>
      </c>
      <c r="E464" s="31"/>
      <c r="F464" s="31"/>
      <c r="G464" s="31"/>
    </row>
    <row r="465" spans="1:7" x14ac:dyDescent="0.25">
      <c r="A465" t="s">
        <v>519</v>
      </c>
      <c r="D465" s="32" t="s">
        <v>1309</v>
      </c>
      <c r="E465" s="31"/>
      <c r="F465" s="31"/>
      <c r="G465" s="31"/>
    </row>
    <row r="466" spans="1:7" x14ac:dyDescent="0.25">
      <c r="A466" t="s">
        <v>520</v>
      </c>
      <c r="D466" s="32" t="s">
        <v>1266</v>
      </c>
      <c r="E466" s="31"/>
      <c r="F466" s="31"/>
      <c r="G466" s="31"/>
    </row>
    <row r="467" spans="1:7" x14ac:dyDescent="0.25">
      <c r="A467" t="s">
        <v>521</v>
      </c>
      <c r="D467" s="32" t="s">
        <v>1309</v>
      </c>
      <c r="E467" s="31"/>
      <c r="F467" s="31"/>
      <c r="G467" s="31"/>
    </row>
    <row r="468" spans="1:7" x14ac:dyDescent="0.25">
      <c r="A468" t="s">
        <v>70</v>
      </c>
    </row>
  </sheetData>
  <conditionalFormatting sqref="B351">
    <cfRule type="containsBlanks" dxfId="0" priority="1">
      <formula>LEN(TRIM(B351))=0</formula>
    </cfRule>
  </conditionalFormatting>
  <hyperlinks>
    <hyperlink ref="G11" r:id="rId1" xr:uid="{04598115-6631-4C7C-930F-FA7E5E53759D}"/>
    <hyperlink ref="G12" r:id="rId2" xr:uid="{52A6F8F1-A9F1-489E-8A8E-E2475A607991}"/>
    <hyperlink ref="G6" r:id="rId3" xr:uid="{7F567192-7A1A-44E6-A7D2-6171B16F5A16}"/>
    <hyperlink ref="G7" r:id="rId4" xr:uid="{E8C45F3E-5FB8-45BA-856B-FAB3AC0B15A7}"/>
    <hyperlink ref="G64" r:id="rId5" display="https://goo.gl/maps/FRyoYUTxMLVmWMFq8" xr:uid="{DDF26CFB-D690-46BC-B1CA-07D77C226BEE}"/>
    <hyperlink ref="G5" r:id="rId6" xr:uid="{77BF66B0-0123-4EB6-8248-32558FC6CFBF}"/>
    <hyperlink ref="G60" r:id="rId7" xr:uid="{56D15CD3-0C4C-4595-B0C5-214FFFA9B8E4}"/>
    <hyperlink ref="G46" r:id="rId8" xr:uid="{C4B3E14D-9B3F-4390-939C-98C8135D4B9D}"/>
    <hyperlink ref="G59" r:id="rId9" xr:uid="{DB2447F0-DF28-4D79-9A4F-04EACC87F4E3}"/>
    <hyperlink ref="G10" r:id="rId10" xr:uid="{4C454ECD-B53D-40ED-8B3D-8B822BB13B24}"/>
    <hyperlink ref="G67" r:id="rId11" xr:uid="{F0B63927-4B7F-43E6-8CAA-25C1B56A890E}"/>
    <hyperlink ref="G14" r:id="rId12" xr:uid="{8719DF24-8190-408B-8386-4524275DF0AA}"/>
    <hyperlink ref="G17" r:id="rId13" xr:uid="{3DC64273-6A73-463A-8868-0F0645424FA8}"/>
    <hyperlink ref="G18" r:id="rId14" xr:uid="{5ABA209B-7317-4444-AA45-40FA0B65939C}"/>
    <hyperlink ref="G47" r:id="rId15" xr:uid="{33A1EA01-DC06-42AA-928C-DDA478FB1614}"/>
    <hyperlink ref="G71" r:id="rId16" xr:uid="{D1C2C263-EA60-4A75-AB7E-2D5D4DFE395C}"/>
    <hyperlink ref="G77" r:id="rId17" xr:uid="{E771E3F3-EB57-44B1-A291-B800932388AA}"/>
    <hyperlink ref="G22" r:id="rId18" xr:uid="{7C41F49E-DCF3-4E8F-866A-3CBDB1610520}"/>
    <hyperlink ref="G24" r:id="rId19" xr:uid="{C2E91D71-3471-437C-BF04-4A99430A3A2E}"/>
    <hyperlink ref="G25" r:id="rId20" xr:uid="{BCEC963D-604C-4EA9-A4F2-B97C6D6F4077}"/>
    <hyperlink ref="G61" r:id="rId21" xr:uid="{9CCB6296-DD99-41DD-B2BD-EE8A34EF2B27}"/>
    <hyperlink ref="G73" r:id="rId22" xr:uid="{6F2D7159-2B28-4F85-9E59-82318811FA55}"/>
    <hyperlink ref="G35" r:id="rId23" xr:uid="{3CE5B283-9738-4043-8F19-E58AF99F0E9F}"/>
    <hyperlink ref="G54" r:id="rId24" xr:uid="{D9D5974C-63E0-4629-B5FC-A368451EAF03}"/>
    <hyperlink ref="G55" r:id="rId25" xr:uid="{50C3E864-3C1F-4C8B-B790-2669BB5DA0AD}"/>
    <hyperlink ref="G43" r:id="rId26" xr:uid="{43CD7EA2-CFFF-4F56-9174-2A974B4F3B4C}"/>
    <hyperlink ref="G44" r:id="rId27" xr:uid="{F1B3AFCA-4636-421C-8D90-9B637913EEDC}"/>
    <hyperlink ref="G9" r:id="rId28" xr:uid="{A164CD92-8F04-46F1-8D87-7B39637B0718}"/>
    <hyperlink ref="G56" r:id="rId29" xr:uid="{A40DBEB1-D00A-4187-BCA6-662324F8B49C}"/>
    <hyperlink ref="G66" r:id="rId30" xr:uid="{FA5FDC1D-909D-4D76-A578-6F9CCFDD35A3}"/>
    <hyperlink ref="G29" r:id="rId31" xr:uid="{D8DCD26F-DA8E-4257-8BD9-2024701D9C77}"/>
    <hyperlink ref="G69" r:id="rId32" xr:uid="{DC7A99BE-88C6-4B0E-98C1-E1C468BE6EA2}"/>
    <hyperlink ref="G13" r:id="rId33" xr:uid="{54559A05-5D86-4752-97C4-6582415A4E5D}"/>
    <hyperlink ref="G75" r:id="rId34" xr:uid="{17ADA980-27B7-41A6-A5C7-C82E4A26E784}"/>
    <hyperlink ref="G38" r:id="rId35" xr:uid="{CFD8D182-6896-4469-8003-ED39FE362073}"/>
    <hyperlink ref="G15" r:id="rId36" xr:uid="{F177CF5F-BC4A-44C7-8734-11492312DC2A}"/>
    <hyperlink ref="G16" r:id="rId37" xr:uid="{2352C9B0-337B-4237-8C94-DDD201AC4A21}"/>
    <hyperlink ref="G57" r:id="rId38" xr:uid="{B799DECC-E368-44F7-BAD8-A85AF7D8E239}"/>
    <hyperlink ref="G19" r:id="rId39" xr:uid="{D32AF995-F2FB-40E2-9061-EDD92C9742D5}"/>
    <hyperlink ref="G20" r:id="rId40" xr:uid="{93E74FE8-EECC-49E0-AFA6-8D3F517B27B6}"/>
    <hyperlink ref="G40" r:id="rId41" xr:uid="{C1F3B301-ADA1-4089-BD05-36C8D21C7029}"/>
    <hyperlink ref="G41" r:id="rId42" xr:uid="{A5134B15-D6BB-4357-8840-BA500352FB76}"/>
    <hyperlink ref="G21" r:id="rId43" xr:uid="{CE11CA6E-F3D6-4C08-ACC6-D657A3418CB8}"/>
    <hyperlink ref="G32" r:id="rId44" xr:uid="{6EE67373-277F-411F-91CE-60F4C779D21F}"/>
    <hyperlink ref="G23" r:id="rId45" xr:uid="{BE1201B2-BAC4-454D-A3CA-27224E1F307A}"/>
    <hyperlink ref="G42" r:id="rId46" xr:uid="{24B3C451-380F-4FF3-8222-62244171C354}"/>
    <hyperlink ref="G34" r:id="rId47" xr:uid="{5980295C-6C48-42A7-B5D3-5A2938DE04DA}"/>
    <hyperlink ref="G72" r:id="rId48" xr:uid="{0450C5E2-059C-4D10-99C4-7BAB0015CFDA}"/>
    <hyperlink ref="G76" r:id="rId49" xr:uid="{49884687-8DD1-42B4-86A3-05280173516E}"/>
    <hyperlink ref="G65" r:id="rId50" display="https://goo.gl/maps/VqyewcdFagBqvL6U8" xr:uid="{78275F1B-5CFB-4F8B-AAF6-67D8FF98B700}"/>
    <hyperlink ref="G74" r:id="rId51" xr:uid="{F9510470-0E19-460A-AF94-51A9C027C23C}"/>
    <hyperlink ref="G45" r:id="rId52" xr:uid="{010CE6E8-B916-4EB7-9ACE-569BD74D1494}"/>
    <hyperlink ref="G53" r:id="rId53" xr:uid="{F80A3BC2-3F47-4B59-A272-FAF90DB6266D}"/>
    <hyperlink ref="G80" r:id="rId54" xr:uid="{1117F60F-978F-4552-B09C-4B1E21FA75B7}"/>
    <hyperlink ref="G4" r:id="rId55" xr:uid="{58C59B79-BB67-44ED-AEC9-A68C5FB4184B}"/>
    <hyperlink ref="G36" r:id="rId56" xr:uid="{8DB84FD5-34A8-42CB-A417-910719137539}"/>
    <hyperlink ref="G52" r:id="rId57" xr:uid="{735EEEA3-DA3C-4FDB-9ACF-3E516DD6A536}"/>
    <hyperlink ref="G8" r:id="rId58" xr:uid="{14B36FCC-E1EA-4B75-8BA2-9B4BFBA3A526}"/>
    <hyperlink ref="G28" r:id="rId59" xr:uid="{84A131CA-FB3A-4920-A3F0-28A53702095B}"/>
    <hyperlink ref="G37" r:id="rId60" xr:uid="{59C1F455-F22B-4166-B24D-079C8B973326}"/>
    <hyperlink ref="G70" r:id="rId61" xr:uid="{908D7B01-7BF6-4376-A905-579CC69FC4D6}"/>
    <hyperlink ref="G30" r:id="rId62" xr:uid="{167C4DF2-C19C-40C8-AA5B-4D6BE3133DB4}"/>
    <hyperlink ref="G39" r:id="rId63" xr:uid="{BDAB6621-96EE-4E49-BDA0-D03644A005C1}"/>
    <hyperlink ref="G31" r:id="rId64" xr:uid="{C118AEDD-AED0-465D-A365-91FD11D51F0E}"/>
    <hyperlink ref="G33" r:id="rId65" xr:uid="{CECAA86C-73F5-4C9B-B5C6-44E7D71EBB79}"/>
    <hyperlink ref="G49" r:id="rId66" xr:uid="{0831DA97-1736-4915-81B1-3F0B98628B43}"/>
    <hyperlink ref="G50" r:id="rId67" xr:uid="{D8403756-6E69-4D7B-A656-A45C38C7AB97}"/>
    <hyperlink ref="G51" r:id="rId68" xr:uid="{F10E41AE-6933-4F59-9EEC-631816271D81}"/>
    <hyperlink ref="G78" r:id="rId69" xr:uid="{47705884-F324-4571-BF86-332DB233596A}"/>
    <hyperlink ref="G86" r:id="rId70" xr:uid="{A014C7C5-9FD8-4F3F-AAB3-04EA89F84A06}"/>
    <hyperlink ref="G90" r:id="rId71" xr:uid="{CE554ECF-B3F1-4896-B068-6A99D7013801}"/>
    <hyperlink ref="G91" r:id="rId72" xr:uid="{222F3C2B-025D-4AAA-BFE9-E14E62BF36F5}"/>
    <hyperlink ref="G92" r:id="rId73" xr:uid="{58CE946B-26E0-4072-BC8C-07B9BCD5F91F}"/>
    <hyperlink ref="G161" r:id="rId74" xr:uid="{01E63DB6-06E2-4F58-94DF-53A47A9908B3}"/>
    <hyperlink ref="G274" r:id="rId75" xr:uid="{A138760B-C83A-4548-9AC1-AF6EDE58FB1E}"/>
    <hyperlink ref="G184" r:id="rId76" xr:uid="{4D358785-AA87-43BF-AFE9-21AC5507DB32}"/>
    <hyperlink ref="G142" r:id="rId77" xr:uid="{9B0D222C-3317-4681-8DA0-E5FF30E68881}"/>
    <hyperlink ref="G186" r:id="rId78" xr:uid="{1A91B71D-C47B-488F-9447-5452AEF0E6CE}"/>
    <hyperlink ref="G185" r:id="rId79" xr:uid="{C508FD54-14CB-401B-843A-4ADE53C79F34}"/>
    <hyperlink ref="G172" r:id="rId80" xr:uid="{6B30485A-41DD-4501-AE49-3B48225599EA}"/>
    <hyperlink ref="G308" r:id="rId81" xr:uid="{C01DCD2C-0539-4901-B6FF-B9D4C1294C7F}"/>
    <hyperlink ref="G268" r:id="rId82" xr:uid="{8B88D0C0-070C-44C2-BFBF-03EE9615533C}"/>
    <hyperlink ref="G291" r:id="rId83" xr:uid="{2D39BB39-F0F5-4859-B878-D08F857A6A7E}"/>
    <hyperlink ref="G329" r:id="rId84" xr:uid="{6CD9CEBA-C2A5-492D-8D3F-2C252347DDAC}"/>
    <hyperlink ref="G328" r:id="rId85" xr:uid="{98250B00-5CDD-4E30-BA0A-F22D657A2E73}"/>
    <hyperlink ref="G320" r:id="rId86" xr:uid="{481E91CA-90D4-4149-BD04-53E07933C46F}"/>
    <hyperlink ref="G234" r:id="rId87" xr:uid="{1B249C28-D38D-45C4-8D65-1BADD7CD56D7}"/>
    <hyperlink ref="G238" r:id="rId88" xr:uid="{8BA8DF0B-D607-477A-AF1C-88A1D1B71A5C}"/>
    <hyperlink ref="G305" r:id="rId89" xr:uid="{3997639E-1421-40DC-8BA5-E989B7E53050}"/>
    <hyperlink ref="G228" r:id="rId90" xr:uid="{A66199A6-774E-4432-AF22-505D2DA28091}"/>
    <hyperlink ref="G272" r:id="rId91" xr:uid="{FED8546B-89D9-4FC4-9793-55D415FDAD4B}"/>
    <hyperlink ref="G270" r:id="rId92" xr:uid="{8ABE7C37-819C-4553-8212-EBF4C546EEA8}"/>
    <hyperlink ref="G222" r:id="rId93" xr:uid="{2101DF4C-DC51-44E4-A158-4547F080175C}"/>
    <hyperlink ref="G160" r:id="rId94" xr:uid="{909101EA-FC86-40A5-9963-036280B30730}"/>
    <hyperlink ref="G296" r:id="rId95" xr:uid="{50D3B219-3EE8-412A-AA08-C49E6D101EED}"/>
    <hyperlink ref="G173" r:id="rId96" xr:uid="{225E0CC9-93AF-4E34-A8E8-7377471159F2}"/>
    <hyperlink ref="G336" r:id="rId97" xr:uid="{7CDDAF12-18F1-4F03-8D6A-30C6CDCE12D6}"/>
    <hyperlink ref="G337" r:id="rId98" xr:uid="{4D970A31-57A5-47A8-9069-FB67525A2ABF}"/>
    <hyperlink ref="G338" r:id="rId99" xr:uid="{94E57831-F64B-43A0-9689-038D9DA9038B}"/>
    <hyperlink ref="G174" r:id="rId100" xr:uid="{7E033773-860C-4293-A34F-022C0BE56699}"/>
    <hyperlink ref="G250" r:id="rId101" xr:uid="{6BEC5992-A49C-456C-AD25-4290B9C84015}"/>
    <hyperlink ref="G339" r:id="rId102" xr:uid="{F493682B-FA09-4166-BA47-7343209A69A3}"/>
    <hyperlink ref="G129" r:id="rId103" xr:uid="{352402C2-240F-404C-AA22-A74E75EF652B}"/>
    <hyperlink ref="G277" r:id="rId104" xr:uid="{5C5ED2E8-18FC-442E-ADD0-BE4AA2E55293}"/>
    <hyperlink ref="G294" r:id="rId105" xr:uid="{E7EEE693-6F2C-4724-92D0-B30364FB16EB}"/>
    <hyperlink ref="G334" r:id="rId106" xr:uid="{C99D071B-CD6D-43EF-90F6-F0AD29B3E5EF}"/>
    <hyperlink ref="G87" r:id="rId107" xr:uid="{FF31A182-2E60-4235-AD7F-3EBB49042914}"/>
    <hyperlink ref="G335" r:id="rId108" xr:uid="{34D7B2AD-7901-429B-A25B-3932C70D32D8}"/>
    <hyperlink ref="G343" r:id="rId109" xr:uid="{35FC8CB7-B712-45E1-9D70-922862D77D9A}"/>
    <hyperlink ref="G110" r:id="rId110" xr:uid="{B0D9E848-5509-466A-B71E-A78A71698D25}"/>
    <hyperlink ref="G281" r:id="rId111" xr:uid="{D3295F04-512D-4E22-8386-AC2C6CA482AB}"/>
    <hyperlink ref="G437" r:id="rId112" xr:uid="{48C1C120-54AE-4839-9231-2438DC87D122}"/>
    <hyperlink ref="G187" r:id="rId113" xr:uid="{7C95C2FC-00CC-4AFB-9E29-226DB45A3A65}"/>
    <hyperlink ref="G95" r:id="rId114" xr:uid="{1CF93E7D-BA37-4AB1-8690-C412FA649A9A}"/>
    <hyperlink ref="G300" r:id="rId115" xr:uid="{38EC98DF-A1CB-44EF-BABF-AEF56B2C0DAE}"/>
    <hyperlink ref="G93" r:id="rId116" xr:uid="{AC2090A6-0017-4AB6-94B1-DAA2C3BF2E70}"/>
    <hyperlink ref="G97" r:id="rId117" xr:uid="{D772C4FD-4994-4715-B3BC-6A408EA62B34}"/>
    <hyperlink ref="G98" r:id="rId118" xr:uid="{AEFC736E-A0B2-4C5D-965F-A63E649F1536}"/>
    <hyperlink ref="G99" r:id="rId119" xr:uid="{D1724F20-F06C-4563-91D2-C0B62EDB75A4}"/>
    <hyperlink ref="G140" r:id="rId120" xr:uid="{242219AF-4BF9-4401-8205-D9196D2EE316}"/>
    <hyperlink ref="G410" r:id="rId121" xr:uid="{D7458523-7D9C-4BA0-AB50-BFAC95170D8F}"/>
    <hyperlink ref="G432" r:id="rId122" xr:uid="{FE6F43A6-B3FA-4BD0-ACB4-566183A1A5D6}"/>
    <hyperlink ref="G424" r:id="rId123" xr:uid="{AAE09AA8-D023-4ECE-8027-68DA3046CFAD}"/>
    <hyperlink ref="G245" r:id="rId124" xr:uid="{EA1A78FA-7A55-4BF0-94AE-F1523D100AD7}"/>
    <hyperlink ref="G101" r:id="rId125" xr:uid="{74A728A8-1807-408D-807A-472720110125}"/>
    <hyperlink ref="G453" r:id="rId126" xr:uid="{36540164-6D56-446D-A1CB-7739F1E6F320}"/>
    <hyperlink ref="G399" r:id="rId127" xr:uid="{2BE88C67-0871-423B-B643-FE1DE2BBB704}"/>
    <hyperlink ref="G342" r:id="rId128" xr:uid="{CB0DA6E5-40AF-47D0-82B4-FBC674EFEDF0}"/>
    <hyperlink ref="G403" r:id="rId129" xr:uid="{B676B2B3-ECA3-44A8-89AE-17831E6E8D33}"/>
    <hyperlink ref="G102" r:id="rId130" xr:uid="{68FA261A-E2C3-44D0-8759-A94EF60834FE}"/>
    <hyperlink ref="G2" r:id="rId131" xr:uid="{EA919C3C-C4D0-4A66-9426-2FA0135330E9}"/>
    <hyperlink ref="G3" r:id="rId132" xr:uid="{01090958-6092-47F7-BA6E-FEF5C58A0A0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03B-4C49-4281-8ADD-CB73C51402B1}">
  <dimension ref="A1:N19"/>
  <sheetViews>
    <sheetView workbookViewId="0">
      <selection activeCell="G14" sqref="G14"/>
    </sheetView>
  </sheetViews>
  <sheetFormatPr baseColWidth="10" defaultColWidth="11.42578125" defaultRowHeight="15" x14ac:dyDescent="0.25"/>
  <cols>
    <col min="1" max="1" width="27.85546875" customWidth="1"/>
    <col min="2" max="2" width="14.85546875" customWidth="1"/>
    <col min="3" max="3" width="33" bestFit="1" customWidth="1"/>
    <col min="8" max="8" width="15.5703125" bestFit="1" customWidth="1"/>
    <col min="9" max="9" width="15" bestFit="1" customWidth="1"/>
    <col min="10" max="10" width="23" bestFit="1" customWidth="1"/>
    <col min="11" max="11" width="18.28515625" bestFit="1" customWidth="1"/>
  </cols>
  <sheetData>
    <row r="1" spans="1:14" x14ac:dyDescent="0.25">
      <c r="A1" t="s">
        <v>33</v>
      </c>
      <c r="B1" t="s">
        <v>34</v>
      </c>
      <c r="C1" t="s">
        <v>35</v>
      </c>
      <c r="F1" s="8" t="s">
        <v>36</v>
      </c>
      <c r="G1" s="8" t="s">
        <v>37</v>
      </c>
      <c r="H1" s="8" t="s">
        <v>38</v>
      </c>
      <c r="I1" s="8" t="s">
        <v>39</v>
      </c>
      <c r="J1" s="8" t="s">
        <v>40</v>
      </c>
      <c r="K1" s="8" t="s">
        <v>41</v>
      </c>
      <c r="L1" s="8" t="s">
        <v>42</v>
      </c>
    </row>
    <row r="2" spans="1:14" x14ac:dyDescent="0.25">
      <c r="A2" t="s">
        <v>43</v>
      </c>
      <c r="B2" t="s">
        <v>44</v>
      </c>
      <c r="C2" t="s">
        <v>45</v>
      </c>
      <c r="F2" s="9" t="s">
        <v>46</v>
      </c>
      <c r="G2" s="9" t="s">
        <v>47</v>
      </c>
      <c r="H2" s="9">
        <v>4</v>
      </c>
      <c r="I2" s="9">
        <v>96</v>
      </c>
      <c r="J2" s="10">
        <v>0.25</v>
      </c>
      <c r="K2" s="10">
        <v>0.21875</v>
      </c>
      <c r="L2" s="9">
        <v>1</v>
      </c>
      <c r="N2" s="7"/>
    </row>
    <row r="3" spans="1:14" x14ac:dyDescent="0.25">
      <c r="A3" t="s">
        <v>48</v>
      </c>
      <c r="B3" t="s">
        <v>49</v>
      </c>
      <c r="C3" t="s">
        <v>50</v>
      </c>
      <c r="F3" s="9" t="s">
        <v>51</v>
      </c>
      <c r="G3" s="9" t="s">
        <v>19</v>
      </c>
      <c r="H3" s="9">
        <v>1.5</v>
      </c>
      <c r="I3" s="9">
        <v>36</v>
      </c>
      <c r="J3" s="9">
        <v>0</v>
      </c>
      <c r="K3" s="9">
        <v>0</v>
      </c>
      <c r="L3" s="9"/>
      <c r="N3" s="7"/>
    </row>
    <row r="4" spans="1:14" x14ac:dyDescent="0.25">
      <c r="C4" t="s">
        <v>52</v>
      </c>
      <c r="F4" s="9" t="s">
        <v>51</v>
      </c>
      <c r="G4" s="9" t="s">
        <v>53</v>
      </c>
      <c r="H4" s="9">
        <v>3.5</v>
      </c>
      <c r="I4" s="9">
        <v>84</v>
      </c>
      <c r="J4" s="10">
        <v>0.3125</v>
      </c>
      <c r="K4" s="10">
        <v>0.3125</v>
      </c>
      <c r="L4" s="9">
        <v>9</v>
      </c>
      <c r="N4" s="7"/>
    </row>
    <row r="5" spans="1:14" x14ac:dyDescent="0.25">
      <c r="C5" t="s">
        <v>54</v>
      </c>
      <c r="F5" s="9" t="s">
        <v>55</v>
      </c>
      <c r="G5" s="9" t="s">
        <v>56</v>
      </c>
      <c r="H5" s="9">
        <v>1</v>
      </c>
      <c r="I5" s="9">
        <v>24</v>
      </c>
      <c r="J5" s="9">
        <v>0</v>
      </c>
      <c r="K5" s="9">
        <v>0</v>
      </c>
      <c r="L5" s="9"/>
      <c r="N5" s="7"/>
    </row>
    <row r="6" spans="1:14" x14ac:dyDescent="0.25">
      <c r="C6" t="s">
        <v>57</v>
      </c>
      <c r="F6" s="9" t="s">
        <v>51</v>
      </c>
      <c r="G6" s="9" t="s">
        <v>58</v>
      </c>
      <c r="H6" s="9">
        <v>2</v>
      </c>
      <c r="I6" s="9">
        <v>48</v>
      </c>
      <c r="J6" s="9">
        <v>0</v>
      </c>
      <c r="K6" s="9">
        <v>0</v>
      </c>
      <c r="L6" s="9"/>
      <c r="N6" s="7"/>
    </row>
    <row r="7" spans="1:14" x14ac:dyDescent="0.25">
      <c r="F7" s="9" t="s">
        <v>59</v>
      </c>
      <c r="G7" s="9" t="s">
        <v>26</v>
      </c>
      <c r="H7" s="9">
        <v>2</v>
      </c>
      <c r="I7" s="9">
        <v>48</v>
      </c>
      <c r="J7" s="9">
        <v>0</v>
      </c>
      <c r="K7" s="9">
        <v>0</v>
      </c>
      <c r="L7" s="9"/>
      <c r="N7" s="7"/>
    </row>
    <row r="8" spans="1:14" x14ac:dyDescent="0.25">
      <c r="A8" s="8" t="s">
        <v>60</v>
      </c>
      <c r="B8" s="8" t="s">
        <v>61</v>
      </c>
      <c r="F8" s="9" t="s">
        <v>51</v>
      </c>
      <c r="G8" s="9" t="s">
        <v>14</v>
      </c>
      <c r="H8" s="9">
        <v>3</v>
      </c>
      <c r="I8" s="9">
        <v>72</v>
      </c>
      <c r="J8" s="10">
        <v>0.20833333333333334</v>
      </c>
      <c r="K8" s="10">
        <v>0.17708333333333334</v>
      </c>
      <c r="L8" s="9">
        <v>8</v>
      </c>
      <c r="N8" s="7"/>
    </row>
    <row r="9" spans="1:14" x14ac:dyDescent="0.25">
      <c r="A9" s="9" t="s">
        <v>62</v>
      </c>
      <c r="B9" s="9">
        <v>12</v>
      </c>
      <c r="F9" s="9" t="s">
        <v>63</v>
      </c>
      <c r="G9" s="9" t="s">
        <v>31</v>
      </c>
      <c r="H9" s="9">
        <v>2.5</v>
      </c>
      <c r="I9" s="9">
        <v>60</v>
      </c>
      <c r="J9" s="10">
        <v>0.3125</v>
      </c>
      <c r="K9" s="10">
        <v>0.17708333333333334</v>
      </c>
      <c r="L9" s="9">
        <v>2</v>
      </c>
      <c r="N9" s="7"/>
    </row>
    <row r="10" spans="1:14" x14ac:dyDescent="0.25">
      <c r="A10" s="9" t="s">
        <v>64</v>
      </c>
      <c r="B10" s="9">
        <v>10</v>
      </c>
      <c r="F10" s="9" t="s">
        <v>46</v>
      </c>
      <c r="G10" s="11" t="s">
        <v>65</v>
      </c>
      <c r="H10" s="9">
        <v>4</v>
      </c>
      <c r="I10" s="9">
        <v>96</v>
      </c>
      <c r="J10" s="10">
        <v>0.21875</v>
      </c>
      <c r="K10" s="10">
        <v>0.21875</v>
      </c>
      <c r="L10" s="9">
        <v>1</v>
      </c>
      <c r="N10" s="7"/>
    </row>
    <row r="11" spans="1:14" x14ac:dyDescent="0.25">
      <c r="F11" s="9" t="s">
        <v>63</v>
      </c>
      <c r="G11" s="9" t="s">
        <v>22</v>
      </c>
      <c r="H11" s="9">
        <v>1.5</v>
      </c>
      <c r="I11" s="9">
        <v>36</v>
      </c>
      <c r="J11" s="10">
        <v>0.3125</v>
      </c>
      <c r="K11" s="10">
        <v>0.17708333333333334</v>
      </c>
      <c r="L11" s="9">
        <v>4</v>
      </c>
      <c r="N11" s="7"/>
    </row>
    <row r="12" spans="1:14" x14ac:dyDescent="0.25">
      <c r="F12" s="9" t="s">
        <v>46</v>
      </c>
      <c r="G12" s="9" t="s">
        <v>25</v>
      </c>
      <c r="H12" s="9">
        <v>3</v>
      </c>
      <c r="I12" s="9">
        <v>72</v>
      </c>
      <c r="J12" s="9">
        <v>0</v>
      </c>
      <c r="K12" s="10">
        <v>0.21875</v>
      </c>
      <c r="L12" s="9">
        <v>1</v>
      </c>
      <c r="N12" s="7"/>
    </row>
    <row r="13" spans="1:14" x14ac:dyDescent="0.25">
      <c r="F13" s="9" t="s">
        <v>51</v>
      </c>
      <c r="G13" s="9" t="s">
        <v>1563</v>
      </c>
      <c r="H13" s="9">
        <v>1.5</v>
      </c>
      <c r="I13" s="9">
        <v>36</v>
      </c>
      <c r="J13" s="9">
        <v>0</v>
      </c>
      <c r="K13" s="9">
        <v>0</v>
      </c>
      <c r="L13" s="9"/>
      <c r="N13" s="7"/>
    </row>
    <row r="14" spans="1:14" x14ac:dyDescent="0.25">
      <c r="F14" s="9" t="s">
        <v>51</v>
      </c>
      <c r="G14" s="9" t="s">
        <v>66</v>
      </c>
      <c r="H14" s="9">
        <v>1.5</v>
      </c>
      <c r="I14" s="9">
        <v>36</v>
      </c>
      <c r="J14" s="9">
        <v>0</v>
      </c>
      <c r="K14" s="9">
        <v>0</v>
      </c>
      <c r="L14" s="9"/>
      <c r="N14" s="7"/>
    </row>
    <row r="15" spans="1:14" x14ac:dyDescent="0.25">
      <c r="F15" s="9" t="s">
        <v>51</v>
      </c>
      <c r="G15" s="9" t="s">
        <v>67</v>
      </c>
      <c r="H15" s="9">
        <v>1</v>
      </c>
      <c r="I15" s="9">
        <v>24</v>
      </c>
      <c r="J15" s="9">
        <v>0</v>
      </c>
      <c r="K15" s="9">
        <v>0</v>
      </c>
      <c r="L15" s="9"/>
      <c r="N15" s="7"/>
    </row>
    <row r="16" spans="1:14" x14ac:dyDescent="0.25">
      <c r="F16" s="9" t="s">
        <v>63</v>
      </c>
      <c r="G16" s="9" t="s">
        <v>17</v>
      </c>
      <c r="H16" s="9">
        <v>1</v>
      </c>
      <c r="I16" s="9">
        <v>24</v>
      </c>
      <c r="J16" s="10">
        <v>0.3125</v>
      </c>
      <c r="K16" s="10">
        <v>0.17708333333333334</v>
      </c>
      <c r="L16" s="9">
        <v>5</v>
      </c>
      <c r="N16" s="7"/>
    </row>
    <row r="17" spans="6:14" x14ac:dyDescent="0.25">
      <c r="F17" s="9" t="s">
        <v>63</v>
      </c>
      <c r="G17" s="9" t="s">
        <v>16</v>
      </c>
      <c r="H17" s="9">
        <v>1</v>
      </c>
      <c r="I17" s="9">
        <v>24</v>
      </c>
      <c r="J17" s="10">
        <v>0.3125</v>
      </c>
      <c r="K17" s="10">
        <v>0.17708333333333334</v>
      </c>
      <c r="L17" s="9">
        <v>6</v>
      </c>
      <c r="N17" s="7"/>
    </row>
    <row r="18" spans="6:14" x14ac:dyDescent="0.25">
      <c r="F18" s="9" t="s">
        <v>63</v>
      </c>
      <c r="G18" s="9" t="s">
        <v>18</v>
      </c>
      <c r="H18" s="9">
        <v>1.5</v>
      </c>
      <c r="I18" s="9">
        <v>36</v>
      </c>
      <c r="J18" s="10">
        <v>0.3125</v>
      </c>
      <c r="K18" s="10">
        <v>0.17708333333333334</v>
      </c>
      <c r="L18" s="9">
        <v>3</v>
      </c>
      <c r="N18" s="7"/>
    </row>
    <row r="19" spans="6:14" x14ac:dyDescent="0.25">
      <c r="F19" s="9" t="s">
        <v>63</v>
      </c>
      <c r="G19" s="9" t="s">
        <v>68</v>
      </c>
      <c r="H19" s="9">
        <v>1.5</v>
      </c>
      <c r="I19" s="9">
        <v>36</v>
      </c>
      <c r="J19" s="10">
        <v>0.3125</v>
      </c>
      <c r="K19" s="10">
        <v>0.17708333333333334</v>
      </c>
      <c r="L19" s="9">
        <v>7</v>
      </c>
      <c r="N19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83bf51-5c87-4fb0-ba13-134b9ccf2aac" xsi:nil="true"/>
    <TaxCatchAll xmlns="9ec7a165-d323-4302-8043-ea580ce1e37b" xsi:nil="true"/>
    <_ModernAudienceTargetUserField xmlns="3d83bf51-5c87-4fb0-ba13-134b9ccf2aac">
      <UserInfo>
        <DisplayName/>
        <AccountId xsi:nil="true"/>
        <AccountType/>
      </UserInfo>
    </_ModernAudienceTargetUserField>
    <Audiencias_x0020_de_x0020_destino xmlns="3d83bf51-5c87-4fb0-ba13-134b9ccf2aac" xsi:nil="true"/>
    <lcf76f155ced4ddcb4097134ff3c332f xmlns="3d83bf51-5c87-4fb0-ba13-134b9ccf2aa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8528D2613016E4F8BB018856F73371D" ma:contentTypeVersion="17" ma:contentTypeDescription="Crear nuevo documento." ma:contentTypeScope="" ma:versionID="5c3609afe6843af7a81bebb55ab3705b">
  <xsd:schema xmlns:xsd="http://www.w3.org/2001/XMLSchema" xmlns:xs="http://www.w3.org/2001/XMLSchema" xmlns:p="http://schemas.microsoft.com/office/2006/metadata/properties" xmlns:ns2="3d83bf51-5c87-4fb0-ba13-134b9ccf2aac" xmlns:ns3="9ec7a165-d323-4302-8043-ea580ce1e37b" targetNamespace="http://schemas.microsoft.com/office/2006/metadata/properties" ma:root="true" ma:fieldsID="e700fe5959ff58d73b586561e52d5093" ns2:_="" ns3:_="">
    <xsd:import namespace="3d83bf51-5c87-4fb0-ba13-134b9ccf2aac"/>
    <xsd:import namespace="9ec7a165-d323-4302-8043-ea580ce1e3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Audiencias_x0020_de_x0020_destino" minOccurs="0"/>
                <xsd:element ref="ns2:_ModernAudienceTargetUserField" minOccurs="0"/>
                <xsd:element ref="ns2:_ModernAudienceAadObjectIds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83bf51-5c87-4fb0-ba13-134b9ccf2aa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d34168f3-22f8-4908-aed3-ef41011333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Audiencias_x0020_de_x0020_destino" ma:index="20" nillable="true" ma:displayName="Audiencias de destino" ma:internalName="Audiencias_x0020_de_x0020_destino">
      <xsd:simpleType>
        <xsd:restriction base="dms:Unknown"/>
      </xsd:simpleType>
    </xsd:element>
    <xsd:element name="_ModernAudienceTargetUserField" ma:index="21" nillable="true" ma:displayName="Público" ma:list="UserInfo" ma:SharePointGroup="0" ma:internalName="_ModernAudienceTargetUserField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ModernAudienceAadObjectIds" ma:index="22" nillable="true" ma:displayName="AudienceIds" ma:list="{48885df9-4947-417b-bb3f-162086221ce0}" ma:internalName="_ModernAudienceAadObjectIds" ma:readOnly="true" ma:showField="_AadObjectIdForUser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Flow_SignoffStatus" ma:index="23" nillable="true" ma:displayName="Estado de aprobación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c7a165-d323-4302-8043-ea580ce1e37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95e3f6b-173e-45cd-8444-10c683f9bcc8}" ma:internalName="TaxCatchAll" ma:showField="CatchAllData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E2DB07-E1EE-4AEB-80E7-74D3285DBEF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A9869F1-282E-4391-9BF8-BCB60A0A8B6F}">
  <ds:schemaRefs>
    <ds:schemaRef ds:uri="http://schemas.microsoft.com/office/2006/metadata/properties"/>
    <ds:schemaRef ds:uri="http://schemas.microsoft.com/office/infopath/2007/PartnerControls"/>
    <ds:schemaRef ds:uri="3d83bf51-5c87-4fb0-ba13-134b9ccf2aac"/>
    <ds:schemaRef ds:uri="9ec7a165-d323-4302-8043-ea580ce1e37b"/>
  </ds:schemaRefs>
</ds:datastoreItem>
</file>

<file path=customXml/itemProps3.xml><?xml version="1.0" encoding="utf-8"?>
<ds:datastoreItem xmlns:ds="http://schemas.openxmlformats.org/officeDocument/2006/customXml" ds:itemID="{3D82F03D-D48B-4420-853D-E4A8C58AE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83bf51-5c87-4fb0-ba13-134b9ccf2aac"/>
    <ds:schemaRef ds:uri="9ec7a165-d323-4302-8043-ea580ce1e3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PLANEACION</vt:lpstr>
      <vt:lpstr>UBICACIONES</vt:lpstr>
      <vt:lpstr>CATALOGO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Bernardo Escobedo</dc:creator>
  <cp:keywords/>
  <dc:description/>
  <cp:lastModifiedBy>Bernardo Escobedo</cp:lastModifiedBy>
  <cp:revision/>
  <dcterms:created xsi:type="dcterms:W3CDTF">2026-09-03T18:30:38Z</dcterms:created>
  <dcterms:modified xsi:type="dcterms:W3CDTF">2026-09-17T21:57:27Z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0x010100A8528D2613016E4F8BB018856F73371D</vt:lpwstr>
  </property>
  <property fmtid="{D5CDD505-2E9C-101B-9397-08002B2CF9AE}" pid="3" name="MediaServiceImageTags">
    <vt:lpwstr/>
  </property>
</Properties>
</file>